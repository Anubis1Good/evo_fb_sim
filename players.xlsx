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F:\PL\MLD\FT\evo_fb2\"/>
    </mc:Choice>
  </mc:AlternateContent>
  <xr:revisionPtr revIDLastSave="0" documentId="13_ncr:1_{429897F3-BEC5-40CE-8024-111FCD9125AD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Лист1" sheetId="2" r:id="rId1"/>
    <sheet name="Лист3" sheetId="4" r:id="rId2"/>
    <sheet name="Лист4" sheetId="5" r:id="rId3"/>
    <sheet name="Игроки" sheetId="1" r:id="rId4"/>
    <sheet name="Лист2" sheetId="3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417" i="1" l="1"/>
  <c r="V2417" i="1" s="1"/>
  <c r="Y2417" i="1" s="1"/>
  <c r="Z2417" i="1" s="1"/>
  <c r="M2418" i="1"/>
  <c r="V2418" i="1" s="1"/>
  <c r="Y2418" i="1" s="1"/>
  <c r="Z2418" i="1" s="1"/>
  <c r="M2422" i="1"/>
  <c r="V2422" i="1" s="1"/>
  <c r="Y2422" i="1" s="1"/>
  <c r="Z2422" i="1" s="1"/>
  <c r="M2424" i="1"/>
  <c r="V2424" i="1" s="1"/>
  <c r="Y2424" i="1" s="1"/>
  <c r="Z2424" i="1" s="1"/>
  <c r="M2425" i="1"/>
  <c r="V2425" i="1" s="1"/>
  <c r="Y2425" i="1" s="1"/>
  <c r="Z2425" i="1" s="1"/>
  <c r="M2427" i="1"/>
  <c r="V2427" i="1" s="1"/>
  <c r="Y2427" i="1" s="1"/>
  <c r="Z2427" i="1" s="1"/>
  <c r="M2429" i="1"/>
  <c r="V2429" i="1" s="1"/>
  <c r="Y2429" i="1" s="1"/>
  <c r="Z2429" i="1" s="1"/>
  <c r="M2430" i="1"/>
  <c r="V2430" i="1" s="1"/>
  <c r="Y2430" i="1" s="1"/>
  <c r="Z2430" i="1" s="1"/>
  <c r="M2432" i="1"/>
  <c r="V2432" i="1" s="1"/>
  <c r="Y2432" i="1" s="1"/>
  <c r="Z2432" i="1" s="1"/>
  <c r="M2434" i="1"/>
  <c r="V2434" i="1" s="1"/>
  <c r="Y2434" i="1" s="1"/>
  <c r="Z2434" i="1" s="1"/>
  <c r="M2436" i="1"/>
  <c r="V2436" i="1" s="1"/>
  <c r="Y2436" i="1" s="1"/>
  <c r="Z2436" i="1" s="1"/>
  <c r="M2437" i="1"/>
  <c r="V2437" i="1" s="1"/>
  <c r="Y2437" i="1" s="1"/>
  <c r="Z2437" i="1" s="1"/>
  <c r="M2441" i="1"/>
  <c r="V2441" i="1" s="1"/>
  <c r="Y2441" i="1" s="1"/>
  <c r="Z2441" i="1" s="1"/>
  <c r="M2442" i="1"/>
  <c r="V2442" i="1" s="1"/>
  <c r="Y2442" i="1" s="1"/>
  <c r="Z2442" i="1" s="1"/>
  <c r="M2444" i="1"/>
  <c r="V2444" i="1" s="1"/>
  <c r="Y2444" i="1" s="1"/>
  <c r="Z2444" i="1" s="1"/>
  <c r="M2446" i="1"/>
  <c r="V2446" i="1" s="1"/>
  <c r="Y2446" i="1" s="1"/>
  <c r="Z2446" i="1" s="1"/>
  <c r="M2448" i="1"/>
  <c r="V2448" i="1" s="1"/>
  <c r="Y2448" i="1" s="1"/>
  <c r="Z2448" i="1" s="1"/>
  <c r="M2449" i="1"/>
  <c r="V2449" i="1" s="1"/>
  <c r="Y2449" i="1" s="1"/>
  <c r="Z2449" i="1" s="1"/>
  <c r="M2453" i="1"/>
  <c r="V2453" i="1" s="1"/>
  <c r="Y2453" i="1" s="1"/>
  <c r="Z2453" i="1" s="1"/>
  <c r="M2454" i="1"/>
  <c r="V2454" i="1" s="1"/>
  <c r="Y2454" i="1" s="1"/>
  <c r="Z2454" i="1" s="1"/>
  <c r="M2456" i="1"/>
  <c r="V2456" i="1" s="1"/>
  <c r="Y2456" i="1" s="1"/>
  <c r="Z2456" i="1" s="1"/>
  <c r="M2458" i="1"/>
  <c r="V2458" i="1" s="1"/>
  <c r="Y2458" i="1" s="1"/>
  <c r="Z2458" i="1" s="1"/>
  <c r="M2460" i="1"/>
  <c r="V2460" i="1" s="1"/>
  <c r="Y2460" i="1" s="1"/>
  <c r="Z2460" i="1" s="1"/>
  <c r="M2461" i="1"/>
  <c r="V2461" i="1" s="1"/>
  <c r="Y2461" i="1" s="1"/>
  <c r="Z2461" i="1" s="1"/>
  <c r="M2465" i="1"/>
  <c r="V2465" i="1" s="1"/>
  <c r="Y2465" i="1" s="1"/>
  <c r="Z2465" i="1" s="1"/>
  <c r="M2466" i="1"/>
  <c r="V2466" i="1" s="1"/>
  <c r="Y2466" i="1" s="1"/>
  <c r="Z2466" i="1" s="1"/>
  <c r="M2468" i="1"/>
  <c r="V2468" i="1" s="1"/>
  <c r="Y2468" i="1" s="1"/>
  <c r="Z2468" i="1" s="1"/>
  <c r="M2470" i="1"/>
  <c r="V2470" i="1" s="1"/>
  <c r="Y2470" i="1" s="1"/>
  <c r="Z2470" i="1" s="1"/>
  <c r="M2472" i="1"/>
  <c r="V2472" i="1" s="1"/>
  <c r="Y2472" i="1" s="1"/>
  <c r="Z2472" i="1" s="1"/>
  <c r="M2473" i="1"/>
  <c r="V2473" i="1" s="1"/>
  <c r="Y2473" i="1" s="1"/>
  <c r="Z2473" i="1" s="1"/>
  <c r="M2477" i="1"/>
  <c r="V2477" i="1" s="1"/>
  <c r="Y2477" i="1" s="1"/>
  <c r="Z2477" i="1" s="1"/>
  <c r="M2478" i="1"/>
  <c r="V2478" i="1" s="1"/>
  <c r="Y2478" i="1" s="1"/>
  <c r="Z2478" i="1" s="1"/>
  <c r="M2480" i="1"/>
  <c r="V2480" i="1" s="1"/>
  <c r="Y2480" i="1" s="1"/>
  <c r="Z2480" i="1" s="1"/>
  <c r="M2482" i="1"/>
  <c r="V2482" i="1" s="1"/>
  <c r="Y2482" i="1" s="1"/>
  <c r="Z2482" i="1" s="1"/>
  <c r="M2484" i="1"/>
  <c r="V2484" i="1" s="1"/>
  <c r="Y2484" i="1" s="1"/>
  <c r="Z2484" i="1" s="1"/>
  <c r="M2485" i="1"/>
  <c r="V2485" i="1" s="1"/>
  <c r="Y2485" i="1" s="1"/>
  <c r="Z2485" i="1" s="1"/>
  <c r="M2489" i="1"/>
  <c r="V2489" i="1" s="1"/>
  <c r="Y2489" i="1" s="1"/>
  <c r="Z2489" i="1" s="1"/>
  <c r="M2490" i="1"/>
  <c r="V2490" i="1" s="1"/>
  <c r="Y2490" i="1" s="1"/>
  <c r="Z2490" i="1" s="1"/>
  <c r="M2492" i="1"/>
  <c r="V2492" i="1" s="1"/>
  <c r="Y2492" i="1" s="1"/>
  <c r="Z2492" i="1" s="1"/>
  <c r="M2494" i="1"/>
  <c r="V2494" i="1" s="1"/>
  <c r="Y2494" i="1" s="1"/>
  <c r="Z2494" i="1" s="1"/>
  <c r="M2496" i="1"/>
  <c r="V2496" i="1" s="1"/>
  <c r="Y2496" i="1" s="1"/>
  <c r="Z2496" i="1" s="1"/>
  <c r="M2497" i="1"/>
  <c r="V2497" i="1" s="1"/>
  <c r="Y2497" i="1" s="1"/>
  <c r="Z2497" i="1" s="1"/>
  <c r="M2501" i="1"/>
  <c r="V2501" i="1" s="1"/>
  <c r="Y2501" i="1" s="1"/>
  <c r="Z2501" i="1" s="1"/>
  <c r="M2502" i="1"/>
  <c r="V2502" i="1" s="1"/>
  <c r="Y2502" i="1" s="1"/>
  <c r="Z2502" i="1" s="1"/>
  <c r="M2504" i="1"/>
  <c r="V2504" i="1" s="1"/>
  <c r="Y2504" i="1" s="1"/>
  <c r="Z2504" i="1" s="1"/>
  <c r="M2506" i="1"/>
  <c r="V2506" i="1" s="1"/>
  <c r="Y2506" i="1" s="1"/>
  <c r="Z2506" i="1" s="1"/>
  <c r="M2508" i="1"/>
  <c r="V2508" i="1" s="1"/>
  <c r="Y2508" i="1" s="1"/>
  <c r="Z2508" i="1" s="1"/>
  <c r="M2509" i="1"/>
  <c r="V2509" i="1" s="1"/>
  <c r="Y2509" i="1" s="1"/>
  <c r="Z2509" i="1" s="1"/>
  <c r="M2513" i="1"/>
  <c r="V2513" i="1" s="1"/>
  <c r="Y2513" i="1" s="1"/>
  <c r="Z2513" i="1" s="1"/>
  <c r="M2514" i="1"/>
  <c r="V2514" i="1" s="1"/>
  <c r="Y2514" i="1" s="1"/>
  <c r="Z2514" i="1" s="1"/>
  <c r="M2516" i="1"/>
  <c r="V2516" i="1" s="1"/>
  <c r="Y2516" i="1" s="1"/>
  <c r="Z2516" i="1" s="1"/>
  <c r="M2518" i="1"/>
  <c r="V2518" i="1" s="1"/>
  <c r="Y2518" i="1" s="1"/>
  <c r="Z2518" i="1" s="1"/>
  <c r="M2520" i="1"/>
  <c r="V2520" i="1" s="1"/>
  <c r="Y2520" i="1" s="1"/>
  <c r="Z2520" i="1" s="1"/>
  <c r="M2521" i="1"/>
  <c r="V2521" i="1" s="1"/>
  <c r="Y2521" i="1" s="1"/>
  <c r="Z2521" i="1" s="1"/>
  <c r="M2525" i="1"/>
  <c r="V2525" i="1" s="1"/>
  <c r="Y2525" i="1" s="1"/>
  <c r="Z2525" i="1" s="1"/>
  <c r="M2526" i="1"/>
  <c r="V2526" i="1" s="1"/>
  <c r="Y2526" i="1" s="1"/>
  <c r="Z2526" i="1" s="1"/>
  <c r="M2527" i="1"/>
  <c r="V2527" i="1" s="1"/>
  <c r="Y2527" i="1" s="1"/>
  <c r="Z2527" i="1" s="1"/>
  <c r="M2528" i="1"/>
  <c r="V2528" i="1" s="1"/>
  <c r="Y2528" i="1" s="1"/>
  <c r="Z2528" i="1" s="1"/>
  <c r="M2530" i="1"/>
  <c r="V2530" i="1" s="1"/>
  <c r="Y2530" i="1" s="1"/>
  <c r="Z2530" i="1" s="1"/>
  <c r="M2531" i="1"/>
  <c r="V2531" i="1" s="1"/>
  <c r="Y2531" i="1" s="1"/>
  <c r="Z2531" i="1" s="1"/>
  <c r="M2415" i="1"/>
  <c r="V2415" i="1" s="1"/>
  <c r="Y2415" i="1" s="1"/>
  <c r="Z2415" i="1" s="1"/>
  <c r="M2416" i="1"/>
  <c r="V2416" i="1" s="1"/>
  <c r="Y2416" i="1" s="1"/>
  <c r="Z2416" i="1" s="1"/>
  <c r="M2419" i="1"/>
  <c r="V2419" i="1" s="1"/>
  <c r="Y2419" i="1" s="1"/>
  <c r="Z2419" i="1" s="1"/>
  <c r="M2420" i="1"/>
  <c r="V2420" i="1" s="1"/>
  <c r="Y2420" i="1" s="1"/>
  <c r="Z2420" i="1" s="1"/>
  <c r="M2421" i="1"/>
  <c r="V2421" i="1" s="1"/>
  <c r="Y2421" i="1" s="1"/>
  <c r="Z2421" i="1" s="1"/>
  <c r="M2423" i="1"/>
  <c r="V2423" i="1" s="1"/>
  <c r="Y2423" i="1" s="1"/>
  <c r="Z2423" i="1" s="1"/>
  <c r="M2426" i="1"/>
  <c r="V2426" i="1" s="1"/>
  <c r="Y2426" i="1" s="1"/>
  <c r="Z2426" i="1" s="1"/>
  <c r="M2428" i="1"/>
  <c r="V2428" i="1" s="1"/>
  <c r="Y2428" i="1" s="1"/>
  <c r="Z2428" i="1" s="1"/>
  <c r="M2431" i="1"/>
  <c r="V2431" i="1" s="1"/>
  <c r="Y2431" i="1" s="1"/>
  <c r="Z2431" i="1" s="1"/>
  <c r="M2433" i="1"/>
  <c r="V2433" i="1" s="1"/>
  <c r="Y2433" i="1" s="1"/>
  <c r="Z2433" i="1" s="1"/>
  <c r="M2435" i="1"/>
  <c r="V2435" i="1" s="1"/>
  <c r="Y2435" i="1" s="1"/>
  <c r="Z2435" i="1" s="1"/>
  <c r="M2438" i="1"/>
  <c r="V2438" i="1" s="1"/>
  <c r="Y2438" i="1" s="1"/>
  <c r="Z2438" i="1" s="1"/>
  <c r="M2439" i="1"/>
  <c r="V2439" i="1" s="1"/>
  <c r="Y2439" i="1" s="1"/>
  <c r="Z2439" i="1" s="1"/>
  <c r="M2440" i="1"/>
  <c r="V2440" i="1" s="1"/>
  <c r="Y2440" i="1" s="1"/>
  <c r="Z2440" i="1" s="1"/>
  <c r="M2443" i="1"/>
  <c r="V2443" i="1" s="1"/>
  <c r="Y2443" i="1" s="1"/>
  <c r="Z2443" i="1" s="1"/>
  <c r="M2445" i="1"/>
  <c r="V2445" i="1" s="1"/>
  <c r="Y2445" i="1" s="1"/>
  <c r="Z2445" i="1" s="1"/>
  <c r="M2447" i="1"/>
  <c r="V2447" i="1" s="1"/>
  <c r="Y2447" i="1" s="1"/>
  <c r="Z2447" i="1" s="1"/>
  <c r="M2450" i="1"/>
  <c r="V2450" i="1" s="1"/>
  <c r="Y2450" i="1" s="1"/>
  <c r="Z2450" i="1" s="1"/>
  <c r="M2451" i="1"/>
  <c r="V2451" i="1" s="1"/>
  <c r="Y2451" i="1" s="1"/>
  <c r="Z2451" i="1" s="1"/>
  <c r="M2452" i="1"/>
  <c r="V2452" i="1" s="1"/>
  <c r="Y2452" i="1" s="1"/>
  <c r="Z2452" i="1" s="1"/>
  <c r="M2455" i="1"/>
  <c r="V2455" i="1" s="1"/>
  <c r="Y2455" i="1" s="1"/>
  <c r="Z2455" i="1" s="1"/>
  <c r="M2457" i="1"/>
  <c r="V2457" i="1" s="1"/>
  <c r="Y2457" i="1" s="1"/>
  <c r="Z2457" i="1" s="1"/>
  <c r="M2459" i="1"/>
  <c r="V2459" i="1" s="1"/>
  <c r="Y2459" i="1" s="1"/>
  <c r="Z2459" i="1" s="1"/>
  <c r="M2462" i="1"/>
  <c r="V2462" i="1" s="1"/>
  <c r="Y2462" i="1" s="1"/>
  <c r="Z2462" i="1" s="1"/>
  <c r="M2463" i="1"/>
  <c r="V2463" i="1" s="1"/>
  <c r="Y2463" i="1" s="1"/>
  <c r="Z2463" i="1" s="1"/>
  <c r="M2464" i="1"/>
  <c r="V2464" i="1" s="1"/>
  <c r="Y2464" i="1" s="1"/>
  <c r="Z2464" i="1" s="1"/>
  <c r="M2467" i="1"/>
  <c r="V2467" i="1" s="1"/>
  <c r="Y2467" i="1" s="1"/>
  <c r="Z2467" i="1" s="1"/>
  <c r="M2469" i="1"/>
  <c r="V2469" i="1" s="1"/>
  <c r="Y2469" i="1" s="1"/>
  <c r="Z2469" i="1" s="1"/>
  <c r="M2471" i="1"/>
  <c r="V2471" i="1" s="1"/>
  <c r="Y2471" i="1" s="1"/>
  <c r="Z2471" i="1" s="1"/>
  <c r="M2474" i="1"/>
  <c r="V2474" i="1" s="1"/>
  <c r="Y2474" i="1" s="1"/>
  <c r="Z2474" i="1" s="1"/>
  <c r="M2475" i="1"/>
  <c r="V2475" i="1" s="1"/>
  <c r="Y2475" i="1" s="1"/>
  <c r="Z2475" i="1" s="1"/>
  <c r="M2476" i="1"/>
  <c r="V2476" i="1" s="1"/>
  <c r="Y2476" i="1" s="1"/>
  <c r="Z2476" i="1" s="1"/>
  <c r="M2479" i="1"/>
  <c r="V2479" i="1" s="1"/>
  <c r="Y2479" i="1" s="1"/>
  <c r="Z2479" i="1" s="1"/>
  <c r="M2481" i="1"/>
  <c r="V2481" i="1" s="1"/>
  <c r="Y2481" i="1" s="1"/>
  <c r="Z2481" i="1" s="1"/>
  <c r="M2483" i="1"/>
  <c r="V2483" i="1" s="1"/>
  <c r="Y2483" i="1" s="1"/>
  <c r="Z2483" i="1" s="1"/>
  <c r="M2486" i="1"/>
  <c r="V2486" i="1" s="1"/>
  <c r="Y2486" i="1" s="1"/>
  <c r="Z2486" i="1" s="1"/>
  <c r="M2487" i="1"/>
  <c r="V2487" i="1" s="1"/>
  <c r="Y2487" i="1" s="1"/>
  <c r="Z2487" i="1" s="1"/>
  <c r="M2488" i="1"/>
  <c r="V2488" i="1" s="1"/>
  <c r="Y2488" i="1" s="1"/>
  <c r="Z2488" i="1" s="1"/>
  <c r="M2491" i="1"/>
  <c r="V2491" i="1" s="1"/>
  <c r="Y2491" i="1" s="1"/>
  <c r="Z2491" i="1" s="1"/>
  <c r="M2493" i="1"/>
  <c r="V2493" i="1" s="1"/>
  <c r="Y2493" i="1" s="1"/>
  <c r="Z2493" i="1" s="1"/>
  <c r="M2495" i="1"/>
  <c r="V2495" i="1" s="1"/>
  <c r="Y2495" i="1" s="1"/>
  <c r="Z2495" i="1" s="1"/>
  <c r="M2498" i="1"/>
  <c r="V2498" i="1" s="1"/>
  <c r="Y2498" i="1" s="1"/>
  <c r="Z2498" i="1" s="1"/>
  <c r="M2499" i="1"/>
  <c r="V2499" i="1" s="1"/>
  <c r="Y2499" i="1" s="1"/>
  <c r="Z2499" i="1" s="1"/>
  <c r="M2500" i="1"/>
  <c r="V2500" i="1" s="1"/>
  <c r="Y2500" i="1" s="1"/>
  <c r="Z2500" i="1" s="1"/>
  <c r="M2503" i="1"/>
  <c r="V2503" i="1" s="1"/>
  <c r="Y2503" i="1" s="1"/>
  <c r="Z2503" i="1" s="1"/>
  <c r="M2505" i="1"/>
  <c r="V2505" i="1" s="1"/>
  <c r="Y2505" i="1" s="1"/>
  <c r="Z2505" i="1" s="1"/>
  <c r="M2507" i="1"/>
  <c r="V2507" i="1" s="1"/>
  <c r="Y2507" i="1" s="1"/>
  <c r="Z2507" i="1" s="1"/>
  <c r="M2510" i="1"/>
  <c r="V2510" i="1" s="1"/>
  <c r="Y2510" i="1" s="1"/>
  <c r="Z2510" i="1" s="1"/>
  <c r="M2511" i="1"/>
  <c r="V2511" i="1" s="1"/>
  <c r="Y2511" i="1" s="1"/>
  <c r="Z2511" i="1" s="1"/>
  <c r="M2512" i="1"/>
  <c r="V2512" i="1" s="1"/>
  <c r="Y2512" i="1" s="1"/>
  <c r="Z2512" i="1" s="1"/>
  <c r="M2515" i="1"/>
  <c r="V2515" i="1" s="1"/>
  <c r="Y2515" i="1" s="1"/>
  <c r="Z2515" i="1" s="1"/>
  <c r="M2517" i="1"/>
  <c r="V2517" i="1" s="1"/>
  <c r="Y2517" i="1" s="1"/>
  <c r="Z2517" i="1" s="1"/>
  <c r="M2519" i="1"/>
  <c r="V2519" i="1" s="1"/>
  <c r="Y2519" i="1" s="1"/>
  <c r="Z2519" i="1" s="1"/>
  <c r="M2522" i="1"/>
  <c r="V2522" i="1" s="1"/>
  <c r="Y2522" i="1" s="1"/>
  <c r="Z2522" i="1" s="1"/>
  <c r="M2523" i="1"/>
  <c r="V2523" i="1" s="1"/>
  <c r="Y2523" i="1" s="1"/>
  <c r="Z2523" i="1" s="1"/>
  <c r="M2524" i="1"/>
  <c r="V2524" i="1" s="1"/>
  <c r="Y2524" i="1" s="1"/>
  <c r="Z2524" i="1" s="1"/>
  <c r="M2529" i="1"/>
  <c r="V2529" i="1" s="1"/>
  <c r="Y2529" i="1" s="1"/>
  <c r="Z2529" i="1" s="1"/>
  <c r="M2413" i="1"/>
  <c r="V2413" i="1" s="1"/>
  <c r="Y2413" i="1" s="1"/>
  <c r="Z2413" i="1" s="1"/>
  <c r="M2412" i="1"/>
  <c r="V2412" i="1" s="1"/>
  <c r="Y2412" i="1" s="1"/>
  <c r="Z2412" i="1" s="1"/>
  <c r="M2411" i="1"/>
  <c r="V2411" i="1" s="1"/>
  <c r="Y2411" i="1" s="1"/>
  <c r="Z2411" i="1" s="1"/>
  <c r="M2410" i="1"/>
  <c r="V2410" i="1" s="1"/>
  <c r="Y2410" i="1" s="1"/>
  <c r="Z2410" i="1" s="1"/>
  <c r="M2409" i="1"/>
  <c r="V2409" i="1" s="1"/>
  <c r="Y2409" i="1" s="1"/>
  <c r="Z2409" i="1" s="1"/>
  <c r="M2408" i="1"/>
  <c r="V2408" i="1" s="1"/>
  <c r="Y2408" i="1" s="1"/>
  <c r="Z2408" i="1" s="1"/>
  <c r="M2407" i="1"/>
  <c r="V2407" i="1" s="1"/>
  <c r="Y2407" i="1" s="1"/>
  <c r="Z2407" i="1" s="1"/>
  <c r="M2406" i="1"/>
  <c r="V2406" i="1" s="1"/>
  <c r="Y2406" i="1" s="1"/>
  <c r="Z2406" i="1" s="1"/>
  <c r="M2405" i="1"/>
  <c r="V2405" i="1" s="1"/>
  <c r="Y2405" i="1" s="1"/>
  <c r="Z2405" i="1" s="1"/>
  <c r="M2326" i="1"/>
  <c r="V2326" i="1" s="1"/>
  <c r="Y2326" i="1" s="1"/>
  <c r="Z2326" i="1" s="1"/>
  <c r="M2323" i="1"/>
  <c r="V2323" i="1" s="1"/>
  <c r="Y2323" i="1" s="1"/>
  <c r="Z2323" i="1" s="1"/>
  <c r="M2327" i="1"/>
  <c r="V2327" i="1" s="1"/>
  <c r="Y2327" i="1" s="1"/>
  <c r="Z2327" i="1" s="1"/>
  <c r="M2340" i="1"/>
  <c r="V2340" i="1" s="1"/>
  <c r="Y2340" i="1" s="1"/>
  <c r="Z2340" i="1" s="1"/>
  <c r="M2341" i="1"/>
  <c r="V2341" i="1" s="1"/>
  <c r="Y2341" i="1" s="1"/>
  <c r="Z2341" i="1" s="1"/>
  <c r="M2328" i="1"/>
  <c r="V2328" i="1" s="1"/>
  <c r="Y2328" i="1" s="1"/>
  <c r="Z2328" i="1" s="1"/>
  <c r="M2333" i="1"/>
  <c r="V2333" i="1" s="1"/>
  <c r="Y2333" i="1" s="1"/>
  <c r="Z2333" i="1" s="1"/>
  <c r="M2339" i="1"/>
  <c r="V2339" i="1" s="1"/>
  <c r="Y2339" i="1" s="1"/>
  <c r="Z2339" i="1" s="1"/>
  <c r="M2414" i="1" l="1"/>
  <c r="V2414" i="1" s="1"/>
  <c r="Y2414" i="1" s="1"/>
  <c r="Z2414" i="1" s="1"/>
  <c r="M2338" i="1"/>
  <c r="V2338" i="1" s="1"/>
  <c r="Y2338" i="1" s="1"/>
  <c r="Z2338" i="1" s="1"/>
  <c r="M1694" i="1"/>
  <c r="V1694" i="1" s="1"/>
  <c r="Y1694" i="1" s="1"/>
  <c r="Z1694" i="1" s="1"/>
  <c r="M1700" i="1"/>
  <c r="V1700" i="1" s="1"/>
  <c r="Y1700" i="1" s="1"/>
  <c r="Z1700" i="1" s="1"/>
  <c r="M1706" i="1"/>
  <c r="V1706" i="1" s="1"/>
  <c r="Y1706" i="1" s="1"/>
  <c r="Z1706" i="1" s="1"/>
  <c r="M1711" i="1"/>
  <c r="V1711" i="1" s="1"/>
  <c r="Y1711" i="1" s="1"/>
  <c r="Z1711" i="1" s="1"/>
  <c r="M13" i="1"/>
  <c r="V13" i="1" s="1"/>
  <c r="Y13" i="1" s="1"/>
  <c r="Z13" i="1" s="1"/>
  <c r="M3" i="1"/>
  <c r="V3" i="1" s="1"/>
  <c r="Y3" i="1" s="1"/>
  <c r="Z3" i="1" s="1"/>
  <c r="M2" i="1"/>
  <c r="V2" i="1" s="1"/>
  <c r="Y2" i="1" s="1"/>
  <c r="Z2" i="1" s="1"/>
  <c r="M21" i="1"/>
  <c r="V21" i="1" s="1"/>
  <c r="Y21" i="1" s="1"/>
  <c r="Z21" i="1" s="1"/>
  <c r="M6" i="1"/>
  <c r="V6" i="1" s="1"/>
  <c r="Y6" i="1" s="1"/>
  <c r="Z6" i="1" s="1"/>
  <c r="M4" i="1"/>
  <c r="V4" i="1" s="1"/>
  <c r="Y4" i="1" s="1"/>
  <c r="Z4" i="1" s="1"/>
  <c r="M8" i="1"/>
  <c r="V8" i="1" s="1"/>
  <c r="Y8" i="1" s="1"/>
  <c r="Z8" i="1" s="1"/>
  <c r="M9" i="1"/>
  <c r="V9" i="1" s="1"/>
  <c r="Y9" i="1" s="1"/>
  <c r="Z9" i="1" s="1"/>
  <c r="M7" i="1"/>
  <c r="V7" i="1" s="1"/>
  <c r="Y7" i="1" s="1"/>
  <c r="Z7" i="1" s="1"/>
  <c r="M14" i="1"/>
  <c r="V14" i="1" s="1"/>
  <c r="Y14" i="1" s="1"/>
  <c r="Z14" i="1" s="1"/>
  <c r="M19" i="1"/>
  <c r="V19" i="1" s="1"/>
  <c r="Y19" i="1" s="1"/>
  <c r="Z19" i="1" s="1"/>
  <c r="M15" i="1"/>
  <c r="V15" i="1" s="1"/>
  <c r="Y15" i="1" s="1"/>
  <c r="Z15" i="1" s="1"/>
  <c r="M17" i="1"/>
  <c r="V17" i="1" s="1"/>
  <c r="Y17" i="1" s="1"/>
  <c r="Z17" i="1" s="1"/>
  <c r="M18" i="1"/>
  <c r="V18" i="1" s="1"/>
  <c r="Y18" i="1" s="1"/>
  <c r="Z18" i="1" s="1"/>
  <c r="M20" i="1"/>
  <c r="V20" i="1" s="1"/>
  <c r="Y20" i="1" s="1"/>
  <c r="Z20" i="1" s="1"/>
  <c r="M11" i="1"/>
  <c r="V11" i="1" s="1"/>
  <c r="Y11" i="1" s="1"/>
  <c r="Z11" i="1" s="1"/>
  <c r="M10" i="1"/>
  <c r="V10" i="1" s="1"/>
  <c r="Y10" i="1" s="1"/>
  <c r="Z10" i="1" s="1"/>
  <c r="M12" i="1"/>
  <c r="V12" i="1" s="1"/>
  <c r="Y12" i="1" s="1"/>
  <c r="Z12" i="1" s="1"/>
  <c r="M16" i="1"/>
  <c r="V16" i="1" s="1"/>
  <c r="Y16" i="1" s="1"/>
  <c r="Z16" i="1" s="1"/>
  <c r="M23" i="1"/>
  <c r="V23" i="1" s="1"/>
  <c r="Y23" i="1" s="1"/>
  <c r="Z23" i="1" s="1"/>
  <c r="M28" i="1"/>
  <c r="V28" i="1" s="1"/>
  <c r="Y28" i="1" s="1"/>
  <c r="Z28" i="1" s="1"/>
  <c r="M31" i="1"/>
  <c r="V31" i="1" s="1"/>
  <c r="Y31" i="1" s="1"/>
  <c r="Z31" i="1" s="1"/>
  <c r="M34" i="1"/>
  <c r="V34" i="1" s="1"/>
  <c r="Y34" i="1" s="1"/>
  <c r="Z34" i="1" s="1"/>
  <c r="M22" i="1"/>
  <c r="V22" i="1" s="1"/>
  <c r="Y22" i="1" s="1"/>
  <c r="Z22" i="1" s="1"/>
  <c r="M41" i="1"/>
  <c r="V41" i="1" s="1"/>
  <c r="Y41" i="1" s="1"/>
  <c r="Z41" i="1" s="1"/>
  <c r="M24" i="1"/>
  <c r="V24" i="1" s="1"/>
  <c r="Y24" i="1" s="1"/>
  <c r="Z24" i="1" s="1"/>
  <c r="M27" i="1"/>
  <c r="V27" i="1" s="1"/>
  <c r="Y27" i="1" s="1"/>
  <c r="Z27" i="1" s="1"/>
  <c r="M25" i="1"/>
  <c r="V25" i="1" s="1"/>
  <c r="Y25" i="1" s="1"/>
  <c r="Z25" i="1" s="1"/>
  <c r="M26" i="1"/>
  <c r="V26" i="1" s="1"/>
  <c r="Y26" i="1" s="1"/>
  <c r="Z26" i="1" s="1"/>
  <c r="M39" i="1"/>
  <c r="V39" i="1" s="1"/>
  <c r="Y39" i="1" s="1"/>
  <c r="Z39" i="1" s="1"/>
  <c r="M40" i="1"/>
  <c r="V40" i="1" s="1"/>
  <c r="Y40" i="1" s="1"/>
  <c r="Z40" i="1" s="1"/>
  <c r="M35" i="1"/>
  <c r="V35" i="1" s="1"/>
  <c r="Y35" i="1" s="1"/>
  <c r="Z35" i="1" s="1"/>
  <c r="M36" i="1"/>
  <c r="V36" i="1" s="1"/>
  <c r="Y36" i="1" s="1"/>
  <c r="Z36" i="1" s="1"/>
  <c r="M38" i="1"/>
  <c r="V38" i="1" s="1"/>
  <c r="Y38" i="1" s="1"/>
  <c r="Z38" i="1" s="1"/>
  <c r="M32" i="1"/>
  <c r="V32" i="1" s="1"/>
  <c r="Y32" i="1" s="1"/>
  <c r="Z32" i="1" s="1"/>
  <c r="M37" i="1"/>
  <c r="V37" i="1" s="1"/>
  <c r="Y37" i="1" s="1"/>
  <c r="Z37" i="1" s="1"/>
  <c r="M33" i="1"/>
  <c r="V33" i="1" s="1"/>
  <c r="Y33" i="1" s="1"/>
  <c r="Z33" i="1" s="1"/>
  <c r="M29" i="1"/>
  <c r="V29" i="1" s="1"/>
  <c r="Y29" i="1" s="1"/>
  <c r="Z29" i="1" s="1"/>
  <c r="M30" i="1"/>
  <c r="V30" i="1" s="1"/>
  <c r="Y30" i="1" s="1"/>
  <c r="Z30" i="1" s="1"/>
  <c r="M43" i="1"/>
  <c r="V43" i="1" s="1"/>
  <c r="Y43" i="1" s="1"/>
  <c r="Z43" i="1" s="1"/>
  <c r="M52" i="1"/>
  <c r="V52" i="1" s="1"/>
  <c r="Y52" i="1" s="1"/>
  <c r="Z52" i="1" s="1"/>
  <c r="M45" i="1"/>
  <c r="V45" i="1" s="1"/>
  <c r="Y45" i="1" s="1"/>
  <c r="Z45" i="1" s="1"/>
  <c r="M49" i="1"/>
  <c r="V49" i="1" s="1"/>
  <c r="Y49" i="1" s="1"/>
  <c r="Z49" i="1" s="1"/>
  <c r="M48" i="1"/>
  <c r="V48" i="1" s="1"/>
  <c r="Y48" i="1" s="1"/>
  <c r="Z48" i="1" s="1"/>
  <c r="M46" i="1"/>
  <c r="V46" i="1" s="1"/>
  <c r="Y46" i="1" s="1"/>
  <c r="Z46" i="1" s="1"/>
  <c r="M55" i="1"/>
  <c r="V55" i="1" s="1"/>
  <c r="Y55" i="1" s="1"/>
  <c r="Z55" i="1" s="1"/>
  <c r="M54" i="1"/>
  <c r="V54" i="1" s="1"/>
  <c r="Y54" i="1" s="1"/>
  <c r="Z54" i="1" s="1"/>
  <c r="M53" i="1"/>
  <c r="V53" i="1" s="1"/>
  <c r="Y53" i="1" s="1"/>
  <c r="Z53" i="1" s="1"/>
  <c r="M60" i="1"/>
  <c r="V60" i="1" s="1"/>
  <c r="Y60" i="1" s="1"/>
  <c r="Z60" i="1" s="1"/>
  <c r="M61" i="1"/>
  <c r="V61" i="1" s="1"/>
  <c r="Y61" i="1" s="1"/>
  <c r="Z61" i="1" s="1"/>
  <c r="M62" i="1"/>
  <c r="V62" i="1" s="1"/>
  <c r="Y62" i="1" s="1"/>
  <c r="Z62" i="1" s="1"/>
  <c r="M64" i="1"/>
  <c r="V64" i="1" s="1"/>
  <c r="Y64" i="1" s="1"/>
  <c r="Z64" i="1" s="1"/>
  <c r="M66" i="1"/>
  <c r="V66" i="1" s="1"/>
  <c r="Y66" i="1" s="1"/>
  <c r="Z66" i="1" s="1"/>
  <c r="M68" i="1"/>
  <c r="V68" i="1" s="1"/>
  <c r="Y68" i="1" s="1"/>
  <c r="Z68" i="1" s="1"/>
  <c r="M42" i="1"/>
  <c r="V42" i="1" s="1"/>
  <c r="Y42" i="1" s="1"/>
  <c r="Z42" i="1" s="1"/>
  <c r="M44" i="1"/>
  <c r="V44" i="1" s="1"/>
  <c r="Y44" i="1" s="1"/>
  <c r="Z44" i="1" s="1"/>
  <c r="M50" i="1"/>
  <c r="V50" i="1" s="1"/>
  <c r="Y50" i="1" s="1"/>
  <c r="Z50" i="1" s="1"/>
  <c r="M51" i="1"/>
  <c r="V51" i="1" s="1"/>
  <c r="Y51" i="1" s="1"/>
  <c r="Z51" i="1" s="1"/>
  <c r="M47" i="1"/>
  <c r="V47" i="1" s="1"/>
  <c r="Y47" i="1" s="1"/>
  <c r="Z47" i="1" s="1"/>
  <c r="M63" i="1"/>
  <c r="V63" i="1" s="1"/>
  <c r="Y63" i="1" s="1"/>
  <c r="Z63" i="1" s="1"/>
  <c r="M58" i="1"/>
  <c r="V58" i="1" s="1"/>
  <c r="Y58" i="1" s="1"/>
  <c r="Z58" i="1" s="1"/>
  <c r="M65" i="1"/>
  <c r="V65" i="1" s="1"/>
  <c r="Y65" i="1" s="1"/>
  <c r="Z65" i="1" s="1"/>
  <c r="M59" i="1"/>
  <c r="V59" i="1" s="1"/>
  <c r="Y59" i="1" s="1"/>
  <c r="Z59" i="1" s="1"/>
  <c r="M57" i="1"/>
  <c r="V57" i="1" s="1"/>
  <c r="Y57" i="1" s="1"/>
  <c r="Z57" i="1" s="1"/>
  <c r="M67" i="1"/>
  <c r="V67" i="1" s="1"/>
  <c r="Y67" i="1" s="1"/>
  <c r="Z67" i="1" s="1"/>
  <c r="M56" i="1"/>
  <c r="V56" i="1" s="1"/>
  <c r="Y56" i="1" s="1"/>
  <c r="Z56" i="1" s="1"/>
  <c r="M69" i="1"/>
  <c r="V69" i="1" s="1"/>
  <c r="Y69" i="1" s="1"/>
  <c r="Z69" i="1" s="1"/>
  <c r="M71" i="1"/>
  <c r="V71" i="1" s="1"/>
  <c r="Y71" i="1" s="1"/>
  <c r="Z71" i="1" s="1"/>
  <c r="M78" i="1"/>
  <c r="V78" i="1" s="1"/>
  <c r="Y78" i="1" s="1"/>
  <c r="Z78" i="1" s="1"/>
  <c r="M75" i="1"/>
  <c r="V75" i="1" s="1"/>
  <c r="Y75" i="1" s="1"/>
  <c r="Z75" i="1" s="1"/>
  <c r="M73" i="1"/>
  <c r="V73" i="1" s="1"/>
  <c r="Y73" i="1" s="1"/>
  <c r="Z73" i="1" s="1"/>
  <c r="M79" i="1"/>
  <c r="V79" i="1" s="1"/>
  <c r="Y79" i="1" s="1"/>
  <c r="Z79" i="1" s="1"/>
  <c r="M72" i="1"/>
  <c r="V72" i="1" s="1"/>
  <c r="Y72" i="1" s="1"/>
  <c r="Z72" i="1" s="1"/>
  <c r="M85" i="1"/>
  <c r="V85" i="1" s="1"/>
  <c r="Y85" i="1" s="1"/>
  <c r="Z85" i="1" s="1"/>
  <c r="M81" i="1"/>
  <c r="V81" i="1" s="1"/>
  <c r="Y81" i="1" s="1"/>
  <c r="Z81" i="1" s="1"/>
  <c r="M84" i="1"/>
  <c r="V84" i="1" s="1"/>
  <c r="Y84" i="1" s="1"/>
  <c r="Z84" i="1" s="1"/>
  <c r="M83" i="1"/>
  <c r="V83" i="1" s="1"/>
  <c r="Y83" i="1" s="1"/>
  <c r="Z83" i="1" s="1"/>
  <c r="M87" i="1"/>
  <c r="V87" i="1" s="1"/>
  <c r="Y87" i="1" s="1"/>
  <c r="Z87" i="1" s="1"/>
  <c r="M88" i="1"/>
  <c r="V88" i="1" s="1"/>
  <c r="Y88" i="1" s="1"/>
  <c r="Z88" i="1" s="1"/>
  <c r="M92" i="1"/>
  <c r="V92" i="1" s="1"/>
  <c r="Y92" i="1" s="1"/>
  <c r="Z92" i="1" s="1"/>
  <c r="M91" i="1"/>
  <c r="V91" i="1" s="1"/>
  <c r="Y91" i="1" s="1"/>
  <c r="Z91" i="1" s="1"/>
  <c r="M94" i="1"/>
  <c r="V94" i="1" s="1"/>
  <c r="Y94" i="1" s="1"/>
  <c r="Z94" i="1" s="1"/>
  <c r="M70" i="1"/>
  <c r="V70" i="1" s="1"/>
  <c r="Y70" i="1" s="1"/>
  <c r="Z70" i="1" s="1"/>
  <c r="M77" i="1"/>
  <c r="V77" i="1" s="1"/>
  <c r="Y77" i="1" s="1"/>
  <c r="Z77" i="1" s="1"/>
  <c r="M74" i="1"/>
  <c r="V74" i="1" s="1"/>
  <c r="Y74" i="1" s="1"/>
  <c r="Z74" i="1" s="1"/>
  <c r="M76" i="1"/>
  <c r="V76" i="1" s="1"/>
  <c r="Y76" i="1" s="1"/>
  <c r="Z76" i="1" s="1"/>
  <c r="M80" i="1"/>
  <c r="V80" i="1" s="1"/>
  <c r="Y80" i="1" s="1"/>
  <c r="Z80" i="1" s="1"/>
  <c r="M86" i="1"/>
  <c r="V86" i="1" s="1"/>
  <c r="Y86" i="1" s="1"/>
  <c r="Z86" i="1" s="1"/>
  <c r="M89" i="1"/>
  <c r="V89" i="1" s="1"/>
  <c r="Y89" i="1" s="1"/>
  <c r="Z89" i="1" s="1"/>
  <c r="M93" i="1"/>
  <c r="V93" i="1" s="1"/>
  <c r="Y93" i="1" s="1"/>
  <c r="Z93" i="1" s="1"/>
  <c r="M90" i="1"/>
  <c r="V90" i="1" s="1"/>
  <c r="Y90" i="1" s="1"/>
  <c r="Z90" i="1" s="1"/>
  <c r="M82" i="1"/>
  <c r="V82" i="1" s="1"/>
  <c r="Y82" i="1" s="1"/>
  <c r="Z82" i="1" s="1"/>
  <c r="M115" i="1"/>
  <c r="V115" i="1" s="1"/>
  <c r="Y115" i="1" s="1"/>
  <c r="Z115" i="1" s="1"/>
  <c r="M125" i="1"/>
  <c r="V125" i="1" s="1"/>
  <c r="Y125" i="1" s="1"/>
  <c r="Z125" i="1" s="1"/>
  <c r="M126" i="1"/>
  <c r="V126" i="1" s="1"/>
  <c r="Y126" i="1" s="1"/>
  <c r="Z126" i="1" s="1"/>
  <c r="M116" i="1"/>
  <c r="V116" i="1" s="1"/>
  <c r="Y116" i="1" s="1"/>
  <c r="Z116" i="1" s="1"/>
  <c r="M134" i="1"/>
  <c r="V134" i="1" s="1"/>
  <c r="Y134" i="1" s="1"/>
  <c r="Z134" i="1" s="1"/>
  <c r="M118" i="1"/>
  <c r="V118" i="1" s="1"/>
  <c r="Y118" i="1" s="1"/>
  <c r="Z118" i="1" s="1"/>
  <c r="M121" i="1"/>
  <c r="V121" i="1" s="1"/>
  <c r="Y121" i="1" s="1"/>
  <c r="Z121" i="1" s="1"/>
  <c r="M120" i="1"/>
  <c r="V120" i="1" s="1"/>
  <c r="Y120" i="1" s="1"/>
  <c r="Z120" i="1" s="1"/>
  <c r="M117" i="1"/>
  <c r="V117" i="1" s="1"/>
  <c r="Y117" i="1" s="1"/>
  <c r="Z117" i="1" s="1"/>
  <c r="M119" i="1"/>
  <c r="V119" i="1" s="1"/>
  <c r="Y119" i="1" s="1"/>
  <c r="Z119" i="1" s="1"/>
  <c r="M132" i="1"/>
  <c r="V132" i="1" s="1"/>
  <c r="Y132" i="1" s="1"/>
  <c r="Z132" i="1" s="1"/>
  <c r="M127" i="1"/>
  <c r="V127" i="1" s="1"/>
  <c r="Y127" i="1" s="1"/>
  <c r="Z127" i="1" s="1"/>
  <c r="M129" i="1"/>
  <c r="V129" i="1" s="1"/>
  <c r="Y129" i="1" s="1"/>
  <c r="Z129" i="1" s="1"/>
  <c r="M133" i="1"/>
  <c r="V133" i="1" s="1"/>
  <c r="Y133" i="1" s="1"/>
  <c r="Z133" i="1" s="1"/>
  <c r="M128" i="1"/>
  <c r="V128" i="1" s="1"/>
  <c r="Y128" i="1" s="1"/>
  <c r="Z128" i="1" s="1"/>
  <c r="M130" i="1"/>
  <c r="V130" i="1" s="1"/>
  <c r="Y130" i="1" s="1"/>
  <c r="Z130" i="1" s="1"/>
  <c r="M123" i="1"/>
  <c r="V123" i="1" s="1"/>
  <c r="Y123" i="1" s="1"/>
  <c r="Z123" i="1" s="1"/>
  <c r="M124" i="1"/>
  <c r="V124" i="1" s="1"/>
  <c r="Y124" i="1" s="1"/>
  <c r="Z124" i="1" s="1"/>
  <c r="M122" i="1"/>
  <c r="V122" i="1" s="1"/>
  <c r="Y122" i="1" s="1"/>
  <c r="Z122" i="1" s="1"/>
  <c r="M131" i="1"/>
  <c r="V131" i="1" s="1"/>
  <c r="Y131" i="1" s="1"/>
  <c r="Z131" i="1" s="1"/>
  <c r="M135" i="1"/>
  <c r="V135" i="1" s="1"/>
  <c r="Y135" i="1" s="1"/>
  <c r="Z135" i="1" s="1"/>
  <c r="M142" i="1"/>
  <c r="V142" i="1" s="1"/>
  <c r="Y142" i="1" s="1"/>
  <c r="Z142" i="1" s="1"/>
  <c r="M137" i="1"/>
  <c r="V137" i="1" s="1"/>
  <c r="Y137" i="1" s="1"/>
  <c r="Z137" i="1" s="1"/>
  <c r="M144" i="1"/>
  <c r="V144" i="1" s="1"/>
  <c r="Y144" i="1" s="1"/>
  <c r="Z144" i="1" s="1"/>
  <c r="M140" i="1"/>
  <c r="V140" i="1" s="1"/>
  <c r="Y140" i="1" s="1"/>
  <c r="Z140" i="1" s="1"/>
  <c r="M146" i="1"/>
  <c r="V146" i="1" s="1"/>
  <c r="Y146" i="1" s="1"/>
  <c r="Z146" i="1" s="1"/>
  <c r="M145" i="1"/>
  <c r="V145" i="1" s="1"/>
  <c r="Y145" i="1" s="1"/>
  <c r="Z145" i="1" s="1"/>
  <c r="M149" i="1"/>
  <c r="V149" i="1" s="1"/>
  <c r="Y149" i="1" s="1"/>
  <c r="Z149" i="1" s="1"/>
  <c r="M154" i="1"/>
  <c r="V154" i="1" s="1"/>
  <c r="Y154" i="1" s="1"/>
  <c r="Z154" i="1" s="1"/>
  <c r="M150" i="1"/>
  <c r="V150" i="1" s="1"/>
  <c r="Y150" i="1" s="1"/>
  <c r="Z150" i="1" s="1"/>
  <c r="M152" i="1"/>
  <c r="V152" i="1" s="1"/>
  <c r="Y152" i="1" s="1"/>
  <c r="Z152" i="1" s="1"/>
  <c r="M156" i="1"/>
  <c r="V156" i="1" s="1"/>
  <c r="Y156" i="1" s="1"/>
  <c r="Z156" i="1" s="1"/>
  <c r="M136" i="1"/>
  <c r="V136" i="1" s="1"/>
  <c r="Y136" i="1" s="1"/>
  <c r="Z136" i="1" s="1"/>
  <c r="M139" i="1"/>
  <c r="V139" i="1" s="1"/>
  <c r="Y139" i="1" s="1"/>
  <c r="Z139" i="1" s="1"/>
  <c r="M141" i="1"/>
  <c r="V141" i="1" s="1"/>
  <c r="Y141" i="1" s="1"/>
  <c r="Z141" i="1" s="1"/>
  <c r="M143" i="1"/>
  <c r="V143" i="1" s="1"/>
  <c r="Y143" i="1" s="1"/>
  <c r="Z143" i="1" s="1"/>
  <c r="M138" i="1"/>
  <c r="V138" i="1" s="1"/>
  <c r="Y138" i="1" s="1"/>
  <c r="Z138" i="1" s="1"/>
  <c r="M147" i="1"/>
  <c r="V147" i="1" s="1"/>
  <c r="Y147" i="1" s="1"/>
  <c r="Z147" i="1" s="1"/>
  <c r="M148" i="1"/>
  <c r="V148" i="1" s="1"/>
  <c r="Y148" i="1" s="1"/>
  <c r="Z148" i="1" s="1"/>
  <c r="M151" i="1"/>
  <c r="V151" i="1" s="1"/>
  <c r="Y151" i="1" s="1"/>
  <c r="Z151" i="1" s="1"/>
  <c r="M153" i="1"/>
  <c r="V153" i="1" s="1"/>
  <c r="Y153" i="1" s="1"/>
  <c r="Z153" i="1" s="1"/>
  <c r="M155" i="1"/>
  <c r="V155" i="1" s="1"/>
  <c r="Y155" i="1" s="1"/>
  <c r="Z155" i="1" s="1"/>
  <c r="M611" i="1"/>
  <c r="V611" i="1" s="1"/>
  <c r="Y611" i="1" s="1"/>
  <c r="Z611" i="1" s="1"/>
  <c r="M613" i="1"/>
  <c r="V613" i="1" s="1"/>
  <c r="Y613" i="1" s="1"/>
  <c r="Z613" i="1" s="1"/>
  <c r="M619" i="1"/>
  <c r="V619" i="1" s="1"/>
  <c r="Y619" i="1" s="1"/>
  <c r="Z619" i="1" s="1"/>
  <c r="M617" i="1"/>
  <c r="V617" i="1" s="1"/>
  <c r="Y617" i="1" s="1"/>
  <c r="Z617" i="1" s="1"/>
  <c r="M614" i="1"/>
  <c r="V614" i="1" s="1"/>
  <c r="Y614" i="1" s="1"/>
  <c r="Z614" i="1" s="1"/>
  <c r="M620" i="1"/>
  <c r="V620" i="1" s="1"/>
  <c r="Y620" i="1" s="1"/>
  <c r="Z620" i="1" s="1"/>
  <c r="M621" i="1"/>
  <c r="V621" i="1" s="1"/>
  <c r="Y621" i="1" s="1"/>
  <c r="Z621" i="1" s="1"/>
  <c r="M623" i="1"/>
  <c r="V623" i="1" s="1"/>
  <c r="Y623" i="1" s="1"/>
  <c r="Z623" i="1" s="1"/>
  <c r="M627" i="1"/>
  <c r="V627" i="1" s="1"/>
  <c r="Y627" i="1" s="1"/>
  <c r="Z627" i="1" s="1"/>
  <c r="M631" i="1"/>
  <c r="V631" i="1" s="1"/>
  <c r="Y631" i="1" s="1"/>
  <c r="Z631" i="1" s="1"/>
  <c r="M626" i="1"/>
  <c r="V626" i="1" s="1"/>
  <c r="Y626" i="1" s="1"/>
  <c r="Z626" i="1" s="1"/>
  <c r="M628" i="1"/>
  <c r="V628" i="1" s="1"/>
  <c r="Y628" i="1" s="1"/>
  <c r="Z628" i="1" s="1"/>
  <c r="M610" i="1"/>
  <c r="V610" i="1" s="1"/>
  <c r="Y610" i="1" s="1"/>
  <c r="Z610" i="1" s="1"/>
  <c r="M612" i="1"/>
  <c r="V612" i="1" s="1"/>
  <c r="Y612" i="1" s="1"/>
  <c r="Z612" i="1" s="1"/>
  <c r="M618" i="1"/>
  <c r="V618" i="1" s="1"/>
  <c r="Y618" i="1" s="1"/>
  <c r="Z618" i="1" s="1"/>
  <c r="M616" i="1"/>
  <c r="V616" i="1" s="1"/>
  <c r="Y616" i="1" s="1"/>
  <c r="Z616" i="1" s="1"/>
  <c r="M615" i="1"/>
  <c r="V615" i="1" s="1"/>
  <c r="Y615" i="1" s="1"/>
  <c r="Z615" i="1" s="1"/>
  <c r="M622" i="1"/>
  <c r="V622" i="1" s="1"/>
  <c r="Y622" i="1" s="1"/>
  <c r="Z622" i="1" s="1"/>
  <c r="M624" i="1"/>
  <c r="V624" i="1" s="1"/>
  <c r="Y624" i="1" s="1"/>
  <c r="Z624" i="1" s="1"/>
  <c r="M625" i="1"/>
  <c r="V625" i="1" s="1"/>
  <c r="Y625" i="1" s="1"/>
  <c r="Z625" i="1" s="1"/>
  <c r="M629" i="1"/>
  <c r="V629" i="1" s="1"/>
  <c r="Y629" i="1" s="1"/>
  <c r="Z629" i="1" s="1"/>
  <c r="M630" i="1"/>
  <c r="V630" i="1" s="1"/>
  <c r="Y630" i="1" s="1"/>
  <c r="Z630" i="1" s="1"/>
  <c r="M158" i="1"/>
  <c r="V158" i="1" s="1"/>
  <c r="Y158" i="1" s="1"/>
  <c r="Z158" i="1" s="1"/>
  <c r="M163" i="1"/>
  <c r="V163" i="1" s="1"/>
  <c r="Y163" i="1" s="1"/>
  <c r="Z163" i="1" s="1"/>
  <c r="M166" i="1"/>
  <c r="V166" i="1" s="1"/>
  <c r="Y166" i="1" s="1"/>
  <c r="Z166" i="1" s="1"/>
  <c r="M167" i="1"/>
  <c r="V167" i="1" s="1"/>
  <c r="Y167" i="1" s="1"/>
  <c r="Z167" i="1" s="1"/>
  <c r="M160" i="1"/>
  <c r="V160" i="1" s="1"/>
  <c r="Y160" i="1" s="1"/>
  <c r="Z160" i="1" s="1"/>
  <c r="M165" i="1"/>
  <c r="V165" i="1" s="1"/>
  <c r="Y165" i="1" s="1"/>
  <c r="Z165" i="1" s="1"/>
  <c r="M171" i="1"/>
  <c r="V171" i="1" s="1"/>
  <c r="Y171" i="1" s="1"/>
  <c r="Z171" i="1" s="1"/>
  <c r="M173" i="1"/>
  <c r="V173" i="1" s="1"/>
  <c r="Y173" i="1" s="1"/>
  <c r="Z173" i="1" s="1"/>
  <c r="M169" i="1"/>
  <c r="V169" i="1" s="1"/>
  <c r="Y169" i="1" s="1"/>
  <c r="Z169" i="1" s="1"/>
  <c r="M179" i="1"/>
  <c r="V179" i="1" s="1"/>
  <c r="Y179" i="1" s="1"/>
  <c r="Z179" i="1" s="1"/>
  <c r="M175" i="1"/>
  <c r="V175" i="1" s="1"/>
  <c r="Y175" i="1" s="1"/>
  <c r="Z175" i="1" s="1"/>
  <c r="M176" i="1"/>
  <c r="V176" i="1" s="1"/>
  <c r="Y176" i="1" s="1"/>
  <c r="Z176" i="1" s="1"/>
  <c r="M174" i="1"/>
  <c r="V174" i="1" s="1"/>
  <c r="Y174" i="1" s="1"/>
  <c r="Z174" i="1" s="1"/>
  <c r="M180" i="1"/>
  <c r="V180" i="1" s="1"/>
  <c r="Y180" i="1" s="1"/>
  <c r="Z180" i="1" s="1"/>
  <c r="M157" i="1"/>
  <c r="V157" i="1" s="1"/>
  <c r="Y157" i="1" s="1"/>
  <c r="Z157" i="1" s="1"/>
  <c r="M162" i="1"/>
  <c r="V162" i="1" s="1"/>
  <c r="Y162" i="1" s="1"/>
  <c r="Z162" i="1" s="1"/>
  <c r="M164" i="1"/>
  <c r="V164" i="1" s="1"/>
  <c r="Y164" i="1" s="1"/>
  <c r="Z164" i="1" s="1"/>
  <c r="M159" i="1"/>
  <c r="V159" i="1" s="1"/>
  <c r="Y159" i="1" s="1"/>
  <c r="Z159" i="1" s="1"/>
  <c r="M161" i="1"/>
  <c r="V161" i="1" s="1"/>
  <c r="Y161" i="1" s="1"/>
  <c r="Z161" i="1" s="1"/>
  <c r="M168" i="1"/>
  <c r="V168" i="1" s="1"/>
  <c r="Y168" i="1" s="1"/>
  <c r="Z168" i="1" s="1"/>
  <c r="M170" i="1"/>
  <c r="V170" i="1" s="1"/>
  <c r="Y170" i="1" s="1"/>
  <c r="Z170" i="1" s="1"/>
  <c r="M172" i="1"/>
  <c r="V172" i="1" s="1"/>
  <c r="Y172" i="1" s="1"/>
  <c r="Z172" i="1" s="1"/>
  <c r="M178" i="1"/>
  <c r="V178" i="1" s="1"/>
  <c r="Y178" i="1" s="1"/>
  <c r="Z178" i="1" s="1"/>
  <c r="M177" i="1"/>
  <c r="V177" i="1" s="1"/>
  <c r="Y177" i="1" s="1"/>
  <c r="Z177" i="1" s="1"/>
  <c r="M181" i="1"/>
  <c r="V181" i="1" s="1"/>
  <c r="Y181" i="1" s="1"/>
  <c r="Z181" i="1" s="1"/>
  <c r="M182" i="1"/>
  <c r="V182" i="1" s="1"/>
  <c r="Y182" i="1" s="1"/>
  <c r="Z182" i="1" s="1"/>
  <c r="M187" i="1"/>
  <c r="V187" i="1" s="1"/>
  <c r="Y187" i="1" s="1"/>
  <c r="Z187" i="1" s="1"/>
  <c r="M183" i="1"/>
  <c r="V183" i="1" s="1"/>
  <c r="Y183" i="1" s="1"/>
  <c r="Z183" i="1" s="1"/>
  <c r="M188" i="1"/>
  <c r="V188" i="1" s="1"/>
  <c r="Y188" i="1" s="1"/>
  <c r="Z188" i="1" s="1"/>
  <c r="M198" i="1"/>
  <c r="V198" i="1" s="1"/>
  <c r="Y198" i="1" s="1"/>
  <c r="Z198" i="1" s="1"/>
  <c r="M196" i="1"/>
  <c r="V196" i="1" s="1"/>
  <c r="Y196" i="1" s="1"/>
  <c r="Z196" i="1" s="1"/>
  <c r="M193" i="1"/>
  <c r="V193" i="1" s="1"/>
  <c r="Y193" i="1" s="1"/>
  <c r="Z193" i="1" s="1"/>
  <c r="M194" i="1"/>
  <c r="V194" i="1" s="1"/>
  <c r="Y194" i="1" s="1"/>
  <c r="Z194" i="1" s="1"/>
  <c r="M195" i="1"/>
  <c r="V195" i="1" s="1"/>
  <c r="Y195" i="1" s="1"/>
  <c r="Z195" i="1" s="1"/>
  <c r="M200" i="1"/>
  <c r="V200" i="1" s="1"/>
  <c r="Y200" i="1" s="1"/>
  <c r="Z200" i="1" s="1"/>
  <c r="M184" i="1"/>
  <c r="V184" i="1" s="1"/>
  <c r="Y184" i="1" s="1"/>
  <c r="Z184" i="1" s="1"/>
  <c r="M186" i="1"/>
  <c r="V186" i="1" s="1"/>
  <c r="Y186" i="1" s="1"/>
  <c r="Z186" i="1" s="1"/>
  <c r="M185" i="1"/>
  <c r="V185" i="1" s="1"/>
  <c r="Y185" i="1" s="1"/>
  <c r="Z185" i="1" s="1"/>
  <c r="M192" i="1"/>
  <c r="V192" i="1" s="1"/>
  <c r="Y192" i="1" s="1"/>
  <c r="Z192" i="1" s="1"/>
  <c r="M191" i="1"/>
  <c r="V191" i="1" s="1"/>
  <c r="Y191" i="1" s="1"/>
  <c r="Z191" i="1" s="1"/>
  <c r="M190" i="1"/>
  <c r="V190" i="1" s="1"/>
  <c r="Y190" i="1" s="1"/>
  <c r="Z190" i="1" s="1"/>
  <c r="M199" i="1"/>
  <c r="V199" i="1" s="1"/>
  <c r="Y199" i="1" s="1"/>
  <c r="Z199" i="1" s="1"/>
  <c r="M197" i="1"/>
  <c r="V197" i="1" s="1"/>
  <c r="Y197" i="1" s="1"/>
  <c r="Z197" i="1" s="1"/>
  <c r="M189" i="1"/>
  <c r="V189" i="1" s="1"/>
  <c r="Y189" i="1" s="1"/>
  <c r="Z189" i="1" s="1"/>
  <c r="M224" i="1"/>
  <c r="V224" i="1" s="1"/>
  <c r="Y224" i="1" s="1"/>
  <c r="Z224" i="1" s="1"/>
  <c r="M223" i="1"/>
  <c r="V223" i="1" s="1"/>
  <c r="Y223" i="1" s="1"/>
  <c r="Z223" i="1" s="1"/>
  <c r="M229" i="1"/>
  <c r="V229" i="1" s="1"/>
  <c r="Y229" i="1" s="1"/>
  <c r="Z229" i="1" s="1"/>
  <c r="M222" i="1"/>
  <c r="V222" i="1" s="1"/>
  <c r="Y222" i="1" s="1"/>
  <c r="Z222" i="1" s="1"/>
  <c r="M230" i="1"/>
  <c r="V230" i="1" s="1"/>
  <c r="Y230" i="1" s="1"/>
  <c r="Z230" i="1" s="1"/>
  <c r="M231" i="1"/>
  <c r="V231" i="1" s="1"/>
  <c r="Y231" i="1" s="1"/>
  <c r="Z231" i="1" s="1"/>
  <c r="M238" i="1"/>
  <c r="V238" i="1" s="1"/>
  <c r="Y238" i="1" s="1"/>
  <c r="Z238" i="1" s="1"/>
  <c r="M234" i="1"/>
  <c r="V234" i="1" s="1"/>
  <c r="Y234" i="1" s="1"/>
  <c r="Z234" i="1" s="1"/>
  <c r="M239" i="1"/>
  <c r="V239" i="1" s="1"/>
  <c r="Y239" i="1" s="1"/>
  <c r="Z239" i="1" s="1"/>
  <c r="M233" i="1"/>
  <c r="V233" i="1" s="1"/>
  <c r="Y233" i="1" s="1"/>
  <c r="Z233" i="1" s="1"/>
  <c r="M241" i="1"/>
  <c r="V241" i="1" s="1"/>
  <c r="Y241" i="1" s="1"/>
  <c r="Z241" i="1" s="1"/>
  <c r="M242" i="1"/>
  <c r="V242" i="1" s="1"/>
  <c r="Y242" i="1" s="1"/>
  <c r="Z242" i="1" s="1"/>
  <c r="M221" i="1"/>
  <c r="V221" i="1" s="1"/>
  <c r="Y221" i="1" s="1"/>
  <c r="Z221" i="1" s="1"/>
  <c r="M226" i="1"/>
  <c r="V226" i="1" s="1"/>
  <c r="Y226" i="1" s="1"/>
  <c r="Z226" i="1" s="1"/>
  <c r="M228" i="1"/>
  <c r="V228" i="1" s="1"/>
  <c r="Y228" i="1" s="1"/>
  <c r="Z228" i="1" s="1"/>
  <c r="M225" i="1"/>
  <c r="V225" i="1" s="1"/>
  <c r="Y225" i="1" s="1"/>
  <c r="Z225" i="1" s="1"/>
  <c r="M227" i="1"/>
  <c r="V227" i="1" s="1"/>
  <c r="Y227" i="1" s="1"/>
  <c r="Z227" i="1" s="1"/>
  <c r="M235" i="1"/>
  <c r="V235" i="1" s="1"/>
  <c r="Y235" i="1" s="1"/>
  <c r="Z235" i="1" s="1"/>
  <c r="M240" i="1"/>
  <c r="V240" i="1" s="1"/>
  <c r="Y240" i="1" s="1"/>
  <c r="Z240" i="1" s="1"/>
  <c r="M237" i="1"/>
  <c r="V237" i="1" s="1"/>
  <c r="Y237" i="1" s="1"/>
  <c r="Z237" i="1" s="1"/>
  <c r="M236" i="1"/>
  <c r="V236" i="1" s="1"/>
  <c r="Y236" i="1" s="1"/>
  <c r="Z236" i="1" s="1"/>
  <c r="M232" i="1"/>
  <c r="V232" i="1" s="1"/>
  <c r="Y232" i="1" s="1"/>
  <c r="Z232" i="1" s="1"/>
  <c r="M243" i="1"/>
  <c r="V243" i="1" s="1"/>
  <c r="Y243" i="1" s="1"/>
  <c r="Z243" i="1" s="1"/>
  <c r="M211" i="1"/>
  <c r="V211" i="1" s="1"/>
  <c r="Y211" i="1" s="1"/>
  <c r="Z211" i="1" s="1"/>
  <c r="M213" i="1"/>
  <c r="V213" i="1" s="1"/>
  <c r="Y213" i="1" s="1"/>
  <c r="Z213" i="1" s="1"/>
  <c r="M215" i="1"/>
  <c r="V215" i="1" s="1"/>
  <c r="Y215" i="1" s="1"/>
  <c r="Z215" i="1" s="1"/>
  <c r="M201" i="1"/>
  <c r="V201" i="1" s="1"/>
  <c r="Y201" i="1" s="1"/>
  <c r="Z201" i="1" s="1"/>
  <c r="M202" i="1"/>
  <c r="V202" i="1" s="1"/>
  <c r="Y202" i="1" s="1"/>
  <c r="Z202" i="1" s="1"/>
  <c r="M220" i="1"/>
  <c r="V220" i="1" s="1"/>
  <c r="Y220" i="1" s="1"/>
  <c r="Z220" i="1" s="1"/>
  <c r="M204" i="1"/>
  <c r="V204" i="1" s="1"/>
  <c r="Y204" i="1" s="1"/>
  <c r="Z204" i="1" s="1"/>
  <c r="M203" i="1"/>
  <c r="V203" i="1" s="1"/>
  <c r="Y203" i="1" s="1"/>
  <c r="Z203" i="1" s="1"/>
  <c r="M207" i="1"/>
  <c r="V207" i="1" s="1"/>
  <c r="Y207" i="1" s="1"/>
  <c r="Z207" i="1" s="1"/>
  <c r="M206" i="1"/>
  <c r="V206" i="1" s="1"/>
  <c r="Y206" i="1" s="1"/>
  <c r="Z206" i="1" s="1"/>
  <c r="M205" i="1"/>
  <c r="V205" i="1" s="1"/>
  <c r="Y205" i="1" s="1"/>
  <c r="Z205" i="1" s="1"/>
  <c r="M216" i="1"/>
  <c r="V216" i="1" s="1"/>
  <c r="Y216" i="1" s="1"/>
  <c r="Z216" i="1" s="1"/>
  <c r="M219" i="1"/>
  <c r="V219" i="1" s="1"/>
  <c r="Y219" i="1" s="1"/>
  <c r="Z219" i="1" s="1"/>
  <c r="M218" i="1"/>
  <c r="V218" i="1" s="1"/>
  <c r="Y218" i="1" s="1"/>
  <c r="Z218" i="1" s="1"/>
  <c r="M212" i="1"/>
  <c r="V212" i="1" s="1"/>
  <c r="Y212" i="1" s="1"/>
  <c r="Z212" i="1" s="1"/>
  <c r="M214" i="1"/>
  <c r="V214" i="1" s="1"/>
  <c r="Y214" i="1" s="1"/>
  <c r="Z214" i="1" s="1"/>
  <c r="M217" i="1"/>
  <c r="V217" i="1" s="1"/>
  <c r="Y217" i="1" s="1"/>
  <c r="Z217" i="1" s="1"/>
  <c r="M209" i="1"/>
  <c r="V209" i="1" s="1"/>
  <c r="Y209" i="1" s="1"/>
  <c r="Z209" i="1" s="1"/>
  <c r="M210" i="1"/>
  <c r="V210" i="1" s="1"/>
  <c r="Y210" i="1" s="1"/>
  <c r="Z210" i="1" s="1"/>
  <c r="M208" i="1"/>
  <c r="V208" i="1" s="1"/>
  <c r="Y208" i="1" s="1"/>
  <c r="Z208" i="1" s="1"/>
  <c r="M244" i="1"/>
  <c r="V244" i="1" s="1"/>
  <c r="Y244" i="1" s="1"/>
  <c r="Z244" i="1" s="1"/>
  <c r="M250" i="1"/>
  <c r="V250" i="1" s="1"/>
  <c r="Y250" i="1" s="1"/>
  <c r="Z250" i="1" s="1"/>
  <c r="M248" i="1"/>
  <c r="V248" i="1" s="1"/>
  <c r="Y248" i="1" s="1"/>
  <c r="Z248" i="1" s="1"/>
  <c r="M245" i="1"/>
  <c r="V245" i="1" s="1"/>
  <c r="Y245" i="1" s="1"/>
  <c r="Z245" i="1" s="1"/>
  <c r="M247" i="1"/>
  <c r="V247" i="1" s="1"/>
  <c r="Y247" i="1" s="1"/>
  <c r="Z247" i="1" s="1"/>
  <c r="M249" i="1"/>
  <c r="V249" i="1" s="1"/>
  <c r="Y249" i="1" s="1"/>
  <c r="Z249" i="1" s="1"/>
  <c r="M251" i="1"/>
  <c r="V251" i="1" s="1"/>
  <c r="Y251" i="1" s="1"/>
  <c r="Z251" i="1" s="1"/>
  <c r="M255" i="1"/>
  <c r="V255" i="1" s="1"/>
  <c r="Y255" i="1" s="1"/>
  <c r="Z255" i="1" s="1"/>
  <c r="M254" i="1"/>
  <c r="V254" i="1" s="1"/>
  <c r="Y254" i="1" s="1"/>
  <c r="Z254" i="1" s="1"/>
  <c r="M253" i="1"/>
  <c r="V253" i="1" s="1"/>
  <c r="Y253" i="1" s="1"/>
  <c r="Z253" i="1" s="1"/>
  <c r="M252" i="1"/>
  <c r="V252" i="1" s="1"/>
  <c r="Y252" i="1" s="1"/>
  <c r="Z252" i="1" s="1"/>
  <c r="M257" i="1"/>
  <c r="V257" i="1" s="1"/>
  <c r="Y257" i="1" s="1"/>
  <c r="Z257" i="1" s="1"/>
  <c r="M256" i="1"/>
  <c r="V256" i="1" s="1"/>
  <c r="Y256" i="1" s="1"/>
  <c r="Z256" i="1" s="1"/>
  <c r="M261" i="1"/>
  <c r="V261" i="1" s="1"/>
  <c r="Y261" i="1" s="1"/>
  <c r="Z261" i="1" s="1"/>
  <c r="M259" i="1"/>
  <c r="V259" i="1" s="1"/>
  <c r="Y259" i="1" s="1"/>
  <c r="Z259" i="1" s="1"/>
  <c r="M260" i="1"/>
  <c r="V260" i="1" s="1"/>
  <c r="Y260" i="1" s="1"/>
  <c r="Z260" i="1" s="1"/>
  <c r="M262" i="1"/>
  <c r="V262" i="1" s="1"/>
  <c r="Y262" i="1" s="1"/>
  <c r="Z262" i="1" s="1"/>
  <c r="M263" i="1"/>
  <c r="V263" i="1" s="1"/>
  <c r="Y263" i="1" s="1"/>
  <c r="Z263" i="1" s="1"/>
  <c r="M265" i="1"/>
  <c r="V265" i="1" s="1"/>
  <c r="Y265" i="1" s="1"/>
  <c r="Z265" i="1" s="1"/>
  <c r="M246" i="1"/>
  <c r="V246" i="1" s="1"/>
  <c r="Y246" i="1" s="1"/>
  <c r="Z246" i="1" s="1"/>
  <c r="M258" i="1"/>
  <c r="V258" i="1" s="1"/>
  <c r="Y258" i="1" s="1"/>
  <c r="Z258" i="1" s="1"/>
  <c r="M264" i="1"/>
  <c r="V264" i="1" s="1"/>
  <c r="Y264" i="1" s="1"/>
  <c r="Z264" i="1" s="1"/>
  <c r="M303" i="1"/>
  <c r="V303" i="1" s="1"/>
  <c r="Y303" i="1" s="1"/>
  <c r="Z303" i="1" s="1"/>
  <c r="M285" i="1"/>
  <c r="V285" i="1" s="1"/>
  <c r="Y285" i="1" s="1"/>
  <c r="Z285" i="1" s="1"/>
  <c r="M287" i="1"/>
  <c r="V287" i="1" s="1"/>
  <c r="Y287" i="1" s="1"/>
  <c r="Z287" i="1" s="1"/>
  <c r="M304" i="1"/>
  <c r="V304" i="1" s="1"/>
  <c r="Y304" i="1" s="1"/>
  <c r="Z304" i="1" s="1"/>
  <c r="M291" i="1"/>
  <c r="V291" i="1" s="1"/>
  <c r="Y291" i="1" s="1"/>
  <c r="Z291" i="1" s="1"/>
  <c r="M288" i="1"/>
  <c r="V288" i="1" s="1"/>
  <c r="Y288" i="1" s="1"/>
  <c r="Z288" i="1" s="1"/>
  <c r="M290" i="1"/>
  <c r="V290" i="1" s="1"/>
  <c r="Y290" i="1" s="1"/>
  <c r="Z290" i="1" s="1"/>
  <c r="M292" i="1"/>
  <c r="V292" i="1" s="1"/>
  <c r="Y292" i="1" s="1"/>
  <c r="Z292" i="1" s="1"/>
  <c r="M289" i="1"/>
  <c r="V289" i="1" s="1"/>
  <c r="Y289" i="1" s="1"/>
  <c r="Z289" i="1" s="1"/>
  <c r="M299" i="1"/>
  <c r="V299" i="1" s="1"/>
  <c r="Y299" i="1" s="1"/>
  <c r="Z299" i="1" s="1"/>
  <c r="M302" i="1"/>
  <c r="V302" i="1" s="1"/>
  <c r="Y302" i="1" s="1"/>
  <c r="Z302" i="1" s="1"/>
  <c r="M300" i="1"/>
  <c r="V300" i="1" s="1"/>
  <c r="Y300" i="1" s="1"/>
  <c r="Z300" i="1" s="1"/>
  <c r="M296" i="1"/>
  <c r="V296" i="1" s="1"/>
  <c r="Y296" i="1" s="1"/>
  <c r="Z296" i="1" s="1"/>
  <c r="M297" i="1"/>
  <c r="V297" i="1" s="1"/>
  <c r="Y297" i="1" s="1"/>
  <c r="Z297" i="1" s="1"/>
  <c r="M301" i="1"/>
  <c r="V301" i="1" s="1"/>
  <c r="Y301" i="1" s="1"/>
  <c r="Z301" i="1" s="1"/>
  <c r="M295" i="1"/>
  <c r="V295" i="1" s="1"/>
  <c r="Y295" i="1" s="1"/>
  <c r="Z295" i="1" s="1"/>
  <c r="M294" i="1"/>
  <c r="V294" i="1" s="1"/>
  <c r="Y294" i="1" s="1"/>
  <c r="Z294" i="1" s="1"/>
  <c r="M293" i="1"/>
  <c r="V293" i="1" s="1"/>
  <c r="Y293" i="1" s="1"/>
  <c r="Z293" i="1" s="1"/>
  <c r="M298" i="1"/>
  <c r="V298" i="1" s="1"/>
  <c r="Y298" i="1" s="1"/>
  <c r="Z298" i="1" s="1"/>
  <c r="M286" i="1"/>
  <c r="V286" i="1" s="1"/>
  <c r="Y286" i="1" s="1"/>
  <c r="Z286" i="1" s="1"/>
  <c r="M306" i="1"/>
  <c r="V306" i="1" s="1"/>
  <c r="Y306" i="1" s="1"/>
  <c r="Z306" i="1" s="1"/>
  <c r="M313" i="1"/>
  <c r="V313" i="1" s="1"/>
  <c r="Y313" i="1" s="1"/>
  <c r="Z313" i="1" s="1"/>
  <c r="M309" i="1"/>
  <c r="V309" i="1" s="1"/>
  <c r="Y309" i="1" s="1"/>
  <c r="Z309" i="1" s="1"/>
  <c r="M307" i="1"/>
  <c r="V307" i="1" s="1"/>
  <c r="Y307" i="1" s="1"/>
  <c r="Z307" i="1" s="1"/>
  <c r="M315" i="1"/>
  <c r="V315" i="1" s="1"/>
  <c r="Y315" i="1" s="1"/>
  <c r="Z315" i="1" s="1"/>
  <c r="M312" i="1"/>
  <c r="V312" i="1" s="1"/>
  <c r="Y312" i="1" s="1"/>
  <c r="Z312" i="1" s="1"/>
  <c r="M319" i="1"/>
  <c r="V319" i="1" s="1"/>
  <c r="Y319" i="1" s="1"/>
  <c r="Z319" i="1" s="1"/>
  <c r="M318" i="1"/>
  <c r="V318" i="1" s="1"/>
  <c r="Y318" i="1" s="1"/>
  <c r="Z318" i="1" s="1"/>
  <c r="M320" i="1"/>
  <c r="V320" i="1" s="1"/>
  <c r="Y320" i="1" s="1"/>
  <c r="Z320" i="1" s="1"/>
  <c r="M316" i="1"/>
  <c r="V316" i="1" s="1"/>
  <c r="Y316" i="1" s="1"/>
  <c r="Z316" i="1" s="1"/>
  <c r="M317" i="1"/>
  <c r="V317" i="1" s="1"/>
  <c r="Y317" i="1" s="1"/>
  <c r="Z317" i="1" s="1"/>
  <c r="M330" i="1"/>
  <c r="V330" i="1" s="1"/>
  <c r="Y330" i="1" s="1"/>
  <c r="Z330" i="1" s="1"/>
  <c r="M322" i="1"/>
  <c r="V322" i="1" s="1"/>
  <c r="Y322" i="1" s="1"/>
  <c r="Z322" i="1" s="1"/>
  <c r="M326" i="1"/>
  <c r="V326" i="1" s="1"/>
  <c r="Y326" i="1" s="1"/>
  <c r="Z326" i="1" s="1"/>
  <c r="M324" i="1"/>
  <c r="V324" i="1" s="1"/>
  <c r="Y324" i="1" s="1"/>
  <c r="Z324" i="1" s="1"/>
  <c r="M329" i="1"/>
  <c r="V329" i="1" s="1"/>
  <c r="Y329" i="1" s="1"/>
  <c r="Z329" i="1" s="1"/>
  <c r="M305" i="1"/>
  <c r="V305" i="1" s="1"/>
  <c r="Y305" i="1" s="1"/>
  <c r="Z305" i="1" s="1"/>
  <c r="M310" i="1"/>
  <c r="V310" i="1" s="1"/>
  <c r="Y310" i="1" s="1"/>
  <c r="Z310" i="1" s="1"/>
  <c r="M314" i="1"/>
  <c r="V314" i="1" s="1"/>
  <c r="Y314" i="1" s="1"/>
  <c r="Z314" i="1" s="1"/>
  <c r="M308" i="1"/>
  <c r="V308" i="1" s="1"/>
  <c r="Y308" i="1" s="1"/>
  <c r="Z308" i="1" s="1"/>
  <c r="M311" i="1"/>
  <c r="V311" i="1" s="1"/>
  <c r="Y311" i="1" s="1"/>
  <c r="Z311" i="1" s="1"/>
  <c r="M323" i="1"/>
  <c r="V323" i="1" s="1"/>
  <c r="Y323" i="1" s="1"/>
  <c r="Z323" i="1" s="1"/>
  <c r="M328" i="1"/>
  <c r="V328" i="1" s="1"/>
  <c r="Y328" i="1" s="1"/>
  <c r="Z328" i="1" s="1"/>
  <c r="M325" i="1"/>
  <c r="V325" i="1" s="1"/>
  <c r="Y325" i="1" s="1"/>
  <c r="Z325" i="1" s="1"/>
  <c r="M327" i="1"/>
  <c r="V327" i="1" s="1"/>
  <c r="Y327" i="1" s="1"/>
  <c r="Z327" i="1" s="1"/>
  <c r="M321" i="1"/>
  <c r="V321" i="1" s="1"/>
  <c r="Y321" i="1" s="1"/>
  <c r="Z321" i="1" s="1"/>
  <c r="M331" i="1"/>
  <c r="V331" i="1" s="1"/>
  <c r="Y331" i="1" s="1"/>
  <c r="Z331" i="1" s="1"/>
  <c r="M333" i="1"/>
  <c r="V333" i="1" s="1"/>
  <c r="Y333" i="1" s="1"/>
  <c r="Z333" i="1" s="1"/>
  <c r="M338" i="1"/>
  <c r="V338" i="1" s="1"/>
  <c r="Y338" i="1" s="1"/>
  <c r="Z338" i="1" s="1"/>
  <c r="M337" i="1"/>
  <c r="V337" i="1" s="1"/>
  <c r="Y337" i="1" s="1"/>
  <c r="Z337" i="1" s="1"/>
  <c r="M340" i="1"/>
  <c r="V340" i="1" s="1"/>
  <c r="Y340" i="1" s="1"/>
  <c r="Z340" i="1" s="1"/>
  <c r="M335" i="1"/>
  <c r="V335" i="1" s="1"/>
  <c r="Y335" i="1" s="1"/>
  <c r="Z335" i="1" s="1"/>
  <c r="M342" i="1"/>
  <c r="V342" i="1" s="1"/>
  <c r="Y342" i="1" s="1"/>
  <c r="Z342" i="1" s="1"/>
  <c r="M345" i="1"/>
  <c r="V345" i="1" s="1"/>
  <c r="Y345" i="1" s="1"/>
  <c r="Z345" i="1" s="1"/>
  <c r="M347" i="1"/>
  <c r="V347" i="1" s="1"/>
  <c r="Y347" i="1" s="1"/>
  <c r="Z347" i="1" s="1"/>
  <c r="M348" i="1"/>
  <c r="V348" i="1" s="1"/>
  <c r="Y348" i="1" s="1"/>
  <c r="Z348" i="1" s="1"/>
  <c r="M350" i="1"/>
  <c r="V350" i="1" s="1"/>
  <c r="Y350" i="1" s="1"/>
  <c r="Z350" i="1" s="1"/>
  <c r="M349" i="1"/>
  <c r="V349" i="1" s="1"/>
  <c r="Y349" i="1" s="1"/>
  <c r="Z349" i="1" s="1"/>
  <c r="M353" i="1"/>
  <c r="V353" i="1" s="1"/>
  <c r="Y353" i="1" s="1"/>
  <c r="Z353" i="1" s="1"/>
  <c r="M332" i="1"/>
  <c r="V332" i="1" s="1"/>
  <c r="Y332" i="1" s="1"/>
  <c r="Z332" i="1" s="1"/>
  <c r="M336" i="1"/>
  <c r="V336" i="1" s="1"/>
  <c r="Y336" i="1" s="1"/>
  <c r="Z336" i="1" s="1"/>
  <c r="M334" i="1"/>
  <c r="V334" i="1" s="1"/>
  <c r="Y334" i="1" s="1"/>
  <c r="Z334" i="1" s="1"/>
  <c r="M339" i="1"/>
  <c r="V339" i="1" s="1"/>
  <c r="Y339" i="1" s="1"/>
  <c r="Z339" i="1" s="1"/>
  <c r="M341" i="1"/>
  <c r="V341" i="1" s="1"/>
  <c r="Y341" i="1" s="1"/>
  <c r="Z341" i="1" s="1"/>
  <c r="M343" i="1"/>
  <c r="V343" i="1" s="1"/>
  <c r="Y343" i="1" s="1"/>
  <c r="Z343" i="1" s="1"/>
  <c r="M344" i="1"/>
  <c r="V344" i="1" s="1"/>
  <c r="Y344" i="1" s="1"/>
  <c r="Z344" i="1" s="1"/>
  <c r="M346" i="1"/>
  <c r="V346" i="1" s="1"/>
  <c r="Y346" i="1" s="1"/>
  <c r="Z346" i="1" s="1"/>
  <c r="M352" i="1"/>
  <c r="V352" i="1" s="1"/>
  <c r="Y352" i="1" s="1"/>
  <c r="Z352" i="1" s="1"/>
  <c r="M351" i="1"/>
  <c r="V351" i="1" s="1"/>
  <c r="Y351" i="1" s="1"/>
  <c r="Z351" i="1" s="1"/>
  <c r="M359" i="1"/>
  <c r="V359" i="1" s="1"/>
  <c r="Y359" i="1" s="1"/>
  <c r="Z359" i="1" s="1"/>
  <c r="M355" i="1"/>
  <c r="V355" i="1" s="1"/>
  <c r="Y355" i="1" s="1"/>
  <c r="Z355" i="1" s="1"/>
  <c r="M354" i="1"/>
  <c r="V354" i="1" s="1"/>
  <c r="Y354" i="1" s="1"/>
  <c r="Z354" i="1" s="1"/>
  <c r="M373" i="1"/>
  <c r="V373" i="1" s="1"/>
  <c r="Y373" i="1" s="1"/>
  <c r="Z373" i="1" s="1"/>
  <c r="M360" i="1"/>
  <c r="V360" i="1" s="1"/>
  <c r="Y360" i="1" s="1"/>
  <c r="Z360" i="1" s="1"/>
  <c r="M357" i="1"/>
  <c r="V357" i="1" s="1"/>
  <c r="Y357" i="1" s="1"/>
  <c r="Z357" i="1" s="1"/>
  <c r="M361" i="1"/>
  <c r="V361" i="1" s="1"/>
  <c r="Y361" i="1" s="1"/>
  <c r="Z361" i="1" s="1"/>
  <c r="M358" i="1"/>
  <c r="V358" i="1" s="1"/>
  <c r="Y358" i="1" s="1"/>
  <c r="Z358" i="1" s="1"/>
  <c r="M366" i="1"/>
  <c r="V366" i="1" s="1"/>
  <c r="Y366" i="1" s="1"/>
  <c r="Z366" i="1" s="1"/>
  <c r="M371" i="1"/>
  <c r="V371" i="1" s="1"/>
  <c r="Y371" i="1" s="1"/>
  <c r="Z371" i="1" s="1"/>
  <c r="M369" i="1"/>
  <c r="V369" i="1" s="1"/>
  <c r="Y369" i="1" s="1"/>
  <c r="Z369" i="1" s="1"/>
  <c r="M365" i="1"/>
  <c r="V365" i="1" s="1"/>
  <c r="Y365" i="1" s="1"/>
  <c r="Z365" i="1" s="1"/>
  <c r="M372" i="1"/>
  <c r="V372" i="1" s="1"/>
  <c r="Y372" i="1" s="1"/>
  <c r="Z372" i="1" s="1"/>
  <c r="M370" i="1"/>
  <c r="V370" i="1" s="1"/>
  <c r="Y370" i="1" s="1"/>
  <c r="Z370" i="1" s="1"/>
  <c r="M367" i="1"/>
  <c r="V367" i="1" s="1"/>
  <c r="Y367" i="1" s="1"/>
  <c r="Z367" i="1" s="1"/>
  <c r="M368" i="1"/>
  <c r="V368" i="1" s="1"/>
  <c r="Y368" i="1" s="1"/>
  <c r="Z368" i="1" s="1"/>
  <c r="M364" i="1"/>
  <c r="V364" i="1" s="1"/>
  <c r="Y364" i="1" s="1"/>
  <c r="Z364" i="1" s="1"/>
  <c r="M362" i="1"/>
  <c r="V362" i="1" s="1"/>
  <c r="Y362" i="1" s="1"/>
  <c r="Z362" i="1" s="1"/>
  <c r="M363" i="1"/>
  <c r="V363" i="1" s="1"/>
  <c r="Y363" i="1" s="1"/>
  <c r="Z363" i="1" s="1"/>
  <c r="M356" i="1"/>
  <c r="V356" i="1" s="1"/>
  <c r="Y356" i="1" s="1"/>
  <c r="Z356" i="1" s="1"/>
  <c r="M375" i="1"/>
  <c r="V375" i="1" s="1"/>
  <c r="Y375" i="1" s="1"/>
  <c r="Z375" i="1" s="1"/>
  <c r="M374" i="1"/>
  <c r="V374" i="1" s="1"/>
  <c r="Y374" i="1" s="1"/>
  <c r="Z374" i="1" s="1"/>
  <c r="M377" i="1"/>
  <c r="V377" i="1" s="1"/>
  <c r="Y377" i="1" s="1"/>
  <c r="Z377" i="1" s="1"/>
  <c r="M378" i="1"/>
  <c r="V378" i="1" s="1"/>
  <c r="Y378" i="1" s="1"/>
  <c r="Z378" i="1" s="1"/>
  <c r="M376" i="1"/>
  <c r="V376" i="1" s="1"/>
  <c r="Y376" i="1" s="1"/>
  <c r="Z376" i="1" s="1"/>
  <c r="M379" i="1"/>
  <c r="V379" i="1" s="1"/>
  <c r="Y379" i="1" s="1"/>
  <c r="Z379" i="1" s="1"/>
  <c r="M380" i="1"/>
  <c r="V380" i="1" s="1"/>
  <c r="Y380" i="1" s="1"/>
  <c r="Z380" i="1" s="1"/>
  <c r="M381" i="1"/>
  <c r="V381" i="1" s="1"/>
  <c r="Y381" i="1" s="1"/>
  <c r="Z381" i="1" s="1"/>
  <c r="M383" i="1"/>
  <c r="V383" i="1" s="1"/>
  <c r="Y383" i="1" s="1"/>
  <c r="Z383" i="1" s="1"/>
  <c r="M382" i="1"/>
  <c r="V382" i="1" s="1"/>
  <c r="Y382" i="1" s="1"/>
  <c r="Z382" i="1" s="1"/>
  <c r="M392" i="1"/>
  <c r="V392" i="1" s="1"/>
  <c r="Y392" i="1" s="1"/>
  <c r="Z392" i="1" s="1"/>
  <c r="M386" i="1"/>
  <c r="V386" i="1" s="1"/>
  <c r="Y386" i="1" s="1"/>
  <c r="Z386" i="1" s="1"/>
  <c r="M391" i="1"/>
  <c r="V391" i="1" s="1"/>
  <c r="Y391" i="1" s="1"/>
  <c r="Z391" i="1" s="1"/>
  <c r="M385" i="1"/>
  <c r="V385" i="1" s="1"/>
  <c r="Y385" i="1" s="1"/>
  <c r="Z385" i="1" s="1"/>
  <c r="M388" i="1"/>
  <c r="V388" i="1" s="1"/>
  <c r="Y388" i="1" s="1"/>
  <c r="Z388" i="1" s="1"/>
  <c r="M384" i="1"/>
  <c r="V384" i="1" s="1"/>
  <c r="Y384" i="1" s="1"/>
  <c r="Z384" i="1" s="1"/>
  <c r="M393" i="1"/>
  <c r="V393" i="1" s="1"/>
  <c r="Y393" i="1" s="1"/>
  <c r="Z393" i="1" s="1"/>
  <c r="M389" i="1"/>
  <c r="V389" i="1" s="1"/>
  <c r="Y389" i="1" s="1"/>
  <c r="Z389" i="1" s="1"/>
  <c r="M387" i="1"/>
  <c r="V387" i="1" s="1"/>
  <c r="Y387" i="1" s="1"/>
  <c r="Z387" i="1" s="1"/>
  <c r="M394" i="1"/>
  <c r="V394" i="1" s="1"/>
  <c r="Y394" i="1" s="1"/>
  <c r="Z394" i="1" s="1"/>
  <c r="M390" i="1"/>
  <c r="V390" i="1" s="1"/>
  <c r="Y390" i="1" s="1"/>
  <c r="Z390" i="1" s="1"/>
  <c r="M395" i="1"/>
  <c r="V395" i="1" s="1"/>
  <c r="Y395" i="1" s="1"/>
  <c r="Z395" i="1" s="1"/>
  <c r="M404" i="1"/>
  <c r="V404" i="1" s="1"/>
  <c r="Y404" i="1" s="1"/>
  <c r="Z404" i="1" s="1"/>
  <c r="M398" i="1"/>
  <c r="V398" i="1" s="1"/>
  <c r="Y398" i="1" s="1"/>
  <c r="Z398" i="1" s="1"/>
  <c r="M396" i="1"/>
  <c r="V396" i="1" s="1"/>
  <c r="Y396" i="1" s="1"/>
  <c r="Z396" i="1" s="1"/>
  <c r="M415" i="1"/>
  <c r="V415" i="1" s="1"/>
  <c r="Y415" i="1" s="1"/>
  <c r="Z415" i="1" s="1"/>
  <c r="M402" i="1"/>
  <c r="V402" i="1" s="1"/>
  <c r="Y402" i="1" s="1"/>
  <c r="Z402" i="1" s="1"/>
  <c r="M399" i="1"/>
  <c r="V399" i="1" s="1"/>
  <c r="Y399" i="1" s="1"/>
  <c r="Z399" i="1" s="1"/>
  <c r="M401" i="1"/>
  <c r="V401" i="1" s="1"/>
  <c r="Y401" i="1" s="1"/>
  <c r="Z401" i="1" s="1"/>
  <c r="M400" i="1"/>
  <c r="V400" i="1" s="1"/>
  <c r="Y400" i="1" s="1"/>
  <c r="Z400" i="1" s="1"/>
  <c r="M403" i="1"/>
  <c r="V403" i="1" s="1"/>
  <c r="Y403" i="1" s="1"/>
  <c r="Z403" i="1" s="1"/>
  <c r="M414" i="1"/>
  <c r="V414" i="1" s="1"/>
  <c r="Y414" i="1" s="1"/>
  <c r="Z414" i="1" s="1"/>
  <c r="M410" i="1"/>
  <c r="V410" i="1" s="1"/>
  <c r="Y410" i="1" s="1"/>
  <c r="Z410" i="1" s="1"/>
  <c r="M411" i="1"/>
  <c r="V411" i="1" s="1"/>
  <c r="Y411" i="1" s="1"/>
  <c r="Z411" i="1" s="1"/>
  <c r="M412" i="1"/>
  <c r="V412" i="1" s="1"/>
  <c r="Y412" i="1" s="1"/>
  <c r="Z412" i="1" s="1"/>
  <c r="M413" i="1"/>
  <c r="V413" i="1" s="1"/>
  <c r="Y413" i="1" s="1"/>
  <c r="Z413" i="1" s="1"/>
  <c r="M408" i="1"/>
  <c r="V408" i="1" s="1"/>
  <c r="Y408" i="1" s="1"/>
  <c r="Z408" i="1" s="1"/>
  <c r="M407" i="1"/>
  <c r="V407" i="1" s="1"/>
  <c r="Y407" i="1" s="1"/>
  <c r="Z407" i="1" s="1"/>
  <c r="M406" i="1"/>
  <c r="V406" i="1" s="1"/>
  <c r="Y406" i="1" s="1"/>
  <c r="Z406" i="1" s="1"/>
  <c r="M405" i="1"/>
  <c r="V405" i="1" s="1"/>
  <c r="Y405" i="1" s="1"/>
  <c r="Z405" i="1" s="1"/>
  <c r="M409" i="1"/>
  <c r="V409" i="1" s="1"/>
  <c r="Y409" i="1" s="1"/>
  <c r="Z409" i="1" s="1"/>
  <c r="M397" i="1"/>
  <c r="V397" i="1" s="1"/>
  <c r="Y397" i="1" s="1"/>
  <c r="Z397" i="1" s="1"/>
  <c r="M541" i="1"/>
  <c r="V541" i="1" s="1"/>
  <c r="Y541" i="1" s="1"/>
  <c r="Z541" i="1" s="1"/>
  <c r="M527" i="1"/>
  <c r="V527" i="1" s="1"/>
  <c r="Y527" i="1" s="1"/>
  <c r="Z527" i="1" s="1"/>
  <c r="M526" i="1"/>
  <c r="V526" i="1" s="1"/>
  <c r="Y526" i="1" s="1"/>
  <c r="Z526" i="1" s="1"/>
  <c r="M544" i="1"/>
  <c r="V544" i="1" s="1"/>
  <c r="Y544" i="1" s="1"/>
  <c r="Z544" i="1" s="1"/>
  <c r="M531" i="1"/>
  <c r="V531" i="1" s="1"/>
  <c r="Y531" i="1" s="1"/>
  <c r="Z531" i="1" s="1"/>
  <c r="M530" i="1"/>
  <c r="V530" i="1" s="1"/>
  <c r="Y530" i="1" s="1"/>
  <c r="Z530" i="1" s="1"/>
  <c r="M529" i="1"/>
  <c r="V529" i="1" s="1"/>
  <c r="Y529" i="1" s="1"/>
  <c r="Z529" i="1" s="1"/>
  <c r="M532" i="1"/>
  <c r="V532" i="1" s="1"/>
  <c r="Y532" i="1" s="1"/>
  <c r="Z532" i="1" s="1"/>
  <c r="M528" i="1"/>
  <c r="V528" i="1" s="1"/>
  <c r="Y528" i="1" s="1"/>
  <c r="Z528" i="1" s="1"/>
  <c r="M542" i="1"/>
  <c r="V542" i="1" s="1"/>
  <c r="Y542" i="1" s="1"/>
  <c r="Z542" i="1" s="1"/>
  <c r="M540" i="1"/>
  <c r="V540" i="1" s="1"/>
  <c r="Y540" i="1" s="1"/>
  <c r="Z540" i="1" s="1"/>
  <c r="M539" i="1"/>
  <c r="V539" i="1" s="1"/>
  <c r="Y539" i="1" s="1"/>
  <c r="Z539" i="1" s="1"/>
  <c r="M537" i="1"/>
  <c r="V537" i="1" s="1"/>
  <c r="Y537" i="1" s="1"/>
  <c r="Z537" i="1" s="1"/>
  <c r="M536" i="1"/>
  <c r="V536" i="1" s="1"/>
  <c r="Y536" i="1" s="1"/>
  <c r="Z536" i="1" s="1"/>
  <c r="M538" i="1"/>
  <c r="V538" i="1" s="1"/>
  <c r="Y538" i="1" s="1"/>
  <c r="Z538" i="1" s="1"/>
  <c r="M534" i="1"/>
  <c r="V534" i="1" s="1"/>
  <c r="Y534" i="1" s="1"/>
  <c r="Z534" i="1" s="1"/>
  <c r="M533" i="1"/>
  <c r="V533" i="1" s="1"/>
  <c r="Y533" i="1" s="1"/>
  <c r="Z533" i="1" s="1"/>
  <c r="M535" i="1"/>
  <c r="V535" i="1" s="1"/>
  <c r="Y535" i="1" s="1"/>
  <c r="Z535" i="1" s="1"/>
  <c r="M543" i="1"/>
  <c r="V543" i="1" s="1"/>
  <c r="Y543" i="1" s="1"/>
  <c r="Z543" i="1" s="1"/>
  <c r="M525" i="1"/>
  <c r="V525" i="1" s="1"/>
  <c r="Y525" i="1" s="1"/>
  <c r="Z525" i="1" s="1"/>
  <c r="M417" i="1"/>
  <c r="V417" i="1" s="1"/>
  <c r="Y417" i="1" s="1"/>
  <c r="Z417" i="1" s="1"/>
  <c r="M425" i="1"/>
  <c r="V425" i="1" s="1"/>
  <c r="Y425" i="1" s="1"/>
  <c r="Z425" i="1" s="1"/>
  <c r="M418" i="1"/>
  <c r="V418" i="1" s="1"/>
  <c r="Y418" i="1" s="1"/>
  <c r="Z418" i="1" s="1"/>
  <c r="M422" i="1"/>
  <c r="V422" i="1" s="1"/>
  <c r="Y422" i="1" s="1"/>
  <c r="Z422" i="1" s="1"/>
  <c r="M419" i="1"/>
  <c r="V419" i="1" s="1"/>
  <c r="Y419" i="1" s="1"/>
  <c r="Z419" i="1" s="1"/>
  <c r="M429" i="1"/>
  <c r="V429" i="1" s="1"/>
  <c r="Y429" i="1" s="1"/>
  <c r="Z429" i="1" s="1"/>
  <c r="M426" i="1"/>
  <c r="V426" i="1" s="1"/>
  <c r="Y426" i="1" s="1"/>
  <c r="Z426" i="1" s="1"/>
  <c r="M428" i="1"/>
  <c r="V428" i="1" s="1"/>
  <c r="Y428" i="1" s="1"/>
  <c r="Z428" i="1" s="1"/>
  <c r="M436" i="1"/>
  <c r="V436" i="1" s="1"/>
  <c r="Y436" i="1" s="1"/>
  <c r="Z436" i="1" s="1"/>
  <c r="M430" i="1"/>
  <c r="V430" i="1" s="1"/>
  <c r="Y430" i="1" s="1"/>
  <c r="Z430" i="1" s="1"/>
  <c r="M433" i="1"/>
  <c r="V433" i="1" s="1"/>
  <c r="Y433" i="1" s="1"/>
  <c r="Z433" i="1" s="1"/>
  <c r="M434" i="1"/>
  <c r="V434" i="1" s="1"/>
  <c r="Y434" i="1" s="1"/>
  <c r="Z434" i="1" s="1"/>
  <c r="M438" i="1"/>
  <c r="V438" i="1" s="1"/>
  <c r="Y438" i="1" s="1"/>
  <c r="Z438" i="1" s="1"/>
  <c r="M439" i="1"/>
  <c r="V439" i="1" s="1"/>
  <c r="Y439" i="1" s="1"/>
  <c r="Z439" i="1" s="1"/>
  <c r="M440" i="1"/>
  <c r="V440" i="1" s="1"/>
  <c r="Y440" i="1" s="1"/>
  <c r="Z440" i="1" s="1"/>
  <c r="M416" i="1"/>
  <c r="V416" i="1" s="1"/>
  <c r="Y416" i="1" s="1"/>
  <c r="Z416" i="1" s="1"/>
  <c r="M423" i="1"/>
  <c r="V423" i="1" s="1"/>
  <c r="Y423" i="1" s="1"/>
  <c r="Z423" i="1" s="1"/>
  <c r="M424" i="1"/>
  <c r="V424" i="1" s="1"/>
  <c r="Y424" i="1" s="1"/>
  <c r="Z424" i="1" s="1"/>
  <c r="M420" i="1"/>
  <c r="V420" i="1" s="1"/>
  <c r="Y420" i="1" s="1"/>
  <c r="Z420" i="1" s="1"/>
  <c r="M421" i="1"/>
  <c r="V421" i="1" s="1"/>
  <c r="Y421" i="1" s="1"/>
  <c r="Z421" i="1" s="1"/>
  <c r="M431" i="1"/>
  <c r="V431" i="1" s="1"/>
  <c r="Y431" i="1" s="1"/>
  <c r="Z431" i="1" s="1"/>
  <c r="M435" i="1"/>
  <c r="V435" i="1" s="1"/>
  <c r="Y435" i="1" s="1"/>
  <c r="Z435" i="1" s="1"/>
  <c r="M437" i="1"/>
  <c r="V437" i="1" s="1"/>
  <c r="Y437" i="1" s="1"/>
  <c r="Z437" i="1" s="1"/>
  <c r="M432" i="1"/>
  <c r="V432" i="1" s="1"/>
  <c r="Y432" i="1" s="1"/>
  <c r="Z432" i="1" s="1"/>
  <c r="M427" i="1"/>
  <c r="V427" i="1" s="1"/>
  <c r="Y427" i="1" s="1"/>
  <c r="Z427" i="1" s="1"/>
  <c r="M451" i="1"/>
  <c r="V451" i="1" s="1"/>
  <c r="Y451" i="1" s="1"/>
  <c r="Z451" i="1" s="1"/>
  <c r="M443" i="1"/>
  <c r="V443" i="1" s="1"/>
  <c r="Y443" i="1" s="1"/>
  <c r="Z443" i="1" s="1"/>
  <c r="M441" i="1"/>
  <c r="V441" i="1" s="1"/>
  <c r="Y441" i="1" s="1"/>
  <c r="Z441" i="1" s="1"/>
  <c r="M460" i="1"/>
  <c r="V460" i="1" s="1"/>
  <c r="Y460" i="1" s="1"/>
  <c r="Z460" i="1" s="1"/>
  <c r="M444" i="1"/>
  <c r="V444" i="1" s="1"/>
  <c r="Y444" i="1" s="1"/>
  <c r="Z444" i="1" s="1"/>
  <c r="M447" i="1"/>
  <c r="V447" i="1" s="1"/>
  <c r="Y447" i="1" s="1"/>
  <c r="Z447" i="1" s="1"/>
  <c r="M446" i="1"/>
  <c r="V446" i="1" s="1"/>
  <c r="Y446" i="1" s="1"/>
  <c r="Z446" i="1" s="1"/>
  <c r="M445" i="1"/>
  <c r="V445" i="1" s="1"/>
  <c r="Y445" i="1" s="1"/>
  <c r="Z445" i="1" s="1"/>
  <c r="M455" i="1"/>
  <c r="V455" i="1" s="1"/>
  <c r="Y455" i="1" s="1"/>
  <c r="Z455" i="1" s="1"/>
  <c r="M452" i="1"/>
  <c r="V452" i="1" s="1"/>
  <c r="Y452" i="1" s="1"/>
  <c r="Z452" i="1" s="1"/>
  <c r="M450" i="1"/>
  <c r="V450" i="1" s="1"/>
  <c r="Y450" i="1" s="1"/>
  <c r="Z450" i="1" s="1"/>
  <c r="M456" i="1"/>
  <c r="V456" i="1" s="1"/>
  <c r="Y456" i="1" s="1"/>
  <c r="Z456" i="1" s="1"/>
  <c r="M457" i="1"/>
  <c r="V457" i="1" s="1"/>
  <c r="Y457" i="1" s="1"/>
  <c r="Z457" i="1" s="1"/>
  <c r="M454" i="1"/>
  <c r="V454" i="1" s="1"/>
  <c r="Y454" i="1" s="1"/>
  <c r="Z454" i="1" s="1"/>
  <c r="M458" i="1"/>
  <c r="V458" i="1" s="1"/>
  <c r="Y458" i="1" s="1"/>
  <c r="Z458" i="1" s="1"/>
  <c r="M459" i="1"/>
  <c r="V459" i="1" s="1"/>
  <c r="Y459" i="1" s="1"/>
  <c r="Z459" i="1" s="1"/>
  <c r="M449" i="1"/>
  <c r="V449" i="1" s="1"/>
  <c r="Y449" i="1" s="1"/>
  <c r="Z449" i="1" s="1"/>
  <c r="M448" i="1"/>
  <c r="V448" i="1" s="1"/>
  <c r="Y448" i="1" s="1"/>
  <c r="Z448" i="1" s="1"/>
  <c r="M453" i="1"/>
  <c r="V453" i="1" s="1"/>
  <c r="Y453" i="1" s="1"/>
  <c r="Z453" i="1" s="1"/>
  <c r="M442" i="1"/>
  <c r="V442" i="1" s="1"/>
  <c r="Y442" i="1" s="1"/>
  <c r="Z442" i="1" s="1"/>
  <c r="M481" i="1"/>
  <c r="V481" i="1" s="1"/>
  <c r="Y481" i="1" s="1"/>
  <c r="Z481" i="1" s="1"/>
  <c r="M482" i="1"/>
  <c r="V482" i="1" s="1"/>
  <c r="Y482" i="1" s="1"/>
  <c r="Z482" i="1" s="1"/>
  <c r="M487" i="1"/>
  <c r="V487" i="1" s="1"/>
  <c r="Y487" i="1" s="1"/>
  <c r="Z487" i="1" s="1"/>
  <c r="M484" i="1"/>
  <c r="V484" i="1" s="1"/>
  <c r="Y484" i="1" s="1"/>
  <c r="Z484" i="1" s="1"/>
  <c r="M486" i="1"/>
  <c r="V486" i="1" s="1"/>
  <c r="Y486" i="1" s="1"/>
  <c r="Z486" i="1" s="1"/>
  <c r="M491" i="1"/>
  <c r="V491" i="1" s="1"/>
  <c r="Y491" i="1" s="1"/>
  <c r="Z491" i="1" s="1"/>
  <c r="M489" i="1"/>
  <c r="V489" i="1" s="1"/>
  <c r="Y489" i="1" s="1"/>
  <c r="Z489" i="1" s="1"/>
  <c r="M496" i="1"/>
  <c r="V496" i="1" s="1"/>
  <c r="Y496" i="1" s="1"/>
  <c r="Z496" i="1" s="1"/>
  <c r="M493" i="1"/>
  <c r="V493" i="1" s="1"/>
  <c r="Y493" i="1" s="1"/>
  <c r="Z493" i="1" s="1"/>
  <c r="M494" i="1"/>
  <c r="V494" i="1" s="1"/>
  <c r="Y494" i="1" s="1"/>
  <c r="Z494" i="1" s="1"/>
  <c r="M500" i="1"/>
  <c r="V500" i="1" s="1"/>
  <c r="Y500" i="1" s="1"/>
  <c r="Z500" i="1" s="1"/>
  <c r="M483" i="1"/>
  <c r="V483" i="1" s="1"/>
  <c r="Y483" i="1" s="1"/>
  <c r="Z483" i="1" s="1"/>
  <c r="M488" i="1"/>
  <c r="V488" i="1" s="1"/>
  <c r="Y488" i="1" s="1"/>
  <c r="Z488" i="1" s="1"/>
  <c r="M485" i="1"/>
  <c r="V485" i="1" s="1"/>
  <c r="Y485" i="1" s="1"/>
  <c r="Z485" i="1" s="1"/>
  <c r="M499" i="1"/>
  <c r="V499" i="1" s="1"/>
  <c r="Y499" i="1" s="1"/>
  <c r="Z499" i="1" s="1"/>
  <c r="M498" i="1"/>
  <c r="V498" i="1" s="1"/>
  <c r="Y498" i="1" s="1"/>
  <c r="Z498" i="1" s="1"/>
  <c r="M495" i="1"/>
  <c r="V495" i="1" s="1"/>
  <c r="Y495" i="1" s="1"/>
  <c r="Z495" i="1" s="1"/>
  <c r="M492" i="1"/>
  <c r="V492" i="1" s="1"/>
  <c r="Y492" i="1" s="1"/>
  <c r="Z492" i="1" s="1"/>
  <c r="M497" i="1"/>
  <c r="V497" i="1" s="1"/>
  <c r="Y497" i="1" s="1"/>
  <c r="Z497" i="1" s="1"/>
  <c r="M490" i="1"/>
  <c r="V490" i="1" s="1"/>
  <c r="Y490" i="1" s="1"/>
  <c r="Z490" i="1" s="1"/>
  <c r="M1815" i="1"/>
  <c r="V1815" i="1" s="1"/>
  <c r="Y1815" i="1" s="1"/>
  <c r="Z1815" i="1" s="1"/>
  <c r="M1817" i="1"/>
  <c r="V1817" i="1" s="1"/>
  <c r="Y1817" i="1" s="1"/>
  <c r="Z1817" i="1" s="1"/>
  <c r="M1816" i="1"/>
  <c r="V1816" i="1" s="1"/>
  <c r="Y1816" i="1" s="1"/>
  <c r="Z1816" i="1" s="1"/>
  <c r="M1820" i="1"/>
  <c r="V1820" i="1" s="1"/>
  <c r="Y1820" i="1" s="1"/>
  <c r="Z1820" i="1" s="1"/>
  <c r="M1818" i="1"/>
  <c r="V1818" i="1" s="1"/>
  <c r="Y1818" i="1" s="1"/>
  <c r="Z1818" i="1" s="1"/>
  <c r="M1825" i="1"/>
  <c r="V1825" i="1" s="1"/>
  <c r="Y1825" i="1" s="1"/>
  <c r="Z1825" i="1" s="1"/>
  <c r="M1824" i="1"/>
  <c r="V1824" i="1" s="1"/>
  <c r="Y1824" i="1" s="1"/>
  <c r="Z1824" i="1" s="1"/>
  <c r="M1828" i="1"/>
  <c r="V1828" i="1" s="1"/>
  <c r="Y1828" i="1" s="1"/>
  <c r="Z1828" i="1" s="1"/>
  <c r="M1831" i="1"/>
  <c r="V1831" i="1" s="1"/>
  <c r="Y1831" i="1" s="1"/>
  <c r="Z1831" i="1" s="1"/>
  <c r="M1827" i="1"/>
  <c r="V1827" i="1" s="1"/>
  <c r="Y1827" i="1" s="1"/>
  <c r="Z1827" i="1" s="1"/>
  <c r="M1833" i="1"/>
  <c r="V1833" i="1" s="1"/>
  <c r="Y1833" i="1" s="1"/>
  <c r="Z1833" i="1" s="1"/>
  <c r="M1835" i="1"/>
  <c r="V1835" i="1" s="1"/>
  <c r="Y1835" i="1" s="1"/>
  <c r="Z1835" i="1" s="1"/>
  <c r="M1822" i="1"/>
  <c r="V1822" i="1" s="1"/>
  <c r="Y1822" i="1" s="1"/>
  <c r="Z1822" i="1" s="1"/>
  <c r="M1821" i="1"/>
  <c r="V1821" i="1" s="1"/>
  <c r="Y1821" i="1" s="1"/>
  <c r="Z1821" i="1" s="1"/>
  <c r="M1819" i="1"/>
  <c r="V1819" i="1" s="1"/>
  <c r="Y1819" i="1" s="1"/>
  <c r="Z1819" i="1" s="1"/>
  <c r="M1826" i="1"/>
  <c r="V1826" i="1" s="1"/>
  <c r="Y1826" i="1" s="1"/>
  <c r="Z1826" i="1" s="1"/>
  <c r="M1829" i="1"/>
  <c r="V1829" i="1" s="1"/>
  <c r="Y1829" i="1" s="1"/>
  <c r="Z1829" i="1" s="1"/>
  <c r="M1834" i="1"/>
  <c r="V1834" i="1" s="1"/>
  <c r="Y1834" i="1" s="1"/>
  <c r="Z1834" i="1" s="1"/>
  <c r="M1830" i="1"/>
  <c r="V1830" i="1" s="1"/>
  <c r="Y1830" i="1" s="1"/>
  <c r="Z1830" i="1" s="1"/>
  <c r="M1832" i="1"/>
  <c r="V1832" i="1" s="1"/>
  <c r="Y1832" i="1" s="1"/>
  <c r="Z1832" i="1" s="1"/>
  <c r="M1823" i="1"/>
  <c r="V1823" i="1" s="1"/>
  <c r="Y1823" i="1" s="1"/>
  <c r="Z1823" i="1" s="1"/>
  <c r="M501" i="1"/>
  <c r="V501" i="1" s="1"/>
  <c r="Y501" i="1" s="1"/>
  <c r="Z501" i="1" s="1"/>
  <c r="M510" i="1"/>
  <c r="V510" i="1" s="1"/>
  <c r="Y510" i="1" s="1"/>
  <c r="Z510" i="1" s="1"/>
  <c r="M506" i="1"/>
  <c r="V506" i="1" s="1"/>
  <c r="Y506" i="1" s="1"/>
  <c r="Z506" i="1" s="1"/>
  <c r="M508" i="1"/>
  <c r="V508" i="1" s="1"/>
  <c r="Y508" i="1" s="1"/>
  <c r="Z508" i="1" s="1"/>
  <c r="M509" i="1"/>
  <c r="V509" i="1" s="1"/>
  <c r="Y509" i="1" s="1"/>
  <c r="Z509" i="1" s="1"/>
  <c r="M516" i="1"/>
  <c r="V516" i="1" s="1"/>
  <c r="Y516" i="1" s="1"/>
  <c r="Z516" i="1" s="1"/>
  <c r="M511" i="1"/>
  <c r="V511" i="1" s="1"/>
  <c r="Y511" i="1" s="1"/>
  <c r="Z511" i="1" s="1"/>
  <c r="M515" i="1"/>
  <c r="V515" i="1" s="1"/>
  <c r="Y515" i="1" s="1"/>
  <c r="Z515" i="1" s="1"/>
  <c r="M519" i="1"/>
  <c r="V519" i="1" s="1"/>
  <c r="Y519" i="1" s="1"/>
  <c r="Z519" i="1" s="1"/>
  <c r="M520" i="1"/>
  <c r="V520" i="1" s="1"/>
  <c r="Y520" i="1" s="1"/>
  <c r="Z520" i="1" s="1"/>
  <c r="M523" i="1"/>
  <c r="V523" i="1" s="1"/>
  <c r="Y523" i="1" s="1"/>
  <c r="Z523" i="1" s="1"/>
  <c r="M518" i="1"/>
  <c r="V518" i="1" s="1"/>
  <c r="Y518" i="1" s="1"/>
  <c r="Z518" i="1" s="1"/>
  <c r="M517" i="1"/>
  <c r="V517" i="1" s="1"/>
  <c r="Y517" i="1" s="1"/>
  <c r="Z517" i="1" s="1"/>
  <c r="M524" i="1"/>
  <c r="V524" i="1" s="1"/>
  <c r="Y524" i="1" s="1"/>
  <c r="Z524" i="1" s="1"/>
  <c r="M502" i="1"/>
  <c r="V502" i="1" s="1"/>
  <c r="Y502" i="1" s="1"/>
  <c r="Z502" i="1" s="1"/>
  <c r="M505" i="1"/>
  <c r="V505" i="1" s="1"/>
  <c r="Y505" i="1" s="1"/>
  <c r="Z505" i="1" s="1"/>
  <c r="M504" i="1"/>
  <c r="V504" i="1" s="1"/>
  <c r="Y504" i="1" s="1"/>
  <c r="Z504" i="1" s="1"/>
  <c r="M503" i="1"/>
  <c r="V503" i="1" s="1"/>
  <c r="Y503" i="1" s="1"/>
  <c r="Z503" i="1" s="1"/>
  <c r="M507" i="1"/>
  <c r="V507" i="1" s="1"/>
  <c r="Y507" i="1" s="1"/>
  <c r="Z507" i="1" s="1"/>
  <c r="M513" i="1"/>
  <c r="V513" i="1" s="1"/>
  <c r="Y513" i="1" s="1"/>
  <c r="Z513" i="1" s="1"/>
  <c r="M514" i="1"/>
  <c r="V514" i="1" s="1"/>
  <c r="Y514" i="1" s="1"/>
  <c r="Z514" i="1" s="1"/>
  <c r="M512" i="1"/>
  <c r="V512" i="1" s="1"/>
  <c r="Y512" i="1" s="1"/>
  <c r="Z512" i="1" s="1"/>
  <c r="M521" i="1"/>
  <c r="V521" i="1" s="1"/>
  <c r="Y521" i="1" s="1"/>
  <c r="Z521" i="1" s="1"/>
  <c r="M522" i="1"/>
  <c r="V522" i="1" s="1"/>
  <c r="Y522" i="1" s="1"/>
  <c r="Z522" i="1" s="1"/>
  <c r="M545" i="1"/>
  <c r="V545" i="1" s="1"/>
  <c r="Y545" i="1" s="1"/>
  <c r="Z545" i="1" s="1"/>
  <c r="M546" i="1"/>
  <c r="V546" i="1" s="1"/>
  <c r="Y546" i="1" s="1"/>
  <c r="Z546" i="1" s="1"/>
  <c r="M547" i="1"/>
  <c r="V547" i="1" s="1"/>
  <c r="Y547" i="1" s="1"/>
  <c r="Z547" i="1" s="1"/>
  <c r="M549" i="1"/>
  <c r="V549" i="1" s="1"/>
  <c r="Y549" i="1" s="1"/>
  <c r="Z549" i="1" s="1"/>
  <c r="M554" i="1"/>
  <c r="V554" i="1" s="1"/>
  <c r="Y554" i="1" s="1"/>
  <c r="Z554" i="1" s="1"/>
  <c r="M552" i="1"/>
  <c r="V552" i="1" s="1"/>
  <c r="Y552" i="1" s="1"/>
  <c r="Z552" i="1" s="1"/>
  <c r="M553" i="1"/>
  <c r="V553" i="1" s="1"/>
  <c r="Y553" i="1" s="1"/>
  <c r="Z553" i="1" s="1"/>
  <c r="M555" i="1"/>
  <c r="V555" i="1" s="1"/>
  <c r="Y555" i="1" s="1"/>
  <c r="Z555" i="1" s="1"/>
  <c r="M562" i="1"/>
  <c r="V562" i="1" s="1"/>
  <c r="Y562" i="1" s="1"/>
  <c r="Z562" i="1" s="1"/>
  <c r="M560" i="1"/>
  <c r="V560" i="1" s="1"/>
  <c r="Y560" i="1" s="1"/>
  <c r="Z560" i="1" s="1"/>
  <c r="M564" i="1"/>
  <c r="V564" i="1" s="1"/>
  <c r="Y564" i="1" s="1"/>
  <c r="Z564" i="1" s="1"/>
  <c r="M548" i="1"/>
  <c r="V548" i="1" s="1"/>
  <c r="Y548" i="1" s="1"/>
  <c r="Z548" i="1" s="1"/>
  <c r="M550" i="1"/>
  <c r="V550" i="1" s="1"/>
  <c r="Y550" i="1" s="1"/>
  <c r="Z550" i="1" s="1"/>
  <c r="M559" i="1"/>
  <c r="V559" i="1" s="1"/>
  <c r="Y559" i="1" s="1"/>
  <c r="Z559" i="1" s="1"/>
  <c r="M556" i="1"/>
  <c r="V556" i="1" s="1"/>
  <c r="Y556" i="1" s="1"/>
  <c r="Z556" i="1" s="1"/>
  <c r="M557" i="1"/>
  <c r="V557" i="1" s="1"/>
  <c r="Y557" i="1" s="1"/>
  <c r="Z557" i="1" s="1"/>
  <c r="M561" i="1"/>
  <c r="V561" i="1" s="1"/>
  <c r="Y561" i="1" s="1"/>
  <c r="Z561" i="1" s="1"/>
  <c r="M558" i="1"/>
  <c r="V558" i="1" s="1"/>
  <c r="Y558" i="1" s="1"/>
  <c r="Z558" i="1" s="1"/>
  <c r="M563" i="1"/>
  <c r="V563" i="1" s="1"/>
  <c r="Y563" i="1" s="1"/>
  <c r="Z563" i="1" s="1"/>
  <c r="M551" i="1"/>
  <c r="V551" i="1" s="1"/>
  <c r="Y551" i="1" s="1"/>
  <c r="Z551" i="1" s="1"/>
  <c r="M566" i="1"/>
  <c r="V566" i="1" s="1"/>
  <c r="Y566" i="1" s="1"/>
  <c r="Z566" i="1" s="1"/>
  <c r="M570" i="1"/>
  <c r="V570" i="1" s="1"/>
  <c r="Y570" i="1" s="1"/>
  <c r="Z570" i="1" s="1"/>
  <c r="M574" i="1"/>
  <c r="V574" i="1" s="1"/>
  <c r="Y574" i="1" s="1"/>
  <c r="Z574" i="1" s="1"/>
  <c r="M571" i="1"/>
  <c r="V571" i="1" s="1"/>
  <c r="Y571" i="1" s="1"/>
  <c r="Z571" i="1" s="1"/>
  <c r="M568" i="1"/>
  <c r="V568" i="1" s="1"/>
  <c r="Y568" i="1" s="1"/>
  <c r="Z568" i="1" s="1"/>
  <c r="M577" i="1"/>
  <c r="V577" i="1" s="1"/>
  <c r="Y577" i="1" s="1"/>
  <c r="Z577" i="1" s="1"/>
  <c r="M575" i="1"/>
  <c r="V575" i="1" s="1"/>
  <c r="Y575" i="1" s="1"/>
  <c r="Z575" i="1" s="1"/>
  <c r="M579" i="1"/>
  <c r="V579" i="1" s="1"/>
  <c r="Y579" i="1" s="1"/>
  <c r="Z579" i="1" s="1"/>
  <c r="M583" i="1"/>
  <c r="V583" i="1" s="1"/>
  <c r="Y583" i="1" s="1"/>
  <c r="Z583" i="1" s="1"/>
  <c r="M586" i="1"/>
  <c r="V586" i="1" s="1"/>
  <c r="Y586" i="1" s="1"/>
  <c r="Z586" i="1" s="1"/>
  <c r="M588" i="1"/>
  <c r="V588" i="1" s="1"/>
  <c r="Y588" i="1" s="1"/>
  <c r="Z588" i="1" s="1"/>
  <c r="M581" i="1"/>
  <c r="V581" i="1" s="1"/>
  <c r="Y581" i="1" s="1"/>
  <c r="Z581" i="1" s="1"/>
  <c r="M585" i="1"/>
  <c r="V585" i="1" s="1"/>
  <c r="Y585" i="1" s="1"/>
  <c r="Z585" i="1" s="1"/>
  <c r="M582" i="1"/>
  <c r="V582" i="1" s="1"/>
  <c r="Y582" i="1" s="1"/>
  <c r="Z582" i="1" s="1"/>
  <c r="M589" i="1"/>
  <c r="V589" i="1" s="1"/>
  <c r="Y589" i="1" s="1"/>
  <c r="Z589" i="1" s="1"/>
  <c r="M565" i="1"/>
  <c r="V565" i="1" s="1"/>
  <c r="Y565" i="1" s="1"/>
  <c r="Z565" i="1" s="1"/>
  <c r="M569" i="1"/>
  <c r="V569" i="1" s="1"/>
  <c r="Y569" i="1" s="1"/>
  <c r="Z569" i="1" s="1"/>
  <c r="M573" i="1"/>
  <c r="V573" i="1" s="1"/>
  <c r="Y573" i="1" s="1"/>
  <c r="Z573" i="1" s="1"/>
  <c r="M572" i="1"/>
  <c r="V572" i="1" s="1"/>
  <c r="Y572" i="1" s="1"/>
  <c r="Z572" i="1" s="1"/>
  <c r="M567" i="1"/>
  <c r="V567" i="1" s="1"/>
  <c r="Y567" i="1" s="1"/>
  <c r="Z567" i="1" s="1"/>
  <c r="M578" i="1"/>
  <c r="V578" i="1" s="1"/>
  <c r="Y578" i="1" s="1"/>
  <c r="Z578" i="1" s="1"/>
  <c r="M576" i="1"/>
  <c r="V576" i="1" s="1"/>
  <c r="Y576" i="1" s="1"/>
  <c r="Z576" i="1" s="1"/>
  <c r="M580" i="1"/>
  <c r="V580" i="1" s="1"/>
  <c r="Y580" i="1" s="1"/>
  <c r="Z580" i="1" s="1"/>
  <c r="M584" i="1"/>
  <c r="V584" i="1" s="1"/>
  <c r="Y584" i="1" s="1"/>
  <c r="Z584" i="1" s="1"/>
  <c r="M587" i="1"/>
  <c r="V587" i="1" s="1"/>
  <c r="Y587" i="1" s="1"/>
  <c r="Z587" i="1" s="1"/>
  <c r="M643" i="1"/>
  <c r="V643" i="1" s="1"/>
  <c r="Y643" i="1" s="1"/>
  <c r="Z643" i="1" s="1"/>
  <c r="M648" i="1"/>
  <c r="V648" i="1" s="1"/>
  <c r="Y648" i="1" s="1"/>
  <c r="Z648" i="1" s="1"/>
  <c r="M633" i="1"/>
  <c r="V633" i="1" s="1"/>
  <c r="Y633" i="1" s="1"/>
  <c r="Z633" i="1" s="1"/>
  <c r="M632" i="1"/>
  <c r="V632" i="1" s="1"/>
  <c r="Y632" i="1" s="1"/>
  <c r="Z632" i="1" s="1"/>
  <c r="M651" i="1"/>
  <c r="V651" i="1" s="1"/>
  <c r="Y651" i="1" s="1"/>
  <c r="Z651" i="1" s="1"/>
  <c r="M634" i="1"/>
  <c r="V634" i="1" s="1"/>
  <c r="Y634" i="1" s="1"/>
  <c r="Z634" i="1" s="1"/>
  <c r="M635" i="1"/>
  <c r="V635" i="1" s="1"/>
  <c r="Y635" i="1" s="1"/>
  <c r="Z635" i="1" s="1"/>
  <c r="M638" i="1"/>
  <c r="V638" i="1" s="1"/>
  <c r="Y638" i="1" s="1"/>
  <c r="Z638" i="1" s="1"/>
  <c r="M637" i="1"/>
  <c r="V637" i="1" s="1"/>
  <c r="Y637" i="1" s="1"/>
  <c r="Z637" i="1" s="1"/>
  <c r="M636" i="1"/>
  <c r="V636" i="1" s="1"/>
  <c r="Y636" i="1" s="1"/>
  <c r="Z636" i="1" s="1"/>
  <c r="M646" i="1"/>
  <c r="V646" i="1" s="1"/>
  <c r="Y646" i="1" s="1"/>
  <c r="Z646" i="1" s="1"/>
  <c r="M647" i="1"/>
  <c r="V647" i="1" s="1"/>
  <c r="Y647" i="1" s="1"/>
  <c r="Z647" i="1" s="1"/>
  <c r="M642" i="1"/>
  <c r="V642" i="1" s="1"/>
  <c r="Y642" i="1" s="1"/>
  <c r="Z642" i="1" s="1"/>
  <c r="M645" i="1"/>
  <c r="V645" i="1" s="1"/>
  <c r="Y645" i="1" s="1"/>
  <c r="Z645" i="1" s="1"/>
  <c r="M650" i="1"/>
  <c r="V650" i="1" s="1"/>
  <c r="Y650" i="1" s="1"/>
  <c r="Z650" i="1" s="1"/>
  <c r="M649" i="1"/>
  <c r="V649" i="1" s="1"/>
  <c r="Y649" i="1" s="1"/>
  <c r="Z649" i="1" s="1"/>
  <c r="M641" i="1"/>
  <c r="V641" i="1" s="1"/>
  <c r="Y641" i="1" s="1"/>
  <c r="Z641" i="1" s="1"/>
  <c r="M640" i="1"/>
  <c r="V640" i="1" s="1"/>
  <c r="Y640" i="1" s="1"/>
  <c r="Z640" i="1" s="1"/>
  <c r="M639" i="1"/>
  <c r="V639" i="1" s="1"/>
  <c r="Y639" i="1" s="1"/>
  <c r="Z639" i="1" s="1"/>
  <c r="M644" i="1"/>
  <c r="V644" i="1" s="1"/>
  <c r="Y644" i="1" s="1"/>
  <c r="Z644" i="1" s="1"/>
  <c r="M652" i="1"/>
  <c r="V652" i="1" s="1"/>
  <c r="Y652" i="1" s="1"/>
  <c r="Z652" i="1" s="1"/>
  <c r="M653" i="1"/>
  <c r="V653" i="1" s="1"/>
  <c r="Y653" i="1" s="1"/>
  <c r="Z653" i="1" s="1"/>
  <c r="M656" i="1"/>
  <c r="V656" i="1" s="1"/>
  <c r="Y656" i="1" s="1"/>
  <c r="Z656" i="1" s="1"/>
  <c r="M657" i="1"/>
  <c r="V657" i="1" s="1"/>
  <c r="Y657" i="1" s="1"/>
  <c r="Z657" i="1" s="1"/>
  <c r="M658" i="1"/>
  <c r="V658" i="1" s="1"/>
  <c r="Y658" i="1" s="1"/>
  <c r="Z658" i="1" s="1"/>
  <c r="M661" i="1"/>
  <c r="V661" i="1" s="1"/>
  <c r="Y661" i="1" s="1"/>
  <c r="Z661" i="1" s="1"/>
  <c r="M659" i="1"/>
  <c r="V659" i="1" s="1"/>
  <c r="Y659" i="1" s="1"/>
  <c r="Z659" i="1" s="1"/>
  <c r="M667" i="1"/>
  <c r="V667" i="1" s="1"/>
  <c r="Y667" i="1" s="1"/>
  <c r="Z667" i="1" s="1"/>
  <c r="M671" i="1"/>
  <c r="V671" i="1" s="1"/>
  <c r="Y671" i="1" s="1"/>
  <c r="Z671" i="1" s="1"/>
  <c r="M668" i="1"/>
  <c r="V668" i="1" s="1"/>
  <c r="Y668" i="1" s="1"/>
  <c r="Z668" i="1" s="1"/>
  <c r="M665" i="1"/>
  <c r="V665" i="1" s="1"/>
  <c r="Y665" i="1" s="1"/>
  <c r="Z665" i="1" s="1"/>
  <c r="M672" i="1"/>
  <c r="V672" i="1" s="1"/>
  <c r="Y672" i="1" s="1"/>
  <c r="Z672" i="1" s="1"/>
  <c r="M654" i="1"/>
  <c r="V654" i="1" s="1"/>
  <c r="Y654" i="1" s="1"/>
  <c r="Z654" i="1" s="1"/>
  <c r="M655" i="1"/>
  <c r="V655" i="1" s="1"/>
  <c r="Y655" i="1" s="1"/>
  <c r="Z655" i="1" s="1"/>
  <c r="M662" i="1"/>
  <c r="V662" i="1" s="1"/>
  <c r="Y662" i="1" s="1"/>
  <c r="Z662" i="1" s="1"/>
  <c r="M664" i="1"/>
  <c r="V664" i="1" s="1"/>
  <c r="Y664" i="1" s="1"/>
  <c r="Z664" i="1" s="1"/>
  <c r="M669" i="1"/>
  <c r="V669" i="1" s="1"/>
  <c r="Y669" i="1" s="1"/>
  <c r="Z669" i="1" s="1"/>
  <c r="M670" i="1"/>
  <c r="V670" i="1" s="1"/>
  <c r="Y670" i="1" s="1"/>
  <c r="Z670" i="1" s="1"/>
  <c r="M666" i="1"/>
  <c r="V666" i="1" s="1"/>
  <c r="Y666" i="1" s="1"/>
  <c r="Z666" i="1" s="1"/>
  <c r="M663" i="1"/>
  <c r="V663" i="1" s="1"/>
  <c r="Y663" i="1" s="1"/>
  <c r="Z663" i="1" s="1"/>
  <c r="M660" i="1"/>
  <c r="V660" i="1" s="1"/>
  <c r="Y660" i="1" s="1"/>
  <c r="Z660" i="1" s="1"/>
  <c r="M673" i="1"/>
  <c r="V673" i="1" s="1"/>
  <c r="Y673" i="1" s="1"/>
  <c r="Z673" i="1" s="1"/>
  <c r="M675" i="1"/>
  <c r="V675" i="1" s="1"/>
  <c r="Y675" i="1" s="1"/>
  <c r="Z675" i="1" s="1"/>
  <c r="M674" i="1"/>
  <c r="V674" i="1" s="1"/>
  <c r="Y674" i="1" s="1"/>
  <c r="Z674" i="1" s="1"/>
  <c r="M680" i="1"/>
  <c r="V680" i="1" s="1"/>
  <c r="Y680" i="1" s="1"/>
  <c r="Z680" i="1" s="1"/>
  <c r="M678" i="1"/>
  <c r="V678" i="1" s="1"/>
  <c r="Y678" i="1" s="1"/>
  <c r="Z678" i="1" s="1"/>
  <c r="M681" i="1"/>
  <c r="V681" i="1" s="1"/>
  <c r="Y681" i="1" s="1"/>
  <c r="Z681" i="1" s="1"/>
  <c r="M677" i="1"/>
  <c r="V677" i="1" s="1"/>
  <c r="Y677" i="1" s="1"/>
  <c r="Z677" i="1" s="1"/>
  <c r="M682" i="1"/>
  <c r="V682" i="1" s="1"/>
  <c r="Y682" i="1" s="1"/>
  <c r="Z682" i="1" s="1"/>
  <c r="M684" i="1"/>
  <c r="V684" i="1" s="1"/>
  <c r="Y684" i="1" s="1"/>
  <c r="Z684" i="1" s="1"/>
  <c r="M685" i="1"/>
  <c r="V685" i="1" s="1"/>
  <c r="Y685" i="1" s="1"/>
  <c r="Z685" i="1" s="1"/>
  <c r="M691" i="1"/>
  <c r="V691" i="1" s="1"/>
  <c r="Y691" i="1" s="1"/>
  <c r="Z691" i="1" s="1"/>
  <c r="M686" i="1"/>
  <c r="V686" i="1" s="1"/>
  <c r="Y686" i="1" s="1"/>
  <c r="Z686" i="1" s="1"/>
  <c r="M687" i="1"/>
  <c r="V687" i="1" s="1"/>
  <c r="Y687" i="1" s="1"/>
  <c r="Z687" i="1" s="1"/>
  <c r="M693" i="1"/>
  <c r="V693" i="1" s="1"/>
  <c r="Y693" i="1" s="1"/>
  <c r="Z693" i="1" s="1"/>
  <c r="M690" i="1"/>
  <c r="V690" i="1" s="1"/>
  <c r="Y690" i="1" s="1"/>
  <c r="Z690" i="1" s="1"/>
  <c r="M688" i="1"/>
  <c r="V688" i="1" s="1"/>
  <c r="Y688" i="1" s="1"/>
  <c r="Z688" i="1" s="1"/>
  <c r="M692" i="1"/>
  <c r="V692" i="1" s="1"/>
  <c r="Y692" i="1" s="1"/>
  <c r="Z692" i="1" s="1"/>
  <c r="M694" i="1"/>
  <c r="V694" i="1" s="1"/>
  <c r="Y694" i="1" s="1"/>
  <c r="Z694" i="1" s="1"/>
  <c r="M679" i="1"/>
  <c r="V679" i="1" s="1"/>
  <c r="Y679" i="1" s="1"/>
  <c r="Z679" i="1" s="1"/>
  <c r="M676" i="1"/>
  <c r="V676" i="1" s="1"/>
  <c r="Y676" i="1" s="1"/>
  <c r="Z676" i="1" s="1"/>
  <c r="M689" i="1"/>
  <c r="V689" i="1" s="1"/>
  <c r="Y689" i="1" s="1"/>
  <c r="Z689" i="1" s="1"/>
  <c r="M683" i="1"/>
  <c r="V683" i="1" s="1"/>
  <c r="Y683" i="1" s="1"/>
  <c r="Z683" i="1" s="1"/>
  <c r="M695" i="1"/>
  <c r="V695" i="1" s="1"/>
  <c r="Y695" i="1" s="1"/>
  <c r="Z695" i="1" s="1"/>
  <c r="M699" i="1"/>
  <c r="V699" i="1" s="1"/>
  <c r="Y699" i="1" s="1"/>
  <c r="Z699" i="1" s="1"/>
  <c r="M700" i="1"/>
  <c r="V700" i="1" s="1"/>
  <c r="Y700" i="1" s="1"/>
  <c r="Z700" i="1" s="1"/>
  <c r="M697" i="1"/>
  <c r="V697" i="1" s="1"/>
  <c r="Y697" i="1" s="1"/>
  <c r="Z697" i="1" s="1"/>
  <c r="M703" i="1"/>
  <c r="V703" i="1" s="1"/>
  <c r="Y703" i="1" s="1"/>
  <c r="Z703" i="1" s="1"/>
  <c r="M706" i="1"/>
  <c r="V706" i="1" s="1"/>
  <c r="Y706" i="1" s="1"/>
  <c r="Z706" i="1" s="1"/>
  <c r="M701" i="1"/>
  <c r="V701" i="1" s="1"/>
  <c r="Y701" i="1" s="1"/>
  <c r="Z701" i="1" s="1"/>
  <c r="M704" i="1"/>
  <c r="V704" i="1" s="1"/>
  <c r="Y704" i="1" s="1"/>
  <c r="Z704" i="1" s="1"/>
  <c r="M710" i="1"/>
  <c r="V710" i="1" s="1"/>
  <c r="Y710" i="1" s="1"/>
  <c r="Z710" i="1" s="1"/>
  <c r="M711" i="1"/>
  <c r="V711" i="1" s="1"/>
  <c r="Y711" i="1" s="1"/>
  <c r="Z711" i="1" s="1"/>
  <c r="M709" i="1"/>
  <c r="V709" i="1" s="1"/>
  <c r="Y709" i="1" s="1"/>
  <c r="Z709" i="1" s="1"/>
  <c r="M719" i="1"/>
  <c r="V719" i="1" s="1"/>
  <c r="Y719" i="1" s="1"/>
  <c r="Z719" i="1" s="1"/>
  <c r="M718" i="1"/>
  <c r="V718" i="1" s="1"/>
  <c r="Y718" i="1" s="1"/>
  <c r="Z718" i="1" s="1"/>
  <c r="M716" i="1"/>
  <c r="V716" i="1" s="1"/>
  <c r="Y716" i="1" s="1"/>
  <c r="Z716" i="1" s="1"/>
  <c r="M713" i="1"/>
  <c r="V713" i="1" s="1"/>
  <c r="Y713" i="1" s="1"/>
  <c r="Z713" i="1" s="1"/>
  <c r="M715" i="1"/>
  <c r="V715" i="1" s="1"/>
  <c r="Y715" i="1" s="1"/>
  <c r="Z715" i="1" s="1"/>
  <c r="M734" i="1"/>
  <c r="V734" i="1" s="1"/>
  <c r="Y734" i="1" s="1"/>
  <c r="Z734" i="1" s="1"/>
  <c r="M723" i="1"/>
  <c r="V723" i="1" s="1"/>
  <c r="Y723" i="1" s="1"/>
  <c r="Z723" i="1" s="1"/>
  <c r="M721" i="1"/>
  <c r="V721" i="1" s="1"/>
  <c r="Y721" i="1" s="1"/>
  <c r="Z721" i="1" s="1"/>
  <c r="M740" i="1"/>
  <c r="V740" i="1" s="1"/>
  <c r="Y740" i="1" s="1"/>
  <c r="Z740" i="1" s="1"/>
  <c r="M724" i="1"/>
  <c r="V724" i="1" s="1"/>
  <c r="Y724" i="1" s="1"/>
  <c r="Z724" i="1" s="1"/>
  <c r="M728" i="1"/>
  <c r="V728" i="1" s="1"/>
  <c r="Y728" i="1" s="1"/>
  <c r="Z728" i="1" s="1"/>
  <c r="M725" i="1"/>
  <c r="V725" i="1" s="1"/>
  <c r="Y725" i="1" s="1"/>
  <c r="Z725" i="1" s="1"/>
  <c r="M727" i="1"/>
  <c r="V727" i="1" s="1"/>
  <c r="Y727" i="1" s="1"/>
  <c r="Z727" i="1" s="1"/>
  <c r="M726" i="1"/>
  <c r="V726" i="1" s="1"/>
  <c r="Y726" i="1" s="1"/>
  <c r="Z726" i="1" s="1"/>
  <c r="M737" i="1"/>
  <c r="V737" i="1" s="1"/>
  <c r="Y737" i="1" s="1"/>
  <c r="Z737" i="1" s="1"/>
  <c r="M739" i="1"/>
  <c r="V739" i="1" s="1"/>
  <c r="Y739" i="1" s="1"/>
  <c r="Z739" i="1" s="1"/>
  <c r="M732" i="1"/>
  <c r="V732" i="1" s="1"/>
  <c r="Y732" i="1" s="1"/>
  <c r="Z732" i="1" s="1"/>
  <c r="M735" i="1"/>
  <c r="V735" i="1" s="1"/>
  <c r="Y735" i="1" s="1"/>
  <c r="Z735" i="1" s="1"/>
  <c r="M733" i="1"/>
  <c r="V733" i="1" s="1"/>
  <c r="Y733" i="1" s="1"/>
  <c r="Z733" i="1" s="1"/>
  <c r="M736" i="1"/>
  <c r="V736" i="1" s="1"/>
  <c r="Y736" i="1" s="1"/>
  <c r="Z736" i="1" s="1"/>
  <c r="M731" i="1"/>
  <c r="V731" i="1" s="1"/>
  <c r="Y731" i="1" s="1"/>
  <c r="Z731" i="1" s="1"/>
  <c r="M730" i="1"/>
  <c r="V730" i="1" s="1"/>
  <c r="Y730" i="1" s="1"/>
  <c r="Z730" i="1" s="1"/>
  <c r="M729" i="1"/>
  <c r="V729" i="1" s="1"/>
  <c r="Y729" i="1" s="1"/>
  <c r="Z729" i="1" s="1"/>
  <c r="M738" i="1"/>
  <c r="V738" i="1" s="1"/>
  <c r="Y738" i="1" s="1"/>
  <c r="Z738" i="1" s="1"/>
  <c r="M722" i="1"/>
  <c r="V722" i="1" s="1"/>
  <c r="Y722" i="1" s="1"/>
  <c r="Z722" i="1" s="1"/>
  <c r="M696" i="1"/>
  <c r="V696" i="1" s="1"/>
  <c r="Y696" i="1" s="1"/>
  <c r="Z696" i="1" s="1"/>
  <c r="M698" i="1"/>
  <c r="V698" i="1" s="1"/>
  <c r="Y698" i="1" s="1"/>
  <c r="Z698" i="1" s="1"/>
  <c r="M707" i="1"/>
  <c r="V707" i="1" s="1"/>
  <c r="Y707" i="1" s="1"/>
  <c r="Z707" i="1" s="1"/>
  <c r="M702" i="1"/>
  <c r="V702" i="1" s="1"/>
  <c r="Y702" i="1" s="1"/>
  <c r="Z702" i="1" s="1"/>
  <c r="M705" i="1"/>
  <c r="V705" i="1" s="1"/>
  <c r="Y705" i="1" s="1"/>
  <c r="Z705" i="1" s="1"/>
  <c r="M717" i="1"/>
  <c r="V717" i="1" s="1"/>
  <c r="Y717" i="1" s="1"/>
  <c r="Z717" i="1" s="1"/>
  <c r="M720" i="1"/>
  <c r="V720" i="1" s="1"/>
  <c r="Y720" i="1" s="1"/>
  <c r="Z720" i="1" s="1"/>
  <c r="M712" i="1"/>
  <c r="V712" i="1" s="1"/>
  <c r="Y712" i="1" s="1"/>
  <c r="Z712" i="1" s="1"/>
  <c r="M714" i="1"/>
  <c r="V714" i="1" s="1"/>
  <c r="Y714" i="1" s="1"/>
  <c r="Z714" i="1" s="1"/>
  <c r="M708" i="1"/>
  <c r="V708" i="1" s="1"/>
  <c r="Y708" i="1" s="1"/>
  <c r="Z708" i="1" s="1"/>
  <c r="M742" i="1"/>
  <c r="V742" i="1" s="1"/>
  <c r="Y742" i="1" s="1"/>
  <c r="Z742" i="1" s="1"/>
  <c r="M743" i="1"/>
  <c r="V743" i="1" s="1"/>
  <c r="Y743" i="1" s="1"/>
  <c r="Z743" i="1" s="1"/>
  <c r="M748" i="1"/>
  <c r="V748" i="1" s="1"/>
  <c r="Y748" i="1" s="1"/>
  <c r="Z748" i="1" s="1"/>
  <c r="M753" i="1"/>
  <c r="V753" i="1" s="1"/>
  <c r="Y753" i="1" s="1"/>
  <c r="Z753" i="1" s="1"/>
  <c r="M757" i="1"/>
  <c r="V757" i="1" s="1"/>
  <c r="Y757" i="1" s="1"/>
  <c r="Z757" i="1" s="1"/>
  <c r="M752" i="1"/>
  <c r="V752" i="1" s="1"/>
  <c r="Y752" i="1" s="1"/>
  <c r="Z752" i="1" s="1"/>
  <c r="M741" i="1"/>
  <c r="V741" i="1" s="1"/>
  <c r="Y741" i="1" s="1"/>
  <c r="Z741" i="1" s="1"/>
  <c r="M760" i="1"/>
  <c r="V760" i="1" s="1"/>
  <c r="Y760" i="1" s="1"/>
  <c r="Z760" i="1" s="1"/>
  <c r="M746" i="1"/>
  <c r="V746" i="1" s="1"/>
  <c r="Y746" i="1" s="1"/>
  <c r="Z746" i="1" s="1"/>
  <c r="M747" i="1"/>
  <c r="V747" i="1" s="1"/>
  <c r="Y747" i="1" s="1"/>
  <c r="Z747" i="1" s="1"/>
  <c r="M744" i="1"/>
  <c r="V744" i="1" s="1"/>
  <c r="Y744" i="1" s="1"/>
  <c r="Z744" i="1" s="1"/>
  <c r="M745" i="1"/>
  <c r="V745" i="1" s="1"/>
  <c r="Y745" i="1" s="1"/>
  <c r="Z745" i="1" s="1"/>
  <c r="M754" i="1"/>
  <c r="V754" i="1" s="1"/>
  <c r="Y754" i="1" s="1"/>
  <c r="Z754" i="1" s="1"/>
  <c r="M759" i="1"/>
  <c r="V759" i="1" s="1"/>
  <c r="Y759" i="1" s="1"/>
  <c r="Z759" i="1" s="1"/>
  <c r="M756" i="1"/>
  <c r="V756" i="1" s="1"/>
  <c r="Y756" i="1" s="1"/>
  <c r="Z756" i="1" s="1"/>
  <c r="M751" i="1"/>
  <c r="V751" i="1" s="1"/>
  <c r="Y751" i="1" s="1"/>
  <c r="Z751" i="1" s="1"/>
  <c r="M755" i="1"/>
  <c r="V755" i="1" s="1"/>
  <c r="Y755" i="1" s="1"/>
  <c r="Z755" i="1" s="1"/>
  <c r="M758" i="1"/>
  <c r="V758" i="1" s="1"/>
  <c r="Y758" i="1" s="1"/>
  <c r="Z758" i="1" s="1"/>
  <c r="M749" i="1"/>
  <c r="V749" i="1" s="1"/>
  <c r="Y749" i="1" s="1"/>
  <c r="Z749" i="1" s="1"/>
  <c r="M750" i="1"/>
  <c r="V750" i="1" s="1"/>
  <c r="Y750" i="1" s="1"/>
  <c r="Z750" i="1" s="1"/>
  <c r="M101" i="1"/>
  <c r="V101" i="1" s="1"/>
  <c r="Y101" i="1" s="1"/>
  <c r="Z101" i="1" s="1"/>
  <c r="M95" i="1"/>
  <c r="V95" i="1" s="1"/>
  <c r="Y95" i="1" s="1"/>
  <c r="Z95" i="1" s="1"/>
  <c r="M96" i="1"/>
  <c r="V96" i="1" s="1"/>
  <c r="Y96" i="1" s="1"/>
  <c r="Z96" i="1" s="1"/>
  <c r="M114" i="1"/>
  <c r="V114" i="1" s="1"/>
  <c r="Y114" i="1" s="1"/>
  <c r="Z114" i="1" s="1"/>
  <c r="M100" i="1"/>
  <c r="V100" i="1" s="1"/>
  <c r="Y100" i="1" s="1"/>
  <c r="Z100" i="1" s="1"/>
  <c r="M99" i="1"/>
  <c r="V99" i="1" s="1"/>
  <c r="Y99" i="1" s="1"/>
  <c r="Z99" i="1" s="1"/>
  <c r="M102" i="1"/>
  <c r="V102" i="1" s="1"/>
  <c r="Y102" i="1" s="1"/>
  <c r="Z102" i="1" s="1"/>
  <c r="M98" i="1"/>
  <c r="V98" i="1" s="1"/>
  <c r="Y98" i="1" s="1"/>
  <c r="Z98" i="1" s="1"/>
  <c r="M112" i="1"/>
  <c r="V112" i="1" s="1"/>
  <c r="Y112" i="1" s="1"/>
  <c r="Z112" i="1" s="1"/>
  <c r="M106" i="1"/>
  <c r="V106" i="1" s="1"/>
  <c r="Y106" i="1" s="1"/>
  <c r="Z106" i="1" s="1"/>
  <c r="M113" i="1"/>
  <c r="V113" i="1" s="1"/>
  <c r="Y113" i="1" s="1"/>
  <c r="Z113" i="1" s="1"/>
  <c r="M108" i="1"/>
  <c r="V108" i="1" s="1"/>
  <c r="Y108" i="1" s="1"/>
  <c r="Z108" i="1" s="1"/>
  <c r="M107" i="1"/>
  <c r="V107" i="1" s="1"/>
  <c r="Y107" i="1" s="1"/>
  <c r="Z107" i="1" s="1"/>
  <c r="M109" i="1"/>
  <c r="V109" i="1" s="1"/>
  <c r="Y109" i="1" s="1"/>
  <c r="Z109" i="1" s="1"/>
  <c r="M110" i="1"/>
  <c r="V110" i="1" s="1"/>
  <c r="Y110" i="1" s="1"/>
  <c r="Z110" i="1" s="1"/>
  <c r="M105" i="1"/>
  <c r="V105" i="1" s="1"/>
  <c r="Y105" i="1" s="1"/>
  <c r="Z105" i="1" s="1"/>
  <c r="M104" i="1"/>
  <c r="V104" i="1" s="1"/>
  <c r="Y104" i="1" s="1"/>
  <c r="Z104" i="1" s="1"/>
  <c r="M103" i="1"/>
  <c r="V103" i="1" s="1"/>
  <c r="Y103" i="1" s="1"/>
  <c r="Z103" i="1" s="1"/>
  <c r="M111" i="1"/>
  <c r="V111" i="1" s="1"/>
  <c r="Y111" i="1" s="1"/>
  <c r="Z111" i="1" s="1"/>
  <c r="M97" i="1"/>
  <c r="V97" i="1" s="1"/>
  <c r="Y97" i="1" s="1"/>
  <c r="Z97" i="1" s="1"/>
  <c r="M761" i="1"/>
  <c r="V761" i="1" s="1"/>
  <c r="Y761" i="1" s="1"/>
  <c r="Z761" i="1" s="1"/>
  <c r="M768" i="1"/>
  <c r="V768" i="1" s="1"/>
  <c r="Y768" i="1" s="1"/>
  <c r="Z768" i="1" s="1"/>
  <c r="M774" i="1"/>
  <c r="V774" i="1" s="1"/>
  <c r="Y774" i="1" s="1"/>
  <c r="Z774" i="1" s="1"/>
  <c r="M772" i="1"/>
  <c r="V772" i="1" s="1"/>
  <c r="Y772" i="1" s="1"/>
  <c r="Z772" i="1" s="1"/>
  <c r="M779" i="1"/>
  <c r="V779" i="1" s="1"/>
  <c r="Y779" i="1" s="1"/>
  <c r="Z779" i="1" s="1"/>
  <c r="M775" i="1"/>
  <c r="V775" i="1" s="1"/>
  <c r="Y775" i="1" s="1"/>
  <c r="Z775" i="1" s="1"/>
  <c r="M778" i="1"/>
  <c r="V778" i="1" s="1"/>
  <c r="Y778" i="1" s="1"/>
  <c r="Z778" i="1" s="1"/>
  <c r="M762" i="1"/>
  <c r="V762" i="1" s="1"/>
  <c r="Y762" i="1" s="1"/>
  <c r="Z762" i="1" s="1"/>
  <c r="M780" i="1"/>
  <c r="V780" i="1" s="1"/>
  <c r="Y780" i="1" s="1"/>
  <c r="Z780" i="1" s="1"/>
  <c r="M766" i="1"/>
  <c r="V766" i="1" s="1"/>
  <c r="Y766" i="1" s="1"/>
  <c r="Z766" i="1" s="1"/>
  <c r="M763" i="1"/>
  <c r="V763" i="1" s="1"/>
  <c r="Y763" i="1" s="1"/>
  <c r="Z763" i="1" s="1"/>
  <c r="M765" i="1"/>
  <c r="V765" i="1" s="1"/>
  <c r="Y765" i="1" s="1"/>
  <c r="Z765" i="1" s="1"/>
  <c r="M764" i="1"/>
  <c r="V764" i="1" s="1"/>
  <c r="Y764" i="1" s="1"/>
  <c r="Z764" i="1" s="1"/>
  <c r="M770" i="1"/>
  <c r="V770" i="1" s="1"/>
  <c r="Y770" i="1" s="1"/>
  <c r="Z770" i="1" s="1"/>
  <c r="M773" i="1"/>
  <c r="V773" i="1" s="1"/>
  <c r="Y773" i="1" s="1"/>
  <c r="Z773" i="1" s="1"/>
  <c r="M769" i="1"/>
  <c r="V769" i="1" s="1"/>
  <c r="Y769" i="1" s="1"/>
  <c r="Z769" i="1" s="1"/>
  <c r="M767" i="1"/>
  <c r="V767" i="1" s="1"/>
  <c r="Y767" i="1" s="1"/>
  <c r="Z767" i="1" s="1"/>
  <c r="M771" i="1"/>
  <c r="V771" i="1" s="1"/>
  <c r="Y771" i="1" s="1"/>
  <c r="Z771" i="1" s="1"/>
  <c r="M776" i="1"/>
  <c r="V776" i="1" s="1"/>
  <c r="Y776" i="1" s="1"/>
  <c r="Z776" i="1" s="1"/>
  <c r="M777" i="1"/>
  <c r="V777" i="1" s="1"/>
  <c r="Y777" i="1" s="1"/>
  <c r="Z777" i="1" s="1"/>
  <c r="M781" i="1"/>
  <c r="V781" i="1" s="1"/>
  <c r="Y781" i="1" s="1"/>
  <c r="Z781" i="1" s="1"/>
  <c r="M784" i="1"/>
  <c r="V784" i="1" s="1"/>
  <c r="Y784" i="1" s="1"/>
  <c r="Z784" i="1" s="1"/>
  <c r="M783" i="1"/>
  <c r="V783" i="1" s="1"/>
  <c r="Y783" i="1" s="1"/>
  <c r="Z783" i="1" s="1"/>
  <c r="M785" i="1"/>
  <c r="V785" i="1" s="1"/>
  <c r="Y785" i="1" s="1"/>
  <c r="Z785" i="1" s="1"/>
  <c r="M788" i="1"/>
  <c r="V788" i="1" s="1"/>
  <c r="Y788" i="1" s="1"/>
  <c r="Z788" i="1" s="1"/>
  <c r="M792" i="1"/>
  <c r="V792" i="1" s="1"/>
  <c r="Y792" i="1" s="1"/>
  <c r="Z792" i="1" s="1"/>
  <c r="M793" i="1"/>
  <c r="V793" i="1" s="1"/>
  <c r="Y793" i="1" s="1"/>
  <c r="Z793" i="1" s="1"/>
  <c r="M795" i="1"/>
  <c r="V795" i="1" s="1"/>
  <c r="Y795" i="1" s="1"/>
  <c r="Z795" i="1" s="1"/>
  <c r="M794" i="1"/>
  <c r="V794" i="1" s="1"/>
  <c r="Y794" i="1" s="1"/>
  <c r="Z794" i="1" s="1"/>
  <c r="M800" i="1"/>
  <c r="V800" i="1" s="1"/>
  <c r="Y800" i="1" s="1"/>
  <c r="Z800" i="1" s="1"/>
  <c r="M796" i="1"/>
  <c r="V796" i="1" s="1"/>
  <c r="Y796" i="1" s="1"/>
  <c r="Z796" i="1" s="1"/>
  <c r="M802" i="1"/>
  <c r="V802" i="1" s="1"/>
  <c r="Y802" i="1" s="1"/>
  <c r="Z802" i="1" s="1"/>
  <c r="M782" i="1"/>
  <c r="V782" i="1" s="1"/>
  <c r="Y782" i="1" s="1"/>
  <c r="Z782" i="1" s="1"/>
  <c r="M786" i="1"/>
  <c r="V786" i="1" s="1"/>
  <c r="Y786" i="1" s="1"/>
  <c r="Z786" i="1" s="1"/>
  <c r="M787" i="1"/>
  <c r="V787" i="1" s="1"/>
  <c r="Y787" i="1" s="1"/>
  <c r="Z787" i="1" s="1"/>
  <c r="M789" i="1"/>
  <c r="V789" i="1" s="1"/>
  <c r="Y789" i="1" s="1"/>
  <c r="Z789" i="1" s="1"/>
  <c r="M790" i="1"/>
  <c r="V790" i="1" s="1"/>
  <c r="Y790" i="1" s="1"/>
  <c r="Z790" i="1" s="1"/>
  <c r="M798" i="1"/>
  <c r="V798" i="1" s="1"/>
  <c r="Y798" i="1" s="1"/>
  <c r="Z798" i="1" s="1"/>
  <c r="M797" i="1"/>
  <c r="V797" i="1" s="1"/>
  <c r="Y797" i="1" s="1"/>
  <c r="Z797" i="1" s="1"/>
  <c r="M801" i="1"/>
  <c r="V801" i="1" s="1"/>
  <c r="Y801" i="1" s="1"/>
  <c r="Z801" i="1" s="1"/>
  <c r="M799" i="1"/>
  <c r="V799" i="1" s="1"/>
  <c r="Y799" i="1" s="1"/>
  <c r="Z799" i="1" s="1"/>
  <c r="M791" i="1"/>
  <c r="V791" i="1" s="1"/>
  <c r="Y791" i="1" s="1"/>
  <c r="Z791" i="1" s="1"/>
  <c r="M808" i="1"/>
  <c r="V808" i="1" s="1"/>
  <c r="Y808" i="1" s="1"/>
  <c r="Z808" i="1" s="1"/>
  <c r="M803" i="1"/>
  <c r="V803" i="1" s="1"/>
  <c r="Y803" i="1" s="1"/>
  <c r="Z803" i="1" s="1"/>
  <c r="M805" i="1"/>
  <c r="V805" i="1" s="1"/>
  <c r="Y805" i="1" s="1"/>
  <c r="Z805" i="1" s="1"/>
  <c r="M822" i="1"/>
  <c r="V822" i="1" s="1"/>
  <c r="Y822" i="1" s="1"/>
  <c r="Z822" i="1" s="1"/>
  <c r="M807" i="1"/>
  <c r="V807" i="1" s="1"/>
  <c r="Y807" i="1" s="1"/>
  <c r="Z807" i="1" s="1"/>
  <c r="M810" i="1"/>
  <c r="V810" i="1" s="1"/>
  <c r="Y810" i="1" s="1"/>
  <c r="Z810" i="1" s="1"/>
  <c r="M809" i="1"/>
  <c r="V809" i="1" s="1"/>
  <c r="Y809" i="1" s="1"/>
  <c r="Z809" i="1" s="1"/>
  <c r="M811" i="1"/>
  <c r="V811" i="1" s="1"/>
  <c r="Y811" i="1" s="1"/>
  <c r="Z811" i="1" s="1"/>
  <c r="M806" i="1"/>
  <c r="V806" i="1" s="1"/>
  <c r="Y806" i="1" s="1"/>
  <c r="Z806" i="1" s="1"/>
  <c r="M818" i="1"/>
  <c r="V818" i="1" s="1"/>
  <c r="Y818" i="1" s="1"/>
  <c r="Z818" i="1" s="1"/>
  <c r="M819" i="1"/>
  <c r="V819" i="1" s="1"/>
  <c r="Y819" i="1" s="1"/>
  <c r="Z819" i="1" s="1"/>
  <c r="M816" i="1"/>
  <c r="V816" i="1" s="1"/>
  <c r="Y816" i="1" s="1"/>
  <c r="Z816" i="1" s="1"/>
  <c r="M821" i="1"/>
  <c r="V821" i="1" s="1"/>
  <c r="Y821" i="1" s="1"/>
  <c r="Z821" i="1" s="1"/>
  <c r="M815" i="1"/>
  <c r="V815" i="1" s="1"/>
  <c r="Y815" i="1" s="1"/>
  <c r="Z815" i="1" s="1"/>
  <c r="M814" i="1"/>
  <c r="V814" i="1" s="1"/>
  <c r="Y814" i="1" s="1"/>
  <c r="Z814" i="1" s="1"/>
  <c r="M820" i="1"/>
  <c r="V820" i="1" s="1"/>
  <c r="Y820" i="1" s="1"/>
  <c r="Z820" i="1" s="1"/>
  <c r="M817" i="1"/>
  <c r="V817" i="1" s="1"/>
  <c r="Y817" i="1" s="1"/>
  <c r="Z817" i="1" s="1"/>
  <c r="M812" i="1"/>
  <c r="V812" i="1" s="1"/>
  <c r="Y812" i="1" s="1"/>
  <c r="Z812" i="1" s="1"/>
  <c r="M813" i="1"/>
  <c r="V813" i="1" s="1"/>
  <c r="Y813" i="1" s="1"/>
  <c r="Z813" i="1" s="1"/>
  <c r="M804" i="1"/>
  <c r="V804" i="1" s="1"/>
  <c r="Y804" i="1" s="1"/>
  <c r="Z804" i="1" s="1"/>
  <c r="M827" i="1"/>
  <c r="V827" i="1" s="1"/>
  <c r="Y827" i="1" s="1"/>
  <c r="Z827" i="1" s="1"/>
  <c r="M828" i="1"/>
  <c r="V828" i="1" s="1"/>
  <c r="Y828" i="1" s="1"/>
  <c r="Z828" i="1" s="1"/>
  <c r="M823" i="1"/>
  <c r="V823" i="1" s="1"/>
  <c r="Y823" i="1" s="1"/>
  <c r="Z823" i="1" s="1"/>
  <c r="M831" i="1"/>
  <c r="V831" i="1" s="1"/>
  <c r="Y831" i="1" s="1"/>
  <c r="Z831" i="1" s="1"/>
  <c r="M832" i="1"/>
  <c r="V832" i="1" s="1"/>
  <c r="Y832" i="1" s="1"/>
  <c r="Z832" i="1" s="1"/>
  <c r="M834" i="1"/>
  <c r="V834" i="1" s="1"/>
  <c r="Y834" i="1" s="1"/>
  <c r="Z834" i="1" s="1"/>
  <c r="M833" i="1"/>
  <c r="V833" i="1" s="1"/>
  <c r="Y833" i="1" s="1"/>
  <c r="Z833" i="1" s="1"/>
  <c r="M835" i="1"/>
  <c r="V835" i="1" s="1"/>
  <c r="Y835" i="1" s="1"/>
  <c r="Z835" i="1" s="1"/>
  <c r="M838" i="1"/>
  <c r="V838" i="1" s="1"/>
  <c r="Y838" i="1" s="1"/>
  <c r="Z838" i="1" s="1"/>
  <c r="M837" i="1"/>
  <c r="V837" i="1" s="1"/>
  <c r="Y837" i="1" s="1"/>
  <c r="Z837" i="1" s="1"/>
  <c r="M839" i="1"/>
  <c r="V839" i="1" s="1"/>
  <c r="Y839" i="1" s="1"/>
  <c r="Z839" i="1" s="1"/>
  <c r="M845" i="1"/>
  <c r="V845" i="1" s="1"/>
  <c r="Y845" i="1" s="1"/>
  <c r="Z845" i="1" s="1"/>
  <c r="M843" i="1"/>
  <c r="V843" i="1" s="1"/>
  <c r="Y843" i="1" s="1"/>
  <c r="Z843" i="1" s="1"/>
  <c r="M842" i="1"/>
  <c r="V842" i="1" s="1"/>
  <c r="Y842" i="1" s="1"/>
  <c r="Z842" i="1" s="1"/>
  <c r="M847" i="1"/>
  <c r="V847" i="1" s="1"/>
  <c r="Y847" i="1" s="1"/>
  <c r="Z847" i="1" s="1"/>
  <c r="M826" i="1"/>
  <c r="V826" i="1" s="1"/>
  <c r="Y826" i="1" s="1"/>
  <c r="Z826" i="1" s="1"/>
  <c r="M825" i="1"/>
  <c r="V825" i="1" s="1"/>
  <c r="Y825" i="1" s="1"/>
  <c r="Z825" i="1" s="1"/>
  <c r="M829" i="1"/>
  <c r="V829" i="1" s="1"/>
  <c r="Y829" i="1" s="1"/>
  <c r="Z829" i="1" s="1"/>
  <c r="M830" i="1"/>
  <c r="V830" i="1" s="1"/>
  <c r="Y830" i="1" s="1"/>
  <c r="Z830" i="1" s="1"/>
  <c r="M824" i="1"/>
  <c r="V824" i="1" s="1"/>
  <c r="Y824" i="1" s="1"/>
  <c r="Z824" i="1" s="1"/>
  <c r="M846" i="1"/>
  <c r="V846" i="1" s="1"/>
  <c r="Y846" i="1" s="1"/>
  <c r="Z846" i="1" s="1"/>
  <c r="M844" i="1"/>
  <c r="V844" i="1" s="1"/>
  <c r="Y844" i="1" s="1"/>
  <c r="Z844" i="1" s="1"/>
  <c r="M840" i="1"/>
  <c r="V840" i="1" s="1"/>
  <c r="Y840" i="1" s="1"/>
  <c r="Z840" i="1" s="1"/>
  <c r="M841" i="1"/>
  <c r="V841" i="1" s="1"/>
  <c r="Y841" i="1" s="1"/>
  <c r="Z841" i="1" s="1"/>
  <c r="M836" i="1"/>
  <c r="V836" i="1" s="1"/>
  <c r="Y836" i="1" s="1"/>
  <c r="Z836" i="1" s="1"/>
  <c r="M854" i="1"/>
  <c r="V854" i="1" s="1"/>
  <c r="Y854" i="1" s="1"/>
  <c r="Z854" i="1" s="1"/>
  <c r="M861" i="1"/>
  <c r="V861" i="1" s="1"/>
  <c r="Y861" i="1" s="1"/>
  <c r="Z861" i="1" s="1"/>
  <c r="M864" i="1"/>
  <c r="V864" i="1" s="1"/>
  <c r="Y864" i="1" s="1"/>
  <c r="Z864" i="1" s="1"/>
  <c r="M858" i="1"/>
  <c r="V858" i="1" s="1"/>
  <c r="Y858" i="1" s="1"/>
  <c r="Z858" i="1" s="1"/>
  <c r="M848" i="1"/>
  <c r="V848" i="1" s="1"/>
  <c r="Y848" i="1" s="1"/>
  <c r="Z848" i="1" s="1"/>
  <c r="M867" i="1"/>
  <c r="V867" i="1" s="1"/>
  <c r="Y867" i="1" s="1"/>
  <c r="Z867" i="1" s="1"/>
  <c r="M849" i="1"/>
  <c r="V849" i="1" s="1"/>
  <c r="Y849" i="1" s="1"/>
  <c r="Z849" i="1" s="1"/>
  <c r="M850" i="1"/>
  <c r="V850" i="1" s="1"/>
  <c r="Y850" i="1" s="1"/>
  <c r="Z850" i="1" s="1"/>
  <c r="M851" i="1"/>
  <c r="V851" i="1" s="1"/>
  <c r="Y851" i="1" s="1"/>
  <c r="Z851" i="1" s="1"/>
  <c r="M865" i="1"/>
  <c r="V865" i="1" s="1"/>
  <c r="Y865" i="1" s="1"/>
  <c r="Z865" i="1" s="1"/>
  <c r="M859" i="1"/>
  <c r="V859" i="1" s="1"/>
  <c r="Y859" i="1" s="1"/>
  <c r="Z859" i="1" s="1"/>
  <c r="M856" i="1"/>
  <c r="V856" i="1" s="1"/>
  <c r="Y856" i="1" s="1"/>
  <c r="Z856" i="1" s="1"/>
  <c r="M862" i="1"/>
  <c r="V862" i="1" s="1"/>
  <c r="Y862" i="1" s="1"/>
  <c r="Z862" i="1" s="1"/>
  <c r="M866" i="1"/>
  <c r="V866" i="1" s="1"/>
  <c r="Y866" i="1" s="1"/>
  <c r="Z866" i="1" s="1"/>
  <c r="M857" i="1"/>
  <c r="V857" i="1" s="1"/>
  <c r="Y857" i="1" s="1"/>
  <c r="Z857" i="1" s="1"/>
  <c r="M860" i="1"/>
  <c r="V860" i="1" s="1"/>
  <c r="Y860" i="1" s="1"/>
  <c r="Z860" i="1" s="1"/>
  <c r="M863" i="1"/>
  <c r="V863" i="1" s="1"/>
  <c r="Y863" i="1" s="1"/>
  <c r="Z863" i="1" s="1"/>
  <c r="M852" i="1"/>
  <c r="V852" i="1" s="1"/>
  <c r="Y852" i="1" s="1"/>
  <c r="Z852" i="1" s="1"/>
  <c r="M853" i="1"/>
  <c r="V853" i="1" s="1"/>
  <c r="Y853" i="1" s="1"/>
  <c r="Z853" i="1" s="1"/>
  <c r="M855" i="1"/>
  <c r="V855" i="1" s="1"/>
  <c r="Y855" i="1" s="1"/>
  <c r="Z855" i="1" s="1"/>
  <c r="M602" i="1"/>
  <c r="V602" i="1" s="1"/>
  <c r="Y602" i="1" s="1"/>
  <c r="Z602" i="1" s="1"/>
  <c r="M590" i="1"/>
  <c r="V590" i="1" s="1"/>
  <c r="Y590" i="1" s="1"/>
  <c r="Z590" i="1" s="1"/>
  <c r="M591" i="1"/>
  <c r="V591" i="1" s="1"/>
  <c r="Y591" i="1" s="1"/>
  <c r="Z591" i="1" s="1"/>
  <c r="M609" i="1"/>
  <c r="V609" i="1" s="1"/>
  <c r="Y609" i="1" s="1"/>
  <c r="Z609" i="1" s="1"/>
  <c r="M595" i="1"/>
  <c r="V595" i="1" s="1"/>
  <c r="Y595" i="1" s="1"/>
  <c r="Z595" i="1" s="1"/>
  <c r="M592" i="1"/>
  <c r="V592" i="1" s="1"/>
  <c r="Y592" i="1" s="1"/>
  <c r="Z592" i="1" s="1"/>
  <c r="M596" i="1"/>
  <c r="V596" i="1" s="1"/>
  <c r="Y596" i="1" s="1"/>
  <c r="Z596" i="1" s="1"/>
  <c r="M593" i="1"/>
  <c r="V593" i="1" s="1"/>
  <c r="Y593" i="1" s="1"/>
  <c r="Z593" i="1" s="1"/>
  <c r="M594" i="1"/>
  <c r="V594" i="1" s="1"/>
  <c r="Y594" i="1" s="1"/>
  <c r="Z594" i="1" s="1"/>
  <c r="M607" i="1"/>
  <c r="V607" i="1" s="1"/>
  <c r="Y607" i="1" s="1"/>
  <c r="Z607" i="1" s="1"/>
  <c r="M600" i="1"/>
  <c r="V600" i="1" s="1"/>
  <c r="Y600" i="1" s="1"/>
  <c r="Z600" i="1" s="1"/>
  <c r="M604" i="1"/>
  <c r="V604" i="1" s="1"/>
  <c r="Y604" i="1" s="1"/>
  <c r="Z604" i="1" s="1"/>
  <c r="M606" i="1"/>
  <c r="V606" i="1" s="1"/>
  <c r="Y606" i="1" s="1"/>
  <c r="Z606" i="1" s="1"/>
  <c r="M603" i="1"/>
  <c r="V603" i="1" s="1"/>
  <c r="Y603" i="1" s="1"/>
  <c r="Z603" i="1" s="1"/>
  <c r="M605" i="1"/>
  <c r="V605" i="1" s="1"/>
  <c r="Y605" i="1" s="1"/>
  <c r="Z605" i="1" s="1"/>
  <c r="M599" i="1"/>
  <c r="V599" i="1" s="1"/>
  <c r="Y599" i="1" s="1"/>
  <c r="Z599" i="1" s="1"/>
  <c r="M601" i="1"/>
  <c r="V601" i="1" s="1"/>
  <c r="Y601" i="1" s="1"/>
  <c r="Z601" i="1" s="1"/>
  <c r="M598" i="1"/>
  <c r="V598" i="1" s="1"/>
  <c r="Y598" i="1" s="1"/>
  <c r="Z598" i="1" s="1"/>
  <c r="M597" i="1"/>
  <c r="V597" i="1" s="1"/>
  <c r="Y597" i="1" s="1"/>
  <c r="Z597" i="1" s="1"/>
  <c r="M608" i="1"/>
  <c r="V608" i="1" s="1"/>
  <c r="Y608" i="1" s="1"/>
  <c r="Z608" i="1" s="1"/>
  <c r="M868" i="1"/>
  <c r="V868" i="1" s="1"/>
  <c r="Y868" i="1" s="1"/>
  <c r="Z868" i="1" s="1"/>
  <c r="M870" i="1"/>
  <c r="V870" i="1" s="1"/>
  <c r="Y870" i="1" s="1"/>
  <c r="Z870" i="1" s="1"/>
  <c r="M871" i="1"/>
  <c r="V871" i="1" s="1"/>
  <c r="Y871" i="1" s="1"/>
  <c r="Z871" i="1" s="1"/>
  <c r="M877" i="1"/>
  <c r="V877" i="1" s="1"/>
  <c r="Y877" i="1" s="1"/>
  <c r="Z877" i="1" s="1"/>
  <c r="M876" i="1"/>
  <c r="V876" i="1" s="1"/>
  <c r="Y876" i="1" s="1"/>
  <c r="Z876" i="1" s="1"/>
  <c r="M873" i="1"/>
  <c r="V873" i="1" s="1"/>
  <c r="Y873" i="1" s="1"/>
  <c r="Z873" i="1" s="1"/>
  <c r="M878" i="1"/>
  <c r="V878" i="1" s="1"/>
  <c r="Y878" i="1" s="1"/>
  <c r="Z878" i="1" s="1"/>
  <c r="M882" i="1"/>
  <c r="V882" i="1" s="1"/>
  <c r="Y882" i="1" s="1"/>
  <c r="Z882" i="1" s="1"/>
  <c r="M880" i="1"/>
  <c r="V880" i="1" s="1"/>
  <c r="Y880" i="1" s="1"/>
  <c r="Z880" i="1" s="1"/>
  <c r="M883" i="1"/>
  <c r="V883" i="1" s="1"/>
  <c r="Y883" i="1" s="1"/>
  <c r="Z883" i="1" s="1"/>
  <c r="M890" i="1"/>
  <c r="V890" i="1" s="1"/>
  <c r="Y890" i="1" s="1"/>
  <c r="Z890" i="1" s="1"/>
  <c r="M885" i="1"/>
  <c r="V885" i="1" s="1"/>
  <c r="Y885" i="1" s="1"/>
  <c r="Z885" i="1" s="1"/>
  <c r="M888" i="1"/>
  <c r="V888" i="1" s="1"/>
  <c r="Y888" i="1" s="1"/>
  <c r="Z888" i="1" s="1"/>
  <c r="M884" i="1"/>
  <c r="V884" i="1" s="1"/>
  <c r="Y884" i="1" s="1"/>
  <c r="Z884" i="1" s="1"/>
  <c r="M892" i="1"/>
  <c r="V892" i="1" s="1"/>
  <c r="Y892" i="1" s="1"/>
  <c r="Z892" i="1" s="1"/>
  <c r="M869" i="1"/>
  <c r="V869" i="1" s="1"/>
  <c r="Y869" i="1" s="1"/>
  <c r="Z869" i="1" s="1"/>
  <c r="M872" i="1"/>
  <c r="V872" i="1" s="1"/>
  <c r="Y872" i="1" s="1"/>
  <c r="Z872" i="1" s="1"/>
  <c r="M875" i="1"/>
  <c r="V875" i="1" s="1"/>
  <c r="Y875" i="1" s="1"/>
  <c r="Z875" i="1" s="1"/>
  <c r="M874" i="1"/>
  <c r="V874" i="1" s="1"/>
  <c r="Y874" i="1" s="1"/>
  <c r="Z874" i="1" s="1"/>
  <c r="M879" i="1"/>
  <c r="V879" i="1" s="1"/>
  <c r="Y879" i="1" s="1"/>
  <c r="Z879" i="1" s="1"/>
  <c r="M891" i="1"/>
  <c r="V891" i="1" s="1"/>
  <c r="Y891" i="1" s="1"/>
  <c r="Z891" i="1" s="1"/>
  <c r="M886" i="1"/>
  <c r="V886" i="1" s="1"/>
  <c r="Y886" i="1" s="1"/>
  <c r="Z886" i="1" s="1"/>
  <c r="M887" i="1"/>
  <c r="V887" i="1" s="1"/>
  <c r="Y887" i="1" s="1"/>
  <c r="Z887" i="1" s="1"/>
  <c r="M889" i="1"/>
  <c r="V889" i="1" s="1"/>
  <c r="Y889" i="1" s="1"/>
  <c r="Z889" i="1" s="1"/>
  <c r="M881" i="1"/>
  <c r="V881" i="1" s="1"/>
  <c r="Y881" i="1" s="1"/>
  <c r="Z881" i="1" s="1"/>
  <c r="M893" i="1"/>
  <c r="V893" i="1" s="1"/>
  <c r="Y893" i="1" s="1"/>
  <c r="Z893" i="1" s="1"/>
  <c r="M894" i="1"/>
  <c r="V894" i="1" s="1"/>
  <c r="Y894" i="1" s="1"/>
  <c r="Z894" i="1" s="1"/>
  <c r="M898" i="1"/>
  <c r="V898" i="1" s="1"/>
  <c r="Y898" i="1" s="1"/>
  <c r="Z898" i="1" s="1"/>
  <c r="M897" i="1"/>
  <c r="V897" i="1" s="1"/>
  <c r="Y897" i="1" s="1"/>
  <c r="Z897" i="1" s="1"/>
  <c r="M901" i="1"/>
  <c r="V901" i="1" s="1"/>
  <c r="Y901" i="1" s="1"/>
  <c r="Z901" i="1" s="1"/>
  <c r="M896" i="1"/>
  <c r="V896" i="1" s="1"/>
  <c r="Y896" i="1" s="1"/>
  <c r="Z896" i="1" s="1"/>
  <c r="M899" i="1"/>
  <c r="V899" i="1" s="1"/>
  <c r="Y899" i="1" s="1"/>
  <c r="Z899" i="1" s="1"/>
  <c r="M904" i="1"/>
  <c r="V904" i="1" s="1"/>
  <c r="Y904" i="1" s="1"/>
  <c r="Z904" i="1" s="1"/>
  <c r="M905" i="1"/>
  <c r="V905" i="1" s="1"/>
  <c r="Y905" i="1" s="1"/>
  <c r="Z905" i="1" s="1"/>
  <c r="M913" i="1"/>
  <c r="V913" i="1" s="1"/>
  <c r="Y913" i="1" s="1"/>
  <c r="Z913" i="1" s="1"/>
  <c r="M906" i="1"/>
  <c r="V906" i="1" s="1"/>
  <c r="Y906" i="1" s="1"/>
  <c r="Z906" i="1" s="1"/>
  <c r="M908" i="1"/>
  <c r="V908" i="1" s="1"/>
  <c r="Y908" i="1" s="1"/>
  <c r="Z908" i="1" s="1"/>
  <c r="M914" i="1"/>
  <c r="V914" i="1" s="1"/>
  <c r="Y914" i="1" s="1"/>
  <c r="Z914" i="1" s="1"/>
  <c r="M910" i="1"/>
  <c r="V910" i="1" s="1"/>
  <c r="Y910" i="1" s="1"/>
  <c r="Z910" i="1" s="1"/>
  <c r="M916" i="1"/>
  <c r="V916" i="1" s="1"/>
  <c r="Y916" i="1" s="1"/>
  <c r="Z916" i="1" s="1"/>
  <c r="M895" i="1"/>
  <c r="V895" i="1" s="1"/>
  <c r="Y895" i="1" s="1"/>
  <c r="Z895" i="1" s="1"/>
  <c r="M900" i="1"/>
  <c r="V900" i="1" s="1"/>
  <c r="Y900" i="1" s="1"/>
  <c r="Z900" i="1" s="1"/>
  <c r="M907" i="1"/>
  <c r="V907" i="1" s="1"/>
  <c r="Y907" i="1" s="1"/>
  <c r="Z907" i="1" s="1"/>
  <c r="M909" i="1"/>
  <c r="V909" i="1" s="1"/>
  <c r="Y909" i="1" s="1"/>
  <c r="Z909" i="1" s="1"/>
  <c r="M911" i="1"/>
  <c r="V911" i="1" s="1"/>
  <c r="Y911" i="1" s="1"/>
  <c r="Z911" i="1" s="1"/>
  <c r="M912" i="1"/>
  <c r="V912" i="1" s="1"/>
  <c r="Y912" i="1" s="1"/>
  <c r="Z912" i="1" s="1"/>
  <c r="M915" i="1"/>
  <c r="V915" i="1" s="1"/>
  <c r="Y915" i="1" s="1"/>
  <c r="Z915" i="1" s="1"/>
  <c r="M902" i="1"/>
  <c r="V902" i="1" s="1"/>
  <c r="Y902" i="1" s="1"/>
  <c r="Z902" i="1" s="1"/>
  <c r="M903" i="1"/>
  <c r="V903" i="1" s="1"/>
  <c r="Y903" i="1" s="1"/>
  <c r="Z903" i="1" s="1"/>
  <c r="M917" i="1"/>
  <c r="V917" i="1" s="1"/>
  <c r="Y917" i="1" s="1"/>
  <c r="Z917" i="1" s="1"/>
  <c r="M920" i="1"/>
  <c r="V920" i="1" s="1"/>
  <c r="Y920" i="1" s="1"/>
  <c r="Z920" i="1" s="1"/>
  <c r="M918" i="1"/>
  <c r="V918" i="1" s="1"/>
  <c r="Y918" i="1" s="1"/>
  <c r="Z918" i="1" s="1"/>
  <c r="M921" i="1"/>
  <c r="V921" i="1" s="1"/>
  <c r="Y921" i="1" s="1"/>
  <c r="Z921" i="1" s="1"/>
  <c r="M923" i="1"/>
  <c r="V923" i="1" s="1"/>
  <c r="Y923" i="1" s="1"/>
  <c r="Z923" i="1" s="1"/>
  <c r="M933" i="1"/>
  <c r="V933" i="1" s="1"/>
  <c r="Y933" i="1" s="1"/>
  <c r="Z933" i="1" s="1"/>
  <c r="M926" i="1"/>
  <c r="V926" i="1" s="1"/>
  <c r="Y926" i="1" s="1"/>
  <c r="Z926" i="1" s="1"/>
  <c r="M927" i="1"/>
  <c r="V927" i="1" s="1"/>
  <c r="Y927" i="1" s="1"/>
  <c r="Z927" i="1" s="1"/>
  <c r="M935" i="1"/>
  <c r="V935" i="1" s="1"/>
  <c r="Y935" i="1" s="1"/>
  <c r="Z935" i="1" s="1"/>
  <c r="M929" i="1"/>
  <c r="V929" i="1" s="1"/>
  <c r="Y929" i="1" s="1"/>
  <c r="Z929" i="1" s="1"/>
  <c r="M936" i="1"/>
  <c r="V936" i="1" s="1"/>
  <c r="Y936" i="1" s="1"/>
  <c r="Z936" i="1" s="1"/>
  <c r="M922" i="1"/>
  <c r="V922" i="1" s="1"/>
  <c r="Y922" i="1" s="1"/>
  <c r="Z922" i="1" s="1"/>
  <c r="M919" i="1"/>
  <c r="V919" i="1" s="1"/>
  <c r="Y919" i="1" s="1"/>
  <c r="Z919" i="1" s="1"/>
  <c r="M931" i="1"/>
  <c r="V931" i="1" s="1"/>
  <c r="Y931" i="1" s="1"/>
  <c r="Z931" i="1" s="1"/>
  <c r="M928" i="1"/>
  <c r="V928" i="1" s="1"/>
  <c r="Y928" i="1" s="1"/>
  <c r="Z928" i="1" s="1"/>
  <c r="M934" i="1"/>
  <c r="V934" i="1" s="1"/>
  <c r="Y934" i="1" s="1"/>
  <c r="Z934" i="1" s="1"/>
  <c r="M930" i="1"/>
  <c r="V930" i="1" s="1"/>
  <c r="Y930" i="1" s="1"/>
  <c r="Z930" i="1" s="1"/>
  <c r="M932" i="1"/>
  <c r="V932" i="1" s="1"/>
  <c r="Y932" i="1" s="1"/>
  <c r="Z932" i="1" s="1"/>
  <c r="M925" i="1"/>
  <c r="V925" i="1" s="1"/>
  <c r="Y925" i="1" s="1"/>
  <c r="Z925" i="1" s="1"/>
  <c r="M924" i="1"/>
  <c r="V924" i="1" s="1"/>
  <c r="Y924" i="1" s="1"/>
  <c r="Z924" i="1" s="1"/>
  <c r="M1225" i="1"/>
  <c r="V1225" i="1" s="1"/>
  <c r="Y1225" i="1" s="1"/>
  <c r="Z1225" i="1" s="1"/>
  <c r="M1229" i="1"/>
  <c r="V1229" i="1" s="1"/>
  <c r="Y1229" i="1" s="1"/>
  <c r="Z1229" i="1" s="1"/>
  <c r="M1233" i="1"/>
  <c r="V1233" i="1" s="1"/>
  <c r="Y1233" i="1" s="1"/>
  <c r="Z1233" i="1" s="1"/>
  <c r="M1232" i="1"/>
  <c r="V1232" i="1" s="1"/>
  <c r="Y1232" i="1" s="1"/>
  <c r="Z1232" i="1" s="1"/>
  <c r="M1231" i="1"/>
  <c r="V1231" i="1" s="1"/>
  <c r="Y1231" i="1" s="1"/>
  <c r="Z1231" i="1" s="1"/>
  <c r="M1237" i="1"/>
  <c r="V1237" i="1" s="1"/>
  <c r="Y1237" i="1" s="1"/>
  <c r="Z1237" i="1" s="1"/>
  <c r="M1236" i="1"/>
  <c r="V1236" i="1" s="1"/>
  <c r="Y1236" i="1" s="1"/>
  <c r="Z1236" i="1" s="1"/>
  <c r="M1243" i="1"/>
  <c r="V1243" i="1" s="1"/>
  <c r="Y1243" i="1" s="1"/>
  <c r="Z1243" i="1" s="1"/>
  <c r="M1246" i="1"/>
  <c r="V1246" i="1" s="1"/>
  <c r="Y1246" i="1" s="1"/>
  <c r="Z1246" i="1" s="1"/>
  <c r="M1247" i="1"/>
  <c r="V1247" i="1" s="1"/>
  <c r="Y1247" i="1" s="1"/>
  <c r="Z1247" i="1" s="1"/>
  <c r="M1249" i="1"/>
  <c r="V1249" i="1" s="1"/>
  <c r="Y1249" i="1" s="1"/>
  <c r="Z1249" i="1" s="1"/>
  <c r="M1248" i="1"/>
  <c r="V1248" i="1" s="1"/>
  <c r="Y1248" i="1" s="1"/>
  <c r="Z1248" i="1" s="1"/>
  <c r="M1242" i="1"/>
  <c r="V1242" i="1" s="1"/>
  <c r="Y1242" i="1" s="1"/>
  <c r="Z1242" i="1" s="1"/>
  <c r="M1238" i="1"/>
  <c r="V1238" i="1" s="1"/>
  <c r="Y1238" i="1" s="1"/>
  <c r="Z1238" i="1" s="1"/>
  <c r="M1250" i="1"/>
  <c r="V1250" i="1" s="1"/>
  <c r="Y1250" i="1" s="1"/>
  <c r="Z1250" i="1" s="1"/>
  <c r="M1224" i="1"/>
  <c r="V1224" i="1" s="1"/>
  <c r="Y1224" i="1" s="1"/>
  <c r="Z1224" i="1" s="1"/>
  <c r="M1228" i="1"/>
  <c r="V1228" i="1" s="1"/>
  <c r="Y1228" i="1" s="1"/>
  <c r="Z1228" i="1" s="1"/>
  <c r="M1227" i="1"/>
  <c r="V1227" i="1" s="1"/>
  <c r="Y1227" i="1" s="1"/>
  <c r="Z1227" i="1" s="1"/>
  <c r="M1230" i="1"/>
  <c r="V1230" i="1" s="1"/>
  <c r="Y1230" i="1" s="1"/>
  <c r="Z1230" i="1" s="1"/>
  <c r="M1226" i="1"/>
  <c r="V1226" i="1" s="1"/>
  <c r="Y1226" i="1" s="1"/>
  <c r="Z1226" i="1" s="1"/>
  <c r="M1244" i="1"/>
  <c r="V1244" i="1" s="1"/>
  <c r="Y1244" i="1" s="1"/>
  <c r="Z1244" i="1" s="1"/>
  <c r="M1240" i="1"/>
  <c r="V1240" i="1" s="1"/>
  <c r="Y1240" i="1" s="1"/>
  <c r="Z1240" i="1" s="1"/>
  <c r="M1241" i="1"/>
  <c r="V1241" i="1" s="1"/>
  <c r="Y1241" i="1" s="1"/>
  <c r="Z1241" i="1" s="1"/>
  <c r="M1245" i="1"/>
  <c r="V1245" i="1" s="1"/>
  <c r="Y1245" i="1" s="1"/>
  <c r="Z1245" i="1" s="1"/>
  <c r="M1239" i="1"/>
  <c r="V1239" i="1" s="1"/>
  <c r="Y1239" i="1" s="1"/>
  <c r="Z1239" i="1" s="1"/>
  <c r="M1235" i="1"/>
  <c r="V1235" i="1" s="1"/>
  <c r="Y1235" i="1" s="1"/>
  <c r="Z1235" i="1" s="1"/>
  <c r="M1234" i="1"/>
  <c r="V1234" i="1" s="1"/>
  <c r="Y1234" i="1" s="1"/>
  <c r="Z1234" i="1" s="1"/>
  <c r="M462" i="1"/>
  <c r="V462" i="1" s="1"/>
  <c r="Y462" i="1" s="1"/>
  <c r="Z462" i="1" s="1"/>
  <c r="M465" i="1"/>
  <c r="V465" i="1" s="1"/>
  <c r="Y465" i="1" s="1"/>
  <c r="Z465" i="1" s="1"/>
  <c r="M467" i="1"/>
  <c r="V467" i="1" s="1"/>
  <c r="Y467" i="1" s="1"/>
  <c r="Z467" i="1" s="1"/>
  <c r="M478" i="1"/>
  <c r="V478" i="1" s="1"/>
  <c r="Y478" i="1" s="1"/>
  <c r="Z478" i="1" s="1"/>
  <c r="M474" i="1"/>
  <c r="V474" i="1" s="1"/>
  <c r="Y474" i="1" s="1"/>
  <c r="Z474" i="1" s="1"/>
  <c r="M461" i="1"/>
  <c r="V461" i="1" s="1"/>
  <c r="Y461" i="1" s="1"/>
  <c r="Z461" i="1" s="1"/>
  <c r="M480" i="1"/>
  <c r="V480" i="1" s="1"/>
  <c r="Y480" i="1" s="1"/>
  <c r="Z480" i="1" s="1"/>
  <c r="M464" i="1"/>
  <c r="V464" i="1" s="1"/>
  <c r="Y464" i="1" s="1"/>
  <c r="Z464" i="1" s="1"/>
  <c r="M466" i="1"/>
  <c r="V466" i="1" s="1"/>
  <c r="Y466" i="1" s="1"/>
  <c r="Z466" i="1" s="1"/>
  <c r="M479" i="1"/>
  <c r="V479" i="1" s="1"/>
  <c r="Y479" i="1" s="1"/>
  <c r="Z479" i="1" s="1"/>
  <c r="M471" i="1"/>
  <c r="V471" i="1" s="1"/>
  <c r="Y471" i="1" s="1"/>
  <c r="Z471" i="1" s="1"/>
  <c r="M477" i="1"/>
  <c r="V477" i="1" s="1"/>
  <c r="Y477" i="1" s="1"/>
  <c r="Z477" i="1" s="1"/>
  <c r="M475" i="1"/>
  <c r="V475" i="1" s="1"/>
  <c r="Y475" i="1" s="1"/>
  <c r="Z475" i="1" s="1"/>
  <c r="M473" i="1"/>
  <c r="V473" i="1" s="1"/>
  <c r="Y473" i="1" s="1"/>
  <c r="Z473" i="1" s="1"/>
  <c r="M472" i="1"/>
  <c r="V472" i="1" s="1"/>
  <c r="Y472" i="1" s="1"/>
  <c r="Z472" i="1" s="1"/>
  <c r="M470" i="1"/>
  <c r="V470" i="1" s="1"/>
  <c r="Y470" i="1" s="1"/>
  <c r="Z470" i="1" s="1"/>
  <c r="M476" i="1"/>
  <c r="V476" i="1" s="1"/>
  <c r="Y476" i="1" s="1"/>
  <c r="Z476" i="1" s="1"/>
  <c r="M468" i="1"/>
  <c r="V468" i="1" s="1"/>
  <c r="Y468" i="1" s="1"/>
  <c r="Z468" i="1" s="1"/>
  <c r="M469" i="1"/>
  <c r="V469" i="1" s="1"/>
  <c r="Y469" i="1" s="1"/>
  <c r="Z469" i="1" s="1"/>
  <c r="M463" i="1"/>
  <c r="V463" i="1" s="1"/>
  <c r="Y463" i="1" s="1"/>
  <c r="Z463" i="1" s="1"/>
  <c r="M953" i="1"/>
  <c r="V953" i="1" s="1"/>
  <c r="Y953" i="1" s="1"/>
  <c r="Z953" i="1" s="1"/>
  <c r="M939" i="1"/>
  <c r="V939" i="1" s="1"/>
  <c r="Y939" i="1" s="1"/>
  <c r="Z939" i="1" s="1"/>
  <c r="M937" i="1"/>
  <c r="V937" i="1" s="1"/>
  <c r="Y937" i="1" s="1"/>
  <c r="Z937" i="1" s="1"/>
  <c r="M956" i="1"/>
  <c r="V956" i="1" s="1"/>
  <c r="Y956" i="1" s="1"/>
  <c r="Z956" i="1" s="1"/>
  <c r="M940" i="1"/>
  <c r="V940" i="1" s="1"/>
  <c r="Y940" i="1" s="1"/>
  <c r="Z940" i="1" s="1"/>
  <c r="M943" i="1"/>
  <c r="V943" i="1" s="1"/>
  <c r="Y943" i="1" s="1"/>
  <c r="Z943" i="1" s="1"/>
  <c r="M941" i="1"/>
  <c r="V941" i="1" s="1"/>
  <c r="Y941" i="1" s="1"/>
  <c r="Z941" i="1" s="1"/>
  <c r="M942" i="1"/>
  <c r="V942" i="1" s="1"/>
  <c r="Y942" i="1" s="1"/>
  <c r="Z942" i="1" s="1"/>
  <c r="M950" i="1"/>
  <c r="V950" i="1" s="1"/>
  <c r="Y950" i="1" s="1"/>
  <c r="Z950" i="1" s="1"/>
  <c r="M946" i="1"/>
  <c r="V946" i="1" s="1"/>
  <c r="Y946" i="1" s="1"/>
  <c r="Z946" i="1" s="1"/>
  <c r="M949" i="1"/>
  <c r="V949" i="1" s="1"/>
  <c r="Y949" i="1" s="1"/>
  <c r="Z949" i="1" s="1"/>
  <c r="M952" i="1"/>
  <c r="V952" i="1" s="1"/>
  <c r="Y952" i="1" s="1"/>
  <c r="Z952" i="1" s="1"/>
  <c r="M954" i="1"/>
  <c r="V954" i="1" s="1"/>
  <c r="Y954" i="1" s="1"/>
  <c r="Z954" i="1" s="1"/>
  <c r="M947" i="1"/>
  <c r="V947" i="1" s="1"/>
  <c r="Y947" i="1" s="1"/>
  <c r="Z947" i="1" s="1"/>
  <c r="M951" i="1"/>
  <c r="V951" i="1" s="1"/>
  <c r="Y951" i="1" s="1"/>
  <c r="Z951" i="1" s="1"/>
  <c r="M955" i="1"/>
  <c r="V955" i="1" s="1"/>
  <c r="Y955" i="1" s="1"/>
  <c r="Z955" i="1" s="1"/>
  <c r="M944" i="1"/>
  <c r="V944" i="1" s="1"/>
  <c r="Y944" i="1" s="1"/>
  <c r="Z944" i="1" s="1"/>
  <c r="M945" i="1"/>
  <c r="V945" i="1" s="1"/>
  <c r="Y945" i="1" s="1"/>
  <c r="Z945" i="1" s="1"/>
  <c r="M948" i="1"/>
  <c r="V948" i="1" s="1"/>
  <c r="Y948" i="1" s="1"/>
  <c r="Z948" i="1" s="1"/>
  <c r="M938" i="1"/>
  <c r="V938" i="1" s="1"/>
  <c r="Y938" i="1" s="1"/>
  <c r="Z938" i="1" s="1"/>
  <c r="M980" i="1"/>
  <c r="V980" i="1" s="1"/>
  <c r="Y980" i="1" s="1"/>
  <c r="Z980" i="1" s="1"/>
  <c r="M982" i="1"/>
  <c r="V982" i="1" s="1"/>
  <c r="Y982" i="1" s="1"/>
  <c r="Z982" i="1" s="1"/>
  <c r="M981" i="1"/>
  <c r="V981" i="1" s="1"/>
  <c r="Y981" i="1" s="1"/>
  <c r="Z981" i="1" s="1"/>
  <c r="M983" i="1"/>
  <c r="V983" i="1" s="1"/>
  <c r="Y983" i="1" s="1"/>
  <c r="Z983" i="1" s="1"/>
  <c r="M993" i="1"/>
  <c r="V993" i="1" s="1"/>
  <c r="Y993" i="1" s="1"/>
  <c r="Z993" i="1" s="1"/>
  <c r="M979" i="1"/>
  <c r="V979" i="1" s="1"/>
  <c r="Y979" i="1" s="1"/>
  <c r="Z979" i="1" s="1"/>
  <c r="M998" i="1"/>
  <c r="V998" i="1" s="1"/>
  <c r="Y998" i="1" s="1"/>
  <c r="Z998" i="1" s="1"/>
  <c r="M985" i="1"/>
  <c r="V985" i="1" s="1"/>
  <c r="Y985" i="1" s="1"/>
  <c r="Z985" i="1" s="1"/>
  <c r="M986" i="1"/>
  <c r="V986" i="1" s="1"/>
  <c r="Y986" i="1" s="1"/>
  <c r="Z986" i="1" s="1"/>
  <c r="M995" i="1"/>
  <c r="V995" i="1" s="1"/>
  <c r="Y995" i="1" s="1"/>
  <c r="Z995" i="1" s="1"/>
  <c r="M996" i="1"/>
  <c r="V996" i="1" s="1"/>
  <c r="Y996" i="1" s="1"/>
  <c r="Z996" i="1" s="1"/>
  <c r="M990" i="1"/>
  <c r="V990" i="1" s="1"/>
  <c r="Y990" i="1" s="1"/>
  <c r="Z990" i="1" s="1"/>
  <c r="M992" i="1"/>
  <c r="V992" i="1" s="1"/>
  <c r="Y992" i="1" s="1"/>
  <c r="Z992" i="1" s="1"/>
  <c r="M991" i="1"/>
  <c r="V991" i="1" s="1"/>
  <c r="Y991" i="1" s="1"/>
  <c r="Z991" i="1" s="1"/>
  <c r="M997" i="1"/>
  <c r="V997" i="1" s="1"/>
  <c r="Y997" i="1" s="1"/>
  <c r="Z997" i="1" s="1"/>
  <c r="M994" i="1"/>
  <c r="V994" i="1" s="1"/>
  <c r="Y994" i="1" s="1"/>
  <c r="Z994" i="1" s="1"/>
  <c r="M989" i="1"/>
  <c r="V989" i="1" s="1"/>
  <c r="Y989" i="1" s="1"/>
  <c r="Z989" i="1" s="1"/>
  <c r="M987" i="1"/>
  <c r="V987" i="1" s="1"/>
  <c r="Y987" i="1" s="1"/>
  <c r="Z987" i="1" s="1"/>
  <c r="M988" i="1"/>
  <c r="V988" i="1" s="1"/>
  <c r="Y988" i="1" s="1"/>
  <c r="Z988" i="1" s="1"/>
  <c r="M984" i="1"/>
  <c r="V984" i="1" s="1"/>
  <c r="Y984" i="1" s="1"/>
  <c r="Z984" i="1" s="1"/>
  <c r="M999" i="1"/>
  <c r="V999" i="1" s="1"/>
  <c r="Y999" i="1" s="1"/>
  <c r="Z999" i="1" s="1"/>
  <c r="M1000" i="1"/>
  <c r="V1000" i="1" s="1"/>
  <c r="Y1000" i="1" s="1"/>
  <c r="Z1000" i="1" s="1"/>
  <c r="M1001" i="1"/>
  <c r="V1001" i="1" s="1"/>
  <c r="Y1001" i="1" s="1"/>
  <c r="Z1001" i="1" s="1"/>
  <c r="M1008" i="1"/>
  <c r="V1008" i="1" s="1"/>
  <c r="Y1008" i="1" s="1"/>
  <c r="Z1008" i="1" s="1"/>
  <c r="M1010" i="1"/>
  <c r="V1010" i="1" s="1"/>
  <c r="Y1010" i="1" s="1"/>
  <c r="Z1010" i="1" s="1"/>
  <c r="M1006" i="1"/>
  <c r="V1006" i="1" s="1"/>
  <c r="Y1006" i="1" s="1"/>
  <c r="Z1006" i="1" s="1"/>
  <c r="M1004" i="1"/>
  <c r="V1004" i="1" s="1"/>
  <c r="Y1004" i="1" s="1"/>
  <c r="Z1004" i="1" s="1"/>
  <c r="M1012" i="1"/>
  <c r="V1012" i="1" s="1"/>
  <c r="Y1012" i="1" s="1"/>
  <c r="Z1012" i="1" s="1"/>
  <c r="M1011" i="1"/>
  <c r="V1011" i="1" s="1"/>
  <c r="Y1011" i="1" s="1"/>
  <c r="Z1011" i="1" s="1"/>
  <c r="M1018" i="1"/>
  <c r="V1018" i="1" s="1"/>
  <c r="Y1018" i="1" s="1"/>
  <c r="Z1018" i="1" s="1"/>
  <c r="M1017" i="1"/>
  <c r="V1017" i="1" s="1"/>
  <c r="Y1017" i="1" s="1"/>
  <c r="Z1017" i="1" s="1"/>
  <c r="M1022" i="1"/>
  <c r="V1022" i="1" s="1"/>
  <c r="Y1022" i="1" s="1"/>
  <c r="Z1022" i="1" s="1"/>
  <c r="M1019" i="1"/>
  <c r="V1019" i="1" s="1"/>
  <c r="Y1019" i="1" s="1"/>
  <c r="Z1019" i="1" s="1"/>
  <c r="M1021" i="1"/>
  <c r="V1021" i="1" s="1"/>
  <c r="Y1021" i="1" s="1"/>
  <c r="Z1021" i="1" s="1"/>
  <c r="M1023" i="1"/>
  <c r="V1023" i="1" s="1"/>
  <c r="Y1023" i="1" s="1"/>
  <c r="Z1023" i="1" s="1"/>
  <c r="M1002" i="1"/>
  <c r="V1002" i="1" s="1"/>
  <c r="Y1002" i="1" s="1"/>
  <c r="Z1002" i="1" s="1"/>
  <c r="M1009" i="1"/>
  <c r="V1009" i="1" s="1"/>
  <c r="Y1009" i="1" s="1"/>
  <c r="Z1009" i="1" s="1"/>
  <c r="M1003" i="1"/>
  <c r="V1003" i="1" s="1"/>
  <c r="Y1003" i="1" s="1"/>
  <c r="Z1003" i="1" s="1"/>
  <c r="M1005" i="1"/>
  <c r="V1005" i="1" s="1"/>
  <c r="Y1005" i="1" s="1"/>
  <c r="Z1005" i="1" s="1"/>
  <c r="M1007" i="1"/>
  <c r="V1007" i="1" s="1"/>
  <c r="Y1007" i="1" s="1"/>
  <c r="Z1007" i="1" s="1"/>
  <c r="M1016" i="1"/>
  <c r="V1016" i="1" s="1"/>
  <c r="Y1016" i="1" s="1"/>
  <c r="Z1016" i="1" s="1"/>
  <c r="M1020" i="1"/>
  <c r="V1020" i="1" s="1"/>
  <c r="Y1020" i="1" s="1"/>
  <c r="Z1020" i="1" s="1"/>
  <c r="M1014" i="1"/>
  <c r="V1014" i="1" s="1"/>
  <c r="Y1014" i="1" s="1"/>
  <c r="Z1014" i="1" s="1"/>
  <c r="M1015" i="1"/>
  <c r="V1015" i="1" s="1"/>
  <c r="Y1015" i="1" s="1"/>
  <c r="Z1015" i="1" s="1"/>
  <c r="M1013" i="1"/>
  <c r="V1013" i="1" s="1"/>
  <c r="Y1013" i="1" s="1"/>
  <c r="Z1013" i="1" s="1"/>
  <c r="M1024" i="1"/>
  <c r="V1024" i="1" s="1"/>
  <c r="Y1024" i="1" s="1"/>
  <c r="Z1024" i="1" s="1"/>
  <c r="M1030" i="1"/>
  <c r="V1030" i="1" s="1"/>
  <c r="Y1030" i="1" s="1"/>
  <c r="Z1030" i="1" s="1"/>
  <c r="M1027" i="1"/>
  <c r="V1027" i="1" s="1"/>
  <c r="Y1027" i="1" s="1"/>
  <c r="Z1027" i="1" s="1"/>
  <c r="M1026" i="1"/>
  <c r="V1026" i="1" s="1"/>
  <c r="Y1026" i="1" s="1"/>
  <c r="Z1026" i="1" s="1"/>
  <c r="M1025" i="1"/>
  <c r="V1025" i="1" s="1"/>
  <c r="Y1025" i="1" s="1"/>
  <c r="Z1025" i="1" s="1"/>
  <c r="M1028" i="1"/>
  <c r="V1028" i="1" s="1"/>
  <c r="Y1028" i="1" s="1"/>
  <c r="Z1028" i="1" s="1"/>
  <c r="M1029" i="1"/>
  <c r="V1029" i="1" s="1"/>
  <c r="Y1029" i="1" s="1"/>
  <c r="Z1029" i="1" s="1"/>
  <c r="M1031" i="1"/>
  <c r="V1031" i="1" s="1"/>
  <c r="Y1031" i="1" s="1"/>
  <c r="Z1031" i="1" s="1"/>
  <c r="M1032" i="1"/>
  <c r="V1032" i="1" s="1"/>
  <c r="Y1032" i="1" s="1"/>
  <c r="Z1032" i="1" s="1"/>
  <c r="M1040" i="1"/>
  <c r="V1040" i="1" s="1"/>
  <c r="Y1040" i="1" s="1"/>
  <c r="Z1040" i="1" s="1"/>
  <c r="M1036" i="1"/>
  <c r="V1036" i="1" s="1"/>
  <c r="Y1036" i="1" s="1"/>
  <c r="Z1036" i="1" s="1"/>
  <c r="M1035" i="1"/>
  <c r="V1035" i="1" s="1"/>
  <c r="Y1035" i="1" s="1"/>
  <c r="Z1035" i="1" s="1"/>
  <c r="M1034" i="1"/>
  <c r="V1034" i="1" s="1"/>
  <c r="Y1034" i="1" s="1"/>
  <c r="Z1034" i="1" s="1"/>
  <c r="M1037" i="1"/>
  <c r="V1037" i="1" s="1"/>
  <c r="Y1037" i="1" s="1"/>
  <c r="Z1037" i="1" s="1"/>
  <c r="M1039" i="1"/>
  <c r="V1039" i="1" s="1"/>
  <c r="Y1039" i="1" s="1"/>
  <c r="Z1039" i="1" s="1"/>
  <c r="M1038" i="1"/>
  <c r="V1038" i="1" s="1"/>
  <c r="Y1038" i="1" s="1"/>
  <c r="Z1038" i="1" s="1"/>
  <c r="M1033" i="1"/>
  <c r="V1033" i="1" s="1"/>
  <c r="Y1033" i="1" s="1"/>
  <c r="Z1033" i="1" s="1"/>
  <c r="M1041" i="1"/>
  <c r="V1041" i="1" s="1"/>
  <c r="Y1041" i="1" s="1"/>
  <c r="Z1041" i="1" s="1"/>
  <c r="M1042" i="1"/>
  <c r="V1042" i="1" s="1"/>
  <c r="Y1042" i="1" s="1"/>
  <c r="Z1042" i="1" s="1"/>
  <c r="M957" i="1"/>
  <c r="V957" i="1" s="1"/>
  <c r="Y957" i="1" s="1"/>
  <c r="Z957" i="1" s="1"/>
  <c r="M958" i="1"/>
  <c r="V958" i="1" s="1"/>
  <c r="Y958" i="1" s="1"/>
  <c r="Z958" i="1" s="1"/>
  <c r="M965" i="1"/>
  <c r="V965" i="1" s="1"/>
  <c r="Y965" i="1" s="1"/>
  <c r="Z965" i="1" s="1"/>
  <c r="M964" i="1"/>
  <c r="V964" i="1" s="1"/>
  <c r="Y964" i="1" s="1"/>
  <c r="Z964" i="1" s="1"/>
  <c r="M961" i="1"/>
  <c r="V961" i="1" s="1"/>
  <c r="Y961" i="1" s="1"/>
  <c r="Z961" i="1" s="1"/>
  <c r="M968" i="1"/>
  <c r="V968" i="1" s="1"/>
  <c r="Y968" i="1" s="1"/>
  <c r="Z968" i="1" s="1"/>
  <c r="M969" i="1"/>
  <c r="V969" i="1" s="1"/>
  <c r="Y969" i="1" s="1"/>
  <c r="Z969" i="1" s="1"/>
  <c r="M972" i="1"/>
  <c r="V972" i="1" s="1"/>
  <c r="Y972" i="1" s="1"/>
  <c r="Z972" i="1" s="1"/>
  <c r="M974" i="1"/>
  <c r="V974" i="1" s="1"/>
  <c r="Y974" i="1" s="1"/>
  <c r="Z974" i="1" s="1"/>
  <c r="M977" i="1"/>
  <c r="V977" i="1" s="1"/>
  <c r="Y977" i="1" s="1"/>
  <c r="Z977" i="1" s="1"/>
  <c r="M976" i="1"/>
  <c r="V976" i="1" s="1"/>
  <c r="Y976" i="1" s="1"/>
  <c r="Z976" i="1" s="1"/>
  <c r="M971" i="1"/>
  <c r="V971" i="1" s="1"/>
  <c r="Y971" i="1" s="1"/>
  <c r="Z971" i="1" s="1"/>
  <c r="M959" i="1"/>
  <c r="V959" i="1" s="1"/>
  <c r="Y959" i="1" s="1"/>
  <c r="Z959" i="1" s="1"/>
  <c r="M960" i="1"/>
  <c r="V960" i="1" s="1"/>
  <c r="Y960" i="1" s="1"/>
  <c r="Z960" i="1" s="1"/>
  <c r="M966" i="1"/>
  <c r="V966" i="1" s="1"/>
  <c r="Y966" i="1" s="1"/>
  <c r="Z966" i="1" s="1"/>
  <c r="M963" i="1"/>
  <c r="V963" i="1" s="1"/>
  <c r="Y963" i="1" s="1"/>
  <c r="Z963" i="1" s="1"/>
  <c r="M962" i="1"/>
  <c r="V962" i="1" s="1"/>
  <c r="Y962" i="1" s="1"/>
  <c r="Z962" i="1" s="1"/>
  <c r="M970" i="1"/>
  <c r="V970" i="1" s="1"/>
  <c r="Y970" i="1" s="1"/>
  <c r="Z970" i="1" s="1"/>
  <c r="M967" i="1"/>
  <c r="V967" i="1" s="1"/>
  <c r="Y967" i="1" s="1"/>
  <c r="Z967" i="1" s="1"/>
  <c r="M973" i="1"/>
  <c r="V973" i="1" s="1"/>
  <c r="Y973" i="1" s="1"/>
  <c r="Z973" i="1" s="1"/>
  <c r="M975" i="1"/>
  <c r="V975" i="1" s="1"/>
  <c r="Y975" i="1" s="1"/>
  <c r="Z975" i="1" s="1"/>
  <c r="M978" i="1"/>
  <c r="V978" i="1" s="1"/>
  <c r="Y978" i="1" s="1"/>
  <c r="Z978" i="1" s="1"/>
  <c r="M1983" i="1"/>
  <c r="V1983" i="1" s="1"/>
  <c r="Y1983" i="1" s="1"/>
  <c r="Z1983" i="1" s="1"/>
  <c r="M1982" i="1"/>
  <c r="V1982" i="1" s="1"/>
  <c r="Y1982" i="1" s="1"/>
  <c r="Z1982" i="1" s="1"/>
  <c r="M2001" i="1"/>
  <c r="V2001" i="1" s="1"/>
  <c r="Y2001" i="1" s="1"/>
  <c r="Z2001" i="1" s="1"/>
  <c r="M1985" i="1"/>
  <c r="V1985" i="1" s="1"/>
  <c r="Y1985" i="1" s="1"/>
  <c r="Z1985" i="1" s="1"/>
  <c r="M1987" i="1"/>
  <c r="V1987" i="1" s="1"/>
  <c r="Y1987" i="1" s="1"/>
  <c r="Z1987" i="1" s="1"/>
  <c r="M1984" i="1"/>
  <c r="V1984" i="1" s="1"/>
  <c r="Y1984" i="1" s="1"/>
  <c r="Z1984" i="1" s="1"/>
  <c r="M1988" i="1"/>
  <c r="V1988" i="1" s="1"/>
  <c r="Y1988" i="1" s="1"/>
  <c r="Z1988" i="1" s="1"/>
  <c r="M1986" i="1"/>
  <c r="V1986" i="1" s="1"/>
  <c r="Y1986" i="1" s="1"/>
  <c r="Z1986" i="1" s="1"/>
  <c r="M1998" i="1"/>
  <c r="V1998" i="1" s="1"/>
  <c r="Y1998" i="1" s="1"/>
  <c r="Z1998" i="1" s="1"/>
  <c r="M1997" i="1"/>
  <c r="V1997" i="1" s="1"/>
  <c r="Y1997" i="1" s="1"/>
  <c r="Z1997" i="1" s="1"/>
  <c r="M1992" i="1"/>
  <c r="V1992" i="1" s="1"/>
  <c r="Y1992" i="1" s="1"/>
  <c r="Z1992" i="1" s="1"/>
  <c r="M1994" i="1"/>
  <c r="V1994" i="1" s="1"/>
  <c r="Y1994" i="1" s="1"/>
  <c r="Z1994" i="1" s="1"/>
  <c r="M1996" i="1"/>
  <c r="V1996" i="1" s="1"/>
  <c r="Y1996" i="1" s="1"/>
  <c r="Z1996" i="1" s="1"/>
  <c r="M1993" i="1"/>
  <c r="V1993" i="1" s="1"/>
  <c r="Y1993" i="1" s="1"/>
  <c r="Z1993" i="1" s="1"/>
  <c r="M1995" i="1"/>
  <c r="V1995" i="1" s="1"/>
  <c r="Y1995" i="1" s="1"/>
  <c r="Z1995" i="1" s="1"/>
  <c r="M1991" i="1"/>
  <c r="V1991" i="1" s="1"/>
  <c r="Y1991" i="1" s="1"/>
  <c r="Z1991" i="1" s="1"/>
  <c r="M1999" i="1"/>
  <c r="V1999" i="1" s="1"/>
  <c r="Y1999" i="1" s="1"/>
  <c r="Z1999" i="1" s="1"/>
  <c r="M1990" i="1"/>
  <c r="V1990" i="1" s="1"/>
  <c r="Y1990" i="1" s="1"/>
  <c r="Z1990" i="1" s="1"/>
  <c r="M1989" i="1"/>
  <c r="V1989" i="1" s="1"/>
  <c r="Y1989" i="1" s="1"/>
  <c r="Z1989" i="1" s="1"/>
  <c r="M2000" i="1"/>
  <c r="V2000" i="1" s="1"/>
  <c r="Y2000" i="1" s="1"/>
  <c r="Z2000" i="1" s="1"/>
  <c r="M1043" i="1"/>
  <c r="V1043" i="1" s="1"/>
  <c r="Y1043" i="1" s="1"/>
  <c r="Z1043" i="1" s="1"/>
  <c r="M1049" i="1"/>
  <c r="V1049" i="1" s="1"/>
  <c r="Y1049" i="1" s="1"/>
  <c r="Z1049" i="1" s="1"/>
  <c r="M1045" i="1"/>
  <c r="V1045" i="1" s="1"/>
  <c r="Y1045" i="1" s="1"/>
  <c r="Z1045" i="1" s="1"/>
  <c r="M1048" i="1"/>
  <c r="V1048" i="1" s="1"/>
  <c r="Y1048" i="1" s="1"/>
  <c r="Z1048" i="1" s="1"/>
  <c r="M1050" i="1"/>
  <c r="V1050" i="1" s="1"/>
  <c r="Y1050" i="1" s="1"/>
  <c r="Z1050" i="1" s="1"/>
  <c r="M1053" i="1"/>
  <c r="V1053" i="1" s="1"/>
  <c r="Y1053" i="1" s="1"/>
  <c r="Z1053" i="1" s="1"/>
  <c r="M1051" i="1"/>
  <c r="V1051" i="1" s="1"/>
  <c r="Y1051" i="1" s="1"/>
  <c r="Z1051" i="1" s="1"/>
  <c r="M1052" i="1"/>
  <c r="V1052" i="1" s="1"/>
  <c r="Y1052" i="1" s="1"/>
  <c r="Z1052" i="1" s="1"/>
  <c r="M1057" i="1"/>
  <c r="V1057" i="1" s="1"/>
  <c r="Y1057" i="1" s="1"/>
  <c r="Z1057" i="1" s="1"/>
  <c r="M1059" i="1"/>
  <c r="V1059" i="1" s="1"/>
  <c r="Y1059" i="1" s="1"/>
  <c r="Z1059" i="1" s="1"/>
  <c r="M1056" i="1"/>
  <c r="V1056" i="1" s="1"/>
  <c r="Y1056" i="1" s="1"/>
  <c r="Z1056" i="1" s="1"/>
  <c r="M1054" i="1"/>
  <c r="V1054" i="1" s="1"/>
  <c r="Y1054" i="1" s="1"/>
  <c r="Z1054" i="1" s="1"/>
  <c r="M1055" i="1"/>
  <c r="V1055" i="1" s="1"/>
  <c r="Y1055" i="1" s="1"/>
  <c r="Z1055" i="1" s="1"/>
  <c r="M1060" i="1"/>
  <c r="V1060" i="1" s="1"/>
  <c r="Y1060" i="1" s="1"/>
  <c r="Z1060" i="1" s="1"/>
  <c r="M1047" i="1"/>
  <c r="V1047" i="1" s="1"/>
  <c r="Y1047" i="1" s="1"/>
  <c r="Z1047" i="1" s="1"/>
  <c r="M1044" i="1"/>
  <c r="V1044" i="1" s="1"/>
  <c r="Y1044" i="1" s="1"/>
  <c r="Z1044" i="1" s="1"/>
  <c r="M1046" i="1"/>
  <c r="V1046" i="1" s="1"/>
  <c r="Y1046" i="1" s="1"/>
  <c r="Z1046" i="1" s="1"/>
  <c r="M1058" i="1"/>
  <c r="V1058" i="1" s="1"/>
  <c r="Y1058" i="1" s="1"/>
  <c r="Z1058" i="1" s="1"/>
  <c r="M1082" i="1"/>
  <c r="V1082" i="1" s="1"/>
  <c r="Y1082" i="1" s="1"/>
  <c r="Z1082" i="1" s="1"/>
  <c r="M1083" i="1"/>
  <c r="V1083" i="1" s="1"/>
  <c r="Y1083" i="1" s="1"/>
  <c r="Z1083" i="1" s="1"/>
  <c r="M1084" i="1"/>
  <c r="V1084" i="1" s="1"/>
  <c r="Y1084" i="1" s="1"/>
  <c r="Z1084" i="1" s="1"/>
  <c r="M1087" i="1"/>
  <c r="V1087" i="1" s="1"/>
  <c r="Y1087" i="1" s="1"/>
  <c r="Z1087" i="1" s="1"/>
  <c r="M1088" i="1"/>
  <c r="V1088" i="1" s="1"/>
  <c r="Y1088" i="1" s="1"/>
  <c r="Z1088" i="1" s="1"/>
  <c r="M1090" i="1"/>
  <c r="V1090" i="1" s="1"/>
  <c r="Y1090" i="1" s="1"/>
  <c r="Z1090" i="1" s="1"/>
  <c r="M1091" i="1"/>
  <c r="V1091" i="1" s="1"/>
  <c r="Y1091" i="1" s="1"/>
  <c r="Z1091" i="1" s="1"/>
  <c r="M1096" i="1"/>
  <c r="V1096" i="1" s="1"/>
  <c r="Y1096" i="1" s="1"/>
  <c r="Z1096" i="1" s="1"/>
  <c r="M1093" i="1"/>
  <c r="V1093" i="1" s="1"/>
  <c r="Y1093" i="1" s="1"/>
  <c r="Z1093" i="1" s="1"/>
  <c r="M1103" i="1"/>
  <c r="V1103" i="1" s="1"/>
  <c r="Y1103" i="1" s="1"/>
  <c r="Z1103" i="1" s="1"/>
  <c r="M1099" i="1"/>
  <c r="V1099" i="1" s="1"/>
  <c r="Y1099" i="1" s="1"/>
  <c r="Z1099" i="1" s="1"/>
  <c r="M1100" i="1"/>
  <c r="V1100" i="1" s="1"/>
  <c r="Y1100" i="1" s="1"/>
  <c r="Z1100" i="1" s="1"/>
  <c r="M1098" i="1"/>
  <c r="V1098" i="1" s="1"/>
  <c r="Y1098" i="1" s="1"/>
  <c r="Z1098" i="1" s="1"/>
  <c r="M1101" i="1"/>
  <c r="V1101" i="1" s="1"/>
  <c r="Y1101" i="1" s="1"/>
  <c r="Z1101" i="1" s="1"/>
  <c r="M1081" i="1"/>
  <c r="V1081" i="1" s="1"/>
  <c r="Y1081" i="1" s="1"/>
  <c r="Z1081" i="1" s="1"/>
  <c r="M1089" i="1"/>
  <c r="V1089" i="1" s="1"/>
  <c r="Y1089" i="1" s="1"/>
  <c r="Z1089" i="1" s="1"/>
  <c r="M1085" i="1"/>
  <c r="V1085" i="1" s="1"/>
  <c r="Y1085" i="1" s="1"/>
  <c r="Z1085" i="1" s="1"/>
  <c r="M1092" i="1"/>
  <c r="V1092" i="1" s="1"/>
  <c r="Y1092" i="1" s="1"/>
  <c r="Z1092" i="1" s="1"/>
  <c r="M1086" i="1"/>
  <c r="V1086" i="1" s="1"/>
  <c r="Y1086" i="1" s="1"/>
  <c r="Z1086" i="1" s="1"/>
  <c r="M1095" i="1"/>
  <c r="V1095" i="1" s="1"/>
  <c r="Y1095" i="1" s="1"/>
  <c r="Z1095" i="1" s="1"/>
  <c r="M1094" i="1"/>
  <c r="V1094" i="1" s="1"/>
  <c r="Y1094" i="1" s="1"/>
  <c r="Z1094" i="1" s="1"/>
  <c r="M1102" i="1"/>
  <c r="V1102" i="1" s="1"/>
  <c r="Y1102" i="1" s="1"/>
  <c r="Z1102" i="1" s="1"/>
  <c r="M1097" i="1"/>
  <c r="V1097" i="1" s="1"/>
  <c r="Y1097" i="1" s="1"/>
  <c r="Z1097" i="1" s="1"/>
  <c r="M1104" i="1"/>
  <c r="V1104" i="1" s="1"/>
  <c r="Y1104" i="1" s="1"/>
  <c r="Z1104" i="1" s="1"/>
  <c r="M1105" i="1"/>
  <c r="V1105" i="1" s="1"/>
  <c r="Y1105" i="1" s="1"/>
  <c r="Z1105" i="1" s="1"/>
  <c r="M1113" i="1"/>
  <c r="V1113" i="1" s="1"/>
  <c r="Y1113" i="1" s="1"/>
  <c r="Z1113" i="1" s="1"/>
  <c r="M1111" i="1"/>
  <c r="V1111" i="1" s="1"/>
  <c r="Y1111" i="1" s="1"/>
  <c r="Z1111" i="1" s="1"/>
  <c r="M1114" i="1"/>
  <c r="V1114" i="1" s="1"/>
  <c r="Y1114" i="1" s="1"/>
  <c r="Z1114" i="1" s="1"/>
  <c r="M1107" i="1"/>
  <c r="V1107" i="1" s="1"/>
  <c r="Y1107" i="1" s="1"/>
  <c r="Z1107" i="1" s="1"/>
  <c r="M1116" i="1"/>
  <c r="V1116" i="1" s="1"/>
  <c r="Y1116" i="1" s="1"/>
  <c r="Z1116" i="1" s="1"/>
  <c r="M1118" i="1"/>
  <c r="V1118" i="1" s="1"/>
  <c r="Y1118" i="1" s="1"/>
  <c r="Z1118" i="1" s="1"/>
  <c r="M1117" i="1"/>
  <c r="V1117" i="1" s="1"/>
  <c r="Y1117" i="1" s="1"/>
  <c r="Z1117" i="1" s="1"/>
  <c r="M1115" i="1"/>
  <c r="V1115" i="1" s="1"/>
  <c r="Y1115" i="1" s="1"/>
  <c r="Z1115" i="1" s="1"/>
  <c r="M1122" i="1"/>
  <c r="V1122" i="1" s="1"/>
  <c r="Y1122" i="1" s="1"/>
  <c r="Z1122" i="1" s="1"/>
  <c r="M1126" i="1"/>
  <c r="V1126" i="1" s="1"/>
  <c r="Y1126" i="1" s="1"/>
  <c r="Z1126" i="1" s="1"/>
  <c r="M1125" i="1"/>
  <c r="V1125" i="1" s="1"/>
  <c r="Y1125" i="1" s="1"/>
  <c r="Z1125" i="1" s="1"/>
  <c r="M1106" i="1"/>
  <c r="V1106" i="1" s="1"/>
  <c r="Y1106" i="1" s="1"/>
  <c r="Z1106" i="1" s="1"/>
  <c r="M1109" i="1"/>
  <c r="V1109" i="1" s="1"/>
  <c r="Y1109" i="1" s="1"/>
  <c r="Z1109" i="1" s="1"/>
  <c r="M1108" i="1"/>
  <c r="V1108" i="1" s="1"/>
  <c r="Y1108" i="1" s="1"/>
  <c r="Z1108" i="1" s="1"/>
  <c r="M1110" i="1"/>
  <c r="V1110" i="1" s="1"/>
  <c r="Y1110" i="1" s="1"/>
  <c r="Z1110" i="1" s="1"/>
  <c r="M1112" i="1"/>
  <c r="V1112" i="1" s="1"/>
  <c r="Y1112" i="1" s="1"/>
  <c r="Z1112" i="1" s="1"/>
  <c r="M1124" i="1"/>
  <c r="V1124" i="1" s="1"/>
  <c r="Y1124" i="1" s="1"/>
  <c r="Z1124" i="1" s="1"/>
  <c r="M1121" i="1"/>
  <c r="V1121" i="1" s="1"/>
  <c r="Y1121" i="1" s="1"/>
  <c r="Z1121" i="1" s="1"/>
  <c r="M1120" i="1"/>
  <c r="V1120" i="1" s="1"/>
  <c r="Y1120" i="1" s="1"/>
  <c r="Z1120" i="1" s="1"/>
  <c r="M1123" i="1"/>
  <c r="V1123" i="1" s="1"/>
  <c r="Y1123" i="1" s="1"/>
  <c r="Z1123" i="1" s="1"/>
  <c r="M1119" i="1"/>
  <c r="V1119" i="1" s="1"/>
  <c r="Y1119" i="1" s="1"/>
  <c r="Z1119" i="1" s="1"/>
  <c r="M1127" i="1"/>
  <c r="V1127" i="1" s="1"/>
  <c r="Y1127" i="1" s="1"/>
  <c r="Z1127" i="1" s="1"/>
  <c r="M1149" i="1"/>
  <c r="V1149" i="1" s="1"/>
  <c r="Y1149" i="1" s="1"/>
  <c r="Z1149" i="1" s="1"/>
  <c r="M1154" i="1"/>
  <c r="V1154" i="1" s="1"/>
  <c r="Y1154" i="1" s="1"/>
  <c r="Z1154" i="1" s="1"/>
  <c r="M1156" i="1"/>
  <c r="V1156" i="1" s="1"/>
  <c r="Y1156" i="1" s="1"/>
  <c r="Z1156" i="1" s="1"/>
  <c r="M1153" i="1"/>
  <c r="V1153" i="1" s="1"/>
  <c r="Y1153" i="1" s="1"/>
  <c r="Z1153" i="1" s="1"/>
  <c r="M1150" i="1"/>
  <c r="V1150" i="1" s="1"/>
  <c r="Y1150" i="1" s="1"/>
  <c r="Z1150" i="1" s="1"/>
  <c r="M1159" i="1"/>
  <c r="V1159" i="1" s="1"/>
  <c r="Y1159" i="1" s="1"/>
  <c r="Z1159" i="1" s="1"/>
  <c r="M1160" i="1"/>
  <c r="V1160" i="1" s="1"/>
  <c r="Y1160" i="1" s="1"/>
  <c r="Z1160" i="1" s="1"/>
  <c r="M1162" i="1"/>
  <c r="V1162" i="1" s="1"/>
  <c r="Y1162" i="1" s="1"/>
  <c r="Z1162" i="1" s="1"/>
  <c r="M1166" i="1"/>
  <c r="V1166" i="1" s="1"/>
  <c r="Y1166" i="1" s="1"/>
  <c r="Z1166" i="1" s="1"/>
  <c r="M1169" i="1"/>
  <c r="V1169" i="1" s="1"/>
  <c r="Y1169" i="1" s="1"/>
  <c r="Z1169" i="1" s="1"/>
  <c r="M1165" i="1"/>
  <c r="V1165" i="1" s="1"/>
  <c r="Y1165" i="1" s="1"/>
  <c r="Z1165" i="1" s="1"/>
  <c r="M1173" i="1"/>
  <c r="V1173" i="1" s="1"/>
  <c r="Y1173" i="1" s="1"/>
  <c r="Z1173" i="1" s="1"/>
  <c r="M1171" i="1"/>
  <c r="V1171" i="1" s="1"/>
  <c r="Y1171" i="1" s="1"/>
  <c r="Z1171" i="1" s="1"/>
  <c r="M1176" i="1"/>
  <c r="V1176" i="1" s="1"/>
  <c r="Y1176" i="1" s="1"/>
  <c r="Z1176" i="1" s="1"/>
  <c r="M1148" i="1"/>
  <c r="V1148" i="1" s="1"/>
  <c r="Y1148" i="1" s="1"/>
  <c r="Z1148" i="1" s="1"/>
  <c r="M1151" i="1"/>
  <c r="V1151" i="1" s="1"/>
  <c r="Y1151" i="1" s="1"/>
  <c r="Z1151" i="1" s="1"/>
  <c r="M1158" i="1"/>
  <c r="V1158" i="1" s="1"/>
  <c r="Y1158" i="1" s="1"/>
  <c r="Z1158" i="1" s="1"/>
  <c r="M1152" i="1"/>
  <c r="V1152" i="1" s="1"/>
  <c r="Y1152" i="1" s="1"/>
  <c r="Z1152" i="1" s="1"/>
  <c r="M1155" i="1"/>
  <c r="V1155" i="1" s="1"/>
  <c r="Y1155" i="1" s="1"/>
  <c r="Z1155" i="1" s="1"/>
  <c r="M1157" i="1"/>
  <c r="V1157" i="1" s="1"/>
  <c r="Y1157" i="1" s="1"/>
  <c r="Z1157" i="1" s="1"/>
  <c r="M1164" i="1"/>
  <c r="V1164" i="1" s="1"/>
  <c r="Y1164" i="1" s="1"/>
  <c r="Z1164" i="1" s="1"/>
  <c r="M1172" i="1"/>
  <c r="V1172" i="1" s="1"/>
  <c r="Y1172" i="1" s="1"/>
  <c r="Z1172" i="1" s="1"/>
  <c r="M1167" i="1"/>
  <c r="V1167" i="1" s="1"/>
  <c r="Y1167" i="1" s="1"/>
  <c r="Z1167" i="1" s="1"/>
  <c r="M1168" i="1"/>
  <c r="V1168" i="1" s="1"/>
  <c r="Y1168" i="1" s="1"/>
  <c r="Z1168" i="1" s="1"/>
  <c r="M1170" i="1"/>
  <c r="V1170" i="1" s="1"/>
  <c r="Y1170" i="1" s="1"/>
  <c r="Z1170" i="1" s="1"/>
  <c r="M1175" i="1"/>
  <c r="V1175" i="1" s="1"/>
  <c r="Y1175" i="1" s="1"/>
  <c r="Z1175" i="1" s="1"/>
  <c r="M1163" i="1"/>
  <c r="V1163" i="1" s="1"/>
  <c r="Y1163" i="1" s="1"/>
  <c r="Z1163" i="1" s="1"/>
  <c r="M1174" i="1"/>
  <c r="V1174" i="1" s="1"/>
  <c r="Y1174" i="1" s="1"/>
  <c r="Z1174" i="1" s="1"/>
  <c r="M1161" i="1"/>
  <c r="V1161" i="1" s="1"/>
  <c r="Y1161" i="1" s="1"/>
  <c r="Z1161" i="1" s="1"/>
  <c r="M1180" i="1"/>
  <c r="V1180" i="1" s="1"/>
  <c r="Y1180" i="1" s="1"/>
  <c r="Z1180" i="1" s="1"/>
  <c r="M1178" i="1"/>
  <c r="V1178" i="1" s="1"/>
  <c r="Y1178" i="1" s="1"/>
  <c r="Z1178" i="1" s="1"/>
  <c r="M1177" i="1"/>
  <c r="V1177" i="1" s="1"/>
  <c r="Y1177" i="1" s="1"/>
  <c r="Z1177" i="1" s="1"/>
  <c r="M1196" i="1"/>
  <c r="V1196" i="1" s="1"/>
  <c r="Y1196" i="1" s="1"/>
  <c r="Z1196" i="1" s="1"/>
  <c r="M1184" i="1"/>
  <c r="V1184" i="1" s="1"/>
  <c r="Y1184" i="1" s="1"/>
  <c r="Z1184" i="1" s="1"/>
  <c r="M1182" i="1"/>
  <c r="V1182" i="1" s="1"/>
  <c r="Y1182" i="1" s="1"/>
  <c r="Z1182" i="1" s="1"/>
  <c r="M1185" i="1"/>
  <c r="V1185" i="1" s="1"/>
  <c r="Y1185" i="1" s="1"/>
  <c r="Z1185" i="1" s="1"/>
  <c r="M1181" i="1"/>
  <c r="V1181" i="1" s="1"/>
  <c r="Y1181" i="1" s="1"/>
  <c r="Z1181" i="1" s="1"/>
  <c r="M1183" i="1"/>
  <c r="V1183" i="1" s="1"/>
  <c r="Y1183" i="1" s="1"/>
  <c r="Z1183" i="1" s="1"/>
  <c r="M1192" i="1"/>
  <c r="V1192" i="1" s="1"/>
  <c r="Y1192" i="1" s="1"/>
  <c r="Z1192" i="1" s="1"/>
  <c r="M1189" i="1"/>
  <c r="V1189" i="1" s="1"/>
  <c r="Y1189" i="1" s="1"/>
  <c r="Z1189" i="1" s="1"/>
  <c r="M1194" i="1"/>
  <c r="V1194" i="1" s="1"/>
  <c r="Y1194" i="1" s="1"/>
  <c r="Z1194" i="1" s="1"/>
  <c r="M1195" i="1"/>
  <c r="V1195" i="1" s="1"/>
  <c r="Y1195" i="1" s="1"/>
  <c r="Z1195" i="1" s="1"/>
  <c r="M1193" i="1"/>
  <c r="V1193" i="1" s="1"/>
  <c r="Y1193" i="1" s="1"/>
  <c r="Z1193" i="1" s="1"/>
  <c r="M1190" i="1"/>
  <c r="V1190" i="1" s="1"/>
  <c r="Y1190" i="1" s="1"/>
  <c r="Z1190" i="1" s="1"/>
  <c r="M1186" i="1"/>
  <c r="V1186" i="1" s="1"/>
  <c r="Y1186" i="1" s="1"/>
  <c r="Z1186" i="1" s="1"/>
  <c r="M1187" i="1"/>
  <c r="V1187" i="1" s="1"/>
  <c r="Y1187" i="1" s="1"/>
  <c r="Z1187" i="1" s="1"/>
  <c r="M1188" i="1"/>
  <c r="V1188" i="1" s="1"/>
  <c r="Y1188" i="1" s="1"/>
  <c r="Z1188" i="1" s="1"/>
  <c r="M1191" i="1"/>
  <c r="V1191" i="1" s="1"/>
  <c r="Y1191" i="1" s="1"/>
  <c r="Z1191" i="1" s="1"/>
  <c r="M1179" i="1"/>
  <c r="V1179" i="1" s="1"/>
  <c r="Y1179" i="1" s="1"/>
  <c r="Z1179" i="1" s="1"/>
  <c r="M1772" i="1"/>
  <c r="V1772" i="1" s="1"/>
  <c r="Y1772" i="1" s="1"/>
  <c r="Z1772" i="1" s="1"/>
  <c r="M1756" i="1"/>
  <c r="V1756" i="1" s="1"/>
  <c r="Y1756" i="1" s="1"/>
  <c r="Z1756" i="1" s="1"/>
  <c r="M1758" i="1"/>
  <c r="V1758" i="1" s="1"/>
  <c r="Y1758" i="1" s="1"/>
  <c r="Z1758" i="1" s="1"/>
  <c r="M1775" i="1"/>
  <c r="V1775" i="1" s="1"/>
  <c r="Y1775" i="1" s="1"/>
  <c r="Z1775" i="1" s="1"/>
  <c r="M1759" i="1"/>
  <c r="V1759" i="1" s="1"/>
  <c r="Y1759" i="1" s="1"/>
  <c r="Z1759" i="1" s="1"/>
  <c r="M1760" i="1"/>
  <c r="V1760" i="1" s="1"/>
  <c r="Y1760" i="1" s="1"/>
  <c r="Z1760" i="1" s="1"/>
  <c r="M1763" i="1"/>
  <c r="V1763" i="1" s="1"/>
  <c r="Y1763" i="1" s="1"/>
  <c r="Z1763" i="1" s="1"/>
  <c r="M1762" i="1"/>
  <c r="V1762" i="1" s="1"/>
  <c r="Y1762" i="1" s="1"/>
  <c r="Z1762" i="1" s="1"/>
  <c r="M1761" i="1"/>
  <c r="V1761" i="1" s="1"/>
  <c r="Y1761" i="1" s="1"/>
  <c r="Z1761" i="1" s="1"/>
  <c r="M1769" i="1"/>
  <c r="V1769" i="1" s="1"/>
  <c r="Y1769" i="1" s="1"/>
  <c r="Z1769" i="1" s="1"/>
  <c r="M1770" i="1"/>
  <c r="V1770" i="1" s="1"/>
  <c r="Y1770" i="1" s="1"/>
  <c r="Z1770" i="1" s="1"/>
  <c r="M1767" i="1"/>
  <c r="V1767" i="1" s="1"/>
  <c r="Y1767" i="1" s="1"/>
  <c r="Z1767" i="1" s="1"/>
  <c r="M1774" i="1"/>
  <c r="V1774" i="1" s="1"/>
  <c r="Y1774" i="1" s="1"/>
  <c r="Z1774" i="1" s="1"/>
  <c r="M1771" i="1"/>
  <c r="V1771" i="1" s="1"/>
  <c r="Y1771" i="1" s="1"/>
  <c r="Z1771" i="1" s="1"/>
  <c r="M1773" i="1"/>
  <c r="V1773" i="1" s="1"/>
  <c r="Y1773" i="1" s="1"/>
  <c r="Z1773" i="1" s="1"/>
  <c r="M1766" i="1"/>
  <c r="V1766" i="1" s="1"/>
  <c r="Y1766" i="1" s="1"/>
  <c r="Z1766" i="1" s="1"/>
  <c r="M1764" i="1"/>
  <c r="V1764" i="1" s="1"/>
  <c r="Y1764" i="1" s="1"/>
  <c r="Z1764" i="1" s="1"/>
  <c r="M1765" i="1"/>
  <c r="V1765" i="1" s="1"/>
  <c r="Y1765" i="1" s="1"/>
  <c r="Z1765" i="1" s="1"/>
  <c r="M1768" i="1"/>
  <c r="V1768" i="1" s="1"/>
  <c r="Y1768" i="1" s="1"/>
  <c r="Z1768" i="1" s="1"/>
  <c r="M1757" i="1"/>
  <c r="V1757" i="1" s="1"/>
  <c r="Y1757" i="1" s="1"/>
  <c r="Z1757" i="1" s="1"/>
  <c r="M1199" i="1"/>
  <c r="V1199" i="1" s="1"/>
  <c r="Y1199" i="1" s="1"/>
  <c r="Z1199" i="1" s="1"/>
  <c r="M1197" i="1"/>
  <c r="V1197" i="1" s="1"/>
  <c r="Y1197" i="1" s="1"/>
  <c r="Z1197" i="1" s="1"/>
  <c r="M1200" i="1"/>
  <c r="V1200" i="1" s="1"/>
  <c r="Y1200" i="1" s="1"/>
  <c r="Z1200" i="1" s="1"/>
  <c r="M1205" i="1"/>
  <c r="V1205" i="1" s="1"/>
  <c r="Y1205" i="1" s="1"/>
  <c r="Z1205" i="1" s="1"/>
  <c r="M1208" i="1"/>
  <c r="V1208" i="1" s="1"/>
  <c r="Y1208" i="1" s="1"/>
  <c r="Z1208" i="1" s="1"/>
  <c r="M1203" i="1"/>
  <c r="V1203" i="1" s="1"/>
  <c r="Y1203" i="1" s="1"/>
  <c r="Z1203" i="1" s="1"/>
  <c r="M1202" i="1"/>
  <c r="V1202" i="1" s="1"/>
  <c r="Y1202" i="1" s="1"/>
  <c r="Z1202" i="1" s="1"/>
  <c r="M1209" i="1"/>
  <c r="V1209" i="1" s="1"/>
  <c r="Y1209" i="1" s="1"/>
  <c r="Z1209" i="1" s="1"/>
  <c r="M1211" i="1"/>
  <c r="V1211" i="1" s="1"/>
  <c r="Y1211" i="1" s="1"/>
  <c r="Z1211" i="1" s="1"/>
  <c r="M1212" i="1"/>
  <c r="V1212" i="1" s="1"/>
  <c r="Y1212" i="1" s="1"/>
  <c r="Z1212" i="1" s="1"/>
  <c r="M1213" i="1"/>
  <c r="V1213" i="1" s="1"/>
  <c r="Y1213" i="1" s="1"/>
  <c r="Z1213" i="1" s="1"/>
  <c r="M1221" i="1"/>
  <c r="V1221" i="1" s="1"/>
  <c r="Y1221" i="1" s="1"/>
  <c r="Z1221" i="1" s="1"/>
  <c r="M1219" i="1"/>
  <c r="V1219" i="1" s="1"/>
  <c r="Y1219" i="1" s="1"/>
  <c r="Z1219" i="1" s="1"/>
  <c r="M1223" i="1"/>
  <c r="V1223" i="1" s="1"/>
  <c r="Y1223" i="1" s="1"/>
  <c r="Z1223" i="1" s="1"/>
  <c r="M1216" i="1"/>
  <c r="V1216" i="1" s="1"/>
  <c r="Y1216" i="1" s="1"/>
  <c r="Z1216" i="1" s="1"/>
  <c r="M1198" i="1"/>
  <c r="V1198" i="1" s="1"/>
  <c r="Y1198" i="1" s="1"/>
  <c r="Z1198" i="1" s="1"/>
  <c r="M1206" i="1"/>
  <c r="V1206" i="1" s="1"/>
  <c r="Y1206" i="1" s="1"/>
  <c r="Z1206" i="1" s="1"/>
  <c r="M1207" i="1"/>
  <c r="V1207" i="1" s="1"/>
  <c r="Y1207" i="1" s="1"/>
  <c r="Z1207" i="1" s="1"/>
  <c r="M1204" i="1"/>
  <c r="V1204" i="1" s="1"/>
  <c r="Y1204" i="1" s="1"/>
  <c r="Z1204" i="1" s="1"/>
  <c r="M1201" i="1"/>
  <c r="V1201" i="1" s="1"/>
  <c r="Y1201" i="1" s="1"/>
  <c r="Z1201" i="1" s="1"/>
  <c r="M1217" i="1"/>
  <c r="V1217" i="1" s="1"/>
  <c r="Y1217" i="1" s="1"/>
  <c r="Z1217" i="1" s="1"/>
  <c r="M1215" i="1"/>
  <c r="V1215" i="1" s="1"/>
  <c r="Y1215" i="1" s="1"/>
  <c r="Z1215" i="1" s="1"/>
  <c r="M1222" i="1"/>
  <c r="V1222" i="1" s="1"/>
  <c r="Y1222" i="1" s="1"/>
  <c r="Z1222" i="1" s="1"/>
  <c r="M1214" i="1"/>
  <c r="V1214" i="1" s="1"/>
  <c r="Y1214" i="1" s="1"/>
  <c r="Z1214" i="1" s="1"/>
  <c r="M1218" i="1"/>
  <c r="V1218" i="1" s="1"/>
  <c r="Y1218" i="1" s="1"/>
  <c r="Z1218" i="1" s="1"/>
  <c r="M1220" i="1"/>
  <c r="V1220" i="1" s="1"/>
  <c r="Y1220" i="1" s="1"/>
  <c r="Z1220" i="1" s="1"/>
  <c r="M1210" i="1"/>
  <c r="V1210" i="1" s="1"/>
  <c r="Y1210" i="1" s="1"/>
  <c r="Z1210" i="1" s="1"/>
  <c r="M1252" i="1"/>
  <c r="V1252" i="1" s="1"/>
  <c r="Y1252" i="1" s="1"/>
  <c r="Z1252" i="1" s="1"/>
  <c r="M1259" i="1"/>
  <c r="V1259" i="1" s="1"/>
  <c r="Y1259" i="1" s="1"/>
  <c r="Z1259" i="1" s="1"/>
  <c r="M1253" i="1"/>
  <c r="V1253" i="1" s="1"/>
  <c r="Y1253" i="1" s="1"/>
  <c r="Z1253" i="1" s="1"/>
  <c r="M1258" i="1"/>
  <c r="V1258" i="1" s="1"/>
  <c r="Y1258" i="1" s="1"/>
  <c r="Z1258" i="1" s="1"/>
  <c r="M1255" i="1"/>
  <c r="V1255" i="1" s="1"/>
  <c r="Y1255" i="1" s="1"/>
  <c r="Z1255" i="1" s="1"/>
  <c r="M1264" i="1"/>
  <c r="V1264" i="1" s="1"/>
  <c r="Y1264" i="1" s="1"/>
  <c r="Z1264" i="1" s="1"/>
  <c r="M1262" i="1"/>
  <c r="V1262" i="1" s="1"/>
  <c r="Y1262" i="1" s="1"/>
  <c r="Z1262" i="1" s="1"/>
  <c r="M1266" i="1"/>
  <c r="V1266" i="1" s="1"/>
  <c r="Y1266" i="1" s="1"/>
  <c r="Z1266" i="1" s="1"/>
  <c r="M1265" i="1"/>
  <c r="V1265" i="1" s="1"/>
  <c r="Y1265" i="1" s="1"/>
  <c r="Z1265" i="1" s="1"/>
  <c r="M1270" i="1"/>
  <c r="V1270" i="1" s="1"/>
  <c r="Y1270" i="1" s="1"/>
  <c r="Z1270" i="1" s="1"/>
  <c r="M1269" i="1"/>
  <c r="V1269" i="1" s="1"/>
  <c r="Y1269" i="1" s="1"/>
  <c r="Z1269" i="1" s="1"/>
  <c r="M1272" i="1"/>
  <c r="V1272" i="1" s="1"/>
  <c r="Y1272" i="1" s="1"/>
  <c r="Z1272" i="1" s="1"/>
  <c r="M1251" i="1"/>
  <c r="V1251" i="1" s="1"/>
  <c r="Y1251" i="1" s="1"/>
  <c r="Z1251" i="1" s="1"/>
  <c r="M1256" i="1"/>
  <c r="V1256" i="1" s="1"/>
  <c r="Y1256" i="1" s="1"/>
  <c r="Z1256" i="1" s="1"/>
  <c r="M1254" i="1"/>
  <c r="V1254" i="1" s="1"/>
  <c r="Y1254" i="1" s="1"/>
  <c r="Z1254" i="1" s="1"/>
  <c r="M1257" i="1"/>
  <c r="V1257" i="1" s="1"/>
  <c r="Y1257" i="1" s="1"/>
  <c r="Z1257" i="1" s="1"/>
  <c r="M1260" i="1"/>
  <c r="V1260" i="1" s="1"/>
  <c r="Y1260" i="1" s="1"/>
  <c r="Z1260" i="1" s="1"/>
  <c r="M1263" i="1"/>
  <c r="V1263" i="1" s="1"/>
  <c r="Y1263" i="1" s="1"/>
  <c r="Z1263" i="1" s="1"/>
  <c r="M1261" i="1"/>
  <c r="V1261" i="1" s="1"/>
  <c r="Y1261" i="1" s="1"/>
  <c r="Z1261" i="1" s="1"/>
  <c r="M1268" i="1"/>
  <c r="V1268" i="1" s="1"/>
  <c r="Y1268" i="1" s="1"/>
  <c r="Z1268" i="1" s="1"/>
  <c r="M1267" i="1"/>
  <c r="V1267" i="1" s="1"/>
  <c r="Y1267" i="1" s="1"/>
  <c r="Z1267" i="1" s="1"/>
  <c r="M1271" i="1"/>
  <c r="V1271" i="1" s="1"/>
  <c r="Y1271" i="1" s="1"/>
  <c r="Z1271" i="1" s="1"/>
  <c r="M1273" i="1"/>
  <c r="V1273" i="1" s="1"/>
  <c r="Y1273" i="1" s="1"/>
  <c r="Z1273" i="1" s="1"/>
  <c r="M1275" i="1"/>
  <c r="V1275" i="1" s="1"/>
  <c r="Y1275" i="1" s="1"/>
  <c r="Z1275" i="1" s="1"/>
  <c r="M1281" i="1"/>
  <c r="V1281" i="1" s="1"/>
  <c r="Y1281" i="1" s="1"/>
  <c r="Z1281" i="1" s="1"/>
  <c r="M1284" i="1"/>
  <c r="V1284" i="1" s="1"/>
  <c r="Y1284" i="1" s="1"/>
  <c r="Z1284" i="1" s="1"/>
  <c r="M1280" i="1"/>
  <c r="V1280" i="1" s="1"/>
  <c r="Y1280" i="1" s="1"/>
  <c r="Z1280" i="1" s="1"/>
  <c r="M1283" i="1"/>
  <c r="V1283" i="1" s="1"/>
  <c r="Y1283" i="1" s="1"/>
  <c r="Z1283" i="1" s="1"/>
  <c r="M1291" i="1"/>
  <c r="V1291" i="1" s="1"/>
  <c r="Y1291" i="1" s="1"/>
  <c r="Z1291" i="1" s="1"/>
  <c r="M1293" i="1"/>
  <c r="V1293" i="1" s="1"/>
  <c r="Y1293" i="1" s="1"/>
  <c r="Z1293" i="1" s="1"/>
  <c r="M1288" i="1"/>
  <c r="V1288" i="1" s="1"/>
  <c r="Y1288" i="1" s="1"/>
  <c r="Z1288" i="1" s="1"/>
  <c r="M1286" i="1"/>
  <c r="V1286" i="1" s="1"/>
  <c r="Y1286" i="1" s="1"/>
  <c r="Z1286" i="1" s="1"/>
  <c r="M1289" i="1"/>
  <c r="V1289" i="1" s="1"/>
  <c r="Y1289" i="1" s="1"/>
  <c r="Z1289" i="1" s="1"/>
  <c r="M1274" i="1"/>
  <c r="V1274" i="1" s="1"/>
  <c r="Y1274" i="1" s="1"/>
  <c r="Z1274" i="1" s="1"/>
  <c r="M1279" i="1"/>
  <c r="V1279" i="1" s="1"/>
  <c r="Y1279" i="1" s="1"/>
  <c r="Z1279" i="1" s="1"/>
  <c r="M1277" i="1"/>
  <c r="V1277" i="1" s="1"/>
  <c r="Y1277" i="1" s="1"/>
  <c r="Z1277" i="1" s="1"/>
  <c r="M1276" i="1"/>
  <c r="V1276" i="1" s="1"/>
  <c r="Y1276" i="1" s="1"/>
  <c r="Z1276" i="1" s="1"/>
  <c r="M1278" i="1"/>
  <c r="V1278" i="1" s="1"/>
  <c r="Y1278" i="1" s="1"/>
  <c r="Z1278" i="1" s="1"/>
  <c r="M1285" i="1"/>
  <c r="V1285" i="1" s="1"/>
  <c r="Y1285" i="1" s="1"/>
  <c r="Z1285" i="1" s="1"/>
  <c r="M1290" i="1"/>
  <c r="V1290" i="1" s="1"/>
  <c r="Y1290" i="1" s="1"/>
  <c r="Z1290" i="1" s="1"/>
  <c r="M1292" i="1"/>
  <c r="V1292" i="1" s="1"/>
  <c r="Y1292" i="1" s="1"/>
  <c r="Z1292" i="1" s="1"/>
  <c r="M1287" i="1"/>
  <c r="V1287" i="1" s="1"/>
  <c r="Y1287" i="1" s="1"/>
  <c r="Z1287" i="1" s="1"/>
  <c r="M1282" i="1"/>
  <c r="V1282" i="1" s="1"/>
  <c r="Y1282" i="1" s="1"/>
  <c r="Z1282" i="1" s="1"/>
  <c r="M1294" i="1"/>
  <c r="V1294" i="1" s="1"/>
  <c r="Y1294" i="1" s="1"/>
  <c r="Z1294" i="1" s="1"/>
  <c r="M1295" i="1"/>
  <c r="V1295" i="1" s="1"/>
  <c r="Y1295" i="1" s="1"/>
  <c r="Z1295" i="1" s="1"/>
  <c r="M1297" i="1"/>
  <c r="V1297" i="1" s="1"/>
  <c r="Y1297" i="1" s="1"/>
  <c r="Z1297" i="1" s="1"/>
  <c r="M1302" i="1"/>
  <c r="V1302" i="1" s="1"/>
  <c r="Y1302" i="1" s="1"/>
  <c r="Z1302" i="1" s="1"/>
  <c r="M1301" i="1"/>
  <c r="V1301" i="1" s="1"/>
  <c r="Y1301" i="1" s="1"/>
  <c r="Z1301" i="1" s="1"/>
  <c r="M1300" i="1"/>
  <c r="V1300" i="1" s="1"/>
  <c r="Y1300" i="1" s="1"/>
  <c r="Z1300" i="1" s="1"/>
  <c r="M1303" i="1"/>
  <c r="V1303" i="1" s="1"/>
  <c r="Y1303" i="1" s="1"/>
  <c r="Z1303" i="1" s="1"/>
  <c r="M1306" i="1"/>
  <c r="V1306" i="1" s="1"/>
  <c r="Y1306" i="1" s="1"/>
  <c r="Z1306" i="1" s="1"/>
  <c r="M1304" i="1"/>
  <c r="V1304" i="1" s="1"/>
  <c r="Y1304" i="1" s="1"/>
  <c r="Z1304" i="1" s="1"/>
  <c r="M1305" i="1"/>
  <c r="V1305" i="1" s="1"/>
  <c r="Y1305" i="1" s="1"/>
  <c r="Z1305" i="1" s="1"/>
  <c r="M1311" i="1"/>
  <c r="V1311" i="1" s="1"/>
  <c r="Y1311" i="1" s="1"/>
  <c r="Z1311" i="1" s="1"/>
  <c r="M1309" i="1"/>
  <c r="V1309" i="1" s="1"/>
  <c r="Y1309" i="1" s="1"/>
  <c r="Z1309" i="1" s="1"/>
  <c r="M1307" i="1"/>
  <c r="V1307" i="1" s="1"/>
  <c r="Y1307" i="1" s="1"/>
  <c r="Z1307" i="1" s="1"/>
  <c r="M1308" i="1"/>
  <c r="V1308" i="1" s="1"/>
  <c r="Y1308" i="1" s="1"/>
  <c r="Z1308" i="1" s="1"/>
  <c r="M1313" i="1"/>
  <c r="V1313" i="1" s="1"/>
  <c r="Y1313" i="1" s="1"/>
  <c r="Z1313" i="1" s="1"/>
  <c r="M1310" i="1"/>
  <c r="V1310" i="1" s="1"/>
  <c r="Y1310" i="1" s="1"/>
  <c r="Z1310" i="1" s="1"/>
  <c r="M1314" i="1"/>
  <c r="V1314" i="1" s="1"/>
  <c r="Y1314" i="1" s="1"/>
  <c r="Z1314" i="1" s="1"/>
  <c r="M1317" i="1"/>
  <c r="V1317" i="1" s="1"/>
  <c r="Y1317" i="1" s="1"/>
  <c r="Z1317" i="1" s="1"/>
  <c r="M1299" i="1"/>
  <c r="V1299" i="1" s="1"/>
  <c r="Y1299" i="1" s="1"/>
  <c r="Z1299" i="1" s="1"/>
  <c r="M1296" i="1"/>
  <c r="V1296" i="1" s="1"/>
  <c r="Y1296" i="1" s="1"/>
  <c r="Z1296" i="1" s="1"/>
  <c r="M1298" i="1"/>
  <c r="V1298" i="1" s="1"/>
  <c r="Y1298" i="1" s="1"/>
  <c r="Z1298" i="1" s="1"/>
  <c r="M1315" i="1"/>
  <c r="V1315" i="1" s="1"/>
  <c r="Y1315" i="1" s="1"/>
  <c r="Z1315" i="1" s="1"/>
  <c r="M1316" i="1"/>
  <c r="V1316" i="1" s="1"/>
  <c r="Y1316" i="1" s="1"/>
  <c r="Z1316" i="1" s="1"/>
  <c r="M1312" i="1"/>
  <c r="V1312" i="1" s="1"/>
  <c r="Y1312" i="1" s="1"/>
  <c r="Z1312" i="1" s="1"/>
  <c r="M2205" i="1"/>
  <c r="V2205" i="1" s="1"/>
  <c r="Y2205" i="1" s="1"/>
  <c r="Z2205" i="1" s="1"/>
  <c r="M2204" i="1"/>
  <c r="V2204" i="1" s="1"/>
  <c r="Y2204" i="1" s="1"/>
  <c r="Z2204" i="1" s="1"/>
  <c r="M2207" i="1"/>
  <c r="V2207" i="1" s="1"/>
  <c r="Y2207" i="1" s="1"/>
  <c r="Z2207" i="1" s="1"/>
  <c r="M2210" i="1"/>
  <c r="V2210" i="1" s="1"/>
  <c r="Y2210" i="1" s="1"/>
  <c r="Z2210" i="1" s="1"/>
  <c r="M2209" i="1"/>
  <c r="V2209" i="1" s="1"/>
  <c r="Y2209" i="1" s="1"/>
  <c r="Z2209" i="1" s="1"/>
  <c r="M2212" i="1"/>
  <c r="V2212" i="1" s="1"/>
  <c r="Y2212" i="1" s="1"/>
  <c r="Z2212" i="1" s="1"/>
  <c r="M2208" i="1"/>
  <c r="V2208" i="1" s="1"/>
  <c r="Y2208" i="1" s="1"/>
  <c r="Z2208" i="1" s="1"/>
  <c r="M2211" i="1"/>
  <c r="V2211" i="1" s="1"/>
  <c r="Y2211" i="1" s="1"/>
  <c r="Z2211" i="1" s="1"/>
  <c r="M2206" i="1"/>
  <c r="V2206" i="1" s="1"/>
  <c r="Y2206" i="1" s="1"/>
  <c r="Z2206" i="1" s="1"/>
  <c r="M2213" i="1"/>
  <c r="V2213" i="1" s="1"/>
  <c r="Y2213" i="1" s="1"/>
  <c r="Z2213" i="1" s="1"/>
  <c r="M2218" i="1"/>
  <c r="V2218" i="1" s="1"/>
  <c r="Y2218" i="1" s="1"/>
  <c r="Z2218" i="1" s="1"/>
  <c r="M2219" i="1"/>
  <c r="V2219" i="1" s="1"/>
  <c r="Y2219" i="1" s="1"/>
  <c r="Z2219" i="1" s="1"/>
  <c r="M2217" i="1"/>
  <c r="V2217" i="1" s="1"/>
  <c r="Y2217" i="1" s="1"/>
  <c r="Z2217" i="1" s="1"/>
  <c r="M2215" i="1"/>
  <c r="V2215" i="1" s="1"/>
  <c r="Y2215" i="1" s="1"/>
  <c r="Z2215" i="1" s="1"/>
  <c r="M2216" i="1"/>
  <c r="V2216" i="1" s="1"/>
  <c r="Y2216" i="1" s="1"/>
  <c r="Z2216" i="1" s="1"/>
  <c r="M2214" i="1"/>
  <c r="V2214" i="1" s="1"/>
  <c r="Y2214" i="1" s="1"/>
  <c r="Z2214" i="1" s="1"/>
  <c r="M2222" i="1"/>
  <c r="V2222" i="1" s="1"/>
  <c r="Y2222" i="1" s="1"/>
  <c r="Z2222" i="1" s="1"/>
  <c r="M2227" i="1"/>
  <c r="V2227" i="1" s="1"/>
  <c r="Y2227" i="1" s="1"/>
  <c r="Z2227" i="1" s="1"/>
  <c r="M2225" i="1"/>
  <c r="V2225" i="1" s="1"/>
  <c r="Y2225" i="1" s="1"/>
  <c r="Z2225" i="1" s="1"/>
  <c r="M2221" i="1"/>
  <c r="V2221" i="1" s="1"/>
  <c r="Y2221" i="1" s="1"/>
  <c r="Z2221" i="1" s="1"/>
  <c r="M2224" i="1"/>
  <c r="V2224" i="1" s="1"/>
  <c r="Y2224" i="1" s="1"/>
  <c r="Z2224" i="1" s="1"/>
  <c r="M2226" i="1"/>
  <c r="V2226" i="1" s="1"/>
  <c r="Y2226" i="1" s="1"/>
  <c r="Z2226" i="1" s="1"/>
  <c r="M2223" i="1"/>
  <c r="V2223" i="1" s="1"/>
  <c r="Y2223" i="1" s="1"/>
  <c r="Z2223" i="1" s="1"/>
  <c r="M2228" i="1"/>
  <c r="V2228" i="1" s="1"/>
  <c r="Y2228" i="1" s="1"/>
  <c r="Z2228" i="1" s="1"/>
  <c r="M2220" i="1"/>
  <c r="V2220" i="1" s="1"/>
  <c r="Y2220" i="1" s="1"/>
  <c r="Z2220" i="1" s="1"/>
  <c r="M2229" i="1"/>
  <c r="V2229" i="1" s="1"/>
  <c r="Y2229" i="1" s="1"/>
  <c r="Z2229" i="1" s="1"/>
  <c r="M1318" i="1"/>
  <c r="V1318" i="1" s="1"/>
  <c r="Y1318" i="1" s="1"/>
  <c r="Z1318" i="1" s="1"/>
  <c r="M1319" i="1"/>
  <c r="V1319" i="1" s="1"/>
  <c r="Y1319" i="1" s="1"/>
  <c r="Z1319" i="1" s="1"/>
  <c r="M1320" i="1"/>
  <c r="V1320" i="1" s="1"/>
  <c r="Y1320" i="1" s="1"/>
  <c r="Z1320" i="1" s="1"/>
  <c r="M1321" i="1"/>
  <c r="V1321" i="1" s="1"/>
  <c r="Y1321" i="1" s="1"/>
  <c r="Z1321" i="1" s="1"/>
  <c r="M1336" i="1"/>
  <c r="V1336" i="1" s="1"/>
  <c r="Y1336" i="1" s="1"/>
  <c r="Z1336" i="1" s="1"/>
  <c r="M1323" i="1"/>
  <c r="V1323" i="1" s="1"/>
  <c r="Y1323" i="1" s="1"/>
  <c r="Z1323" i="1" s="1"/>
  <c r="M1322" i="1"/>
  <c r="V1322" i="1" s="1"/>
  <c r="Y1322" i="1" s="1"/>
  <c r="Z1322" i="1" s="1"/>
  <c r="M1341" i="1"/>
  <c r="V1341" i="1" s="1"/>
  <c r="Y1341" i="1" s="1"/>
  <c r="Z1341" i="1" s="1"/>
  <c r="M1326" i="1"/>
  <c r="V1326" i="1" s="1"/>
  <c r="Y1326" i="1" s="1"/>
  <c r="Z1326" i="1" s="1"/>
  <c r="M1325" i="1"/>
  <c r="V1325" i="1" s="1"/>
  <c r="Y1325" i="1" s="1"/>
  <c r="Z1325" i="1" s="1"/>
  <c r="M1328" i="1"/>
  <c r="V1328" i="1" s="1"/>
  <c r="Y1328" i="1" s="1"/>
  <c r="Z1328" i="1" s="1"/>
  <c r="M1329" i="1"/>
  <c r="V1329" i="1" s="1"/>
  <c r="Y1329" i="1" s="1"/>
  <c r="Z1329" i="1" s="1"/>
  <c r="M1327" i="1"/>
  <c r="V1327" i="1" s="1"/>
  <c r="Y1327" i="1" s="1"/>
  <c r="Z1327" i="1" s="1"/>
  <c r="M1337" i="1"/>
  <c r="V1337" i="1" s="1"/>
  <c r="Y1337" i="1" s="1"/>
  <c r="Z1337" i="1" s="1"/>
  <c r="M1334" i="1"/>
  <c r="V1334" i="1" s="1"/>
  <c r="Y1334" i="1" s="1"/>
  <c r="Z1334" i="1" s="1"/>
  <c r="M1333" i="1"/>
  <c r="V1333" i="1" s="1"/>
  <c r="Y1333" i="1" s="1"/>
  <c r="Z1333" i="1" s="1"/>
  <c r="M1335" i="1"/>
  <c r="V1335" i="1" s="1"/>
  <c r="Y1335" i="1" s="1"/>
  <c r="Z1335" i="1" s="1"/>
  <c r="M1340" i="1"/>
  <c r="V1340" i="1" s="1"/>
  <c r="Y1340" i="1" s="1"/>
  <c r="Z1340" i="1" s="1"/>
  <c r="M1338" i="1"/>
  <c r="V1338" i="1" s="1"/>
  <c r="Y1338" i="1" s="1"/>
  <c r="Z1338" i="1" s="1"/>
  <c r="M1330" i="1"/>
  <c r="V1330" i="1" s="1"/>
  <c r="Y1330" i="1" s="1"/>
  <c r="Z1330" i="1" s="1"/>
  <c r="M1331" i="1"/>
  <c r="V1331" i="1" s="1"/>
  <c r="Y1331" i="1" s="1"/>
  <c r="Z1331" i="1" s="1"/>
  <c r="M1332" i="1"/>
  <c r="V1332" i="1" s="1"/>
  <c r="Y1332" i="1" s="1"/>
  <c r="Z1332" i="1" s="1"/>
  <c r="M1339" i="1"/>
  <c r="V1339" i="1" s="1"/>
  <c r="Y1339" i="1" s="1"/>
  <c r="Z1339" i="1" s="1"/>
  <c r="M1324" i="1"/>
  <c r="V1324" i="1" s="1"/>
  <c r="Y1324" i="1" s="1"/>
  <c r="Z1324" i="1" s="1"/>
  <c r="M1342" i="1"/>
  <c r="V1342" i="1" s="1"/>
  <c r="Y1342" i="1" s="1"/>
  <c r="Z1342" i="1" s="1"/>
  <c r="M1345" i="1"/>
  <c r="V1345" i="1" s="1"/>
  <c r="Y1345" i="1" s="1"/>
  <c r="Z1345" i="1" s="1"/>
  <c r="M1346" i="1"/>
  <c r="V1346" i="1" s="1"/>
  <c r="Y1346" i="1" s="1"/>
  <c r="Z1346" i="1" s="1"/>
  <c r="M1351" i="1"/>
  <c r="V1351" i="1" s="1"/>
  <c r="Y1351" i="1" s="1"/>
  <c r="Z1351" i="1" s="1"/>
  <c r="M1349" i="1"/>
  <c r="V1349" i="1" s="1"/>
  <c r="Y1349" i="1" s="1"/>
  <c r="Z1349" i="1" s="1"/>
  <c r="M1352" i="1"/>
  <c r="V1352" i="1" s="1"/>
  <c r="Y1352" i="1" s="1"/>
  <c r="Z1352" i="1" s="1"/>
  <c r="M1353" i="1"/>
  <c r="V1353" i="1" s="1"/>
  <c r="Y1353" i="1" s="1"/>
  <c r="Z1353" i="1" s="1"/>
  <c r="M1359" i="1"/>
  <c r="V1359" i="1" s="1"/>
  <c r="Y1359" i="1" s="1"/>
  <c r="Z1359" i="1" s="1"/>
  <c r="M1356" i="1"/>
  <c r="V1356" i="1" s="1"/>
  <c r="Y1356" i="1" s="1"/>
  <c r="Z1356" i="1" s="1"/>
  <c r="M1361" i="1"/>
  <c r="V1361" i="1" s="1"/>
  <c r="Y1361" i="1" s="1"/>
  <c r="Z1361" i="1" s="1"/>
  <c r="M1363" i="1"/>
  <c r="V1363" i="1" s="1"/>
  <c r="Y1363" i="1" s="1"/>
  <c r="Z1363" i="1" s="1"/>
  <c r="M1360" i="1"/>
  <c r="V1360" i="1" s="1"/>
  <c r="Y1360" i="1" s="1"/>
  <c r="Z1360" i="1" s="1"/>
  <c r="M1364" i="1"/>
  <c r="V1364" i="1" s="1"/>
  <c r="Y1364" i="1" s="1"/>
  <c r="Z1364" i="1" s="1"/>
  <c r="M1343" i="1"/>
  <c r="V1343" i="1" s="1"/>
  <c r="Y1343" i="1" s="1"/>
  <c r="Z1343" i="1" s="1"/>
  <c r="M1344" i="1"/>
  <c r="V1344" i="1" s="1"/>
  <c r="Y1344" i="1" s="1"/>
  <c r="Z1344" i="1" s="1"/>
  <c r="M1350" i="1"/>
  <c r="V1350" i="1" s="1"/>
  <c r="Y1350" i="1" s="1"/>
  <c r="Z1350" i="1" s="1"/>
  <c r="M1348" i="1"/>
  <c r="V1348" i="1" s="1"/>
  <c r="Y1348" i="1" s="1"/>
  <c r="Z1348" i="1" s="1"/>
  <c r="M1347" i="1"/>
  <c r="V1347" i="1" s="1"/>
  <c r="Y1347" i="1" s="1"/>
  <c r="Z1347" i="1" s="1"/>
  <c r="M1358" i="1"/>
  <c r="V1358" i="1" s="1"/>
  <c r="Y1358" i="1" s="1"/>
  <c r="Z1358" i="1" s="1"/>
  <c r="M1357" i="1"/>
  <c r="V1357" i="1" s="1"/>
  <c r="Y1357" i="1" s="1"/>
  <c r="Z1357" i="1" s="1"/>
  <c r="M1362" i="1"/>
  <c r="V1362" i="1" s="1"/>
  <c r="Y1362" i="1" s="1"/>
  <c r="Z1362" i="1" s="1"/>
  <c r="M1355" i="1"/>
  <c r="V1355" i="1" s="1"/>
  <c r="Y1355" i="1" s="1"/>
  <c r="Z1355" i="1" s="1"/>
  <c r="M1354" i="1"/>
  <c r="V1354" i="1" s="1"/>
  <c r="Y1354" i="1" s="1"/>
  <c r="Z1354" i="1" s="1"/>
  <c r="M1382" i="1"/>
  <c r="V1382" i="1" s="1"/>
  <c r="Y1382" i="1" s="1"/>
  <c r="Z1382" i="1" s="1"/>
  <c r="M1367" i="1"/>
  <c r="V1367" i="1" s="1"/>
  <c r="Y1367" i="1" s="1"/>
  <c r="Z1367" i="1" s="1"/>
  <c r="M1366" i="1"/>
  <c r="V1366" i="1" s="1"/>
  <c r="Y1366" i="1" s="1"/>
  <c r="Z1366" i="1" s="1"/>
  <c r="M1384" i="1"/>
  <c r="V1384" i="1" s="1"/>
  <c r="Y1384" i="1" s="1"/>
  <c r="Z1384" i="1" s="1"/>
  <c r="M1369" i="1"/>
  <c r="V1369" i="1" s="1"/>
  <c r="Y1369" i="1" s="1"/>
  <c r="Z1369" i="1" s="1"/>
  <c r="M1371" i="1"/>
  <c r="V1371" i="1" s="1"/>
  <c r="Y1371" i="1" s="1"/>
  <c r="Z1371" i="1" s="1"/>
  <c r="M1368" i="1"/>
  <c r="V1368" i="1" s="1"/>
  <c r="Y1368" i="1" s="1"/>
  <c r="Z1368" i="1" s="1"/>
  <c r="M1370" i="1"/>
  <c r="V1370" i="1" s="1"/>
  <c r="Y1370" i="1" s="1"/>
  <c r="Z1370" i="1" s="1"/>
  <c r="M1379" i="1"/>
  <c r="V1379" i="1" s="1"/>
  <c r="Y1379" i="1" s="1"/>
  <c r="Z1379" i="1" s="1"/>
  <c r="M1375" i="1"/>
  <c r="V1375" i="1" s="1"/>
  <c r="Y1375" i="1" s="1"/>
  <c r="Z1375" i="1" s="1"/>
  <c r="M1378" i="1"/>
  <c r="V1378" i="1" s="1"/>
  <c r="Y1378" i="1" s="1"/>
  <c r="Z1378" i="1" s="1"/>
  <c r="M1380" i="1"/>
  <c r="V1380" i="1" s="1"/>
  <c r="Y1380" i="1" s="1"/>
  <c r="Z1380" i="1" s="1"/>
  <c r="M1381" i="1"/>
  <c r="V1381" i="1" s="1"/>
  <c r="Y1381" i="1" s="1"/>
  <c r="Z1381" i="1" s="1"/>
  <c r="M1376" i="1"/>
  <c r="V1376" i="1" s="1"/>
  <c r="Y1376" i="1" s="1"/>
  <c r="Z1376" i="1" s="1"/>
  <c r="M1377" i="1"/>
  <c r="V1377" i="1" s="1"/>
  <c r="Y1377" i="1" s="1"/>
  <c r="Z1377" i="1" s="1"/>
  <c r="M1383" i="1"/>
  <c r="V1383" i="1" s="1"/>
  <c r="Y1383" i="1" s="1"/>
  <c r="Z1383" i="1" s="1"/>
  <c r="M1373" i="1"/>
  <c r="V1373" i="1" s="1"/>
  <c r="Y1373" i="1" s="1"/>
  <c r="Z1373" i="1" s="1"/>
  <c r="M1372" i="1"/>
  <c r="V1372" i="1" s="1"/>
  <c r="Y1372" i="1" s="1"/>
  <c r="Z1372" i="1" s="1"/>
  <c r="M1374" i="1"/>
  <c r="V1374" i="1" s="1"/>
  <c r="Y1374" i="1" s="1"/>
  <c r="Z1374" i="1" s="1"/>
  <c r="M1365" i="1"/>
  <c r="V1365" i="1" s="1"/>
  <c r="Y1365" i="1" s="1"/>
  <c r="Z1365" i="1" s="1"/>
  <c r="M1386" i="1"/>
  <c r="V1386" i="1" s="1"/>
  <c r="Y1386" i="1" s="1"/>
  <c r="Z1386" i="1" s="1"/>
  <c r="M1385" i="1"/>
  <c r="V1385" i="1" s="1"/>
  <c r="Y1385" i="1" s="1"/>
  <c r="Z1385" i="1" s="1"/>
  <c r="M1673" i="1"/>
  <c r="V1673" i="1" s="1"/>
  <c r="Y1673" i="1" s="1"/>
  <c r="Z1673" i="1" s="1"/>
  <c r="M1674" i="1"/>
  <c r="V1674" i="1" s="1"/>
  <c r="Y1674" i="1" s="1"/>
  <c r="Z1674" i="1" s="1"/>
  <c r="M1679" i="1"/>
  <c r="V1679" i="1" s="1"/>
  <c r="Y1679" i="1" s="1"/>
  <c r="Z1679" i="1" s="1"/>
  <c r="M1677" i="1"/>
  <c r="V1677" i="1" s="1"/>
  <c r="Y1677" i="1" s="1"/>
  <c r="Z1677" i="1" s="1"/>
  <c r="M1678" i="1"/>
  <c r="V1678" i="1" s="1"/>
  <c r="Y1678" i="1" s="1"/>
  <c r="Z1678" i="1" s="1"/>
  <c r="M1676" i="1"/>
  <c r="V1676" i="1" s="1"/>
  <c r="Y1676" i="1" s="1"/>
  <c r="Z1676" i="1" s="1"/>
  <c r="M1675" i="1"/>
  <c r="V1675" i="1" s="1"/>
  <c r="Y1675" i="1" s="1"/>
  <c r="Z1675" i="1" s="1"/>
  <c r="M1680" i="1"/>
  <c r="V1680" i="1" s="1"/>
  <c r="Y1680" i="1" s="1"/>
  <c r="Z1680" i="1" s="1"/>
  <c r="M1681" i="1"/>
  <c r="V1681" i="1" s="1"/>
  <c r="Y1681" i="1" s="1"/>
  <c r="Z1681" i="1" s="1"/>
  <c r="M1682" i="1"/>
  <c r="V1682" i="1" s="1"/>
  <c r="Y1682" i="1" s="1"/>
  <c r="Z1682" i="1" s="1"/>
  <c r="M1689" i="1"/>
  <c r="V1689" i="1" s="1"/>
  <c r="Y1689" i="1" s="1"/>
  <c r="Z1689" i="1" s="1"/>
  <c r="M1686" i="1"/>
  <c r="V1686" i="1" s="1"/>
  <c r="Y1686" i="1" s="1"/>
  <c r="Z1686" i="1" s="1"/>
  <c r="M1684" i="1"/>
  <c r="V1684" i="1" s="1"/>
  <c r="Y1684" i="1" s="1"/>
  <c r="Z1684" i="1" s="1"/>
  <c r="M1687" i="1"/>
  <c r="V1687" i="1" s="1"/>
  <c r="Y1687" i="1" s="1"/>
  <c r="Z1687" i="1" s="1"/>
  <c r="M1690" i="1"/>
  <c r="V1690" i="1" s="1"/>
  <c r="Y1690" i="1" s="1"/>
  <c r="Z1690" i="1" s="1"/>
  <c r="M1683" i="1"/>
  <c r="V1683" i="1" s="1"/>
  <c r="Y1683" i="1" s="1"/>
  <c r="Z1683" i="1" s="1"/>
  <c r="M1688" i="1"/>
  <c r="V1688" i="1" s="1"/>
  <c r="Y1688" i="1" s="1"/>
  <c r="Z1688" i="1" s="1"/>
  <c r="M1685" i="1"/>
  <c r="V1685" i="1" s="1"/>
  <c r="Y1685" i="1" s="1"/>
  <c r="Z1685" i="1" s="1"/>
  <c r="M1691" i="1"/>
  <c r="V1691" i="1" s="1"/>
  <c r="Y1691" i="1" s="1"/>
  <c r="Z1691" i="1" s="1"/>
  <c r="M1396" i="1"/>
  <c r="V1396" i="1" s="1"/>
  <c r="Y1396" i="1" s="1"/>
  <c r="Z1396" i="1" s="1"/>
  <c r="M1387" i="1"/>
  <c r="V1387" i="1" s="1"/>
  <c r="Y1387" i="1" s="1"/>
  <c r="Z1387" i="1" s="1"/>
  <c r="M1389" i="1"/>
  <c r="V1389" i="1" s="1"/>
  <c r="Y1389" i="1" s="1"/>
  <c r="Z1389" i="1" s="1"/>
  <c r="M1407" i="1"/>
  <c r="V1407" i="1" s="1"/>
  <c r="Y1407" i="1" s="1"/>
  <c r="Z1407" i="1" s="1"/>
  <c r="M1391" i="1"/>
  <c r="V1391" i="1" s="1"/>
  <c r="Y1391" i="1" s="1"/>
  <c r="Z1391" i="1" s="1"/>
  <c r="M1392" i="1"/>
  <c r="V1392" i="1" s="1"/>
  <c r="Y1392" i="1" s="1"/>
  <c r="Z1392" i="1" s="1"/>
  <c r="M1394" i="1"/>
  <c r="V1394" i="1" s="1"/>
  <c r="Y1394" i="1" s="1"/>
  <c r="Z1394" i="1" s="1"/>
  <c r="M1395" i="1"/>
  <c r="V1395" i="1" s="1"/>
  <c r="Y1395" i="1" s="1"/>
  <c r="Z1395" i="1" s="1"/>
  <c r="M1393" i="1"/>
  <c r="V1393" i="1" s="1"/>
  <c r="Y1393" i="1" s="1"/>
  <c r="Z1393" i="1" s="1"/>
  <c r="M1403" i="1"/>
  <c r="V1403" i="1" s="1"/>
  <c r="Y1403" i="1" s="1"/>
  <c r="Z1403" i="1" s="1"/>
  <c r="M1401" i="1"/>
  <c r="V1401" i="1" s="1"/>
  <c r="Y1401" i="1" s="1"/>
  <c r="Z1401" i="1" s="1"/>
  <c r="M1400" i="1"/>
  <c r="V1400" i="1" s="1"/>
  <c r="Y1400" i="1" s="1"/>
  <c r="Z1400" i="1" s="1"/>
  <c r="M1402" i="1"/>
  <c r="V1402" i="1" s="1"/>
  <c r="Y1402" i="1" s="1"/>
  <c r="Z1402" i="1" s="1"/>
  <c r="M1406" i="1"/>
  <c r="V1406" i="1" s="1"/>
  <c r="Y1406" i="1" s="1"/>
  <c r="Z1406" i="1" s="1"/>
  <c r="M1404" i="1"/>
  <c r="V1404" i="1" s="1"/>
  <c r="Y1404" i="1" s="1"/>
  <c r="Z1404" i="1" s="1"/>
  <c r="M1397" i="1"/>
  <c r="V1397" i="1" s="1"/>
  <c r="Y1397" i="1" s="1"/>
  <c r="Z1397" i="1" s="1"/>
  <c r="M1398" i="1"/>
  <c r="V1398" i="1" s="1"/>
  <c r="Y1398" i="1" s="1"/>
  <c r="Z1398" i="1" s="1"/>
  <c r="M1399" i="1"/>
  <c r="V1399" i="1" s="1"/>
  <c r="Y1399" i="1" s="1"/>
  <c r="Z1399" i="1" s="1"/>
  <c r="M1405" i="1"/>
  <c r="V1405" i="1" s="1"/>
  <c r="Y1405" i="1" s="1"/>
  <c r="Z1405" i="1" s="1"/>
  <c r="M1390" i="1"/>
  <c r="V1390" i="1" s="1"/>
  <c r="Y1390" i="1" s="1"/>
  <c r="Z1390" i="1" s="1"/>
  <c r="M1409" i="1"/>
  <c r="V1409" i="1" s="1"/>
  <c r="Y1409" i="1" s="1"/>
  <c r="Z1409" i="1" s="1"/>
  <c r="M1408" i="1"/>
  <c r="V1408" i="1" s="1"/>
  <c r="Y1408" i="1" s="1"/>
  <c r="Z1408" i="1" s="1"/>
  <c r="M1413" i="1"/>
  <c r="V1413" i="1" s="1"/>
  <c r="Y1413" i="1" s="1"/>
  <c r="Z1413" i="1" s="1"/>
  <c r="M1414" i="1"/>
  <c r="V1414" i="1" s="1"/>
  <c r="Y1414" i="1" s="1"/>
  <c r="Z1414" i="1" s="1"/>
  <c r="M1416" i="1"/>
  <c r="V1416" i="1" s="1"/>
  <c r="Y1416" i="1" s="1"/>
  <c r="Z1416" i="1" s="1"/>
  <c r="M1411" i="1"/>
  <c r="V1411" i="1" s="1"/>
  <c r="Y1411" i="1" s="1"/>
  <c r="Z1411" i="1" s="1"/>
  <c r="M1419" i="1"/>
  <c r="V1419" i="1" s="1"/>
  <c r="Y1419" i="1" s="1"/>
  <c r="Z1419" i="1" s="1"/>
  <c r="M1418" i="1"/>
  <c r="V1418" i="1" s="1"/>
  <c r="Y1418" i="1" s="1"/>
  <c r="Z1418" i="1" s="1"/>
  <c r="M1426" i="1"/>
  <c r="V1426" i="1" s="1"/>
  <c r="Y1426" i="1" s="1"/>
  <c r="Z1426" i="1" s="1"/>
  <c r="M1429" i="1"/>
  <c r="V1429" i="1" s="1"/>
  <c r="Y1429" i="1" s="1"/>
  <c r="Z1429" i="1" s="1"/>
  <c r="M1425" i="1"/>
  <c r="V1425" i="1" s="1"/>
  <c r="Y1425" i="1" s="1"/>
  <c r="Z1425" i="1" s="1"/>
  <c r="M1428" i="1"/>
  <c r="V1428" i="1" s="1"/>
  <c r="Y1428" i="1" s="1"/>
  <c r="Z1428" i="1" s="1"/>
  <c r="M1421" i="1"/>
  <c r="V1421" i="1" s="1"/>
  <c r="Y1421" i="1" s="1"/>
  <c r="Z1421" i="1" s="1"/>
  <c r="M1430" i="1"/>
  <c r="V1430" i="1" s="1"/>
  <c r="Y1430" i="1" s="1"/>
  <c r="Z1430" i="1" s="1"/>
  <c r="M1388" i="1"/>
  <c r="V1388" i="1" s="1"/>
  <c r="Y1388" i="1" s="1"/>
  <c r="Z1388" i="1" s="1"/>
  <c r="M1417" i="1"/>
  <c r="V1417" i="1" s="1"/>
  <c r="Y1417" i="1" s="1"/>
  <c r="Z1417" i="1" s="1"/>
  <c r="M1410" i="1"/>
  <c r="V1410" i="1" s="1"/>
  <c r="Y1410" i="1" s="1"/>
  <c r="Z1410" i="1" s="1"/>
  <c r="M1415" i="1"/>
  <c r="V1415" i="1" s="1"/>
  <c r="Y1415" i="1" s="1"/>
  <c r="Z1415" i="1" s="1"/>
  <c r="M1412" i="1"/>
  <c r="V1412" i="1" s="1"/>
  <c r="Y1412" i="1" s="1"/>
  <c r="Z1412" i="1" s="1"/>
  <c r="M1423" i="1"/>
  <c r="V1423" i="1" s="1"/>
  <c r="Y1423" i="1" s="1"/>
  <c r="Z1423" i="1" s="1"/>
  <c r="M1427" i="1"/>
  <c r="V1427" i="1" s="1"/>
  <c r="Y1427" i="1" s="1"/>
  <c r="Z1427" i="1" s="1"/>
  <c r="M1424" i="1"/>
  <c r="V1424" i="1" s="1"/>
  <c r="Y1424" i="1" s="1"/>
  <c r="Z1424" i="1" s="1"/>
  <c r="M1422" i="1"/>
  <c r="V1422" i="1" s="1"/>
  <c r="Y1422" i="1" s="1"/>
  <c r="Z1422" i="1" s="1"/>
  <c r="M1420" i="1"/>
  <c r="V1420" i="1" s="1"/>
  <c r="Y1420" i="1" s="1"/>
  <c r="Z1420" i="1" s="1"/>
  <c r="M266" i="1"/>
  <c r="V266" i="1" s="1"/>
  <c r="Y266" i="1" s="1"/>
  <c r="Z266" i="1" s="1"/>
  <c r="M267" i="1"/>
  <c r="V267" i="1" s="1"/>
  <c r="Y267" i="1" s="1"/>
  <c r="Z267" i="1" s="1"/>
  <c r="M268" i="1"/>
  <c r="V268" i="1" s="1"/>
  <c r="Y268" i="1" s="1"/>
  <c r="Z268" i="1" s="1"/>
  <c r="M270" i="1"/>
  <c r="V270" i="1" s="1"/>
  <c r="Y270" i="1" s="1"/>
  <c r="Z270" i="1" s="1"/>
  <c r="M273" i="1"/>
  <c r="V273" i="1" s="1"/>
  <c r="Y273" i="1" s="1"/>
  <c r="Z273" i="1" s="1"/>
  <c r="M274" i="1"/>
  <c r="V274" i="1" s="1"/>
  <c r="Y274" i="1" s="1"/>
  <c r="Z274" i="1" s="1"/>
  <c r="M277" i="1"/>
  <c r="V277" i="1" s="1"/>
  <c r="Y277" i="1" s="1"/>
  <c r="Z277" i="1" s="1"/>
  <c r="M279" i="1"/>
  <c r="V279" i="1" s="1"/>
  <c r="Y279" i="1" s="1"/>
  <c r="Z279" i="1" s="1"/>
  <c r="M275" i="1"/>
  <c r="V275" i="1" s="1"/>
  <c r="Y275" i="1" s="1"/>
  <c r="Z275" i="1" s="1"/>
  <c r="M284" i="1"/>
  <c r="V284" i="1" s="1"/>
  <c r="Y284" i="1" s="1"/>
  <c r="Z284" i="1" s="1"/>
  <c r="M271" i="1"/>
  <c r="V271" i="1" s="1"/>
  <c r="Y271" i="1" s="1"/>
  <c r="Z271" i="1" s="1"/>
  <c r="M269" i="1"/>
  <c r="V269" i="1" s="1"/>
  <c r="Y269" i="1" s="1"/>
  <c r="Z269" i="1" s="1"/>
  <c r="M278" i="1"/>
  <c r="V278" i="1" s="1"/>
  <c r="Y278" i="1" s="1"/>
  <c r="Z278" i="1" s="1"/>
  <c r="M282" i="1"/>
  <c r="V282" i="1" s="1"/>
  <c r="Y282" i="1" s="1"/>
  <c r="Z282" i="1" s="1"/>
  <c r="M280" i="1"/>
  <c r="V280" i="1" s="1"/>
  <c r="Y280" i="1" s="1"/>
  <c r="Z280" i="1" s="1"/>
  <c r="M276" i="1"/>
  <c r="V276" i="1" s="1"/>
  <c r="Y276" i="1" s="1"/>
  <c r="Z276" i="1" s="1"/>
  <c r="M281" i="1"/>
  <c r="V281" i="1" s="1"/>
  <c r="Y281" i="1" s="1"/>
  <c r="Z281" i="1" s="1"/>
  <c r="M283" i="1"/>
  <c r="V283" i="1" s="1"/>
  <c r="Y283" i="1" s="1"/>
  <c r="Z283" i="1" s="1"/>
  <c r="M272" i="1"/>
  <c r="V272" i="1" s="1"/>
  <c r="Y272" i="1" s="1"/>
  <c r="Z272" i="1" s="1"/>
  <c r="M1433" i="1"/>
  <c r="V1433" i="1" s="1"/>
  <c r="Y1433" i="1" s="1"/>
  <c r="Z1433" i="1" s="1"/>
  <c r="M1432" i="1"/>
  <c r="V1432" i="1" s="1"/>
  <c r="Y1432" i="1" s="1"/>
  <c r="Z1432" i="1" s="1"/>
  <c r="M1434" i="1"/>
  <c r="V1434" i="1" s="1"/>
  <c r="Y1434" i="1" s="1"/>
  <c r="Z1434" i="1" s="1"/>
  <c r="M1441" i="1"/>
  <c r="V1441" i="1" s="1"/>
  <c r="Y1441" i="1" s="1"/>
  <c r="Z1441" i="1" s="1"/>
  <c r="M1437" i="1"/>
  <c r="V1437" i="1" s="1"/>
  <c r="Y1437" i="1" s="1"/>
  <c r="Z1437" i="1" s="1"/>
  <c r="M1438" i="1"/>
  <c r="V1438" i="1" s="1"/>
  <c r="Y1438" i="1" s="1"/>
  <c r="Z1438" i="1" s="1"/>
  <c r="M1443" i="1"/>
  <c r="V1443" i="1" s="1"/>
  <c r="Y1443" i="1" s="1"/>
  <c r="Z1443" i="1" s="1"/>
  <c r="M1445" i="1"/>
  <c r="V1445" i="1" s="1"/>
  <c r="Y1445" i="1" s="1"/>
  <c r="Z1445" i="1" s="1"/>
  <c r="M1451" i="1"/>
  <c r="V1451" i="1" s="1"/>
  <c r="Y1451" i="1" s="1"/>
  <c r="Z1451" i="1" s="1"/>
  <c r="M1452" i="1"/>
  <c r="V1452" i="1" s="1"/>
  <c r="Y1452" i="1" s="1"/>
  <c r="Z1452" i="1" s="1"/>
  <c r="M1447" i="1"/>
  <c r="V1447" i="1" s="1"/>
  <c r="Y1447" i="1" s="1"/>
  <c r="Z1447" i="1" s="1"/>
  <c r="M1446" i="1"/>
  <c r="V1446" i="1" s="1"/>
  <c r="Y1446" i="1" s="1"/>
  <c r="Z1446" i="1" s="1"/>
  <c r="M1450" i="1"/>
  <c r="V1450" i="1" s="1"/>
  <c r="Y1450" i="1" s="1"/>
  <c r="Z1450" i="1" s="1"/>
  <c r="M1431" i="1"/>
  <c r="V1431" i="1" s="1"/>
  <c r="Y1431" i="1" s="1"/>
  <c r="Z1431" i="1" s="1"/>
  <c r="M1436" i="1"/>
  <c r="V1436" i="1" s="1"/>
  <c r="Y1436" i="1" s="1"/>
  <c r="Z1436" i="1" s="1"/>
  <c r="M1440" i="1"/>
  <c r="V1440" i="1" s="1"/>
  <c r="Y1440" i="1" s="1"/>
  <c r="Z1440" i="1" s="1"/>
  <c r="M1439" i="1"/>
  <c r="V1439" i="1" s="1"/>
  <c r="Y1439" i="1" s="1"/>
  <c r="Z1439" i="1" s="1"/>
  <c r="M1435" i="1"/>
  <c r="V1435" i="1" s="1"/>
  <c r="Y1435" i="1" s="1"/>
  <c r="Z1435" i="1" s="1"/>
  <c r="M1442" i="1"/>
  <c r="V1442" i="1" s="1"/>
  <c r="Y1442" i="1" s="1"/>
  <c r="Z1442" i="1" s="1"/>
  <c r="M1444" i="1"/>
  <c r="V1444" i="1" s="1"/>
  <c r="Y1444" i="1" s="1"/>
  <c r="Z1444" i="1" s="1"/>
  <c r="M1448" i="1"/>
  <c r="V1448" i="1" s="1"/>
  <c r="Y1448" i="1" s="1"/>
  <c r="Z1448" i="1" s="1"/>
  <c r="M1449" i="1"/>
  <c r="V1449" i="1" s="1"/>
  <c r="Y1449" i="1" s="1"/>
  <c r="Z1449" i="1" s="1"/>
  <c r="M1453" i="1"/>
  <c r="V1453" i="1" s="1"/>
  <c r="Y1453" i="1" s="1"/>
  <c r="Z1453" i="1" s="1"/>
  <c r="M1455" i="1"/>
  <c r="V1455" i="1" s="1"/>
  <c r="Y1455" i="1" s="1"/>
  <c r="Z1455" i="1" s="1"/>
  <c r="M1460" i="1"/>
  <c r="V1460" i="1" s="1"/>
  <c r="Y1460" i="1" s="1"/>
  <c r="Z1460" i="1" s="1"/>
  <c r="M1456" i="1"/>
  <c r="V1456" i="1" s="1"/>
  <c r="Y1456" i="1" s="1"/>
  <c r="Z1456" i="1" s="1"/>
  <c r="M1462" i="1"/>
  <c r="V1462" i="1" s="1"/>
  <c r="Y1462" i="1" s="1"/>
  <c r="Z1462" i="1" s="1"/>
  <c r="M1464" i="1"/>
  <c r="V1464" i="1" s="1"/>
  <c r="Y1464" i="1" s="1"/>
  <c r="Z1464" i="1" s="1"/>
  <c r="M1468" i="1"/>
  <c r="V1468" i="1" s="1"/>
  <c r="Y1468" i="1" s="1"/>
  <c r="Z1468" i="1" s="1"/>
  <c r="M1467" i="1"/>
  <c r="V1467" i="1" s="1"/>
  <c r="Y1467" i="1" s="1"/>
  <c r="Z1467" i="1" s="1"/>
  <c r="M1469" i="1"/>
  <c r="V1469" i="1" s="1"/>
  <c r="Y1469" i="1" s="1"/>
  <c r="Z1469" i="1" s="1"/>
  <c r="M1465" i="1"/>
  <c r="V1465" i="1" s="1"/>
  <c r="Y1465" i="1" s="1"/>
  <c r="Z1465" i="1" s="1"/>
  <c r="M1473" i="1"/>
  <c r="V1473" i="1" s="1"/>
  <c r="Y1473" i="1" s="1"/>
  <c r="Z1473" i="1" s="1"/>
  <c r="M1474" i="1"/>
  <c r="V1474" i="1" s="1"/>
  <c r="Y1474" i="1" s="1"/>
  <c r="Z1474" i="1" s="1"/>
  <c r="M1454" i="1"/>
  <c r="V1454" i="1" s="1"/>
  <c r="Y1454" i="1" s="1"/>
  <c r="Z1454" i="1" s="1"/>
  <c r="M1461" i="1"/>
  <c r="V1461" i="1" s="1"/>
  <c r="Y1461" i="1" s="1"/>
  <c r="Z1461" i="1" s="1"/>
  <c r="M1459" i="1"/>
  <c r="V1459" i="1" s="1"/>
  <c r="Y1459" i="1" s="1"/>
  <c r="Z1459" i="1" s="1"/>
  <c r="M1458" i="1"/>
  <c r="V1458" i="1" s="1"/>
  <c r="Y1458" i="1" s="1"/>
  <c r="Z1458" i="1" s="1"/>
  <c r="M1457" i="1"/>
  <c r="V1457" i="1" s="1"/>
  <c r="Y1457" i="1" s="1"/>
  <c r="Z1457" i="1" s="1"/>
  <c r="M1466" i="1"/>
  <c r="V1466" i="1" s="1"/>
  <c r="Y1466" i="1" s="1"/>
  <c r="Z1466" i="1" s="1"/>
  <c r="M1470" i="1"/>
  <c r="V1470" i="1" s="1"/>
  <c r="Y1470" i="1" s="1"/>
  <c r="Z1470" i="1" s="1"/>
  <c r="M1472" i="1"/>
  <c r="V1472" i="1" s="1"/>
  <c r="Y1472" i="1" s="1"/>
  <c r="Z1472" i="1" s="1"/>
  <c r="M1471" i="1"/>
  <c r="V1471" i="1" s="1"/>
  <c r="Y1471" i="1" s="1"/>
  <c r="Z1471" i="1" s="1"/>
  <c r="M1463" i="1"/>
  <c r="V1463" i="1" s="1"/>
  <c r="Y1463" i="1" s="1"/>
  <c r="Z1463" i="1" s="1"/>
  <c r="M1476" i="1"/>
  <c r="V1476" i="1" s="1"/>
  <c r="Y1476" i="1" s="1"/>
  <c r="Z1476" i="1" s="1"/>
  <c r="M1479" i="1"/>
  <c r="V1479" i="1" s="1"/>
  <c r="Y1479" i="1" s="1"/>
  <c r="Z1479" i="1" s="1"/>
  <c r="M1482" i="1"/>
  <c r="V1482" i="1" s="1"/>
  <c r="Y1482" i="1" s="1"/>
  <c r="Z1482" i="1" s="1"/>
  <c r="M1481" i="1"/>
  <c r="V1481" i="1" s="1"/>
  <c r="Y1481" i="1" s="1"/>
  <c r="Z1481" i="1" s="1"/>
  <c r="M1477" i="1"/>
  <c r="V1477" i="1" s="1"/>
  <c r="Y1477" i="1" s="1"/>
  <c r="Z1477" i="1" s="1"/>
  <c r="M1486" i="1"/>
  <c r="V1486" i="1" s="1"/>
  <c r="Y1486" i="1" s="1"/>
  <c r="Z1486" i="1" s="1"/>
  <c r="M1488" i="1"/>
  <c r="V1488" i="1" s="1"/>
  <c r="Y1488" i="1" s="1"/>
  <c r="Z1488" i="1" s="1"/>
  <c r="M1487" i="1"/>
  <c r="V1487" i="1" s="1"/>
  <c r="Y1487" i="1" s="1"/>
  <c r="Z1487" i="1" s="1"/>
  <c r="M1485" i="1"/>
  <c r="V1485" i="1" s="1"/>
  <c r="Y1485" i="1" s="1"/>
  <c r="Z1485" i="1" s="1"/>
  <c r="M1498" i="1"/>
  <c r="V1498" i="1" s="1"/>
  <c r="Y1498" i="1" s="1"/>
  <c r="Z1498" i="1" s="1"/>
  <c r="M1496" i="1"/>
  <c r="V1496" i="1" s="1"/>
  <c r="Y1496" i="1" s="1"/>
  <c r="Z1496" i="1" s="1"/>
  <c r="M1495" i="1"/>
  <c r="V1495" i="1" s="1"/>
  <c r="Y1495" i="1" s="1"/>
  <c r="Z1495" i="1" s="1"/>
  <c r="M1499" i="1"/>
  <c r="V1499" i="1" s="1"/>
  <c r="Y1499" i="1" s="1"/>
  <c r="Z1499" i="1" s="1"/>
  <c r="M1491" i="1"/>
  <c r="V1491" i="1" s="1"/>
  <c r="Y1491" i="1" s="1"/>
  <c r="Z1491" i="1" s="1"/>
  <c r="M1492" i="1"/>
  <c r="V1492" i="1" s="1"/>
  <c r="Y1492" i="1" s="1"/>
  <c r="Z1492" i="1" s="1"/>
  <c r="M1500" i="1"/>
  <c r="V1500" i="1" s="1"/>
  <c r="Y1500" i="1" s="1"/>
  <c r="Z1500" i="1" s="1"/>
  <c r="M1475" i="1"/>
  <c r="V1475" i="1" s="1"/>
  <c r="Y1475" i="1" s="1"/>
  <c r="Z1475" i="1" s="1"/>
  <c r="M1478" i="1"/>
  <c r="V1478" i="1" s="1"/>
  <c r="Y1478" i="1" s="1"/>
  <c r="Z1478" i="1" s="1"/>
  <c r="M1480" i="1"/>
  <c r="V1480" i="1" s="1"/>
  <c r="Y1480" i="1" s="1"/>
  <c r="Z1480" i="1" s="1"/>
  <c r="M1483" i="1"/>
  <c r="V1483" i="1" s="1"/>
  <c r="Y1483" i="1" s="1"/>
  <c r="Z1483" i="1" s="1"/>
  <c r="M1493" i="1"/>
  <c r="V1493" i="1" s="1"/>
  <c r="Y1493" i="1" s="1"/>
  <c r="Z1493" i="1" s="1"/>
  <c r="M1497" i="1"/>
  <c r="V1497" i="1" s="1"/>
  <c r="Y1497" i="1" s="1"/>
  <c r="Z1497" i="1" s="1"/>
  <c r="M1490" i="1"/>
  <c r="V1490" i="1" s="1"/>
  <c r="Y1490" i="1" s="1"/>
  <c r="Z1490" i="1" s="1"/>
  <c r="M1494" i="1"/>
  <c r="V1494" i="1" s="1"/>
  <c r="Y1494" i="1" s="1"/>
  <c r="Z1494" i="1" s="1"/>
  <c r="M1489" i="1"/>
  <c r="V1489" i="1" s="1"/>
  <c r="Y1489" i="1" s="1"/>
  <c r="Z1489" i="1" s="1"/>
  <c r="M1484" i="1"/>
  <c r="V1484" i="1" s="1"/>
  <c r="Y1484" i="1" s="1"/>
  <c r="Z1484" i="1" s="1"/>
  <c r="M1512" i="1"/>
  <c r="V1512" i="1" s="1"/>
  <c r="Y1512" i="1" s="1"/>
  <c r="Z1512" i="1" s="1"/>
  <c r="M1502" i="1"/>
  <c r="V1502" i="1" s="1"/>
  <c r="Y1502" i="1" s="1"/>
  <c r="Z1502" i="1" s="1"/>
  <c r="M1501" i="1"/>
  <c r="V1501" i="1" s="1"/>
  <c r="Y1501" i="1" s="1"/>
  <c r="Z1501" i="1" s="1"/>
  <c r="M1520" i="1"/>
  <c r="V1520" i="1" s="1"/>
  <c r="Y1520" i="1" s="1"/>
  <c r="Z1520" i="1" s="1"/>
  <c r="M1504" i="1"/>
  <c r="V1504" i="1" s="1"/>
  <c r="Y1504" i="1" s="1"/>
  <c r="Z1504" i="1" s="1"/>
  <c r="M1505" i="1"/>
  <c r="V1505" i="1" s="1"/>
  <c r="Y1505" i="1" s="1"/>
  <c r="Z1505" i="1" s="1"/>
  <c r="M1506" i="1"/>
  <c r="V1506" i="1" s="1"/>
  <c r="Y1506" i="1" s="1"/>
  <c r="Z1506" i="1" s="1"/>
  <c r="M1507" i="1"/>
  <c r="V1507" i="1" s="1"/>
  <c r="Y1507" i="1" s="1"/>
  <c r="Z1507" i="1" s="1"/>
  <c r="M1508" i="1"/>
  <c r="V1508" i="1" s="1"/>
  <c r="Y1508" i="1" s="1"/>
  <c r="Z1508" i="1" s="1"/>
  <c r="M1513" i="1"/>
  <c r="V1513" i="1" s="1"/>
  <c r="Y1513" i="1" s="1"/>
  <c r="Z1513" i="1" s="1"/>
  <c r="M1514" i="1"/>
  <c r="V1514" i="1" s="1"/>
  <c r="Y1514" i="1" s="1"/>
  <c r="Z1514" i="1" s="1"/>
  <c r="M1515" i="1"/>
  <c r="V1515" i="1" s="1"/>
  <c r="Y1515" i="1" s="1"/>
  <c r="Z1515" i="1" s="1"/>
  <c r="M1516" i="1"/>
  <c r="V1516" i="1" s="1"/>
  <c r="Y1516" i="1" s="1"/>
  <c r="Z1516" i="1" s="1"/>
  <c r="M1517" i="1"/>
  <c r="V1517" i="1" s="1"/>
  <c r="Y1517" i="1" s="1"/>
  <c r="Z1517" i="1" s="1"/>
  <c r="M1518" i="1"/>
  <c r="V1518" i="1" s="1"/>
  <c r="Y1518" i="1" s="1"/>
  <c r="Z1518" i="1" s="1"/>
  <c r="M1509" i="1"/>
  <c r="V1509" i="1" s="1"/>
  <c r="Y1509" i="1" s="1"/>
  <c r="Z1509" i="1" s="1"/>
  <c r="M1510" i="1"/>
  <c r="V1510" i="1" s="1"/>
  <c r="Y1510" i="1" s="1"/>
  <c r="Z1510" i="1" s="1"/>
  <c r="M1511" i="1"/>
  <c r="V1511" i="1" s="1"/>
  <c r="Y1511" i="1" s="1"/>
  <c r="Z1511" i="1" s="1"/>
  <c r="M1519" i="1"/>
  <c r="V1519" i="1" s="1"/>
  <c r="Y1519" i="1" s="1"/>
  <c r="Z1519" i="1" s="1"/>
  <c r="M1503" i="1"/>
  <c r="V1503" i="1" s="1"/>
  <c r="Y1503" i="1" s="1"/>
  <c r="Z1503" i="1" s="1"/>
  <c r="M1522" i="1"/>
  <c r="V1522" i="1" s="1"/>
  <c r="Y1522" i="1" s="1"/>
  <c r="Z1522" i="1" s="1"/>
  <c r="M1523" i="1"/>
  <c r="V1523" i="1" s="1"/>
  <c r="Y1523" i="1" s="1"/>
  <c r="Z1523" i="1" s="1"/>
  <c r="M1529" i="1"/>
  <c r="V1529" i="1" s="1"/>
  <c r="Y1529" i="1" s="1"/>
  <c r="Z1529" i="1" s="1"/>
  <c r="M1528" i="1"/>
  <c r="V1528" i="1" s="1"/>
  <c r="Y1528" i="1" s="1"/>
  <c r="Z1528" i="1" s="1"/>
  <c r="M1538" i="1"/>
  <c r="V1538" i="1" s="1"/>
  <c r="Y1538" i="1" s="1"/>
  <c r="Z1538" i="1" s="1"/>
  <c r="M1539" i="1"/>
  <c r="V1539" i="1" s="1"/>
  <c r="Y1539" i="1" s="1"/>
  <c r="Z1539" i="1" s="1"/>
  <c r="M1521" i="1"/>
  <c r="V1521" i="1" s="1"/>
  <c r="Y1521" i="1" s="1"/>
  <c r="Z1521" i="1" s="1"/>
  <c r="M1540" i="1"/>
  <c r="V1540" i="1" s="1"/>
  <c r="Y1540" i="1" s="1"/>
  <c r="Z1540" i="1" s="1"/>
  <c r="M1524" i="1"/>
  <c r="V1524" i="1" s="1"/>
  <c r="Y1524" i="1" s="1"/>
  <c r="Z1524" i="1" s="1"/>
  <c r="M1525" i="1"/>
  <c r="V1525" i="1" s="1"/>
  <c r="Y1525" i="1" s="1"/>
  <c r="Z1525" i="1" s="1"/>
  <c r="M1526" i="1"/>
  <c r="V1526" i="1" s="1"/>
  <c r="Y1526" i="1" s="1"/>
  <c r="Z1526" i="1" s="1"/>
  <c r="M1533" i="1"/>
  <c r="V1533" i="1" s="1"/>
  <c r="Y1533" i="1" s="1"/>
  <c r="Z1533" i="1" s="1"/>
  <c r="M1534" i="1"/>
  <c r="V1534" i="1" s="1"/>
  <c r="Y1534" i="1" s="1"/>
  <c r="Z1534" i="1" s="1"/>
  <c r="M1535" i="1"/>
  <c r="V1535" i="1" s="1"/>
  <c r="Y1535" i="1" s="1"/>
  <c r="Z1535" i="1" s="1"/>
  <c r="M1536" i="1"/>
  <c r="V1536" i="1" s="1"/>
  <c r="Y1536" i="1" s="1"/>
  <c r="Z1536" i="1" s="1"/>
  <c r="M1537" i="1"/>
  <c r="V1537" i="1" s="1"/>
  <c r="Y1537" i="1" s="1"/>
  <c r="Z1537" i="1" s="1"/>
  <c r="M1532" i="1"/>
  <c r="V1532" i="1" s="1"/>
  <c r="Y1532" i="1" s="1"/>
  <c r="Z1532" i="1" s="1"/>
  <c r="M1527" i="1"/>
  <c r="V1527" i="1" s="1"/>
  <c r="Y1527" i="1" s="1"/>
  <c r="Z1527" i="1" s="1"/>
  <c r="M1530" i="1"/>
  <c r="V1530" i="1" s="1"/>
  <c r="Y1530" i="1" s="1"/>
  <c r="Z1530" i="1" s="1"/>
  <c r="M1531" i="1"/>
  <c r="V1531" i="1" s="1"/>
  <c r="Y1531" i="1" s="1"/>
  <c r="Z1531" i="1" s="1"/>
  <c r="M1541" i="1"/>
  <c r="V1541" i="1" s="1"/>
  <c r="Y1541" i="1" s="1"/>
  <c r="Z1541" i="1" s="1"/>
  <c r="M1549" i="1"/>
  <c r="V1549" i="1" s="1"/>
  <c r="Y1549" i="1" s="1"/>
  <c r="Z1549" i="1" s="1"/>
  <c r="M1542" i="1"/>
  <c r="V1542" i="1" s="1"/>
  <c r="Y1542" i="1" s="1"/>
  <c r="Z1542" i="1" s="1"/>
  <c r="M1543" i="1"/>
  <c r="V1543" i="1" s="1"/>
  <c r="Y1543" i="1" s="1"/>
  <c r="Z1543" i="1" s="1"/>
  <c r="M1561" i="1"/>
  <c r="V1561" i="1" s="1"/>
  <c r="Y1561" i="1" s="1"/>
  <c r="Z1561" i="1" s="1"/>
  <c r="M1548" i="1"/>
  <c r="V1548" i="1" s="1"/>
  <c r="Y1548" i="1" s="1"/>
  <c r="Z1548" i="1" s="1"/>
  <c r="M1546" i="1"/>
  <c r="V1546" i="1" s="1"/>
  <c r="Y1546" i="1" s="1"/>
  <c r="Z1546" i="1" s="1"/>
  <c r="M1544" i="1"/>
  <c r="V1544" i="1" s="1"/>
  <c r="Y1544" i="1" s="1"/>
  <c r="Z1544" i="1" s="1"/>
  <c r="M1547" i="1"/>
  <c r="V1547" i="1" s="1"/>
  <c r="Y1547" i="1" s="1"/>
  <c r="Z1547" i="1" s="1"/>
  <c r="M1545" i="1"/>
  <c r="V1545" i="1" s="1"/>
  <c r="Y1545" i="1" s="1"/>
  <c r="Z1545" i="1" s="1"/>
  <c r="M1555" i="1"/>
  <c r="V1555" i="1" s="1"/>
  <c r="Y1555" i="1" s="1"/>
  <c r="Z1555" i="1" s="1"/>
  <c r="M1558" i="1"/>
  <c r="V1558" i="1" s="1"/>
  <c r="Y1558" i="1" s="1"/>
  <c r="Z1558" i="1" s="1"/>
  <c r="M1552" i="1"/>
  <c r="V1552" i="1" s="1"/>
  <c r="Y1552" i="1" s="1"/>
  <c r="Z1552" i="1" s="1"/>
  <c r="M1554" i="1"/>
  <c r="V1554" i="1" s="1"/>
  <c r="Y1554" i="1" s="1"/>
  <c r="Z1554" i="1" s="1"/>
  <c r="M1560" i="1"/>
  <c r="V1560" i="1" s="1"/>
  <c r="Y1560" i="1" s="1"/>
  <c r="Z1560" i="1" s="1"/>
  <c r="M1559" i="1"/>
  <c r="V1559" i="1" s="1"/>
  <c r="Y1559" i="1" s="1"/>
  <c r="Z1559" i="1" s="1"/>
  <c r="M1556" i="1"/>
  <c r="V1556" i="1" s="1"/>
  <c r="Y1556" i="1" s="1"/>
  <c r="Z1556" i="1" s="1"/>
  <c r="M1551" i="1"/>
  <c r="V1551" i="1" s="1"/>
  <c r="Y1551" i="1" s="1"/>
  <c r="Z1551" i="1" s="1"/>
  <c r="M1550" i="1"/>
  <c r="V1550" i="1" s="1"/>
  <c r="Y1550" i="1" s="1"/>
  <c r="Z1550" i="1" s="1"/>
  <c r="M1553" i="1"/>
  <c r="V1553" i="1" s="1"/>
  <c r="Y1553" i="1" s="1"/>
  <c r="Z1553" i="1" s="1"/>
  <c r="M1557" i="1"/>
  <c r="V1557" i="1" s="1"/>
  <c r="Y1557" i="1" s="1"/>
  <c r="Z1557" i="1" s="1"/>
  <c r="M1566" i="1"/>
  <c r="V1566" i="1" s="1"/>
  <c r="Y1566" i="1" s="1"/>
  <c r="Z1566" i="1" s="1"/>
  <c r="M1563" i="1"/>
  <c r="V1563" i="1" s="1"/>
  <c r="Y1563" i="1" s="1"/>
  <c r="Z1563" i="1" s="1"/>
  <c r="M1571" i="1"/>
  <c r="V1571" i="1" s="1"/>
  <c r="Y1571" i="1" s="1"/>
  <c r="Z1571" i="1" s="1"/>
  <c r="M1576" i="1"/>
  <c r="V1576" i="1" s="1"/>
  <c r="Y1576" i="1" s="1"/>
  <c r="Z1576" i="1" s="1"/>
  <c r="M1579" i="1"/>
  <c r="V1579" i="1" s="1"/>
  <c r="Y1579" i="1" s="1"/>
  <c r="Z1579" i="1" s="1"/>
  <c r="M1562" i="1"/>
  <c r="V1562" i="1" s="1"/>
  <c r="Y1562" i="1" s="1"/>
  <c r="Z1562" i="1" s="1"/>
  <c r="M1581" i="1"/>
  <c r="V1581" i="1" s="1"/>
  <c r="Y1581" i="1" s="1"/>
  <c r="Z1581" i="1" s="1"/>
  <c r="M1567" i="1"/>
  <c r="V1567" i="1" s="1"/>
  <c r="Y1567" i="1" s="1"/>
  <c r="Z1567" i="1" s="1"/>
  <c r="M1564" i="1"/>
  <c r="V1564" i="1" s="1"/>
  <c r="Y1564" i="1" s="1"/>
  <c r="Z1564" i="1" s="1"/>
  <c r="M1565" i="1"/>
  <c r="V1565" i="1" s="1"/>
  <c r="Y1565" i="1" s="1"/>
  <c r="Z1565" i="1" s="1"/>
  <c r="M1580" i="1"/>
  <c r="V1580" i="1" s="1"/>
  <c r="Y1580" i="1" s="1"/>
  <c r="Z1580" i="1" s="1"/>
  <c r="M1575" i="1"/>
  <c r="V1575" i="1" s="1"/>
  <c r="Y1575" i="1" s="1"/>
  <c r="Z1575" i="1" s="1"/>
  <c r="M1577" i="1"/>
  <c r="V1577" i="1" s="1"/>
  <c r="Y1577" i="1" s="1"/>
  <c r="Z1577" i="1" s="1"/>
  <c r="M1573" i="1"/>
  <c r="V1573" i="1" s="1"/>
  <c r="Y1573" i="1" s="1"/>
  <c r="Z1573" i="1" s="1"/>
  <c r="M1574" i="1"/>
  <c r="V1574" i="1" s="1"/>
  <c r="Y1574" i="1" s="1"/>
  <c r="Z1574" i="1" s="1"/>
  <c r="M1578" i="1"/>
  <c r="V1578" i="1" s="1"/>
  <c r="Y1578" i="1" s="1"/>
  <c r="Z1578" i="1" s="1"/>
  <c r="M1568" i="1"/>
  <c r="V1568" i="1" s="1"/>
  <c r="Y1568" i="1" s="1"/>
  <c r="Z1568" i="1" s="1"/>
  <c r="M1570" i="1"/>
  <c r="V1570" i="1" s="1"/>
  <c r="Y1570" i="1" s="1"/>
  <c r="Z1570" i="1" s="1"/>
  <c r="M1572" i="1"/>
  <c r="V1572" i="1" s="1"/>
  <c r="Y1572" i="1" s="1"/>
  <c r="Z1572" i="1" s="1"/>
  <c r="M1569" i="1"/>
  <c r="V1569" i="1" s="1"/>
  <c r="Y1569" i="1" s="1"/>
  <c r="Z1569" i="1" s="1"/>
  <c r="M1594" i="1"/>
  <c r="V1594" i="1" s="1"/>
  <c r="Y1594" i="1" s="1"/>
  <c r="Z1594" i="1" s="1"/>
  <c r="M1582" i="1"/>
  <c r="V1582" i="1" s="1"/>
  <c r="Y1582" i="1" s="1"/>
  <c r="Z1582" i="1" s="1"/>
  <c r="M1583" i="1"/>
  <c r="V1583" i="1" s="1"/>
  <c r="Y1583" i="1" s="1"/>
  <c r="Z1583" i="1" s="1"/>
  <c r="M1601" i="1"/>
  <c r="V1601" i="1" s="1"/>
  <c r="Y1601" i="1" s="1"/>
  <c r="Z1601" i="1" s="1"/>
  <c r="M1585" i="1"/>
  <c r="V1585" i="1" s="1"/>
  <c r="Y1585" i="1" s="1"/>
  <c r="Z1585" i="1" s="1"/>
  <c r="M1587" i="1"/>
  <c r="V1587" i="1" s="1"/>
  <c r="Y1587" i="1" s="1"/>
  <c r="Z1587" i="1" s="1"/>
  <c r="M1589" i="1"/>
  <c r="V1589" i="1" s="1"/>
  <c r="Y1589" i="1" s="1"/>
  <c r="Z1589" i="1" s="1"/>
  <c r="M1586" i="1"/>
  <c r="V1586" i="1" s="1"/>
  <c r="Y1586" i="1" s="1"/>
  <c r="Z1586" i="1" s="1"/>
  <c r="M1588" i="1"/>
  <c r="V1588" i="1" s="1"/>
  <c r="Y1588" i="1" s="1"/>
  <c r="Z1588" i="1" s="1"/>
  <c r="M1597" i="1"/>
  <c r="V1597" i="1" s="1"/>
  <c r="Y1597" i="1" s="1"/>
  <c r="Z1597" i="1" s="1"/>
  <c r="M1595" i="1"/>
  <c r="V1595" i="1" s="1"/>
  <c r="Y1595" i="1" s="1"/>
  <c r="Z1595" i="1" s="1"/>
  <c r="M1593" i="1"/>
  <c r="V1593" i="1" s="1"/>
  <c r="Y1593" i="1" s="1"/>
  <c r="Z1593" i="1" s="1"/>
  <c r="M1596" i="1"/>
  <c r="V1596" i="1" s="1"/>
  <c r="Y1596" i="1" s="1"/>
  <c r="Z1596" i="1" s="1"/>
  <c r="M1599" i="1"/>
  <c r="V1599" i="1" s="1"/>
  <c r="Y1599" i="1" s="1"/>
  <c r="Z1599" i="1" s="1"/>
  <c r="M1598" i="1"/>
  <c r="V1598" i="1" s="1"/>
  <c r="Y1598" i="1" s="1"/>
  <c r="Z1598" i="1" s="1"/>
  <c r="M1590" i="1"/>
  <c r="V1590" i="1" s="1"/>
  <c r="Y1590" i="1" s="1"/>
  <c r="Z1590" i="1" s="1"/>
  <c r="M1591" i="1"/>
  <c r="V1591" i="1" s="1"/>
  <c r="Y1591" i="1" s="1"/>
  <c r="Z1591" i="1" s="1"/>
  <c r="M1592" i="1"/>
  <c r="V1592" i="1" s="1"/>
  <c r="Y1592" i="1" s="1"/>
  <c r="Z1592" i="1" s="1"/>
  <c r="M1600" i="1"/>
  <c r="V1600" i="1" s="1"/>
  <c r="Y1600" i="1" s="1"/>
  <c r="Z1600" i="1" s="1"/>
  <c r="M1584" i="1"/>
  <c r="V1584" i="1" s="1"/>
  <c r="Y1584" i="1" s="1"/>
  <c r="Z1584" i="1" s="1"/>
  <c r="M1602" i="1"/>
  <c r="V1602" i="1" s="1"/>
  <c r="Y1602" i="1" s="1"/>
  <c r="Z1602" i="1" s="1"/>
  <c r="M1609" i="1"/>
  <c r="V1609" i="1" s="1"/>
  <c r="Y1609" i="1" s="1"/>
  <c r="Z1609" i="1" s="1"/>
  <c r="M1603" i="1"/>
  <c r="V1603" i="1" s="1"/>
  <c r="Y1603" i="1" s="1"/>
  <c r="Z1603" i="1" s="1"/>
  <c r="M1604" i="1"/>
  <c r="V1604" i="1" s="1"/>
  <c r="Y1604" i="1" s="1"/>
  <c r="Z1604" i="1" s="1"/>
  <c r="M1622" i="1"/>
  <c r="V1622" i="1" s="1"/>
  <c r="Y1622" i="1" s="1"/>
  <c r="Z1622" i="1" s="1"/>
  <c r="M1610" i="1"/>
  <c r="V1610" i="1" s="1"/>
  <c r="Y1610" i="1" s="1"/>
  <c r="Z1610" i="1" s="1"/>
  <c r="M1607" i="1"/>
  <c r="V1607" i="1" s="1"/>
  <c r="Y1607" i="1" s="1"/>
  <c r="Z1607" i="1" s="1"/>
  <c r="M1605" i="1"/>
  <c r="V1605" i="1" s="1"/>
  <c r="Y1605" i="1" s="1"/>
  <c r="Z1605" i="1" s="1"/>
  <c r="M1608" i="1"/>
  <c r="V1608" i="1" s="1"/>
  <c r="Y1608" i="1" s="1"/>
  <c r="Z1608" i="1" s="1"/>
  <c r="M1606" i="1"/>
  <c r="V1606" i="1" s="1"/>
  <c r="Y1606" i="1" s="1"/>
  <c r="Z1606" i="1" s="1"/>
  <c r="M1615" i="1"/>
  <c r="V1615" i="1" s="1"/>
  <c r="Y1615" i="1" s="1"/>
  <c r="Z1615" i="1" s="1"/>
  <c r="M1619" i="1"/>
  <c r="V1619" i="1" s="1"/>
  <c r="Y1619" i="1" s="1"/>
  <c r="Z1619" i="1" s="1"/>
  <c r="M1621" i="1"/>
  <c r="V1621" i="1" s="1"/>
  <c r="Y1621" i="1" s="1"/>
  <c r="Z1621" i="1" s="1"/>
  <c r="M1613" i="1"/>
  <c r="V1613" i="1" s="1"/>
  <c r="Y1613" i="1" s="1"/>
  <c r="Z1613" i="1" s="1"/>
  <c r="M1618" i="1"/>
  <c r="V1618" i="1" s="1"/>
  <c r="Y1618" i="1" s="1"/>
  <c r="Z1618" i="1" s="1"/>
  <c r="M1614" i="1"/>
  <c r="V1614" i="1" s="1"/>
  <c r="Y1614" i="1" s="1"/>
  <c r="Z1614" i="1" s="1"/>
  <c r="M1620" i="1"/>
  <c r="V1620" i="1" s="1"/>
  <c r="Y1620" i="1" s="1"/>
  <c r="Z1620" i="1" s="1"/>
  <c r="M1612" i="1"/>
  <c r="V1612" i="1" s="1"/>
  <c r="Y1612" i="1" s="1"/>
  <c r="Z1612" i="1" s="1"/>
  <c r="M1611" i="1"/>
  <c r="V1611" i="1" s="1"/>
  <c r="Y1611" i="1" s="1"/>
  <c r="Z1611" i="1" s="1"/>
  <c r="M1616" i="1"/>
  <c r="V1616" i="1" s="1"/>
  <c r="Y1616" i="1" s="1"/>
  <c r="Z1616" i="1" s="1"/>
  <c r="M1617" i="1"/>
  <c r="V1617" i="1" s="1"/>
  <c r="Y1617" i="1" s="1"/>
  <c r="Z1617" i="1" s="1"/>
  <c r="M1624" i="1"/>
  <c r="V1624" i="1" s="1"/>
  <c r="Y1624" i="1" s="1"/>
  <c r="Z1624" i="1" s="1"/>
  <c r="M1628" i="1"/>
  <c r="V1628" i="1" s="1"/>
  <c r="Y1628" i="1" s="1"/>
  <c r="Z1628" i="1" s="1"/>
  <c r="M1625" i="1"/>
  <c r="V1625" i="1" s="1"/>
  <c r="Y1625" i="1" s="1"/>
  <c r="Z1625" i="1" s="1"/>
  <c r="M1630" i="1"/>
  <c r="V1630" i="1" s="1"/>
  <c r="Y1630" i="1" s="1"/>
  <c r="Z1630" i="1" s="1"/>
  <c r="M1626" i="1"/>
  <c r="V1626" i="1" s="1"/>
  <c r="Y1626" i="1" s="1"/>
  <c r="Z1626" i="1" s="1"/>
  <c r="M1627" i="1"/>
  <c r="V1627" i="1" s="1"/>
  <c r="Y1627" i="1" s="1"/>
  <c r="Z1627" i="1" s="1"/>
  <c r="M1637" i="1"/>
  <c r="V1637" i="1" s="1"/>
  <c r="Y1637" i="1" s="1"/>
  <c r="Z1637" i="1" s="1"/>
  <c r="M1635" i="1"/>
  <c r="V1635" i="1" s="1"/>
  <c r="Y1635" i="1" s="1"/>
  <c r="Z1635" i="1" s="1"/>
  <c r="M1633" i="1"/>
  <c r="V1633" i="1" s="1"/>
  <c r="Y1633" i="1" s="1"/>
  <c r="Z1633" i="1" s="1"/>
  <c r="M1636" i="1"/>
  <c r="V1636" i="1" s="1"/>
  <c r="Y1636" i="1" s="1"/>
  <c r="Z1636" i="1" s="1"/>
  <c r="M1634" i="1"/>
  <c r="V1634" i="1" s="1"/>
  <c r="Y1634" i="1" s="1"/>
  <c r="Z1634" i="1" s="1"/>
  <c r="M1640" i="1"/>
  <c r="V1640" i="1" s="1"/>
  <c r="Y1640" i="1" s="1"/>
  <c r="Z1640" i="1" s="1"/>
  <c r="M1643" i="1"/>
  <c r="V1643" i="1" s="1"/>
  <c r="Y1643" i="1" s="1"/>
  <c r="Z1643" i="1" s="1"/>
  <c r="M1638" i="1"/>
  <c r="V1638" i="1" s="1"/>
  <c r="Y1638" i="1" s="1"/>
  <c r="Z1638" i="1" s="1"/>
  <c r="M1639" i="1"/>
  <c r="V1639" i="1" s="1"/>
  <c r="Y1639" i="1" s="1"/>
  <c r="Z1639" i="1" s="1"/>
  <c r="M1642" i="1"/>
  <c r="V1642" i="1" s="1"/>
  <c r="Y1642" i="1" s="1"/>
  <c r="Z1642" i="1" s="1"/>
  <c r="M1646" i="1"/>
  <c r="V1646" i="1" s="1"/>
  <c r="Y1646" i="1" s="1"/>
  <c r="Z1646" i="1" s="1"/>
  <c r="M1623" i="1"/>
  <c r="V1623" i="1" s="1"/>
  <c r="Y1623" i="1" s="1"/>
  <c r="Z1623" i="1" s="1"/>
  <c r="M1629" i="1"/>
  <c r="V1629" i="1" s="1"/>
  <c r="Y1629" i="1" s="1"/>
  <c r="Z1629" i="1" s="1"/>
  <c r="M1631" i="1"/>
  <c r="V1631" i="1" s="1"/>
  <c r="Y1631" i="1" s="1"/>
  <c r="Z1631" i="1" s="1"/>
  <c r="M1641" i="1"/>
  <c r="V1641" i="1" s="1"/>
  <c r="Y1641" i="1" s="1"/>
  <c r="Z1641" i="1" s="1"/>
  <c r="M1645" i="1"/>
  <c r="V1645" i="1" s="1"/>
  <c r="Y1645" i="1" s="1"/>
  <c r="Z1645" i="1" s="1"/>
  <c r="M1644" i="1"/>
  <c r="V1644" i="1" s="1"/>
  <c r="Y1644" i="1" s="1"/>
  <c r="Z1644" i="1" s="1"/>
  <c r="M1632" i="1"/>
  <c r="V1632" i="1" s="1"/>
  <c r="Y1632" i="1" s="1"/>
  <c r="Z1632" i="1" s="1"/>
  <c r="M1648" i="1"/>
  <c r="V1648" i="1" s="1"/>
  <c r="Y1648" i="1" s="1"/>
  <c r="Z1648" i="1" s="1"/>
  <c r="M1649" i="1"/>
  <c r="V1649" i="1" s="1"/>
  <c r="Y1649" i="1" s="1"/>
  <c r="Z1649" i="1" s="1"/>
  <c r="M1651" i="1"/>
  <c r="V1651" i="1" s="1"/>
  <c r="Y1651" i="1" s="1"/>
  <c r="Z1651" i="1" s="1"/>
  <c r="M1653" i="1"/>
  <c r="V1653" i="1" s="1"/>
  <c r="Y1653" i="1" s="1"/>
  <c r="Z1653" i="1" s="1"/>
  <c r="M1655" i="1"/>
  <c r="V1655" i="1" s="1"/>
  <c r="Y1655" i="1" s="1"/>
  <c r="Z1655" i="1" s="1"/>
  <c r="M1652" i="1"/>
  <c r="V1652" i="1" s="1"/>
  <c r="Y1652" i="1" s="1"/>
  <c r="Z1652" i="1" s="1"/>
  <c r="M1658" i="1"/>
  <c r="V1658" i="1" s="1"/>
  <c r="Y1658" i="1" s="1"/>
  <c r="Z1658" i="1" s="1"/>
  <c r="M1659" i="1"/>
  <c r="V1659" i="1" s="1"/>
  <c r="Y1659" i="1" s="1"/>
  <c r="Z1659" i="1" s="1"/>
  <c r="M1661" i="1"/>
  <c r="V1661" i="1" s="1"/>
  <c r="Y1661" i="1" s="1"/>
  <c r="Z1661" i="1" s="1"/>
  <c r="M1662" i="1"/>
  <c r="V1662" i="1" s="1"/>
  <c r="Y1662" i="1" s="1"/>
  <c r="Z1662" i="1" s="1"/>
  <c r="M1670" i="1"/>
  <c r="V1670" i="1" s="1"/>
  <c r="Y1670" i="1" s="1"/>
  <c r="Z1670" i="1" s="1"/>
  <c r="M1672" i="1"/>
  <c r="V1672" i="1" s="1"/>
  <c r="Y1672" i="1" s="1"/>
  <c r="Z1672" i="1" s="1"/>
  <c r="M1669" i="1"/>
  <c r="V1669" i="1" s="1"/>
  <c r="Y1669" i="1" s="1"/>
  <c r="Z1669" i="1" s="1"/>
  <c r="M1666" i="1"/>
  <c r="V1666" i="1" s="1"/>
  <c r="Y1666" i="1" s="1"/>
  <c r="Z1666" i="1" s="1"/>
  <c r="M1668" i="1"/>
  <c r="V1668" i="1" s="1"/>
  <c r="Y1668" i="1" s="1"/>
  <c r="Z1668" i="1" s="1"/>
  <c r="M1667" i="1"/>
  <c r="V1667" i="1" s="1"/>
  <c r="Y1667" i="1" s="1"/>
  <c r="Z1667" i="1" s="1"/>
  <c r="M1647" i="1"/>
  <c r="V1647" i="1" s="1"/>
  <c r="Y1647" i="1" s="1"/>
  <c r="Z1647" i="1" s="1"/>
  <c r="M1656" i="1"/>
  <c r="V1656" i="1" s="1"/>
  <c r="Y1656" i="1" s="1"/>
  <c r="Z1656" i="1" s="1"/>
  <c r="M1650" i="1"/>
  <c r="V1650" i="1" s="1"/>
  <c r="Y1650" i="1" s="1"/>
  <c r="Z1650" i="1" s="1"/>
  <c r="M1654" i="1"/>
  <c r="V1654" i="1" s="1"/>
  <c r="Y1654" i="1" s="1"/>
  <c r="Z1654" i="1" s="1"/>
  <c r="M1657" i="1"/>
  <c r="V1657" i="1" s="1"/>
  <c r="Y1657" i="1" s="1"/>
  <c r="Z1657" i="1" s="1"/>
  <c r="M1663" i="1"/>
  <c r="V1663" i="1" s="1"/>
  <c r="Y1663" i="1" s="1"/>
  <c r="Z1663" i="1" s="1"/>
  <c r="M1671" i="1"/>
  <c r="V1671" i="1" s="1"/>
  <c r="Y1671" i="1" s="1"/>
  <c r="Z1671" i="1" s="1"/>
  <c r="M1664" i="1"/>
  <c r="V1664" i="1" s="1"/>
  <c r="Y1664" i="1" s="1"/>
  <c r="Z1664" i="1" s="1"/>
  <c r="M1665" i="1"/>
  <c r="V1665" i="1" s="1"/>
  <c r="Y1665" i="1" s="1"/>
  <c r="Z1665" i="1" s="1"/>
  <c r="M1660" i="1"/>
  <c r="V1660" i="1" s="1"/>
  <c r="Y1660" i="1" s="1"/>
  <c r="Z1660" i="1" s="1"/>
  <c r="M1692" i="1"/>
  <c r="V1692" i="1" s="1"/>
  <c r="Y1692" i="1" s="1"/>
  <c r="Z1692" i="1" s="1"/>
  <c r="M1696" i="1"/>
  <c r="V1696" i="1" s="1"/>
  <c r="Y1696" i="1" s="1"/>
  <c r="Z1696" i="1" s="1"/>
  <c r="M1695" i="1"/>
  <c r="V1695" i="1" s="1"/>
  <c r="Y1695" i="1" s="1"/>
  <c r="Z1695" i="1" s="1"/>
  <c r="M1697" i="1"/>
  <c r="V1697" i="1" s="1"/>
  <c r="Y1697" i="1" s="1"/>
  <c r="Z1697" i="1" s="1"/>
  <c r="M1701" i="1"/>
  <c r="V1701" i="1" s="1"/>
  <c r="Y1701" i="1" s="1"/>
  <c r="Z1701" i="1" s="1"/>
  <c r="M1703" i="1"/>
  <c r="V1703" i="1" s="1"/>
  <c r="Y1703" i="1" s="1"/>
  <c r="Z1703" i="1" s="1"/>
  <c r="M1704" i="1"/>
  <c r="V1704" i="1" s="1"/>
  <c r="Y1704" i="1" s="1"/>
  <c r="Z1704" i="1" s="1"/>
  <c r="M1707" i="1"/>
  <c r="V1707" i="1" s="1"/>
  <c r="Y1707" i="1" s="1"/>
  <c r="Z1707" i="1" s="1"/>
  <c r="M1708" i="1"/>
  <c r="V1708" i="1" s="1"/>
  <c r="Y1708" i="1" s="1"/>
  <c r="Z1708" i="1" s="1"/>
  <c r="M1710" i="1"/>
  <c r="V1710" i="1" s="1"/>
  <c r="Y1710" i="1" s="1"/>
  <c r="Z1710" i="1" s="1"/>
  <c r="M1705" i="1"/>
  <c r="V1705" i="1" s="1"/>
  <c r="Y1705" i="1" s="1"/>
  <c r="Z1705" i="1" s="1"/>
  <c r="M1709" i="1"/>
  <c r="V1709" i="1" s="1"/>
  <c r="Y1709" i="1" s="1"/>
  <c r="Z1709" i="1" s="1"/>
  <c r="M1693" i="1"/>
  <c r="V1693" i="1" s="1"/>
  <c r="Y1693" i="1" s="1"/>
  <c r="Z1693" i="1" s="1"/>
  <c r="M1698" i="1"/>
  <c r="V1698" i="1" s="1"/>
  <c r="Y1698" i="1" s="1"/>
  <c r="Z1698" i="1" s="1"/>
  <c r="M1699" i="1"/>
  <c r="V1699" i="1" s="1"/>
  <c r="Y1699" i="1" s="1"/>
  <c r="Z1699" i="1" s="1"/>
  <c r="M1702" i="1"/>
  <c r="V1702" i="1" s="1"/>
  <c r="Y1702" i="1" s="1"/>
  <c r="Z1702" i="1" s="1"/>
  <c r="M1712" i="1"/>
  <c r="V1712" i="1" s="1"/>
  <c r="Y1712" i="1" s="1"/>
  <c r="Z1712" i="1" s="1"/>
  <c r="M1722" i="1"/>
  <c r="V1722" i="1" s="1"/>
  <c r="Y1722" i="1" s="1"/>
  <c r="Z1722" i="1" s="1"/>
  <c r="M1715" i="1"/>
  <c r="V1715" i="1" s="1"/>
  <c r="Y1715" i="1" s="1"/>
  <c r="Z1715" i="1" s="1"/>
  <c r="M1716" i="1"/>
  <c r="V1716" i="1" s="1"/>
  <c r="Y1716" i="1" s="1"/>
  <c r="Z1716" i="1" s="1"/>
  <c r="M1734" i="1"/>
  <c r="V1734" i="1" s="1"/>
  <c r="Y1734" i="1" s="1"/>
  <c r="Z1734" i="1" s="1"/>
  <c r="M1720" i="1"/>
  <c r="V1720" i="1" s="1"/>
  <c r="Y1720" i="1" s="1"/>
  <c r="Z1720" i="1" s="1"/>
  <c r="M1721" i="1"/>
  <c r="V1721" i="1" s="1"/>
  <c r="Y1721" i="1" s="1"/>
  <c r="Z1721" i="1" s="1"/>
  <c r="M1719" i="1"/>
  <c r="V1719" i="1" s="1"/>
  <c r="Y1719" i="1" s="1"/>
  <c r="Z1719" i="1" s="1"/>
  <c r="M1718" i="1"/>
  <c r="V1718" i="1" s="1"/>
  <c r="Y1718" i="1" s="1"/>
  <c r="Z1718" i="1" s="1"/>
  <c r="M1730" i="1"/>
  <c r="V1730" i="1" s="1"/>
  <c r="Y1730" i="1" s="1"/>
  <c r="Z1730" i="1" s="1"/>
  <c r="M1728" i="1"/>
  <c r="V1728" i="1" s="1"/>
  <c r="Y1728" i="1" s="1"/>
  <c r="Z1728" i="1" s="1"/>
  <c r="M1731" i="1"/>
  <c r="V1731" i="1" s="1"/>
  <c r="Y1731" i="1" s="1"/>
  <c r="Z1731" i="1" s="1"/>
  <c r="M1732" i="1"/>
  <c r="V1732" i="1" s="1"/>
  <c r="Y1732" i="1" s="1"/>
  <c r="Z1732" i="1" s="1"/>
  <c r="M1727" i="1"/>
  <c r="V1727" i="1" s="1"/>
  <c r="Y1727" i="1" s="1"/>
  <c r="Z1727" i="1" s="1"/>
  <c r="M1726" i="1"/>
  <c r="V1726" i="1" s="1"/>
  <c r="Y1726" i="1" s="1"/>
  <c r="Z1726" i="1" s="1"/>
  <c r="M1733" i="1"/>
  <c r="V1733" i="1" s="1"/>
  <c r="Y1733" i="1" s="1"/>
  <c r="Z1733" i="1" s="1"/>
  <c r="M1729" i="1"/>
  <c r="V1729" i="1" s="1"/>
  <c r="Y1729" i="1" s="1"/>
  <c r="Z1729" i="1" s="1"/>
  <c r="M1725" i="1"/>
  <c r="V1725" i="1" s="1"/>
  <c r="Y1725" i="1" s="1"/>
  <c r="Z1725" i="1" s="1"/>
  <c r="M1723" i="1"/>
  <c r="V1723" i="1" s="1"/>
  <c r="Y1723" i="1" s="1"/>
  <c r="Z1723" i="1" s="1"/>
  <c r="M1724" i="1"/>
  <c r="V1724" i="1" s="1"/>
  <c r="Y1724" i="1" s="1"/>
  <c r="Z1724" i="1" s="1"/>
  <c r="M1717" i="1"/>
  <c r="V1717" i="1" s="1"/>
  <c r="Y1717" i="1" s="1"/>
  <c r="Z1717" i="1" s="1"/>
  <c r="M1713" i="1"/>
  <c r="V1713" i="1" s="1"/>
  <c r="Y1713" i="1" s="1"/>
  <c r="Z1713" i="1" s="1"/>
  <c r="M1714" i="1"/>
  <c r="V1714" i="1" s="1"/>
  <c r="Y1714" i="1" s="1"/>
  <c r="Z1714" i="1" s="1"/>
  <c r="M1735" i="1"/>
  <c r="V1735" i="1" s="1"/>
  <c r="Y1735" i="1" s="1"/>
  <c r="Z1735" i="1" s="1"/>
  <c r="M1741" i="1"/>
  <c r="V1741" i="1" s="1"/>
  <c r="Y1741" i="1" s="1"/>
  <c r="Z1741" i="1" s="1"/>
  <c r="M1738" i="1"/>
  <c r="V1738" i="1" s="1"/>
  <c r="Y1738" i="1" s="1"/>
  <c r="Z1738" i="1" s="1"/>
  <c r="M1739" i="1"/>
  <c r="V1739" i="1" s="1"/>
  <c r="Y1739" i="1" s="1"/>
  <c r="Z1739" i="1" s="1"/>
  <c r="M1736" i="1"/>
  <c r="V1736" i="1" s="1"/>
  <c r="Y1736" i="1" s="1"/>
  <c r="Z1736" i="1" s="1"/>
  <c r="M1743" i="1"/>
  <c r="V1743" i="1" s="1"/>
  <c r="Y1743" i="1" s="1"/>
  <c r="Z1743" i="1" s="1"/>
  <c r="M1744" i="1"/>
  <c r="V1744" i="1" s="1"/>
  <c r="Y1744" i="1" s="1"/>
  <c r="Z1744" i="1" s="1"/>
  <c r="M1754" i="1"/>
  <c r="V1754" i="1" s="1"/>
  <c r="Y1754" i="1" s="1"/>
  <c r="Z1754" i="1" s="1"/>
  <c r="M1750" i="1"/>
  <c r="V1750" i="1" s="1"/>
  <c r="Y1750" i="1" s="1"/>
  <c r="Z1750" i="1" s="1"/>
  <c r="M1752" i="1"/>
  <c r="V1752" i="1" s="1"/>
  <c r="Y1752" i="1" s="1"/>
  <c r="Z1752" i="1" s="1"/>
  <c r="M1753" i="1"/>
  <c r="V1753" i="1" s="1"/>
  <c r="Y1753" i="1" s="1"/>
  <c r="Z1753" i="1" s="1"/>
  <c r="M1755" i="1"/>
  <c r="V1755" i="1" s="1"/>
  <c r="Y1755" i="1" s="1"/>
  <c r="Z1755" i="1" s="1"/>
  <c r="M1740" i="1"/>
  <c r="V1740" i="1" s="1"/>
  <c r="Y1740" i="1" s="1"/>
  <c r="Z1740" i="1" s="1"/>
  <c r="M1742" i="1"/>
  <c r="V1742" i="1" s="1"/>
  <c r="Y1742" i="1" s="1"/>
  <c r="Z1742" i="1" s="1"/>
  <c r="M1737" i="1"/>
  <c r="V1737" i="1" s="1"/>
  <c r="Y1737" i="1" s="1"/>
  <c r="Z1737" i="1" s="1"/>
  <c r="M1748" i="1"/>
  <c r="V1748" i="1" s="1"/>
  <c r="Y1748" i="1" s="1"/>
  <c r="Z1748" i="1" s="1"/>
  <c r="M1749" i="1"/>
  <c r="V1749" i="1" s="1"/>
  <c r="Y1749" i="1" s="1"/>
  <c r="Z1749" i="1" s="1"/>
  <c r="M1747" i="1"/>
  <c r="V1747" i="1" s="1"/>
  <c r="Y1747" i="1" s="1"/>
  <c r="Z1747" i="1" s="1"/>
  <c r="M1746" i="1"/>
  <c r="V1746" i="1" s="1"/>
  <c r="Y1746" i="1" s="1"/>
  <c r="Z1746" i="1" s="1"/>
  <c r="M1751" i="1"/>
  <c r="V1751" i="1" s="1"/>
  <c r="Y1751" i="1" s="1"/>
  <c r="Z1751" i="1" s="1"/>
  <c r="M1745" i="1"/>
  <c r="V1745" i="1" s="1"/>
  <c r="Y1745" i="1" s="1"/>
  <c r="Z1745" i="1" s="1"/>
  <c r="M1777" i="1"/>
  <c r="V1777" i="1" s="1"/>
  <c r="Y1777" i="1" s="1"/>
  <c r="Z1777" i="1" s="1"/>
  <c r="M1776" i="1"/>
  <c r="V1776" i="1" s="1"/>
  <c r="Y1776" i="1" s="1"/>
  <c r="Z1776" i="1" s="1"/>
  <c r="M1782" i="1"/>
  <c r="V1782" i="1" s="1"/>
  <c r="Y1782" i="1" s="1"/>
  <c r="Z1782" i="1" s="1"/>
  <c r="M1780" i="1"/>
  <c r="V1780" i="1" s="1"/>
  <c r="Y1780" i="1" s="1"/>
  <c r="Z1780" i="1" s="1"/>
  <c r="M1779" i="1"/>
  <c r="V1779" i="1" s="1"/>
  <c r="Y1779" i="1" s="1"/>
  <c r="Z1779" i="1" s="1"/>
  <c r="M1781" i="1"/>
  <c r="V1781" i="1" s="1"/>
  <c r="Y1781" i="1" s="1"/>
  <c r="Z1781" i="1" s="1"/>
  <c r="M1778" i="1"/>
  <c r="V1778" i="1" s="1"/>
  <c r="Y1778" i="1" s="1"/>
  <c r="Z1778" i="1" s="1"/>
  <c r="M1785" i="1"/>
  <c r="V1785" i="1" s="1"/>
  <c r="Y1785" i="1" s="1"/>
  <c r="Z1785" i="1" s="1"/>
  <c r="M1784" i="1"/>
  <c r="V1784" i="1" s="1"/>
  <c r="Y1784" i="1" s="1"/>
  <c r="Z1784" i="1" s="1"/>
  <c r="M1783" i="1"/>
  <c r="V1783" i="1" s="1"/>
  <c r="Y1783" i="1" s="1"/>
  <c r="Z1783" i="1" s="1"/>
  <c r="M1792" i="1"/>
  <c r="V1792" i="1" s="1"/>
  <c r="Y1792" i="1" s="1"/>
  <c r="Z1792" i="1" s="1"/>
  <c r="M1788" i="1"/>
  <c r="V1788" i="1" s="1"/>
  <c r="Y1788" i="1" s="1"/>
  <c r="Z1788" i="1" s="1"/>
  <c r="M1794" i="1"/>
  <c r="V1794" i="1" s="1"/>
  <c r="Y1794" i="1" s="1"/>
  <c r="Z1794" i="1" s="1"/>
  <c r="M1791" i="1"/>
  <c r="V1791" i="1" s="1"/>
  <c r="Y1791" i="1" s="1"/>
  <c r="Z1791" i="1" s="1"/>
  <c r="M1790" i="1"/>
  <c r="V1790" i="1" s="1"/>
  <c r="Y1790" i="1" s="1"/>
  <c r="Z1790" i="1" s="1"/>
  <c r="M1786" i="1"/>
  <c r="V1786" i="1" s="1"/>
  <c r="Y1786" i="1" s="1"/>
  <c r="Z1786" i="1" s="1"/>
  <c r="M1787" i="1"/>
  <c r="V1787" i="1" s="1"/>
  <c r="Y1787" i="1" s="1"/>
  <c r="Z1787" i="1" s="1"/>
  <c r="M1793" i="1"/>
  <c r="V1793" i="1" s="1"/>
  <c r="Y1793" i="1" s="1"/>
  <c r="Z1793" i="1" s="1"/>
  <c r="M1789" i="1"/>
  <c r="V1789" i="1" s="1"/>
  <c r="Y1789" i="1" s="1"/>
  <c r="Z1789" i="1" s="1"/>
  <c r="M1795" i="1"/>
  <c r="V1795" i="1" s="1"/>
  <c r="Y1795" i="1" s="1"/>
  <c r="Z1795" i="1" s="1"/>
  <c r="M1800" i="1"/>
  <c r="V1800" i="1" s="1"/>
  <c r="Y1800" i="1" s="1"/>
  <c r="Z1800" i="1" s="1"/>
  <c r="M1801" i="1"/>
  <c r="V1801" i="1" s="1"/>
  <c r="Y1801" i="1" s="1"/>
  <c r="Z1801" i="1" s="1"/>
  <c r="M1806" i="1"/>
  <c r="V1806" i="1" s="1"/>
  <c r="Y1806" i="1" s="1"/>
  <c r="Z1806" i="1" s="1"/>
  <c r="M1796" i="1"/>
  <c r="V1796" i="1" s="1"/>
  <c r="Y1796" i="1" s="1"/>
  <c r="Z1796" i="1" s="1"/>
  <c r="M1814" i="1"/>
  <c r="V1814" i="1" s="1"/>
  <c r="Y1814" i="1" s="1"/>
  <c r="Z1814" i="1" s="1"/>
  <c r="M1797" i="1"/>
  <c r="V1797" i="1" s="1"/>
  <c r="Y1797" i="1" s="1"/>
  <c r="Z1797" i="1" s="1"/>
  <c r="M1799" i="1"/>
  <c r="V1799" i="1" s="1"/>
  <c r="Y1799" i="1" s="1"/>
  <c r="Z1799" i="1" s="1"/>
  <c r="M1798" i="1"/>
  <c r="V1798" i="1" s="1"/>
  <c r="Y1798" i="1" s="1"/>
  <c r="Z1798" i="1" s="1"/>
  <c r="M1808" i="1"/>
  <c r="V1808" i="1" s="1"/>
  <c r="Y1808" i="1" s="1"/>
  <c r="Z1808" i="1" s="1"/>
  <c r="M1811" i="1"/>
  <c r="V1811" i="1" s="1"/>
  <c r="Y1811" i="1" s="1"/>
  <c r="Z1811" i="1" s="1"/>
  <c r="M1810" i="1"/>
  <c r="V1810" i="1" s="1"/>
  <c r="Y1810" i="1" s="1"/>
  <c r="Z1810" i="1" s="1"/>
  <c r="M1812" i="1"/>
  <c r="V1812" i="1" s="1"/>
  <c r="Y1812" i="1" s="1"/>
  <c r="Z1812" i="1" s="1"/>
  <c r="M1805" i="1"/>
  <c r="V1805" i="1" s="1"/>
  <c r="Y1805" i="1" s="1"/>
  <c r="Z1805" i="1" s="1"/>
  <c r="M1804" i="1"/>
  <c r="V1804" i="1" s="1"/>
  <c r="Y1804" i="1" s="1"/>
  <c r="Z1804" i="1" s="1"/>
  <c r="M1809" i="1"/>
  <c r="V1809" i="1" s="1"/>
  <c r="Y1809" i="1" s="1"/>
  <c r="Z1809" i="1" s="1"/>
  <c r="M1807" i="1"/>
  <c r="V1807" i="1" s="1"/>
  <c r="Y1807" i="1" s="1"/>
  <c r="Z1807" i="1" s="1"/>
  <c r="M1813" i="1"/>
  <c r="V1813" i="1" s="1"/>
  <c r="Y1813" i="1" s="1"/>
  <c r="Z1813" i="1" s="1"/>
  <c r="M1803" i="1"/>
  <c r="V1803" i="1" s="1"/>
  <c r="Y1803" i="1" s="1"/>
  <c r="Z1803" i="1" s="1"/>
  <c r="M1802" i="1"/>
  <c r="V1802" i="1" s="1"/>
  <c r="Y1802" i="1" s="1"/>
  <c r="Z1802" i="1" s="1"/>
  <c r="M1131" i="1"/>
  <c r="V1131" i="1" s="1"/>
  <c r="Y1131" i="1" s="1"/>
  <c r="Z1131" i="1" s="1"/>
  <c r="M1129" i="1"/>
  <c r="V1129" i="1" s="1"/>
  <c r="Y1129" i="1" s="1"/>
  <c r="Z1129" i="1" s="1"/>
  <c r="M1134" i="1"/>
  <c r="V1134" i="1" s="1"/>
  <c r="Y1134" i="1" s="1"/>
  <c r="Z1134" i="1" s="1"/>
  <c r="M1135" i="1"/>
  <c r="V1135" i="1" s="1"/>
  <c r="Y1135" i="1" s="1"/>
  <c r="Z1135" i="1" s="1"/>
  <c r="M1137" i="1"/>
  <c r="V1137" i="1" s="1"/>
  <c r="Y1137" i="1" s="1"/>
  <c r="Z1137" i="1" s="1"/>
  <c r="M1143" i="1"/>
  <c r="V1143" i="1" s="1"/>
  <c r="Y1143" i="1" s="1"/>
  <c r="Z1143" i="1" s="1"/>
  <c r="M1145" i="1"/>
  <c r="V1145" i="1" s="1"/>
  <c r="Y1145" i="1" s="1"/>
  <c r="Z1145" i="1" s="1"/>
  <c r="M1144" i="1"/>
  <c r="V1144" i="1" s="1"/>
  <c r="Y1144" i="1" s="1"/>
  <c r="Z1144" i="1" s="1"/>
  <c r="M1142" i="1"/>
  <c r="V1142" i="1" s="1"/>
  <c r="Y1142" i="1" s="1"/>
  <c r="Z1142" i="1" s="1"/>
  <c r="M1138" i="1"/>
  <c r="V1138" i="1" s="1"/>
  <c r="Y1138" i="1" s="1"/>
  <c r="Z1138" i="1" s="1"/>
  <c r="M1147" i="1"/>
  <c r="V1147" i="1" s="1"/>
  <c r="Y1147" i="1" s="1"/>
  <c r="Z1147" i="1" s="1"/>
  <c r="M1128" i="1"/>
  <c r="V1128" i="1" s="1"/>
  <c r="Y1128" i="1" s="1"/>
  <c r="Z1128" i="1" s="1"/>
  <c r="M1133" i="1"/>
  <c r="V1133" i="1" s="1"/>
  <c r="Y1133" i="1" s="1"/>
  <c r="Z1133" i="1" s="1"/>
  <c r="M1132" i="1"/>
  <c r="V1132" i="1" s="1"/>
  <c r="Y1132" i="1" s="1"/>
  <c r="Z1132" i="1" s="1"/>
  <c r="M1130" i="1"/>
  <c r="V1130" i="1" s="1"/>
  <c r="Y1130" i="1" s="1"/>
  <c r="Z1130" i="1" s="1"/>
  <c r="M1141" i="1"/>
  <c r="V1141" i="1" s="1"/>
  <c r="Y1141" i="1" s="1"/>
  <c r="Z1141" i="1" s="1"/>
  <c r="M1140" i="1"/>
  <c r="V1140" i="1" s="1"/>
  <c r="Y1140" i="1" s="1"/>
  <c r="Z1140" i="1" s="1"/>
  <c r="M1139" i="1"/>
  <c r="V1139" i="1" s="1"/>
  <c r="Y1139" i="1" s="1"/>
  <c r="Z1139" i="1" s="1"/>
  <c r="M1146" i="1"/>
  <c r="V1146" i="1" s="1"/>
  <c r="Y1146" i="1" s="1"/>
  <c r="Z1146" i="1" s="1"/>
  <c r="M1136" i="1"/>
  <c r="V1136" i="1" s="1"/>
  <c r="Y1136" i="1" s="1"/>
  <c r="Z1136" i="1" s="1"/>
  <c r="M1837" i="1"/>
  <c r="V1837" i="1" s="1"/>
  <c r="Y1837" i="1" s="1"/>
  <c r="Z1837" i="1" s="1"/>
  <c r="M1839" i="1"/>
  <c r="V1839" i="1" s="1"/>
  <c r="Y1839" i="1" s="1"/>
  <c r="Z1839" i="1" s="1"/>
  <c r="M1838" i="1"/>
  <c r="V1838" i="1" s="1"/>
  <c r="Y1838" i="1" s="1"/>
  <c r="Z1838" i="1" s="1"/>
  <c r="M1841" i="1"/>
  <c r="V1841" i="1" s="1"/>
  <c r="Y1841" i="1" s="1"/>
  <c r="Z1841" i="1" s="1"/>
  <c r="M1844" i="1"/>
  <c r="V1844" i="1" s="1"/>
  <c r="Y1844" i="1" s="1"/>
  <c r="Z1844" i="1" s="1"/>
  <c r="M1845" i="1"/>
  <c r="V1845" i="1" s="1"/>
  <c r="Y1845" i="1" s="1"/>
  <c r="Z1845" i="1" s="1"/>
  <c r="M1847" i="1"/>
  <c r="V1847" i="1" s="1"/>
  <c r="Y1847" i="1" s="1"/>
  <c r="Z1847" i="1" s="1"/>
  <c r="M1848" i="1"/>
  <c r="V1848" i="1" s="1"/>
  <c r="Y1848" i="1" s="1"/>
  <c r="Z1848" i="1" s="1"/>
  <c r="M1855" i="1"/>
  <c r="V1855" i="1" s="1"/>
  <c r="Y1855" i="1" s="1"/>
  <c r="Z1855" i="1" s="1"/>
  <c r="M1854" i="1"/>
  <c r="V1854" i="1" s="1"/>
  <c r="Y1854" i="1" s="1"/>
  <c r="Z1854" i="1" s="1"/>
  <c r="M1852" i="1"/>
  <c r="V1852" i="1" s="1"/>
  <c r="Y1852" i="1" s="1"/>
  <c r="Z1852" i="1" s="1"/>
  <c r="M1857" i="1"/>
  <c r="V1857" i="1" s="1"/>
  <c r="Y1857" i="1" s="1"/>
  <c r="Z1857" i="1" s="1"/>
  <c r="M1858" i="1"/>
  <c r="V1858" i="1" s="1"/>
  <c r="Y1858" i="1" s="1"/>
  <c r="Z1858" i="1" s="1"/>
  <c r="M1836" i="1"/>
  <c r="V1836" i="1" s="1"/>
  <c r="Y1836" i="1" s="1"/>
  <c r="Z1836" i="1" s="1"/>
  <c r="M1846" i="1"/>
  <c r="V1846" i="1" s="1"/>
  <c r="Y1846" i="1" s="1"/>
  <c r="Z1846" i="1" s="1"/>
  <c r="M1842" i="1"/>
  <c r="V1842" i="1" s="1"/>
  <c r="Y1842" i="1" s="1"/>
  <c r="Z1842" i="1" s="1"/>
  <c r="M1840" i="1"/>
  <c r="V1840" i="1" s="1"/>
  <c r="Y1840" i="1" s="1"/>
  <c r="Z1840" i="1" s="1"/>
  <c r="M1843" i="1"/>
  <c r="V1843" i="1" s="1"/>
  <c r="Y1843" i="1" s="1"/>
  <c r="Z1843" i="1" s="1"/>
  <c r="M1851" i="1"/>
  <c r="V1851" i="1" s="1"/>
  <c r="Y1851" i="1" s="1"/>
  <c r="Z1851" i="1" s="1"/>
  <c r="M1850" i="1"/>
  <c r="V1850" i="1" s="1"/>
  <c r="Y1850" i="1" s="1"/>
  <c r="Z1850" i="1" s="1"/>
  <c r="M1849" i="1"/>
  <c r="V1849" i="1" s="1"/>
  <c r="Y1849" i="1" s="1"/>
  <c r="Z1849" i="1" s="1"/>
  <c r="M1856" i="1"/>
  <c r="V1856" i="1" s="1"/>
  <c r="Y1856" i="1" s="1"/>
  <c r="Z1856" i="1" s="1"/>
  <c r="M1853" i="1"/>
  <c r="V1853" i="1" s="1"/>
  <c r="Y1853" i="1" s="1"/>
  <c r="Z1853" i="1" s="1"/>
  <c r="M1860" i="1"/>
  <c r="V1860" i="1" s="1"/>
  <c r="Y1860" i="1" s="1"/>
  <c r="Z1860" i="1" s="1"/>
  <c r="M1864" i="1"/>
  <c r="V1864" i="1" s="1"/>
  <c r="Y1864" i="1" s="1"/>
  <c r="Z1864" i="1" s="1"/>
  <c r="M1866" i="1"/>
  <c r="V1866" i="1" s="1"/>
  <c r="Y1866" i="1" s="1"/>
  <c r="Z1866" i="1" s="1"/>
  <c r="M1865" i="1"/>
  <c r="V1865" i="1" s="1"/>
  <c r="Y1865" i="1" s="1"/>
  <c r="Z1865" i="1" s="1"/>
  <c r="M1868" i="1"/>
  <c r="V1868" i="1" s="1"/>
  <c r="Y1868" i="1" s="1"/>
  <c r="Z1868" i="1" s="1"/>
  <c r="M1870" i="1"/>
  <c r="V1870" i="1" s="1"/>
  <c r="Y1870" i="1" s="1"/>
  <c r="Z1870" i="1" s="1"/>
  <c r="M1876" i="1"/>
  <c r="V1876" i="1" s="1"/>
  <c r="Y1876" i="1" s="1"/>
  <c r="Z1876" i="1" s="1"/>
  <c r="M1877" i="1"/>
  <c r="V1877" i="1" s="1"/>
  <c r="Y1877" i="1" s="1"/>
  <c r="Z1877" i="1" s="1"/>
  <c r="M1859" i="1"/>
  <c r="V1859" i="1" s="1"/>
  <c r="Y1859" i="1" s="1"/>
  <c r="Z1859" i="1" s="1"/>
  <c r="M1878" i="1"/>
  <c r="V1878" i="1" s="1"/>
  <c r="Y1878" i="1" s="1"/>
  <c r="Z1878" i="1" s="1"/>
  <c r="M1861" i="1"/>
  <c r="V1861" i="1" s="1"/>
  <c r="Y1861" i="1" s="1"/>
  <c r="Z1861" i="1" s="1"/>
  <c r="M1862" i="1"/>
  <c r="V1862" i="1" s="1"/>
  <c r="Y1862" i="1" s="1"/>
  <c r="Z1862" i="1" s="1"/>
  <c r="M1873" i="1"/>
  <c r="V1873" i="1" s="1"/>
  <c r="Y1873" i="1" s="1"/>
  <c r="Z1873" i="1" s="1"/>
  <c r="M1871" i="1"/>
  <c r="V1871" i="1" s="1"/>
  <c r="Y1871" i="1" s="1"/>
  <c r="Z1871" i="1" s="1"/>
  <c r="M1874" i="1"/>
  <c r="V1874" i="1" s="1"/>
  <c r="Y1874" i="1" s="1"/>
  <c r="Z1874" i="1" s="1"/>
  <c r="M1869" i="1"/>
  <c r="V1869" i="1" s="1"/>
  <c r="Y1869" i="1" s="1"/>
  <c r="Z1869" i="1" s="1"/>
  <c r="M1863" i="1"/>
  <c r="V1863" i="1" s="1"/>
  <c r="Y1863" i="1" s="1"/>
  <c r="Z1863" i="1" s="1"/>
  <c r="M1867" i="1"/>
  <c r="V1867" i="1" s="1"/>
  <c r="Y1867" i="1" s="1"/>
  <c r="Z1867" i="1" s="1"/>
  <c r="M1872" i="1"/>
  <c r="V1872" i="1" s="1"/>
  <c r="Y1872" i="1" s="1"/>
  <c r="Z1872" i="1" s="1"/>
  <c r="M1875" i="1"/>
  <c r="V1875" i="1" s="1"/>
  <c r="Y1875" i="1" s="1"/>
  <c r="Z1875" i="1" s="1"/>
  <c r="M1879" i="1"/>
  <c r="V1879" i="1" s="1"/>
  <c r="Y1879" i="1" s="1"/>
  <c r="Z1879" i="1" s="1"/>
  <c r="M1880" i="1"/>
  <c r="V1880" i="1" s="1"/>
  <c r="Y1880" i="1" s="1"/>
  <c r="Z1880" i="1" s="1"/>
  <c r="M1884" i="1"/>
  <c r="V1884" i="1" s="1"/>
  <c r="Y1884" i="1" s="1"/>
  <c r="Z1884" i="1" s="1"/>
  <c r="M1881" i="1"/>
  <c r="V1881" i="1" s="1"/>
  <c r="Y1881" i="1" s="1"/>
  <c r="Z1881" i="1" s="1"/>
  <c r="M1887" i="1"/>
  <c r="V1887" i="1" s="1"/>
  <c r="Y1887" i="1" s="1"/>
  <c r="Z1887" i="1" s="1"/>
  <c r="M1885" i="1"/>
  <c r="V1885" i="1" s="1"/>
  <c r="Y1885" i="1" s="1"/>
  <c r="Z1885" i="1" s="1"/>
  <c r="M1886" i="1"/>
  <c r="V1886" i="1" s="1"/>
  <c r="Y1886" i="1" s="1"/>
  <c r="Z1886" i="1" s="1"/>
  <c r="M1882" i="1"/>
  <c r="V1882" i="1" s="1"/>
  <c r="Y1882" i="1" s="1"/>
  <c r="Z1882" i="1" s="1"/>
  <c r="M1883" i="1"/>
  <c r="V1883" i="1" s="1"/>
  <c r="Y1883" i="1" s="1"/>
  <c r="Z1883" i="1" s="1"/>
  <c r="M1890" i="1"/>
  <c r="V1890" i="1" s="1"/>
  <c r="Y1890" i="1" s="1"/>
  <c r="Z1890" i="1" s="1"/>
  <c r="M1889" i="1"/>
  <c r="V1889" i="1" s="1"/>
  <c r="Y1889" i="1" s="1"/>
  <c r="Z1889" i="1" s="1"/>
  <c r="M1888" i="1"/>
  <c r="V1888" i="1" s="1"/>
  <c r="Y1888" i="1" s="1"/>
  <c r="Z1888" i="1" s="1"/>
  <c r="M1894" i="1"/>
  <c r="V1894" i="1" s="1"/>
  <c r="Y1894" i="1" s="1"/>
  <c r="Z1894" i="1" s="1"/>
  <c r="M1893" i="1"/>
  <c r="V1893" i="1" s="1"/>
  <c r="Y1893" i="1" s="1"/>
  <c r="Z1893" i="1" s="1"/>
  <c r="M1892" i="1"/>
  <c r="V1892" i="1" s="1"/>
  <c r="Y1892" i="1" s="1"/>
  <c r="Z1892" i="1" s="1"/>
  <c r="M1896" i="1"/>
  <c r="V1896" i="1" s="1"/>
  <c r="Y1896" i="1" s="1"/>
  <c r="Z1896" i="1" s="1"/>
  <c r="M1895" i="1"/>
  <c r="V1895" i="1" s="1"/>
  <c r="Y1895" i="1" s="1"/>
  <c r="Z1895" i="1" s="1"/>
  <c r="M1891" i="1"/>
  <c r="V1891" i="1" s="1"/>
  <c r="Y1891" i="1" s="1"/>
  <c r="Z1891" i="1" s="1"/>
  <c r="M1897" i="1"/>
  <c r="V1897" i="1" s="1"/>
  <c r="Y1897" i="1" s="1"/>
  <c r="Z1897" i="1" s="1"/>
  <c r="M1903" i="1"/>
  <c r="V1903" i="1" s="1"/>
  <c r="Y1903" i="1" s="1"/>
  <c r="Z1903" i="1" s="1"/>
  <c r="M1898" i="1"/>
  <c r="V1898" i="1" s="1"/>
  <c r="Y1898" i="1" s="1"/>
  <c r="Z1898" i="1" s="1"/>
  <c r="M1899" i="1"/>
  <c r="V1899" i="1" s="1"/>
  <c r="Y1899" i="1" s="1"/>
  <c r="Z1899" i="1" s="1"/>
  <c r="M1917" i="1"/>
  <c r="V1917" i="1" s="1"/>
  <c r="Y1917" i="1" s="1"/>
  <c r="Z1917" i="1" s="1"/>
  <c r="M1902" i="1"/>
  <c r="V1902" i="1" s="1"/>
  <c r="Y1902" i="1" s="1"/>
  <c r="Z1902" i="1" s="1"/>
  <c r="M1906" i="1"/>
  <c r="V1906" i="1" s="1"/>
  <c r="Y1906" i="1" s="1"/>
  <c r="Z1906" i="1" s="1"/>
  <c r="M1905" i="1"/>
  <c r="V1905" i="1" s="1"/>
  <c r="Y1905" i="1" s="1"/>
  <c r="Z1905" i="1" s="1"/>
  <c r="M1901" i="1"/>
  <c r="V1901" i="1" s="1"/>
  <c r="Y1901" i="1" s="1"/>
  <c r="Z1901" i="1" s="1"/>
  <c r="M1904" i="1"/>
  <c r="V1904" i="1" s="1"/>
  <c r="Y1904" i="1" s="1"/>
  <c r="Z1904" i="1" s="1"/>
  <c r="M1915" i="1"/>
  <c r="V1915" i="1" s="1"/>
  <c r="Y1915" i="1" s="1"/>
  <c r="Z1915" i="1" s="1"/>
  <c r="M1912" i="1"/>
  <c r="V1912" i="1" s="1"/>
  <c r="Y1912" i="1" s="1"/>
  <c r="Z1912" i="1" s="1"/>
  <c r="M1913" i="1"/>
  <c r="V1913" i="1" s="1"/>
  <c r="Y1913" i="1" s="1"/>
  <c r="Z1913" i="1" s="1"/>
  <c r="M1914" i="1"/>
  <c r="V1914" i="1" s="1"/>
  <c r="Y1914" i="1" s="1"/>
  <c r="Z1914" i="1" s="1"/>
  <c r="M1911" i="1"/>
  <c r="V1911" i="1" s="1"/>
  <c r="Y1911" i="1" s="1"/>
  <c r="Z1911" i="1" s="1"/>
  <c r="M1916" i="1"/>
  <c r="V1916" i="1" s="1"/>
  <c r="Y1916" i="1" s="1"/>
  <c r="Z1916" i="1" s="1"/>
  <c r="M1909" i="1"/>
  <c r="V1909" i="1" s="1"/>
  <c r="Y1909" i="1" s="1"/>
  <c r="Z1909" i="1" s="1"/>
  <c r="M1907" i="1"/>
  <c r="V1907" i="1" s="1"/>
  <c r="Y1907" i="1" s="1"/>
  <c r="Z1907" i="1" s="1"/>
  <c r="M1908" i="1"/>
  <c r="V1908" i="1" s="1"/>
  <c r="Y1908" i="1" s="1"/>
  <c r="Z1908" i="1" s="1"/>
  <c r="M1910" i="1"/>
  <c r="V1910" i="1" s="1"/>
  <c r="Y1910" i="1" s="1"/>
  <c r="Z1910" i="1" s="1"/>
  <c r="M1900" i="1"/>
  <c r="V1900" i="1" s="1"/>
  <c r="Y1900" i="1" s="1"/>
  <c r="Z1900" i="1" s="1"/>
  <c r="M1919" i="1"/>
  <c r="V1919" i="1" s="1"/>
  <c r="Y1919" i="1" s="1"/>
  <c r="Z1919" i="1" s="1"/>
  <c r="M1924" i="1"/>
  <c r="V1924" i="1" s="1"/>
  <c r="Y1924" i="1" s="1"/>
  <c r="Z1924" i="1" s="1"/>
  <c r="M1921" i="1"/>
  <c r="V1921" i="1" s="1"/>
  <c r="Y1921" i="1" s="1"/>
  <c r="Z1921" i="1" s="1"/>
  <c r="M1920" i="1"/>
  <c r="V1920" i="1" s="1"/>
  <c r="Y1920" i="1" s="1"/>
  <c r="Z1920" i="1" s="1"/>
  <c r="M1928" i="1"/>
  <c r="V1928" i="1" s="1"/>
  <c r="Y1928" i="1" s="1"/>
  <c r="Z1928" i="1" s="1"/>
  <c r="M1927" i="1"/>
  <c r="V1927" i="1" s="1"/>
  <c r="Y1927" i="1" s="1"/>
  <c r="Z1927" i="1" s="1"/>
  <c r="M1935" i="1"/>
  <c r="V1935" i="1" s="1"/>
  <c r="Y1935" i="1" s="1"/>
  <c r="Z1935" i="1" s="1"/>
  <c r="M1937" i="1"/>
  <c r="V1937" i="1" s="1"/>
  <c r="Y1937" i="1" s="1"/>
  <c r="Z1937" i="1" s="1"/>
  <c r="M1933" i="1"/>
  <c r="V1933" i="1" s="1"/>
  <c r="Y1933" i="1" s="1"/>
  <c r="Z1933" i="1" s="1"/>
  <c r="M1934" i="1"/>
  <c r="V1934" i="1" s="1"/>
  <c r="Y1934" i="1" s="1"/>
  <c r="Z1934" i="1" s="1"/>
  <c r="M1938" i="1"/>
  <c r="V1938" i="1" s="1"/>
  <c r="Y1938" i="1" s="1"/>
  <c r="Z1938" i="1" s="1"/>
  <c r="M1930" i="1"/>
  <c r="V1930" i="1" s="1"/>
  <c r="Y1930" i="1" s="1"/>
  <c r="Z1930" i="1" s="1"/>
  <c r="M1940" i="1"/>
  <c r="V1940" i="1" s="1"/>
  <c r="Y1940" i="1" s="1"/>
  <c r="Z1940" i="1" s="1"/>
  <c r="M1918" i="1"/>
  <c r="V1918" i="1" s="1"/>
  <c r="Y1918" i="1" s="1"/>
  <c r="Z1918" i="1" s="1"/>
  <c r="M1926" i="1"/>
  <c r="V1926" i="1" s="1"/>
  <c r="Y1926" i="1" s="1"/>
  <c r="Z1926" i="1" s="1"/>
  <c r="M1923" i="1"/>
  <c r="V1923" i="1" s="1"/>
  <c r="Y1923" i="1" s="1"/>
  <c r="Z1923" i="1" s="1"/>
  <c r="M1922" i="1"/>
  <c r="V1922" i="1" s="1"/>
  <c r="Y1922" i="1" s="1"/>
  <c r="Z1922" i="1" s="1"/>
  <c r="M1925" i="1"/>
  <c r="V1925" i="1" s="1"/>
  <c r="Y1925" i="1" s="1"/>
  <c r="Z1925" i="1" s="1"/>
  <c r="M1936" i="1"/>
  <c r="V1936" i="1" s="1"/>
  <c r="Y1936" i="1" s="1"/>
  <c r="Z1936" i="1" s="1"/>
  <c r="M1932" i="1"/>
  <c r="V1932" i="1" s="1"/>
  <c r="Y1932" i="1" s="1"/>
  <c r="Z1932" i="1" s="1"/>
  <c r="M1931" i="1"/>
  <c r="V1931" i="1" s="1"/>
  <c r="Y1931" i="1" s="1"/>
  <c r="Z1931" i="1" s="1"/>
  <c r="M1939" i="1"/>
  <c r="V1939" i="1" s="1"/>
  <c r="Y1939" i="1" s="1"/>
  <c r="Z1939" i="1" s="1"/>
  <c r="M1929" i="1"/>
  <c r="V1929" i="1" s="1"/>
  <c r="Y1929" i="1" s="1"/>
  <c r="Z1929" i="1" s="1"/>
  <c r="M1942" i="1"/>
  <c r="V1942" i="1" s="1"/>
  <c r="Y1942" i="1" s="1"/>
  <c r="Z1942" i="1" s="1"/>
  <c r="M1948" i="1"/>
  <c r="V1948" i="1" s="1"/>
  <c r="Y1948" i="1" s="1"/>
  <c r="Z1948" i="1" s="1"/>
  <c r="M1947" i="1"/>
  <c r="V1947" i="1" s="1"/>
  <c r="Y1947" i="1" s="1"/>
  <c r="Z1947" i="1" s="1"/>
  <c r="M1944" i="1"/>
  <c r="V1944" i="1" s="1"/>
  <c r="Y1944" i="1" s="1"/>
  <c r="Z1944" i="1" s="1"/>
  <c r="M1949" i="1"/>
  <c r="V1949" i="1" s="1"/>
  <c r="Y1949" i="1" s="1"/>
  <c r="Z1949" i="1" s="1"/>
  <c r="M1953" i="1"/>
  <c r="V1953" i="1" s="1"/>
  <c r="Y1953" i="1" s="1"/>
  <c r="Z1953" i="1" s="1"/>
  <c r="M1951" i="1"/>
  <c r="V1951" i="1" s="1"/>
  <c r="Y1951" i="1" s="1"/>
  <c r="Z1951" i="1" s="1"/>
  <c r="M1952" i="1"/>
  <c r="V1952" i="1" s="1"/>
  <c r="Y1952" i="1" s="1"/>
  <c r="Z1952" i="1" s="1"/>
  <c r="M1957" i="1"/>
  <c r="V1957" i="1" s="1"/>
  <c r="Y1957" i="1" s="1"/>
  <c r="Z1957" i="1" s="1"/>
  <c r="M1959" i="1"/>
  <c r="V1959" i="1" s="1"/>
  <c r="Y1959" i="1" s="1"/>
  <c r="Z1959" i="1" s="1"/>
  <c r="M1960" i="1"/>
  <c r="V1960" i="1" s="1"/>
  <c r="Y1960" i="1" s="1"/>
  <c r="Z1960" i="1" s="1"/>
  <c r="M1962" i="1"/>
  <c r="V1962" i="1" s="1"/>
  <c r="Y1962" i="1" s="1"/>
  <c r="Z1962" i="1" s="1"/>
  <c r="M1941" i="1"/>
  <c r="V1941" i="1" s="1"/>
  <c r="Y1941" i="1" s="1"/>
  <c r="Z1941" i="1" s="1"/>
  <c r="M1950" i="1"/>
  <c r="V1950" i="1" s="1"/>
  <c r="Y1950" i="1" s="1"/>
  <c r="Z1950" i="1" s="1"/>
  <c r="M1946" i="1"/>
  <c r="V1946" i="1" s="1"/>
  <c r="Y1946" i="1" s="1"/>
  <c r="Z1946" i="1" s="1"/>
  <c r="M1943" i="1"/>
  <c r="V1943" i="1" s="1"/>
  <c r="Y1943" i="1" s="1"/>
  <c r="Z1943" i="1" s="1"/>
  <c r="M1945" i="1"/>
  <c r="V1945" i="1" s="1"/>
  <c r="Y1945" i="1" s="1"/>
  <c r="Z1945" i="1" s="1"/>
  <c r="M1954" i="1"/>
  <c r="V1954" i="1" s="1"/>
  <c r="Y1954" i="1" s="1"/>
  <c r="Z1954" i="1" s="1"/>
  <c r="M1955" i="1"/>
  <c r="V1955" i="1" s="1"/>
  <c r="Y1955" i="1" s="1"/>
  <c r="Z1955" i="1" s="1"/>
  <c r="M1956" i="1"/>
  <c r="V1956" i="1" s="1"/>
  <c r="Y1956" i="1" s="1"/>
  <c r="Z1956" i="1" s="1"/>
  <c r="M1958" i="1"/>
  <c r="V1958" i="1" s="1"/>
  <c r="Y1958" i="1" s="1"/>
  <c r="Z1958" i="1" s="1"/>
  <c r="M1961" i="1"/>
  <c r="V1961" i="1" s="1"/>
  <c r="Y1961" i="1" s="1"/>
  <c r="Z1961" i="1" s="1"/>
  <c r="M1963" i="1"/>
  <c r="V1963" i="1" s="1"/>
  <c r="Y1963" i="1" s="1"/>
  <c r="Z1963" i="1" s="1"/>
  <c r="M1965" i="1"/>
  <c r="V1965" i="1" s="1"/>
  <c r="Y1965" i="1" s="1"/>
  <c r="Z1965" i="1" s="1"/>
  <c r="M1964" i="1"/>
  <c r="V1964" i="1" s="1"/>
  <c r="Y1964" i="1" s="1"/>
  <c r="Z1964" i="1" s="1"/>
  <c r="M1972" i="1"/>
  <c r="V1972" i="1" s="1"/>
  <c r="Y1972" i="1" s="1"/>
  <c r="Z1972" i="1" s="1"/>
  <c r="M1970" i="1"/>
  <c r="V1970" i="1" s="1"/>
  <c r="Y1970" i="1" s="1"/>
  <c r="Z1970" i="1" s="1"/>
  <c r="M1968" i="1"/>
  <c r="V1968" i="1" s="1"/>
  <c r="Y1968" i="1" s="1"/>
  <c r="Z1968" i="1" s="1"/>
  <c r="M1969" i="1"/>
  <c r="V1969" i="1" s="1"/>
  <c r="Y1969" i="1" s="1"/>
  <c r="Z1969" i="1" s="1"/>
  <c r="M1967" i="1"/>
  <c r="V1967" i="1" s="1"/>
  <c r="Y1967" i="1" s="1"/>
  <c r="Z1967" i="1" s="1"/>
  <c r="M1971" i="1"/>
  <c r="V1971" i="1" s="1"/>
  <c r="Y1971" i="1" s="1"/>
  <c r="Z1971" i="1" s="1"/>
  <c r="M1966" i="1"/>
  <c r="V1966" i="1" s="1"/>
  <c r="Y1966" i="1" s="1"/>
  <c r="Z1966" i="1" s="1"/>
  <c r="M1974" i="1"/>
  <c r="V1974" i="1" s="1"/>
  <c r="Y1974" i="1" s="1"/>
  <c r="Z1974" i="1" s="1"/>
  <c r="M1973" i="1"/>
  <c r="V1973" i="1" s="1"/>
  <c r="Y1973" i="1" s="1"/>
  <c r="Z1973" i="1" s="1"/>
  <c r="M1979" i="1"/>
  <c r="V1979" i="1" s="1"/>
  <c r="Y1979" i="1" s="1"/>
  <c r="Z1979" i="1" s="1"/>
  <c r="M1980" i="1"/>
  <c r="V1980" i="1" s="1"/>
  <c r="Y1980" i="1" s="1"/>
  <c r="Z1980" i="1" s="1"/>
  <c r="M1978" i="1"/>
  <c r="V1978" i="1" s="1"/>
  <c r="Y1978" i="1" s="1"/>
  <c r="Z1978" i="1" s="1"/>
  <c r="M1976" i="1"/>
  <c r="V1976" i="1" s="1"/>
  <c r="Y1976" i="1" s="1"/>
  <c r="Z1976" i="1" s="1"/>
  <c r="M1975" i="1"/>
  <c r="V1975" i="1" s="1"/>
  <c r="Y1975" i="1" s="1"/>
  <c r="Z1975" i="1" s="1"/>
  <c r="M1977" i="1"/>
  <c r="V1977" i="1" s="1"/>
  <c r="Y1977" i="1" s="1"/>
  <c r="Z1977" i="1" s="1"/>
  <c r="M1981" i="1"/>
  <c r="V1981" i="1" s="1"/>
  <c r="Y1981" i="1" s="1"/>
  <c r="Z1981" i="1" s="1"/>
  <c r="M1078" i="1"/>
  <c r="V1078" i="1" s="1"/>
  <c r="Y1078" i="1" s="1"/>
  <c r="Z1078" i="1" s="1"/>
  <c r="M1062" i="1"/>
  <c r="V1062" i="1" s="1"/>
  <c r="Y1062" i="1" s="1"/>
  <c r="Z1062" i="1" s="1"/>
  <c r="M1061" i="1"/>
  <c r="V1061" i="1" s="1"/>
  <c r="Y1061" i="1" s="1"/>
  <c r="Z1061" i="1" s="1"/>
  <c r="M1080" i="1"/>
  <c r="V1080" i="1" s="1"/>
  <c r="Y1080" i="1" s="1"/>
  <c r="Z1080" i="1" s="1"/>
  <c r="M1064" i="1"/>
  <c r="V1064" i="1" s="1"/>
  <c r="Y1064" i="1" s="1"/>
  <c r="Z1064" i="1" s="1"/>
  <c r="M1067" i="1"/>
  <c r="V1067" i="1" s="1"/>
  <c r="Y1067" i="1" s="1"/>
  <c r="Z1067" i="1" s="1"/>
  <c r="M1063" i="1"/>
  <c r="V1063" i="1" s="1"/>
  <c r="Y1063" i="1" s="1"/>
  <c r="Z1063" i="1" s="1"/>
  <c r="M1065" i="1"/>
  <c r="V1065" i="1" s="1"/>
  <c r="Y1065" i="1" s="1"/>
  <c r="Z1065" i="1" s="1"/>
  <c r="M1066" i="1"/>
  <c r="V1066" i="1" s="1"/>
  <c r="Y1066" i="1" s="1"/>
  <c r="Z1066" i="1" s="1"/>
  <c r="M1073" i="1"/>
  <c r="V1073" i="1" s="1"/>
  <c r="Y1073" i="1" s="1"/>
  <c r="Z1073" i="1" s="1"/>
  <c r="M1077" i="1"/>
  <c r="V1077" i="1" s="1"/>
  <c r="Y1077" i="1" s="1"/>
  <c r="Z1077" i="1" s="1"/>
  <c r="M1072" i="1"/>
  <c r="V1072" i="1" s="1"/>
  <c r="Y1072" i="1" s="1"/>
  <c r="Z1072" i="1" s="1"/>
  <c r="M1079" i="1"/>
  <c r="V1079" i="1" s="1"/>
  <c r="Y1079" i="1" s="1"/>
  <c r="Z1079" i="1" s="1"/>
  <c r="M1075" i="1"/>
  <c r="V1075" i="1" s="1"/>
  <c r="Y1075" i="1" s="1"/>
  <c r="Z1075" i="1" s="1"/>
  <c r="M1071" i="1"/>
  <c r="V1071" i="1" s="1"/>
  <c r="Y1071" i="1" s="1"/>
  <c r="Z1071" i="1" s="1"/>
  <c r="M1076" i="1"/>
  <c r="V1076" i="1" s="1"/>
  <c r="Y1076" i="1" s="1"/>
  <c r="Z1076" i="1" s="1"/>
  <c r="M1068" i="1"/>
  <c r="V1068" i="1" s="1"/>
  <c r="Y1068" i="1" s="1"/>
  <c r="Z1068" i="1" s="1"/>
  <c r="M1069" i="1"/>
  <c r="V1069" i="1" s="1"/>
  <c r="Y1069" i="1" s="1"/>
  <c r="Z1069" i="1" s="1"/>
  <c r="M1074" i="1"/>
  <c r="V1074" i="1" s="1"/>
  <c r="Y1074" i="1" s="1"/>
  <c r="Z1074" i="1" s="1"/>
  <c r="M1070" i="1"/>
  <c r="V1070" i="1" s="1"/>
  <c r="Y1070" i="1" s="1"/>
  <c r="Z1070" i="1" s="1"/>
  <c r="M2002" i="1"/>
  <c r="V2002" i="1" s="1"/>
  <c r="Y2002" i="1" s="1"/>
  <c r="Z2002" i="1" s="1"/>
  <c r="M2004" i="1"/>
  <c r="V2004" i="1" s="1"/>
  <c r="Y2004" i="1" s="1"/>
  <c r="Z2004" i="1" s="1"/>
  <c r="M2003" i="1"/>
  <c r="V2003" i="1" s="1"/>
  <c r="Y2003" i="1" s="1"/>
  <c r="Z2003" i="1" s="1"/>
  <c r="M2005" i="1"/>
  <c r="V2005" i="1" s="1"/>
  <c r="Y2005" i="1" s="1"/>
  <c r="Z2005" i="1" s="1"/>
  <c r="M2010" i="1"/>
  <c r="V2010" i="1" s="1"/>
  <c r="Y2010" i="1" s="1"/>
  <c r="Z2010" i="1" s="1"/>
  <c r="M2013" i="1"/>
  <c r="V2013" i="1" s="1"/>
  <c r="Y2013" i="1" s="1"/>
  <c r="Z2013" i="1" s="1"/>
  <c r="M2011" i="1"/>
  <c r="V2011" i="1" s="1"/>
  <c r="Y2011" i="1" s="1"/>
  <c r="Z2011" i="1" s="1"/>
  <c r="M2018" i="1"/>
  <c r="V2018" i="1" s="1"/>
  <c r="Y2018" i="1" s="1"/>
  <c r="Z2018" i="1" s="1"/>
  <c r="M2024" i="1"/>
  <c r="V2024" i="1" s="1"/>
  <c r="Y2024" i="1" s="1"/>
  <c r="Z2024" i="1" s="1"/>
  <c r="M2017" i="1"/>
  <c r="V2017" i="1" s="1"/>
  <c r="Y2017" i="1" s="1"/>
  <c r="Z2017" i="1" s="1"/>
  <c r="M2016" i="1"/>
  <c r="V2016" i="1" s="1"/>
  <c r="Y2016" i="1" s="1"/>
  <c r="Z2016" i="1" s="1"/>
  <c r="M2015" i="1"/>
  <c r="V2015" i="1" s="1"/>
  <c r="Y2015" i="1" s="1"/>
  <c r="Z2015" i="1" s="1"/>
  <c r="M2022" i="1"/>
  <c r="V2022" i="1" s="1"/>
  <c r="Y2022" i="1" s="1"/>
  <c r="Z2022" i="1" s="1"/>
  <c r="M2023" i="1"/>
  <c r="V2023" i="1" s="1"/>
  <c r="Y2023" i="1" s="1"/>
  <c r="Z2023" i="1" s="1"/>
  <c r="M2021" i="1"/>
  <c r="V2021" i="1" s="1"/>
  <c r="Y2021" i="1" s="1"/>
  <c r="Z2021" i="1" s="1"/>
  <c r="M2019" i="1"/>
  <c r="V2019" i="1" s="1"/>
  <c r="Y2019" i="1" s="1"/>
  <c r="Z2019" i="1" s="1"/>
  <c r="M2020" i="1"/>
  <c r="V2020" i="1" s="1"/>
  <c r="Y2020" i="1" s="1"/>
  <c r="Z2020" i="1" s="1"/>
  <c r="M2025" i="1"/>
  <c r="V2025" i="1" s="1"/>
  <c r="Y2025" i="1" s="1"/>
  <c r="Z2025" i="1" s="1"/>
  <c r="M2009" i="1"/>
  <c r="V2009" i="1" s="1"/>
  <c r="Y2009" i="1" s="1"/>
  <c r="Z2009" i="1" s="1"/>
  <c r="M2006" i="1"/>
  <c r="V2006" i="1" s="1"/>
  <c r="Y2006" i="1" s="1"/>
  <c r="Z2006" i="1" s="1"/>
  <c r="M2007" i="1"/>
  <c r="V2007" i="1" s="1"/>
  <c r="Y2007" i="1" s="1"/>
  <c r="Z2007" i="1" s="1"/>
  <c r="M2008" i="1"/>
  <c r="V2008" i="1" s="1"/>
  <c r="Y2008" i="1" s="1"/>
  <c r="Z2008" i="1" s="1"/>
  <c r="M2012" i="1"/>
  <c r="V2012" i="1" s="1"/>
  <c r="Y2012" i="1" s="1"/>
  <c r="Z2012" i="1" s="1"/>
  <c r="M2014" i="1"/>
  <c r="V2014" i="1" s="1"/>
  <c r="Y2014" i="1" s="1"/>
  <c r="Z2014" i="1" s="1"/>
  <c r="M2027" i="1"/>
  <c r="V2027" i="1" s="1"/>
  <c r="Y2027" i="1" s="1"/>
  <c r="Z2027" i="1" s="1"/>
  <c r="M2028" i="1"/>
  <c r="V2028" i="1" s="1"/>
  <c r="Y2028" i="1" s="1"/>
  <c r="Z2028" i="1" s="1"/>
  <c r="M2029" i="1"/>
  <c r="V2029" i="1" s="1"/>
  <c r="Y2029" i="1" s="1"/>
  <c r="Z2029" i="1" s="1"/>
  <c r="M2031" i="1"/>
  <c r="V2031" i="1" s="1"/>
  <c r="Y2031" i="1" s="1"/>
  <c r="Z2031" i="1" s="1"/>
  <c r="M2033" i="1"/>
  <c r="V2033" i="1" s="1"/>
  <c r="Y2033" i="1" s="1"/>
  <c r="Z2033" i="1" s="1"/>
  <c r="M2036" i="1"/>
  <c r="V2036" i="1" s="1"/>
  <c r="Y2036" i="1" s="1"/>
  <c r="Z2036" i="1" s="1"/>
  <c r="M2038" i="1"/>
  <c r="V2038" i="1" s="1"/>
  <c r="Y2038" i="1" s="1"/>
  <c r="Z2038" i="1" s="1"/>
  <c r="M2039" i="1"/>
  <c r="V2039" i="1" s="1"/>
  <c r="Y2039" i="1" s="1"/>
  <c r="Z2039" i="1" s="1"/>
  <c r="M2041" i="1"/>
  <c r="V2041" i="1" s="1"/>
  <c r="Y2041" i="1" s="1"/>
  <c r="Z2041" i="1" s="1"/>
  <c r="M2042" i="1"/>
  <c r="V2042" i="1" s="1"/>
  <c r="Y2042" i="1" s="1"/>
  <c r="Z2042" i="1" s="1"/>
  <c r="M2046" i="1"/>
  <c r="V2046" i="1" s="1"/>
  <c r="Y2046" i="1" s="1"/>
  <c r="Z2046" i="1" s="1"/>
  <c r="M2049" i="1"/>
  <c r="V2049" i="1" s="1"/>
  <c r="Y2049" i="1" s="1"/>
  <c r="Z2049" i="1" s="1"/>
  <c r="M2047" i="1"/>
  <c r="V2047" i="1" s="1"/>
  <c r="Y2047" i="1" s="1"/>
  <c r="Z2047" i="1" s="1"/>
  <c r="M2048" i="1"/>
  <c r="V2048" i="1" s="1"/>
  <c r="Y2048" i="1" s="1"/>
  <c r="Z2048" i="1" s="1"/>
  <c r="M2026" i="1"/>
  <c r="V2026" i="1" s="1"/>
  <c r="Y2026" i="1" s="1"/>
  <c r="Z2026" i="1" s="1"/>
  <c r="M2032" i="1"/>
  <c r="V2032" i="1" s="1"/>
  <c r="Y2032" i="1" s="1"/>
  <c r="Z2032" i="1" s="1"/>
  <c r="M2034" i="1"/>
  <c r="V2034" i="1" s="1"/>
  <c r="Y2034" i="1" s="1"/>
  <c r="Z2034" i="1" s="1"/>
  <c r="M2030" i="1"/>
  <c r="V2030" i="1" s="1"/>
  <c r="Y2030" i="1" s="1"/>
  <c r="Z2030" i="1" s="1"/>
  <c r="M2035" i="1"/>
  <c r="V2035" i="1" s="1"/>
  <c r="Y2035" i="1" s="1"/>
  <c r="Z2035" i="1" s="1"/>
  <c r="M2043" i="1"/>
  <c r="V2043" i="1" s="1"/>
  <c r="Y2043" i="1" s="1"/>
  <c r="Z2043" i="1" s="1"/>
  <c r="M2044" i="1"/>
  <c r="V2044" i="1" s="1"/>
  <c r="Y2044" i="1" s="1"/>
  <c r="Z2044" i="1" s="1"/>
  <c r="M2045" i="1"/>
  <c r="V2045" i="1" s="1"/>
  <c r="Y2045" i="1" s="1"/>
  <c r="Z2045" i="1" s="1"/>
  <c r="M2040" i="1"/>
  <c r="V2040" i="1" s="1"/>
  <c r="Y2040" i="1" s="1"/>
  <c r="Z2040" i="1" s="1"/>
  <c r="M2037" i="1"/>
  <c r="V2037" i="1" s="1"/>
  <c r="Y2037" i="1" s="1"/>
  <c r="Z2037" i="1" s="1"/>
  <c r="M2051" i="1"/>
  <c r="V2051" i="1" s="1"/>
  <c r="Y2051" i="1" s="1"/>
  <c r="Z2051" i="1" s="1"/>
  <c r="M2050" i="1"/>
  <c r="V2050" i="1" s="1"/>
  <c r="Y2050" i="1" s="1"/>
  <c r="Z2050" i="1" s="1"/>
  <c r="M2054" i="1"/>
  <c r="V2054" i="1" s="1"/>
  <c r="Y2054" i="1" s="1"/>
  <c r="Z2054" i="1" s="1"/>
  <c r="M2057" i="1"/>
  <c r="V2057" i="1" s="1"/>
  <c r="Y2057" i="1" s="1"/>
  <c r="Z2057" i="1" s="1"/>
  <c r="M2053" i="1"/>
  <c r="V2053" i="1" s="1"/>
  <c r="Y2053" i="1" s="1"/>
  <c r="Z2053" i="1" s="1"/>
  <c r="M2060" i="1"/>
  <c r="V2060" i="1" s="1"/>
  <c r="Y2060" i="1" s="1"/>
  <c r="Z2060" i="1" s="1"/>
  <c r="M2059" i="1"/>
  <c r="V2059" i="1" s="1"/>
  <c r="Y2059" i="1" s="1"/>
  <c r="Z2059" i="1" s="1"/>
  <c r="M2065" i="1"/>
  <c r="V2065" i="1" s="1"/>
  <c r="Y2065" i="1" s="1"/>
  <c r="Z2065" i="1" s="1"/>
  <c r="M2068" i="1"/>
  <c r="V2068" i="1" s="1"/>
  <c r="Y2068" i="1" s="1"/>
  <c r="Z2068" i="1" s="1"/>
  <c r="M2061" i="1"/>
  <c r="V2061" i="1" s="1"/>
  <c r="Y2061" i="1" s="1"/>
  <c r="Z2061" i="1" s="1"/>
  <c r="M2069" i="1"/>
  <c r="V2069" i="1" s="1"/>
  <c r="Y2069" i="1" s="1"/>
  <c r="Z2069" i="1" s="1"/>
  <c r="M2056" i="1"/>
  <c r="V2056" i="1" s="1"/>
  <c r="Y2056" i="1" s="1"/>
  <c r="Z2056" i="1" s="1"/>
  <c r="M2052" i="1"/>
  <c r="V2052" i="1" s="1"/>
  <c r="Y2052" i="1" s="1"/>
  <c r="Z2052" i="1" s="1"/>
  <c r="M2055" i="1"/>
  <c r="V2055" i="1" s="1"/>
  <c r="Y2055" i="1" s="1"/>
  <c r="Z2055" i="1" s="1"/>
  <c r="M2067" i="1"/>
  <c r="V2067" i="1" s="1"/>
  <c r="Y2067" i="1" s="1"/>
  <c r="Z2067" i="1" s="1"/>
  <c r="M2064" i="1"/>
  <c r="V2064" i="1" s="1"/>
  <c r="Y2064" i="1" s="1"/>
  <c r="Z2064" i="1" s="1"/>
  <c r="M2062" i="1"/>
  <c r="V2062" i="1" s="1"/>
  <c r="Y2062" i="1" s="1"/>
  <c r="Z2062" i="1" s="1"/>
  <c r="M2063" i="1"/>
  <c r="V2063" i="1" s="1"/>
  <c r="Y2063" i="1" s="1"/>
  <c r="Z2063" i="1" s="1"/>
  <c r="M2066" i="1"/>
  <c r="V2066" i="1" s="1"/>
  <c r="Y2066" i="1" s="1"/>
  <c r="Z2066" i="1" s="1"/>
  <c r="M2058" i="1"/>
  <c r="V2058" i="1" s="1"/>
  <c r="Y2058" i="1" s="1"/>
  <c r="Z2058" i="1" s="1"/>
  <c r="M2070" i="1"/>
  <c r="V2070" i="1" s="1"/>
  <c r="Y2070" i="1" s="1"/>
  <c r="Z2070" i="1" s="1"/>
  <c r="M2072" i="1"/>
  <c r="V2072" i="1" s="1"/>
  <c r="Y2072" i="1" s="1"/>
  <c r="Z2072" i="1" s="1"/>
  <c r="M2078" i="1"/>
  <c r="V2078" i="1" s="1"/>
  <c r="Y2078" i="1" s="1"/>
  <c r="Z2078" i="1" s="1"/>
  <c r="M2075" i="1"/>
  <c r="V2075" i="1" s="1"/>
  <c r="Y2075" i="1" s="1"/>
  <c r="Z2075" i="1" s="1"/>
  <c r="M2076" i="1"/>
  <c r="V2076" i="1" s="1"/>
  <c r="Y2076" i="1" s="1"/>
  <c r="Z2076" i="1" s="1"/>
  <c r="M2073" i="1"/>
  <c r="V2073" i="1" s="1"/>
  <c r="Y2073" i="1" s="1"/>
  <c r="Z2073" i="1" s="1"/>
  <c r="M2079" i="1"/>
  <c r="V2079" i="1" s="1"/>
  <c r="Y2079" i="1" s="1"/>
  <c r="Z2079" i="1" s="1"/>
  <c r="M2081" i="1"/>
  <c r="V2081" i="1" s="1"/>
  <c r="Y2081" i="1" s="1"/>
  <c r="Z2081" i="1" s="1"/>
  <c r="M2080" i="1"/>
  <c r="V2080" i="1" s="1"/>
  <c r="Y2080" i="1" s="1"/>
  <c r="Z2080" i="1" s="1"/>
  <c r="M2084" i="1"/>
  <c r="V2084" i="1" s="1"/>
  <c r="Y2084" i="1" s="1"/>
  <c r="Z2084" i="1" s="1"/>
  <c r="M2088" i="1"/>
  <c r="V2088" i="1" s="1"/>
  <c r="Y2088" i="1" s="1"/>
  <c r="Z2088" i="1" s="1"/>
  <c r="M2089" i="1"/>
  <c r="V2089" i="1" s="1"/>
  <c r="Y2089" i="1" s="1"/>
  <c r="Z2089" i="1" s="1"/>
  <c r="M2090" i="1"/>
  <c r="V2090" i="1" s="1"/>
  <c r="Y2090" i="1" s="1"/>
  <c r="Z2090" i="1" s="1"/>
  <c r="M2091" i="1"/>
  <c r="V2091" i="1" s="1"/>
  <c r="Y2091" i="1" s="1"/>
  <c r="Z2091" i="1" s="1"/>
  <c r="M2087" i="1"/>
  <c r="V2087" i="1" s="1"/>
  <c r="Y2087" i="1" s="1"/>
  <c r="Z2087" i="1" s="1"/>
  <c r="M2093" i="1"/>
  <c r="V2093" i="1" s="1"/>
  <c r="Y2093" i="1" s="1"/>
  <c r="Z2093" i="1" s="1"/>
  <c r="M2071" i="1"/>
  <c r="V2071" i="1" s="1"/>
  <c r="Y2071" i="1" s="1"/>
  <c r="Z2071" i="1" s="1"/>
  <c r="M2077" i="1"/>
  <c r="V2077" i="1" s="1"/>
  <c r="Y2077" i="1" s="1"/>
  <c r="Z2077" i="1" s="1"/>
  <c r="M2074" i="1"/>
  <c r="V2074" i="1" s="1"/>
  <c r="Y2074" i="1" s="1"/>
  <c r="Z2074" i="1" s="1"/>
  <c r="M2085" i="1"/>
  <c r="V2085" i="1" s="1"/>
  <c r="Y2085" i="1" s="1"/>
  <c r="Z2085" i="1" s="1"/>
  <c r="M2092" i="1"/>
  <c r="V2092" i="1" s="1"/>
  <c r="Y2092" i="1" s="1"/>
  <c r="Z2092" i="1" s="1"/>
  <c r="M2086" i="1"/>
  <c r="V2086" i="1" s="1"/>
  <c r="Y2086" i="1" s="1"/>
  <c r="Z2086" i="1" s="1"/>
  <c r="M2083" i="1"/>
  <c r="V2083" i="1" s="1"/>
  <c r="Y2083" i="1" s="1"/>
  <c r="Z2083" i="1" s="1"/>
  <c r="M2082" i="1"/>
  <c r="V2082" i="1" s="1"/>
  <c r="Y2082" i="1" s="1"/>
  <c r="Z2082" i="1" s="1"/>
  <c r="M2094" i="1"/>
  <c r="V2094" i="1" s="1"/>
  <c r="Y2094" i="1" s="1"/>
  <c r="Z2094" i="1" s="1"/>
  <c r="M2096" i="1"/>
  <c r="V2096" i="1" s="1"/>
  <c r="Y2096" i="1" s="1"/>
  <c r="Z2096" i="1" s="1"/>
  <c r="M2099" i="1"/>
  <c r="V2099" i="1" s="1"/>
  <c r="Y2099" i="1" s="1"/>
  <c r="Z2099" i="1" s="1"/>
  <c r="M2098" i="1"/>
  <c r="V2098" i="1" s="1"/>
  <c r="Y2098" i="1" s="1"/>
  <c r="Z2098" i="1" s="1"/>
  <c r="M2102" i="1"/>
  <c r="V2102" i="1" s="1"/>
  <c r="Y2102" i="1" s="1"/>
  <c r="Z2102" i="1" s="1"/>
  <c r="M2108" i="1"/>
  <c r="V2108" i="1" s="1"/>
  <c r="Y2108" i="1" s="1"/>
  <c r="Z2108" i="1" s="1"/>
  <c r="M2105" i="1"/>
  <c r="V2105" i="1" s="1"/>
  <c r="Y2105" i="1" s="1"/>
  <c r="Z2105" i="1" s="1"/>
  <c r="M2106" i="1"/>
  <c r="V2106" i="1" s="1"/>
  <c r="Y2106" i="1" s="1"/>
  <c r="Z2106" i="1" s="1"/>
  <c r="M2110" i="1"/>
  <c r="V2110" i="1" s="1"/>
  <c r="Y2110" i="1" s="1"/>
  <c r="Z2110" i="1" s="1"/>
  <c r="M2112" i="1"/>
  <c r="V2112" i="1" s="1"/>
  <c r="Y2112" i="1" s="1"/>
  <c r="Z2112" i="1" s="1"/>
  <c r="M2113" i="1"/>
  <c r="V2113" i="1" s="1"/>
  <c r="Y2113" i="1" s="1"/>
  <c r="Z2113" i="1" s="1"/>
  <c r="M2095" i="1"/>
  <c r="V2095" i="1" s="1"/>
  <c r="Y2095" i="1" s="1"/>
  <c r="Z2095" i="1" s="1"/>
  <c r="M2101" i="1"/>
  <c r="V2101" i="1" s="1"/>
  <c r="Y2101" i="1" s="1"/>
  <c r="Z2101" i="1" s="1"/>
  <c r="M2100" i="1"/>
  <c r="V2100" i="1" s="1"/>
  <c r="Y2100" i="1" s="1"/>
  <c r="Z2100" i="1" s="1"/>
  <c r="M2103" i="1"/>
  <c r="V2103" i="1" s="1"/>
  <c r="Y2103" i="1" s="1"/>
  <c r="Z2103" i="1" s="1"/>
  <c r="M2097" i="1"/>
  <c r="V2097" i="1" s="1"/>
  <c r="Y2097" i="1" s="1"/>
  <c r="Z2097" i="1" s="1"/>
  <c r="M2107" i="1"/>
  <c r="V2107" i="1" s="1"/>
  <c r="Y2107" i="1" s="1"/>
  <c r="Z2107" i="1" s="1"/>
  <c r="M2104" i="1"/>
  <c r="V2104" i="1" s="1"/>
  <c r="Y2104" i="1" s="1"/>
  <c r="Z2104" i="1" s="1"/>
  <c r="M2109" i="1"/>
  <c r="V2109" i="1" s="1"/>
  <c r="Y2109" i="1" s="1"/>
  <c r="Z2109" i="1" s="1"/>
  <c r="M2111" i="1"/>
  <c r="V2111" i="1" s="1"/>
  <c r="Y2111" i="1" s="1"/>
  <c r="Z2111" i="1" s="1"/>
  <c r="M2114" i="1"/>
  <c r="V2114" i="1" s="1"/>
  <c r="Y2114" i="1" s="1"/>
  <c r="Z2114" i="1" s="1"/>
  <c r="M2116" i="1"/>
  <c r="V2116" i="1" s="1"/>
  <c r="Y2116" i="1" s="1"/>
  <c r="Z2116" i="1" s="1"/>
  <c r="M2117" i="1"/>
  <c r="V2117" i="1" s="1"/>
  <c r="Y2117" i="1" s="1"/>
  <c r="Z2117" i="1" s="1"/>
  <c r="M2124" i="1"/>
  <c r="V2124" i="1" s="1"/>
  <c r="Y2124" i="1" s="1"/>
  <c r="Z2124" i="1" s="1"/>
  <c r="M2120" i="1"/>
  <c r="V2120" i="1" s="1"/>
  <c r="Y2120" i="1" s="1"/>
  <c r="Z2120" i="1" s="1"/>
  <c r="M2123" i="1"/>
  <c r="V2123" i="1" s="1"/>
  <c r="Y2123" i="1" s="1"/>
  <c r="Z2123" i="1" s="1"/>
  <c r="M2125" i="1"/>
  <c r="V2125" i="1" s="1"/>
  <c r="Y2125" i="1" s="1"/>
  <c r="Z2125" i="1" s="1"/>
  <c r="M2127" i="1"/>
  <c r="V2127" i="1" s="1"/>
  <c r="Y2127" i="1" s="1"/>
  <c r="Z2127" i="1" s="1"/>
  <c r="M2130" i="1"/>
  <c r="V2130" i="1" s="1"/>
  <c r="Y2130" i="1" s="1"/>
  <c r="Z2130" i="1" s="1"/>
  <c r="M2134" i="1"/>
  <c r="V2134" i="1" s="1"/>
  <c r="Y2134" i="1" s="1"/>
  <c r="Z2134" i="1" s="1"/>
  <c r="M2137" i="1"/>
  <c r="V2137" i="1" s="1"/>
  <c r="Y2137" i="1" s="1"/>
  <c r="Z2137" i="1" s="1"/>
  <c r="M2136" i="1"/>
  <c r="V2136" i="1" s="1"/>
  <c r="Y2136" i="1" s="1"/>
  <c r="Z2136" i="1" s="1"/>
  <c r="M2129" i="1"/>
  <c r="V2129" i="1" s="1"/>
  <c r="Y2129" i="1" s="1"/>
  <c r="Z2129" i="1" s="1"/>
  <c r="M2133" i="1"/>
  <c r="V2133" i="1" s="1"/>
  <c r="Y2133" i="1" s="1"/>
  <c r="Z2133" i="1" s="1"/>
  <c r="M2115" i="1"/>
  <c r="V2115" i="1" s="1"/>
  <c r="Y2115" i="1" s="1"/>
  <c r="Z2115" i="1" s="1"/>
  <c r="M2121" i="1"/>
  <c r="V2121" i="1" s="1"/>
  <c r="Y2121" i="1" s="1"/>
  <c r="Z2121" i="1" s="1"/>
  <c r="M2122" i="1"/>
  <c r="V2122" i="1" s="1"/>
  <c r="Y2122" i="1" s="1"/>
  <c r="Z2122" i="1" s="1"/>
  <c r="M2118" i="1"/>
  <c r="V2118" i="1" s="1"/>
  <c r="Y2118" i="1" s="1"/>
  <c r="Z2118" i="1" s="1"/>
  <c r="M2119" i="1"/>
  <c r="V2119" i="1" s="1"/>
  <c r="Y2119" i="1" s="1"/>
  <c r="Z2119" i="1" s="1"/>
  <c r="M2126" i="1"/>
  <c r="V2126" i="1" s="1"/>
  <c r="Y2126" i="1" s="1"/>
  <c r="Z2126" i="1" s="1"/>
  <c r="M2128" i="1"/>
  <c r="V2128" i="1" s="1"/>
  <c r="Y2128" i="1" s="1"/>
  <c r="Z2128" i="1" s="1"/>
  <c r="M2132" i="1"/>
  <c r="V2132" i="1" s="1"/>
  <c r="Y2132" i="1" s="1"/>
  <c r="Z2132" i="1" s="1"/>
  <c r="M2131" i="1"/>
  <c r="V2131" i="1" s="1"/>
  <c r="Y2131" i="1" s="1"/>
  <c r="Z2131" i="1" s="1"/>
  <c r="M2135" i="1"/>
  <c r="V2135" i="1" s="1"/>
  <c r="Y2135" i="1" s="1"/>
  <c r="Z2135" i="1" s="1"/>
  <c r="M2138" i="1"/>
  <c r="V2138" i="1" s="1"/>
  <c r="Y2138" i="1" s="1"/>
  <c r="Z2138" i="1" s="1"/>
  <c r="M2231" i="1"/>
  <c r="V2231" i="1" s="1"/>
  <c r="Y2231" i="1" s="1"/>
  <c r="Z2231" i="1" s="1"/>
  <c r="M2232" i="1"/>
  <c r="V2232" i="1" s="1"/>
  <c r="Y2232" i="1" s="1"/>
  <c r="Z2232" i="1" s="1"/>
  <c r="M2237" i="1"/>
  <c r="V2237" i="1" s="1"/>
  <c r="Y2237" i="1" s="1"/>
  <c r="Z2237" i="1" s="1"/>
  <c r="M2238" i="1"/>
  <c r="V2238" i="1" s="1"/>
  <c r="Y2238" i="1" s="1"/>
  <c r="Z2238" i="1" s="1"/>
  <c r="M2242" i="1"/>
  <c r="V2242" i="1" s="1"/>
  <c r="Y2242" i="1" s="1"/>
  <c r="Z2242" i="1" s="1"/>
  <c r="M2244" i="1"/>
  <c r="V2244" i="1" s="1"/>
  <c r="Y2244" i="1" s="1"/>
  <c r="Z2244" i="1" s="1"/>
  <c r="M2245" i="1"/>
  <c r="V2245" i="1" s="1"/>
  <c r="Y2245" i="1" s="1"/>
  <c r="Z2245" i="1" s="1"/>
  <c r="M2230" i="1"/>
  <c r="V2230" i="1" s="1"/>
  <c r="Y2230" i="1" s="1"/>
  <c r="Z2230" i="1" s="1"/>
  <c r="M2249" i="1"/>
  <c r="V2249" i="1" s="1"/>
  <c r="Y2249" i="1" s="1"/>
  <c r="Z2249" i="1" s="1"/>
  <c r="M2233" i="1"/>
  <c r="V2233" i="1" s="1"/>
  <c r="Y2233" i="1" s="1"/>
  <c r="Z2233" i="1" s="1"/>
  <c r="M2236" i="1"/>
  <c r="V2236" i="1" s="1"/>
  <c r="Y2236" i="1" s="1"/>
  <c r="Z2236" i="1" s="1"/>
  <c r="M2248" i="1"/>
  <c r="V2248" i="1" s="1"/>
  <c r="Y2248" i="1" s="1"/>
  <c r="Z2248" i="1" s="1"/>
  <c r="M2246" i="1"/>
  <c r="V2246" i="1" s="1"/>
  <c r="Y2246" i="1" s="1"/>
  <c r="Z2246" i="1" s="1"/>
  <c r="M2247" i="1"/>
  <c r="V2247" i="1" s="1"/>
  <c r="Y2247" i="1" s="1"/>
  <c r="Z2247" i="1" s="1"/>
  <c r="M2243" i="1"/>
  <c r="V2243" i="1" s="1"/>
  <c r="Y2243" i="1" s="1"/>
  <c r="Z2243" i="1" s="1"/>
  <c r="M2241" i="1"/>
  <c r="V2241" i="1" s="1"/>
  <c r="Y2241" i="1" s="1"/>
  <c r="Z2241" i="1" s="1"/>
  <c r="M2239" i="1"/>
  <c r="V2239" i="1" s="1"/>
  <c r="Y2239" i="1" s="1"/>
  <c r="Z2239" i="1" s="1"/>
  <c r="M2234" i="1"/>
  <c r="V2234" i="1" s="1"/>
  <c r="Y2234" i="1" s="1"/>
  <c r="Z2234" i="1" s="1"/>
  <c r="M2235" i="1"/>
  <c r="V2235" i="1" s="1"/>
  <c r="Y2235" i="1" s="1"/>
  <c r="Z2235" i="1" s="1"/>
  <c r="M2240" i="1"/>
  <c r="V2240" i="1" s="1"/>
  <c r="Y2240" i="1" s="1"/>
  <c r="Z2240" i="1" s="1"/>
  <c r="M2139" i="1"/>
  <c r="V2139" i="1" s="1"/>
  <c r="Y2139" i="1" s="1"/>
  <c r="Z2139" i="1" s="1"/>
  <c r="M2143" i="1"/>
  <c r="V2143" i="1" s="1"/>
  <c r="Y2143" i="1" s="1"/>
  <c r="Z2143" i="1" s="1"/>
  <c r="M2141" i="1"/>
  <c r="V2141" i="1" s="1"/>
  <c r="Y2141" i="1" s="1"/>
  <c r="Z2141" i="1" s="1"/>
  <c r="M2155" i="1"/>
  <c r="V2155" i="1" s="1"/>
  <c r="Y2155" i="1" s="1"/>
  <c r="Z2155" i="1" s="1"/>
  <c r="M2154" i="1"/>
  <c r="V2154" i="1" s="1"/>
  <c r="Y2154" i="1" s="1"/>
  <c r="Z2154" i="1" s="1"/>
  <c r="M2153" i="1"/>
  <c r="V2153" i="1" s="1"/>
  <c r="Y2153" i="1" s="1"/>
  <c r="Z2153" i="1" s="1"/>
  <c r="M2156" i="1"/>
  <c r="V2156" i="1" s="1"/>
  <c r="Y2156" i="1" s="1"/>
  <c r="Z2156" i="1" s="1"/>
  <c r="M2151" i="1"/>
  <c r="V2151" i="1" s="1"/>
  <c r="Y2151" i="1" s="1"/>
  <c r="Z2151" i="1" s="1"/>
  <c r="M2148" i="1"/>
  <c r="V2148" i="1" s="1"/>
  <c r="Y2148" i="1" s="1"/>
  <c r="Z2148" i="1" s="1"/>
  <c r="M2157" i="1"/>
  <c r="V2157" i="1" s="1"/>
  <c r="Y2157" i="1" s="1"/>
  <c r="Z2157" i="1" s="1"/>
  <c r="M2140" i="1"/>
  <c r="V2140" i="1" s="1"/>
  <c r="Y2140" i="1" s="1"/>
  <c r="Z2140" i="1" s="1"/>
  <c r="M2142" i="1"/>
  <c r="V2142" i="1" s="1"/>
  <c r="Y2142" i="1" s="1"/>
  <c r="Z2142" i="1" s="1"/>
  <c r="M2152" i="1"/>
  <c r="V2152" i="1" s="1"/>
  <c r="Y2152" i="1" s="1"/>
  <c r="Z2152" i="1" s="1"/>
  <c r="M2147" i="1"/>
  <c r="V2147" i="1" s="1"/>
  <c r="Y2147" i="1" s="1"/>
  <c r="Z2147" i="1" s="1"/>
  <c r="M2150" i="1"/>
  <c r="V2150" i="1" s="1"/>
  <c r="Y2150" i="1" s="1"/>
  <c r="Z2150" i="1" s="1"/>
  <c r="M2149" i="1"/>
  <c r="V2149" i="1" s="1"/>
  <c r="Y2149" i="1" s="1"/>
  <c r="Z2149" i="1" s="1"/>
  <c r="M2146" i="1"/>
  <c r="V2146" i="1" s="1"/>
  <c r="Y2146" i="1" s="1"/>
  <c r="Z2146" i="1" s="1"/>
  <c r="M2145" i="1"/>
  <c r="V2145" i="1" s="1"/>
  <c r="Y2145" i="1" s="1"/>
  <c r="Z2145" i="1" s="1"/>
  <c r="M2144" i="1"/>
  <c r="V2144" i="1" s="1"/>
  <c r="Y2144" i="1" s="1"/>
  <c r="Z2144" i="1" s="1"/>
  <c r="M2158" i="1"/>
  <c r="V2158" i="1" s="1"/>
  <c r="Y2158" i="1" s="1"/>
  <c r="Z2158" i="1" s="1"/>
  <c r="M2159" i="1"/>
  <c r="V2159" i="1" s="1"/>
  <c r="Y2159" i="1" s="1"/>
  <c r="Z2159" i="1" s="1"/>
  <c r="M2163" i="1"/>
  <c r="V2163" i="1" s="1"/>
  <c r="Y2163" i="1" s="1"/>
  <c r="Z2163" i="1" s="1"/>
  <c r="M2161" i="1"/>
  <c r="V2161" i="1" s="1"/>
  <c r="Y2161" i="1" s="1"/>
  <c r="Z2161" i="1" s="1"/>
  <c r="M2165" i="1"/>
  <c r="V2165" i="1" s="1"/>
  <c r="Y2165" i="1" s="1"/>
  <c r="Z2165" i="1" s="1"/>
  <c r="M2164" i="1"/>
  <c r="V2164" i="1" s="1"/>
  <c r="Y2164" i="1" s="1"/>
  <c r="Z2164" i="1" s="1"/>
  <c r="M2166" i="1"/>
  <c r="V2166" i="1" s="1"/>
  <c r="Y2166" i="1" s="1"/>
  <c r="Z2166" i="1" s="1"/>
  <c r="M2162" i="1"/>
  <c r="V2162" i="1" s="1"/>
  <c r="Y2162" i="1" s="1"/>
  <c r="Z2162" i="1" s="1"/>
  <c r="M2160" i="1"/>
  <c r="V2160" i="1" s="1"/>
  <c r="Y2160" i="1" s="1"/>
  <c r="Z2160" i="1" s="1"/>
  <c r="M2167" i="1"/>
  <c r="V2167" i="1" s="1"/>
  <c r="Y2167" i="1" s="1"/>
  <c r="Z2167" i="1" s="1"/>
  <c r="M2168" i="1"/>
  <c r="V2168" i="1" s="1"/>
  <c r="Y2168" i="1" s="1"/>
  <c r="Z2168" i="1" s="1"/>
  <c r="M2169" i="1"/>
  <c r="V2169" i="1" s="1"/>
  <c r="Y2169" i="1" s="1"/>
  <c r="Z2169" i="1" s="1"/>
  <c r="M2172" i="1"/>
  <c r="V2172" i="1" s="1"/>
  <c r="Y2172" i="1" s="1"/>
  <c r="Z2172" i="1" s="1"/>
  <c r="M2171" i="1"/>
  <c r="V2171" i="1" s="1"/>
  <c r="Y2171" i="1" s="1"/>
  <c r="Z2171" i="1" s="1"/>
  <c r="M2176" i="1"/>
  <c r="V2176" i="1" s="1"/>
  <c r="Y2176" i="1" s="1"/>
  <c r="Z2176" i="1" s="1"/>
  <c r="M2179" i="1"/>
  <c r="V2179" i="1" s="1"/>
  <c r="Y2179" i="1" s="1"/>
  <c r="Z2179" i="1" s="1"/>
  <c r="M2170" i="1"/>
  <c r="V2170" i="1" s="1"/>
  <c r="Y2170" i="1" s="1"/>
  <c r="Z2170" i="1" s="1"/>
  <c r="M2174" i="1"/>
  <c r="V2174" i="1" s="1"/>
  <c r="Y2174" i="1" s="1"/>
  <c r="Z2174" i="1" s="1"/>
  <c r="M2180" i="1"/>
  <c r="V2180" i="1" s="1"/>
  <c r="Y2180" i="1" s="1"/>
  <c r="Z2180" i="1" s="1"/>
  <c r="M2175" i="1"/>
  <c r="V2175" i="1" s="1"/>
  <c r="Y2175" i="1" s="1"/>
  <c r="Z2175" i="1" s="1"/>
  <c r="M2173" i="1"/>
  <c r="V2173" i="1" s="1"/>
  <c r="Y2173" i="1" s="1"/>
  <c r="Z2173" i="1" s="1"/>
  <c r="M2177" i="1"/>
  <c r="V2177" i="1" s="1"/>
  <c r="Y2177" i="1" s="1"/>
  <c r="Z2177" i="1" s="1"/>
  <c r="M2178" i="1"/>
  <c r="V2178" i="1" s="1"/>
  <c r="Y2178" i="1" s="1"/>
  <c r="Z2178" i="1" s="1"/>
  <c r="M2182" i="1"/>
  <c r="V2182" i="1" s="1"/>
  <c r="Y2182" i="1" s="1"/>
  <c r="Z2182" i="1" s="1"/>
  <c r="M2186" i="1"/>
  <c r="V2186" i="1" s="1"/>
  <c r="Y2186" i="1" s="1"/>
  <c r="Z2186" i="1" s="1"/>
  <c r="M2188" i="1"/>
  <c r="V2188" i="1" s="1"/>
  <c r="Y2188" i="1" s="1"/>
  <c r="Z2188" i="1" s="1"/>
  <c r="M2184" i="1"/>
  <c r="V2184" i="1" s="1"/>
  <c r="Y2184" i="1" s="1"/>
  <c r="Z2184" i="1" s="1"/>
  <c r="M2189" i="1"/>
  <c r="V2189" i="1" s="1"/>
  <c r="Y2189" i="1" s="1"/>
  <c r="Z2189" i="1" s="1"/>
  <c r="M2192" i="1"/>
  <c r="V2192" i="1" s="1"/>
  <c r="Y2192" i="1" s="1"/>
  <c r="Z2192" i="1" s="1"/>
  <c r="M2191" i="1"/>
  <c r="V2191" i="1" s="1"/>
  <c r="Y2191" i="1" s="1"/>
  <c r="Z2191" i="1" s="1"/>
  <c r="M2197" i="1"/>
  <c r="V2197" i="1" s="1"/>
  <c r="Y2197" i="1" s="1"/>
  <c r="Z2197" i="1" s="1"/>
  <c r="M2194" i="1"/>
  <c r="V2194" i="1" s="1"/>
  <c r="Y2194" i="1" s="1"/>
  <c r="Z2194" i="1" s="1"/>
  <c r="M2200" i="1"/>
  <c r="V2200" i="1" s="1"/>
  <c r="Y2200" i="1" s="1"/>
  <c r="Z2200" i="1" s="1"/>
  <c r="M2196" i="1"/>
  <c r="V2196" i="1" s="1"/>
  <c r="Y2196" i="1" s="1"/>
  <c r="Z2196" i="1" s="1"/>
  <c r="M2181" i="1"/>
  <c r="V2181" i="1" s="1"/>
  <c r="Y2181" i="1" s="1"/>
  <c r="Z2181" i="1" s="1"/>
  <c r="M2185" i="1"/>
  <c r="V2185" i="1" s="1"/>
  <c r="Y2185" i="1" s="1"/>
  <c r="Z2185" i="1" s="1"/>
  <c r="M2187" i="1"/>
  <c r="V2187" i="1" s="1"/>
  <c r="Y2187" i="1" s="1"/>
  <c r="Z2187" i="1" s="1"/>
  <c r="M2183" i="1"/>
  <c r="V2183" i="1" s="1"/>
  <c r="Y2183" i="1" s="1"/>
  <c r="Z2183" i="1" s="1"/>
  <c r="M2190" i="1"/>
  <c r="V2190" i="1" s="1"/>
  <c r="Y2190" i="1" s="1"/>
  <c r="Z2190" i="1" s="1"/>
  <c r="M2193" i="1"/>
  <c r="V2193" i="1" s="1"/>
  <c r="Y2193" i="1" s="1"/>
  <c r="Z2193" i="1" s="1"/>
  <c r="M2199" i="1"/>
  <c r="V2199" i="1" s="1"/>
  <c r="Y2199" i="1" s="1"/>
  <c r="Z2199" i="1" s="1"/>
  <c r="M2198" i="1"/>
  <c r="V2198" i="1" s="1"/>
  <c r="Y2198" i="1" s="1"/>
  <c r="Z2198" i="1" s="1"/>
  <c r="M2195" i="1"/>
  <c r="V2195" i="1" s="1"/>
  <c r="Y2195" i="1" s="1"/>
  <c r="Z2195" i="1" s="1"/>
  <c r="M2201" i="1"/>
  <c r="V2201" i="1" s="1"/>
  <c r="Y2201" i="1" s="1"/>
  <c r="Z2201" i="1" s="1"/>
  <c r="M2202" i="1"/>
  <c r="V2202" i="1" s="1"/>
  <c r="Y2202" i="1" s="1"/>
  <c r="Z2202" i="1" s="1"/>
  <c r="M2203" i="1"/>
  <c r="V2203" i="1" s="1"/>
  <c r="Y2203" i="1" s="1"/>
  <c r="Z2203" i="1" s="1"/>
  <c r="M2250" i="1"/>
  <c r="V2250" i="1" s="1"/>
  <c r="Y2250" i="1" s="1"/>
  <c r="Z2250" i="1" s="1"/>
  <c r="M2251" i="1"/>
  <c r="V2251" i="1" s="1"/>
  <c r="Y2251" i="1" s="1"/>
  <c r="Z2251" i="1" s="1"/>
  <c r="M2252" i="1"/>
  <c r="V2252" i="1" s="1"/>
  <c r="Y2252" i="1" s="1"/>
  <c r="Z2252" i="1" s="1"/>
  <c r="M2253" i="1"/>
  <c r="V2253" i="1" s="1"/>
  <c r="Y2253" i="1" s="1"/>
  <c r="Z2253" i="1" s="1"/>
  <c r="M2254" i="1"/>
  <c r="V2254" i="1" s="1"/>
  <c r="Y2254" i="1" s="1"/>
  <c r="Z2254" i="1" s="1"/>
  <c r="M2258" i="1"/>
  <c r="V2258" i="1" s="1"/>
  <c r="Y2258" i="1" s="1"/>
  <c r="Z2258" i="1" s="1"/>
  <c r="M2259" i="1"/>
  <c r="V2259" i="1" s="1"/>
  <c r="Y2259" i="1" s="1"/>
  <c r="Z2259" i="1" s="1"/>
  <c r="M2260" i="1"/>
  <c r="V2260" i="1" s="1"/>
  <c r="Y2260" i="1" s="1"/>
  <c r="Z2260" i="1" s="1"/>
  <c r="M2261" i="1"/>
  <c r="V2261" i="1" s="1"/>
  <c r="Y2261" i="1" s="1"/>
  <c r="Z2261" i="1" s="1"/>
  <c r="M2264" i="1"/>
  <c r="V2264" i="1" s="1"/>
  <c r="Y2264" i="1" s="1"/>
  <c r="Z2264" i="1" s="1"/>
  <c r="M2269" i="1"/>
  <c r="V2269" i="1" s="1"/>
  <c r="Y2269" i="1" s="1"/>
  <c r="Z2269" i="1" s="1"/>
  <c r="M2265" i="1"/>
  <c r="V2265" i="1" s="1"/>
  <c r="Y2265" i="1" s="1"/>
  <c r="Z2265" i="1" s="1"/>
  <c r="M2272" i="1"/>
  <c r="V2272" i="1" s="1"/>
  <c r="Y2272" i="1" s="1"/>
  <c r="Z2272" i="1" s="1"/>
  <c r="M2273" i="1"/>
  <c r="V2273" i="1" s="1"/>
  <c r="Y2273" i="1" s="1"/>
  <c r="Z2273" i="1" s="1"/>
  <c r="M2255" i="1"/>
  <c r="V2255" i="1" s="1"/>
  <c r="Y2255" i="1" s="1"/>
  <c r="Z2255" i="1" s="1"/>
  <c r="M2257" i="1"/>
  <c r="V2257" i="1" s="1"/>
  <c r="Y2257" i="1" s="1"/>
  <c r="Z2257" i="1" s="1"/>
  <c r="M2256" i="1"/>
  <c r="V2256" i="1" s="1"/>
  <c r="Y2256" i="1" s="1"/>
  <c r="Z2256" i="1" s="1"/>
  <c r="M2266" i="1"/>
  <c r="V2266" i="1" s="1"/>
  <c r="Y2266" i="1" s="1"/>
  <c r="Z2266" i="1" s="1"/>
  <c r="M2270" i="1"/>
  <c r="V2270" i="1" s="1"/>
  <c r="Y2270" i="1" s="1"/>
  <c r="Z2270" i="1" s="1"/>
  <c r="M2263" i="1"/>
  <c r="V2263" i="1" s="1"/>
  <c r="Y2263" i="1" s="1"/>
  <c r="Z2263" i="1" s="1"/>
  <c r="M2267" i="1"/>
  <c r="V2267" i="1" s="1"/>
  <c r="Y2267" i="1" s="1"/>
  <c r="Z2267" i="1" s="1"/>
  <c r="M2271" i="1"/>
  <c r="V2271" i="1" s="1"/>
  <c r="Y2271" i="1" s="1"/>
  <c r="Z2271" i="1" s="1"/>
  <c r="M2268" i="1"/>
  <c r="V2268" i="1" s="1"/>
  <c r="Y2268" i="1" s="1"/>
  <c r="Z2268" i="1" s="1"/>
  <c r="M2262" i="1"/>
  <c r="V2262" i="1" s="1"/>
  <c r="Y2262" i="1" s="1"/>
  <c r="Z2262" i="1" s="1"/>
  <c r="M2274" i="1"/>
  <c r="V2274" i="1" s="1"/>
  <c r="Y2274" i="1" s="1"/>
  <c r="Z2274" i="1" s="1"/>
  <c r="M2278" i="1"/>
  <c r="V2278" i="1" s="1"/>
  <c r="Y2278" i="1" s="1"/>
  <c r="Z2278" i="1" s="1"/>
  <c r="M2281" i="1"/>
  <c r="V2281" i="1" s="1"/>
  <c r="Y2281" i="1" s="1"/>
  <c r="Z2281" i="1" s="1"/>
  <c r="M2277" i="1"/>
  <c r="V2277" i="1" s="1"/>
  <c r="Y2277" i="1" s="1"/>
  <c r="Z2277" i="1" s="1"/>
  <c r="M2280" i="1"/>
  <c r="V2280" i="1" s="1"/>
  <c r="Y2280" i="1" s="1"/>
  <c r="Z2280" i="1" s="1"/>
  <c r="M2279" i="1"/>
  <c r="V2279" i="1" s="1"/>
  <c r="Y2279" i="1" s="1"/>
  <c r="Z2279" i="1" s="1"/>
  <c r="M2288" i="1"/>
  <c r="V2288" i="1" s="1"/>
  <c r="Y2288" i="1" s="1"/>
  <c r="Z2288" i="1" s="1"/>
  <c r="M2285" i="1"/>
  <c r="V2285" i="1" s="1"/>
  <c r="Y2285" i="1" s="1"/>
  <c r="Z2285" i="1" s="1"/>
  <c r="M2287" i="1"/>
  <c r="V2287" i="1" s="1"/>
  <c r="Y2287" i="1" s="1"/>
  <c r="Z2287" i="1" s="1"/>
  <c r="M2286" i="1"/>
  <c r="V2286" i="1" s="1"/>
  <c r="Y2286" i="1" s="1"/>
  <c r="Z2286" i="1" s="1"/>
  <c r="M2291" i="1"/>
  <c r="V2291" i="1" s="1"/>
  <c r="Y2291" i="1" s="1"/>
  <c r="Z2291" i="1" s="1"/>
  <c r="M2294" i="1"/>
  <c r="V2294" i="1" s="1"/>
  <c r="Y2294" i="1" s="1"/>
  <c r="Z2294" i="1" s="1"/>
  <c r="M2296" i="1"/>
  <c r="V2296" i="1" s="1"/>
  <c r="Y2296" i="1" s="1"/>
  <c r="Z2296" i="1" s="1"/>
  <c r="M2295" i="1"/>
  <c r="V2295" i="1" s="1"/>
  <c r="Y2295" i="1" s="1"/>
  <c r="Z2295" i="1" s="1"/>
  <c r="M2293" i="1"/>
  <c r="V2293" i="1" s="1"/>
  <c r="Y2293" i="1" s="1"/>
  <c r="Z2293" i="1" s="1"/>
  <c r="M2299" i="1"/>
  <c r="V2299" i="1" s="1"/>
  <c r="Y2299" i="1" s="1"/>
  <c r="Z2299" i="1" s="1"/>
  <c r="M2275" i="1"/>
  <c r="V2275" i="1" s="1"/>
  <c r="Y2275" i="1" s="1"/>
  <c r="Z2275" i="1" s="1"/>
  <c r="M2283" i="1"/>
  <c r="V2283" i="1" s="1"/>
  <c r="Y2283" i="1" s="1"/>
  <c r="Z2283" i="1" s="1"/>
  <c r="M2276" i="1"/>
  <c r="V2276" i="1" s="1"/>
  <c r="Y2276" i="1" s="1"/>
  <c r="Z2276" i="1" s="1"/>
  <c r="M2282" i="1"/>
  <c r="V2282" i="1" s="1"/>
  <c r="Y2282" i="1" s="1"/>
  <c r="Z2282" i="1" s="1"/>
  <c r="M2292" i="1"/>
  <c r="V2292" i="1" s="1"/>
  <c r="Y2292" i="1" s="1"/>
  <c r="Z2292" i="1" s="1"/>
  <c r="M2298" i="1"/>
  <c r="V2298" i="1" s="1"/>
  <c r="Y2298" i="1" s="1"/>
  <c r="Z2298" i="1" s="1"/>
  <c r="M2290" i="1"/>
  <c r="V2290" i="1" s="1"/>
  <c r="Y2290" i="1" s="1"/>
  <c r="Z2290" i="1" s="1"/>
  <c r="M2297" i="1"/>
  <c r="V2297" i="1" s="1"/>
  <c r="Y2297" i="1" s="1"/>
  <c r="Z2297" i="1" s="1"/>
  <c r="M2289" i="1"/>
  <c r="V2289" i="1" s="1"/>
  <c r="Y2289" i="1" s="1"/>
  <c r="Z2289" i="1" s="1"/>
  <c r="M2284" i="1"/>
  <c r="V2284" i="1" s="1"/>
  <c r="Y2284" i="1" s="1"/>
  <c r="Z2284" i="1" s="1"/>
  <c r="M2300" i="1"/>
  <c r="V2300" i="1" s="1"/>
  <c r="Y2300" i="1" s="1"/>
  <c r="Z2300" i="1" s="1"/>
  <c r="M2304" i="1"/>
  <c r="V2304" i="1" s="1"/>
  <c r="Y2304" i="1" s="1"/>
  <c r="Z2304" i="1" s="1"/>
  <c r="M2301" i="1"/>
  <c r="V2301" i="1" s="1"/>
  <c r="Y2301" i="1" s="1"/>
  <c r="Z2301" i="1" s="1"/>
  <c r="M2302" i="1"/>
  <c r="V2302" i="1" s="1"/>
  <c r="Y2302" i="1" s="1"/>
  <c r="Z2302" i="1" s="1"/>
  <c r="M2307" i="1"/>
  <c r="V2307" i="1" s="1"/>
  <c r="Y2307" i="1" s="1"/>
  <c r="Z2307" i="1" s="1"/>
  <c r="M2305" i="1"/>
  <c r="V2305" i="1" s="1"/>
  <c r="Y2305" i="1" s="1"/>
  <c r="Z2305" i="1" s="1"/>
  <c r="M2306" i="1"/>
  <c r="V2306" i="1" s="1"/>
  <c r="Y2306" i="1" s="1"/>
  <c r="Z2306" i="1" s="1"/>
  <c r="M2310" i="1"/>
  <c r="V2310" i="1" s="1"/>
  <c r="Y2310" i="1" s="1"/>
  <c r="Z2310" i="1" s="1"/>
  <c r="M2309" i="1"/>
  <c r="V2309" i="1" s="1"/>
  <c r="Y2309" i="1" s="1"/>
  <c r="Z2309" i="1" s="1"/>
  <c r="M2318" i="1"/>
  <c r="V2318" i="1" s="1"/>
  <c r="Y2318" i="1" s="1"/>
  <c r="Z2318" i="1" s="1"/>
  <c r="M2311" i="1"/>
  <c r="V2311" i="1" s="1"/>
  <c r="Y2311" i="1" s="1"/>
  <c r="Z2311" i="1" s="1"/>
  <c r="M2320" i="1"/>
  <c r="V2320" i="1" s="1"/>
  <c r="Y2320" i="1" s="1"/>
  <c r="Z2320" i="1" s="1"/>
  <c r="M2303" i="1"/>
  <c r="V2303" i="1" s="1"/>
  <c r="Y2303" i="1" s="1"/>
  <c r="Z2303" i="1" s="1"/>
  <c r="M2315" i="1"/>
  <c r="V2315" i="1" s="1"/>
  <c r="Y2315" i="1" s="1"/>
  <c r="Z2315" i="1" s="1"/>
  <c r="M2317" i="1"/>
  <c r="V2317" i="1" s="1"/>
  <c r="Y2317" i="1" s="1"/>
  <c r="Z2317" i="1" s="1"/>
  <c r="M2314" i="1"/>
  <c r="V2314" i="1" s="1"/>
  <c r="Y2314" i="1" s="1"/>
  <c r="Z2314" i="1" s="1"/>
  <c r="M2312" i="1"/>
  <c r="V2312" i="1" s="1"/>
  <c r="Y2312" i="1" s="1"/>
  <c r="Z2312" i="1" s="1"/>
  <c r="M2313" i="1"/>
  <c r="V2313" i="1" s="1"/>
  <c r="Y2313" i="1" s="1"/>
  <c r="Z2313" i="1" s="1"/>
  <c r="M2319" i="1"/>
  <c r="V2319" i="1" s="1"/>
  <c r="Y2319" i="1" s="1"/>
  <c r="Z2319" i="1" s="1"/>
  <c r="M2316" i="1"/>
  <c r="V2316" i="1" s="1"/>
  <c r="Y2316" i="1" s="1"/>
  <c r="Z2316" i="1" s="1"/>
  <c r="M2308" i="1"/>
  <c r="V2308" i="1" s="1"/>
  <c r="Y2308" i="1" s="1"/>
  <c r="Z2308" i="1" s="1"/>
  <c r="M2336" i="1"/>
  <c r="V2336" i="1" s="1"/>
  <c r="Y2336" i="1" s="1"/>
  <c r="Z2336" i="1" s="1"/>
  <c r="M2362" i="1"/>
  <c r="V2362" i="1" s="1"/>
  <c r="Y2362" i="1" s="1"/>
  <c r="Z2362" i="1" s="1"/>
  <c r="M2353" i="1"/>
  <c r="V2353" i="1" s="1"/>
  <c r="Y2353" i="1" s="1"/>
  <c r="Z2353" i="1" s="1"/>
  <c r="M2343" i="1"/>
  <c r="V2343" i="1" s="1"/>
  <c r="Y2343" i="1" s="1"/>
  <c r="Z2343" i="1" s="1"/>
  <c r="M2364" i="1"/>
  <c r="V2364" i="1" s="1"/>
  <c r="Y2364" i="1" s="1"/>
  <c r="Z2364" i="1" s="1"/>
  <c r="M2374" i="1"/>
  <c r="V2374" i="1" s="1"/>
  <c r="Y2374" i="1" s="1"/>
  <c r="Z2374" i="1" s="1"/>
  <c r="M2393" i="1"/>
  <c r="V2393" i="1" s="1"/>
  <c r="Y2393" i="1" s="1"/>
  <c r="Z2393" i="1" s="1"/>
  <c r="M2396" i="1"/>
  <c r="V2396" i="1" s="1"/>
  <c r="Y2396" i="1" s="1"/>
  <c r="Z2396" i="1" s="1"/>
  <c r="M2383" i="1"/>
  <c r="V2383" i="1" s="1"/>
  <c r="Y2383" i="1" s="1"/>
  <c r="Z2383" i="1" s="1"/>
  <c r="M2363" i="1"/>
  <c r="V2363" i="1" s="1"/>
  <c r="Y2363" i="1" s="1"/>
  <c r="Z2363" i="1" s="1"/>
  <c r="M2373" i="1"/>
  <c r="V2373" i="1" s="1"/>
  <c r="Y2373" i="1" s="1"/>
  <c r="Z2373" i="1" s="1"/>
  <c r="M2371" i="1"/>
  <c r="V2371" i="1" s="1"/>
  <c r="Y2371" i="1" s="1"/>
  <c r="Z2371" i="1" s="1"/>
  <c r="M2397" i="1"/>
  <c r="V2397" i="1" s="1"/>
  <c r="Y2397" i="1" s="1"/>
  <c r="Z2397" i="1" s="1"/>
  <c r="M2404" i="1"/>
  <c r="V2404" i="1" s="1"/>
  <c r="Y2404" i="1" s="1"/>
  <c r="Z2404" i="1" s="1"/>
  <c r="M2370" i="1"/>
  <c r="V2370" i="1" s="1"/>
  <c r="Y2370" i="1" s="1"/>
  <c r="Z2370" i="1" s="1"/>
  <c r="M2367" i="1"/>
  <c r="V2367" i="1" s="1"/>
  <c r="Y2367" i="1" s="1"/>
  <c r="Z2367" i="1" s="1"/>
  <c r="M2381" i="1"/>
  <c r="V2381" i="1" s="1"/>
  <c r="Y2381" i="1" s="1"/>
  <c r="Z2381" i="1" s="1"/>
  <c r="M2368" i="1"/>
  <c r="V2368" i="1" s="1"/>
  <c r="Y2368" i="1" s="1"/>
  <c r="Z2368" i="1" s="1"/>
  <c r="M2402" i="1"/>
  <c r="V2402" i="1" s="1"/>
  <c r="Y2402" i="1" s="1"/>
  <c r="Z2402" i="1" s="1"/>
  <c r="M2369" i="1"/>
  <c r="V2369" i="1" s="1"/>
  <c r="Y2369" i="1" s="1"/>
  <c r="Z2369" i="1" s="1"/>
  <c r="M2345" i="1"/>
  <c r="V2345" i="1" s="1"/>
  <c r="Y2345" i="1" s="1"/>
  <c r="Z2345" i="1" s="1"/>
  <c r="M2358" i="1"/>
  <c r="V2358" i="1" s="1"/>
  <c r="Y2358" i="1" s="1"/>
  <c r="Z2358" i="1" s="1"/>
  <c r="M2400" i="1"/>
  <c r="V2400" i="1" s="1"/>
  <c r="Y2400" i="1" s="1"/>
  <c r="Z2400" i="1" s="1"/>
  <c r="M2361" i="1"/>
  <c r="V2361" i="1" s="1"/>
  <c r="Y2361" i="1" s="1"/>
  <c r="Z2361" i="1" s="1"/>
  <c r="M2380" i="1"/>
  <c r="V2380" i="1" s="1"/>
  <c r="Y2380" i="1" s="1"/>
  <c r="Z2380" i="1" s="1"/>
  <c r="M2394" i="1"/>
  <c r="V2394" i="1" s="1"/>
  <c r="Y2394" i="1" s="1"/>
  <c r="Z2394" i="1" s="1"/>
  <c r="M2351" i="1"/>
  <c r="V2351" i="1" s="1"/>
  <c r="Y2351" i="1" s="1"/>
  <c r="Z2351" i="1" s="1"/>
  <c r="M2392" i="1"/>
  <c r="V2392" i="1" s="1"/>
  <c r="Y2392" i="1" s="1"/>
  <c r="Z2392" i="1" s="1"/>
  <c r="M2365" i="1"/>
  <c r="V2365" i="1" s="1"/>
  <c r="Y2365" i="1" s="1"/>
  <c r="Z2365" i="1" s="1"/>
  <c r="M2372" i="1"/>
  <c r="V2372" i="1" s="1"/>
  <c r="Y2372" i="1" s="1"/>
  <c r="Z2372" i="1" s="1"/>
  <c r="M2350" i="1"/>
  <c r="V2350" i="1" s="1"/>
  <c r="Y2350" i="1" s="1"/>
  <c r="Z2350" i="1" s="1"/>
  <c r="M2403" i="1"/>
  <c r="V2403" i="1" s="1"/>
  <c r="Y2403" i="1" s="1"/>
  <c r="Z2403" i="1" s="1"/>
  <c r="M2359" i="1"/>
  <c r="V2359" i="1" s="1"/>
  <c r="Y2359" i="1" s="1"/>
  <c r="Z2359" i="1" s="1"/>
  <c r="M2356" i="1"/>
  <c r="V2356" i="1" s="1"/>
  <c r="Y2356" i="1" s="1"/>
  <c r="Z2356" i="1" s="1"/>
  <c r="M2386" i="1"/>
  <c r="V2386" i="1" s="1"/>
  <c r="Y2386" i="1" s="1"/>
  <c r="Z2386" i="1" s="1"/>
  <c r="M2342" i="1"/>
  <c r="V2342" i="1" s="1"/>
  <c r="Y2342" i="1" s="1"/>
  <c r="Z2342" i="1" s="1"/>
  <c r="M2377" i="1"/>
  <c r="V2377" i="1" s="1"/>
  <c r="Y2377" i="1" s="1"/>
  <c r="Z2377" i="1" s="1"/>
  <c r="M2354" i="1"/>
  <c r="V2354" i="1" s="1"/>
  <c r="Y2354" i="1" s="1"/>
  <c r="Z2354" i="1" s="1"/>
  <c r="M2352" i="1"/>
  <c r="V2352" i="1" s="1"/>
  <c r="Y2352" i="1" s="1"/>
  <c r="Z2352" i="1" s="1"/>
  <c r="M2382" i="1"/>
  <c r="V2382" i="1" s="1"/>
  <c r="Y2382" i="1" s="1"/>
  <c r="Z2382" i="1" s="1"/>
  <c r="M2399" i="1"/>
  <c r="V2399" i="1" s="1"/>
  <c r="Y2399" i="1" s="1"/>
  <c r="Z2399" i="1" s="1"/>
  <c r="M2395" i="1"/>
  <c r="V2395" i="1" s="1"/>
  <c r="Y2395" i="1" s="1"/>
  <c r="Z2395" i="1" s="1"/>
  <c r="M2385" i="1"/>
  <c r="V2385" i="1" s="1"/>
  <c r="Y2385" i="1" s="1"/>
  <c r="Z2385" i="1" s="1"/>
  <c r="M2375" i="1"/>
  <c r="V2375" i="1" s="1"/>
  <c r="Y2375" i="1" s="1"/>
  <c r="Z2375" i="1" s="1"/>
  <c r="M2378" i="1"/>
  <c r="V2378" i="1" s="1"/>
  <c r="Y2378" i="1" s="1"/>
  <c r="Z2378" i="1" s="1"/>
  <c r="M2391" i="1"/>
  <c r="V2391" i="1" s="1"/>
  <c r="Y2391" i="1" s="1"/>
  <c r="Z2391" i="1" s="1"/>
  <c r="M2376" i="1"/>
  <c r="V2376" i="1" s="1"/>
  <c r="Y2376" i="1" s="1"/>
  <c r="Z2376" i="1" s="1"/>
  <c r="M2366" i="1"/>
  <c r="V2366" i="1" s="1"/>
  <c r="Y2366" i="1" s="1"/>
  <c r="Z2366" i="1" s="1"/>
  <c r="M2344" i="1"/>
  <c r="V2344" i="1" s="1"/>
  <c r="Y2344" i="1" s="1"/>
  <c r="Z2344" i="1" s="1"/>
  <c r="M2401" i="1"/>
  <c r="V2401" i="1" s="1"/>
  <c r="Y2401" i="1" s="1"/>
  <c r="Z2401" i="1" s="1"/>
  <c r="M2387" i="1"/>
  <c r="V2387" i="1" s="1"/>
  <c r="Y2387" i="1" s="1"/>
  <c r="Z2387" i="1" s="1"/>
  <c r="M2346" i="1"/>
  <c r="V2346" i="1" s="1"/>
  <c r="Y2346" i="1" s="1"/>
  <c r="Z2346" i="1" s="1"/>
  <c r="M2348" i="1"/>
  <c r="V2348" i="1" s="1"/>
  <c r="Y2348" i="1" s="1"/>
  <c r="Z2348" i="1" s="1"/>
  <c r="M2379" i="1"/>
  <c r="V2379" i="1" s="1"/>
  <c r="Y2379" i="1" s="1"/>
  <c r="Z2379" i="1" s="1"/>
  <c r="M2389" i="1"/>
  <c r="V2389" i="1" s="1"/>
  <c r="Y2389" i="1" s="1"/>
  <c r="Z2389" i="1" s="1"/>
  <c r="M2384" i="1"/>
  <c r="V2384" i="1" s="1"/>
  <c r="Y2384" i="1" s="1"/>
  <c r="Z2384" i="1" s="1"/>
  <c r="M2360" i="1"/>
  <c r="V2360" i="1" s="1"/>
  <c r="Y2360" i="1" s="1"/>
  <c r="Z2360" i="1" s="1"/>
  <c r="M2349" i="1"/>
  <c r="V2349" i="1" s="1"/>
  <c r="Y2349" i="1" s="1"/>
  <c r="Z2349" i="1" s="1"/>
  <c r="M2398" i="1"/>
  <c r="V2398" i="1" s="1"/>
  <c r="Y2398" i="1" s="1"/>
  <c r="Z2398" i="1" s="1"/>
  <c r="M2355" i="1"/>
  <c r="V2355" i="1" s="1"/>
  <c r="Y2355" i="1" s="1"/>
  <c r="Z2355" i="1" s="1"/>
  <c r="M2347" i="1"/>
  <c r="V2347" i="1" s="1"/>
  <c r="Y2347" i="1" s="1"/>
  <c r="Z2347" i="1" s="1"/>
  <c r="M2390" i="1"/>
  <c r="V2390" i="1" s="1"/>
  <c r="Y2390" i="1" s="1"/>
  <c r="Z2390" i="1" s="1"/>
  <c r="M2357" i="1"/>
  <c r="V2357" i="1" s="1"/>
  <c r="Y2357" i="1" s="1"/>
  <c r="Z2357" i="1" s="1"/>
  <c r="M2388" i="1"/>
  <c r="V2388" i="1" s="1"/>
  <c r="Y2388" i="1" s="1"/>
  <c r="Z2388" i="1" s="1"/>
  <c r="M2332" i="1"/>
  <c r="V2332" i="1" s="1"/>
  <c r="Y2332" i="1" s="1"/>
  <c r="Z2332" i="1" s="1"/>
  <c r="M2334" i="1"/>
  <c r="V2334" i="1" s="1"/>
  <c r="Y2334" i="1" s="1"/>
  <c r="Z2334" i="1" s="1"/>
  <c r="M2329" i="1"/>
  <c r="V2329" i="1" s="1"/>
  <c r="Y2329" i="1" s="1"/>
  <c r="Z2329" i="1" s="1"/>
  <c r="M2335" i="1"/>
  <c r="V2335" i="1" s="1"/>
  <c r="Y2335" i="1" s="1"/>
  <c r="Z2335" i="1" s="1"/>
  <c r="M2322" i="1"/>
  <c r="V2322" i="1" s="1"/>
  <c r="Y2322" i="1" s="1"/>
  <c r="Z2322" i="1" s="1"/>
  <c r="M2337" i="1"/>
  <c r="V2337" i="1" s="1"/>
  <c r="Y2337" i="1" s="1"/>
  <c r="Z2337" i="1" s="1"/>
  <c r="M2325" i="1"/>
  <c r="V2325" i="1" s="1"/>
  <c r="Y2325" i="1" s="1"/>
  <c r="Z2325" i="1" s="1"/>
  <c r="M2321" i="1"/>
  <c r="V2321" i="1" s="1"/>
  <c r="Y2321" i="1" s="1"/>
  <c r="Z2321" i="1" s="1"/>
  <c r="M2324" i="1"/>
  <c r="V2324" i="1" s="1"/>
  <c r="Y2324" i="1" s="1"/>
  <c r="Z2324" i="1" s="1"/>
  <c r="M2330" i="1"/>
  <c r="V2330" i="1" s="1"/>
  <c r="Y2330" i="1" s="1"/>
  <c r="Z2330" i="1" s="1"/>
  <c r="M2331" i="1"/>
  <c r="V2331" i="1" s="1"/>
  <c r="Y2331" i="1" s="1"/>
  <c r="Z2331" i="1" s="1"/>
  <c r="M5" i="1" l="1"/>
  <c r="V5" i="1" s="1"/>
  <c r="Y5" i="1" s="1"/>
  <c r="Z5" i="1" s="1"/>
</calcChain>
</file>

<file path=xl/sharedStrings.xml><?xml version="1.0" encoding="utf-8"?>
<sst xmlns="http://schemas.openxmlformats.org/spreadsheetml/2006/main" count="21810" uniqueCount="2857">
  <si>
    <t>Имя</t>
  </si>
  <si>
    <t>позиция</t>
  </si>
  <si>
    <t>спец1</t>
  </si>
  <si>
    <t>спец2</t>
  </si>
  <si>
    <t>спец3</t>
  </si>
  <si>
    <t>сборная</t>
  </si>
  <si>
    <t>гражд1</t>
  </si>
  <si>
    <t>гражд2</t>
  </si>
  <si>
    <t>клуб</t>
  </si>
  <si>
    <t>Аренда</t>
  </si>
  <si>
    <t>ОР</t>
  </si>
  <si>
    <t>Аура</t>
  </si>
  <si>
    <t>Скорость</t>
  </si>
  <si>
    <t>Удар</t>
  </si>
  <si>
    <t>Пас</t>
  </si>
  <si>
    <t>Отбор</t>
  </si>
  <si>
    <t>Верх</t>
  </si>
  <si>
    <t>Тактика</t>
  </si>
  <si>
    <t>Перки</t>
  </si>
  <si>
    <t>Стоимость</t>
  </si>
  <si>
    <t>Корсалес (В)</t>
  </si>
  <si>
    <t>Арутн</t>
  </si>
  <si>
    <t>Кулистис</t>
  </si>
  <si>
    <t>Моргуша (В)</t>
  </si>
  <si>
    <t>Стоун (В)</t>
  </si>
  <si>
    <t>Стор (В)</t>
  </si>
  <si>
    <t>Донтор (В)</t>
  </si>
  <si>
    <t>Мокмор</t>
  </si>
  <si>
    <t>Кападокин</t>
  </si>
  <si>
    <t>МакЭнджел</t>
  </si>
  <si>
    <t>Икелен (В)</t>
  </si>
  <si>
    <t>Брувис</t>
  </si>
  <si>
    <t>Грубый</t>
  </si>
  <si>
    <t>Стоялл</t>
  </si>
  <si>
    <t>Суиилла (В)</t>
  </si>
  <si>
    <t>Столл (В)</t>
  </si>
  <si>
    <t>Йорж</t>
  </si>
  <si>
    <t>Булли</t>
  </si>
  <si>
    <t>Валеник</t>
  </si>
  <si>
    <t>Клаус</t>
  </si>
  <si>
    <t>Горчинский</t>
  </si>
  <si>
    <t>Апачиков</t>
  </si>
  <si>
    <t>Мольсич (В)</t>
  </si>
  <si>
    <t>Урман</t>
  </si>
  <si>
    <t>Славица</t>
  </si>
  <si>
    <t>Танован</t>
  </si>
  <si>
    <t>Морковский</t>
  </si>
  <si>
    <t>Термин</t>
  </si>
  <si>
    <t>Кентуков</t>
  </si>
  <si>
    <t>Довн (В)</t>
  </si>
  <si>
    <t>Стикинбург (В)</t>
  </si>
  <si>
    <t>Свендсен (В)</t>
  </si>
  <si>
    <t>Торри</t>
  </si>
  <si>
    <t>Вокса</t>
  </si>
  <si>
    <t>Лайт</t>
  </si>
  <si>
    <t>Хоршей</t>
  </si>
  <si>
    <t>Ментер</t>
  </si>
  <si>
    <t>И. Щитован</t>
  </si>
  <si>
    <t>Авон (В)</t>
  </si>
  <si>
    <t>Ларз (В)</t>
  </si>
  <si>
    <t>Турви</t>
  </si>
  <si>
    <t>Гуруну (В)</t>
  </si>
  <si>
    <t>Давр (В)</t>
  </si>
  <si>
    <t>Сальжанеро (В)</t>
  </si>
  <si>
    <t>Шаймайстер</t>
  </si>
  <si>
    <t>Уськин (В)</t>
  </si>
  <si>
    <t>Альфон (В)</t>
  </si>
  <si>
    <t>Лортун</t>
  </si>
  <si>
    <t>Рябка (В)</t>
  </si>
  <si>
    <t>Илион (В)</t>
  </si>
  <si>
    <t>Азотов (В)</t>
  </si>
  <si>
    <t>Ожерков (В)</t>
  </si>
  <si>
    <t>Тексер</t>
  </si>
  <si>
    <t>Рейн Муди</t>
  </si>
  <si>
    <t>Жлобс</t>
  </si>
  <si>
    <t>Синди (В)</t>
  </si>
  <si>
    <t>Галлон</t>
  </si>
  <si>
    <t>Койсон</t>
  </si>
  <si>
    <t>Сальпитон</t>
  </si>
  <si>
    <t>Чербис</t>
  </si>
  <si>
    <t>Полька</t>
  </si>
  <si>
    <t>Щукий</t>
  </si>
  <si>
    <t>Стейт Расс</t>
  </si>
  <si>
    <t>Ротор</t>
  </si>
  <si>
    <t>Грайзенхаузер М</t>
  </si>
  <si>
    <t>Греви</t>
  </si>
  <si>
    <t>Зуль-Аж</t>
  </si>
  <si>
    <t>Гага (В)</t>
  </si>
  <si>
    <t>Халк (В)</t>
  </si>
  <si>
    <t>Бармуд</t>
  </si>
  <si>
    <t>Борщец</t>
  </si>
  <si>
    <t>Косулин</t>
  </si>
  <si>
    <t>Хавка</t>
  </si>
  <si>
    <t>Майконе</t>
  </si>
  <si>
    <t>А.Зуев</t>
  </si>
  <si>
    <t>Хага (В)</t>
  </si>
  <si>
    <t>Скиндерс (В)</t>
  </si>
  <si>
    <t>Кавальени</t>
  </si>
  <si>
    <t xml:space="preserve">Академиков </t>
  </si>
  <si>
    <t>Ловчий</t>
  </si>
  <si>
    <t>Сарда (В)</t>
  </si>
  <si>
    <t>Шёрт</t>
  </si>
  <si>
    <t>Хоншей</t>
  </si>
  <si>
    <t>Роиз</t>
  </si>
  <si>
    <t>Штор (В)</t>
  </si>
  <si>
    <t>Пишт (В)</t>
  </si>
  <si>
    <t>Думбаж</t>
  </si>
  <si>
    <t>Полмест</t>
  </si>
  <si>
    <t>Гошта</t>
  </si>
  <si>
    <t>Шогин</t>
  </si>
  <si>
    <t>Кушима (В)</t>
  </si>
  <si>
    <t>Эльс (в)</t>
  </si>
  <si>
    <t>Говоротов (В)</t>
  </si>
  <si>
    <t>Цезарр (В)</t>
  </si>
  <si>
    <t>Ферсуо (З)</t>
  </si>
  <si>
    <t>Зонд (З)</t>
  </si>
  <si>
    <t>Ноир (З)</t>
  </si>
  <si>
    <t>Знак (З)</t>
  </si>
  <si>
    <t>Бефф (З)</t>
  </si>
  <si>
    <t>Лер Монто</t>
  </si>
  <si>
    <t>Блеков (З)</t>
  </si>
  <si>
    <t>Алькаров (З)</t>
  </si>
  <si>
    <t>Визарно (З)</t>
  </si>
  <si>
    <t>Вазар</t>
  </si>
  <si>
    <t>Гроззи</t>
  </si>
  <si>
    <t>Лайсут</t>
  </si>
  <si>
    <t>Бариносов</t>
  </si>
  <si>
    <t>Поллони</t>
  </si>
  <si>
    <t>Чаптец</t>
  </si>
  <si>
    <t>Трумм</t>
  </si>
  <si>
    <t>Жэбьер</t>
  </si>
  <si>
    <t>Метер (З)</t>
  </si>
  <si>
    <t>Бер (З)</t>
  </si>
  <si>
    <t>Зегг (З)</t>
  </si>
  <si>
    <t>Фифельус (З)</t>
  </si>
  <si>
    <t>Вульн (З)</t>
  </si>
  <si>
    <t>Виль (З)</t>
  </si>
  <si>
    <t>Курман</t>
  </si>
  <si>
    <t>Морзул</t>
  </si>
  <si>
    <t>Ксерабби</t>
  </si>
  <si>
    <t>Вулеба</t>
  </si>
  <si>
    <t>Шажим</t>
  </si>
  <si>
    <t>Оллош</t>
  </si>
  <si>
    <t>Флайфио</t>
  </si>
  <si>
    <t xml:space="preserve">Гранлунд </t>
  </si>
  <si>
    <t>Железняк</t>
  </si>
  <si>
    <t>Джикиджи</t>
  </si>
  <si>
    <t>Рубиус</t>
  </si>
  <si>
    <t>Грач</t>
  </si>
  <si>
    <t>Калинин (З)</t>
  </si>
  <si>
    <t>Джажак (З)</t>
  </si>
  <si>
    <t>Джустас</t>
  </si>
  <si>
    <t>Бультер</t>
  </si>
  <si>
    <t>Пробис</t>
  </si>
  <si>
    <t>Путисон</t>
  </si>
  <si>
    <t>Фердиган (З)</t>
  </si>
  <si>
    <t>Гульшер (З)</t>
  </si>
  <si>
    <t>Вегер (З)</t>
  </si>
  <si>
    <t>Армаш (З)</t>
  </si>
  <si>
    <t>Столла</t>
  </si>
  <si>
    <t>Акин (З)</t>
  </si>
  <si>
    <t>Закин (З)</t>
  </si>
  <si>
    <t>Тульнас</t>
  </si>
  <si>
    <t>Хуальди (З)</t>
  </si>
  <si>
    <t>Тригин (З)</t>
  </si>
  <si>
    <t>Аляпис (З)</t>
  </si>
  <si>
    <t>Нука (З)</t>
  </si>
  <si>
    <t>Бирба (З)</t>
  </si>
  <si>
    <t>Альзаниз (З)</t>
  </si>
  <si>
    <t>Войлов</t>
  </si>
  <si>
    <t>Зогер</t>
  </si>
  <si>
    <t>Лайтшед</t>
  </si>
  <si>
    <t>Шекер</t>
  </si>
  <si>
    <t>Альтруи</t>
  </si>
  <si>
    <t>Бурибов</t>
  </si>
  <si>
    <t>Эрешков</t>
  </si>
  <si>
    <t>Барехин</t>
  </si>
  <si>
    <t>Пульминг</t>
  </si>
  <si>
    <t>Дальмиолит</t>
  </si>
  <si>
    <t>Красетер</t>
  </si>
  <si>
    <t>Цемби</t>
  </si>
  <si>
    <t>Туллер</t>
  </si>
  <si>
    <t>Уканди</t>
  </si>
  <si>
    <t>Бартон</t>
  </si>
  <si>
    <t>Бомбич</t>
  </si>
  <si>
    <t>Алианс</t>
  </si>
  <si>
    <t>Долговой</t>
  </si>
  <si>
    <t>Турмук</t>
  </si>
  <si>
    <t>Вангут</t>
  </si>
  <si>
    <t>Жортан</t>
  </si>
  <si>
    <t>Ольсич (З)</t>
  </si>
  <si>
    <t>Санта (З)</t>
  </si>
  <si>
    <t>Керимов (З)</t>
  </si>
  <si>
    <t>Дрозд</t>
  </si>
  <si>
    <t>Бенки</t>
  </si>
  <si>
    <t>Багин</t>
  </si>
  <si>
    <t>Зовов</t>
  </si>
  <si>
    <t>Гулин</t>
  </si>
  <si>
    <t>Туршев</t>
  </si>
  <si>
    <t>Гуськов</t>
  </si>
  <si>
    <t>Порус</t>
  </si>
  <si>
    <t>Вокти</t>
  </si>
  <si>
    <t>Палитон</t>
  </si>
  <si>
    <t>Вольсич</t>
  </si>
  <si>
    <t>Пельменнов</t>
  </si>
  <si>
    <t>Тлинди</t>
  </si>
  <si>
    <t>Цайкаров</t>
  </si>
  <si>
    <t>Аллавс</t>
  </si>
  <si>
    <t>Хунен</t>
  </si>
  <si>
    <t>Кутер</t>
  </si>
  <si>
    <t>Нустен</t>
  </si>
  <si>
    <t>Рубинштерн</t>
  </si>
  <si>
    <t>Ерепин</t>
  </si>
  <si>
    <t>Зонский</t>
  </si>
  <si>
    <t>Хэжей</t>
  </si>
  <si>
    <t>Вольф Т (З)</t>
  </si>
  <si>
    <t>Вольф Г (З)</t>
  </si>
  <si>
    <t>Гонга (З)</t>
  </si>
  <si>
    <t>Терри</t>
  </si>
  <si>
    <t>Исаксен (З)</t>
  </si>
  <si>
    <t>Тар Карлон</t>
  </si>
  <si>
    <t>Париат</t>
  </si>
  <si>
    <t>Тунди</t>
  </si>
  <si>
    <t>Миколенко (З)</t>
  </si>
  <si>
    <t>Айалла (З)</t>
  </si>
  <si>
    <t>Ормунд Эбби</t>
  </si>
  <si>
    <t>Ласарент</t>
  </si>
  <si>
    <t>Газонов</t>
  </si>
  <si>
    <t>Алиев (З)</t>
  </si>
  <si>
    <t>Ночник</t>
  </si>
  <si>
    <t>Йурта</t>
  </si>
  <si>
    <t>Эллот</t>
  </si>
  <si>
    <t>Чурмах</t>
  </si>
  <si>
    <t>Игонти</t>
  </si>
  <si>
    <t>Горси</t>
  </si>
  <si>
    <t>Атерта</t>
  </si>
  <si>
    <t>Монси</t>
  </si>
  <si>
    <t>Гуншент</t>
  </si>
  <si>
    <t>Убойнов</t>
  </si>
  <si>
    <t>Хлопов</t>
  </si>
  <si>
    <t>Забеков</t>
  </si>
  <si>
    <t>Енотов</t>
  </si>
  <si>
    <t>Ползитер</t>
  </si>
  <si>
    <t>Кузьман</t>
  </si>
  <si>
    <t>Тарни</t>
  </si>
  <si>
    <t>Жовуш</t>
  </si>
  <si>
    <t>Тунс</t>
  </si>
  <si>
    <t>Ганси</t>
  </si>
  <si>
    <t>Вероник (З)</t>
  </si>
  <si>
    <t>Крэш</t>
  </si>
  <si>
    <t>Мормент</t>
  </si>
  <si>
    <t>Толли</t>
  </si>
  <si>
    <t>Уйтант</t>
  </si>
  <si>
    <t>Тольати (З)</t>
  </si>
  <si>
    <t>Уткин (З)</t>
  </si>
  <si>
    <t>Грашит</t>
  </si>
  <si>
    <t>Горр Отти</t>
  </si>
  <si>
    <t>Промисер</t>
  </si>
  <si>
    <t>Шпингер</t>
  </si>
  <si>
    <t>Йозып</t>
  </si>
  <si>
    <t>Горстов</t>
  </si>
  <si>
    <t>Полинтром</t>
  </si>
  <si>
    <t>Корстан (З)</t>
  </si>
  <si>
    <t>Отлома</t>
  </si>
  <si>
    <t>Сандера</t>
  </si>
  <si>
    <t>Аль-варис (З)</t>
  </si>
  <si>
    <t>Олбари (З)</t>
  </si>
  <si>
    <t>Штебель</t>
  </si>
  <si>
    <t>Кирми</t>
  </si>
  <si>
    <t>Халлал</t>
  </si>
  <si>
    <t>Ычевый</t>
  </si>
  <si>
    <t>Изюха</t>
  </si>
  <si>
    <t>Востер</t>
  </si>
  <si>
    <t>Сиилоол (з)</t>
  </si>
  <si>
    <t>Михени (З)</t>
  </si>
  <si>
    <t>Каштан</t>
  </si>
  <si>
    <t>Фифер</t>
  </si>
  <si>
    <t>Армис</t>
  </si>
  <si>
    <t>Барик</t>
  </si>
  <si>
    <t>Тавьер</t>
  </si>
  <si>
    <t>Щербак</t>
  </si>
  <si>
    <t>Оскар</t>
  </si>
  <si>
    <t>Ляупяка (З)</t>
  </si>
  <si>
    <t>Идер (З)</t>
  </si>
  <si>
    <t>Эхонтис</t>
  </si>
  <si>
    <t>Зярупка</t>
  </si>
  <si>
    <t>Торлунд</t>
  </si>
  <si>
    <t>Гасьте</t>
  </si>
  <si>
    <t>Вовон</t>
  </si>
  <si>
    <t>Яхе</t>
  </si>
  <si>
    <t>Таркино</t>
  </si>
  <si>
    <t>Альмарин (З)</t>
  </si>
  <si>
    <t>Гушин (З)</t>
  </si>
  <si>
    <t>Костин (З)</t>
  </si>
  <si>
    <t>Ункен</t>
  </si>
  <si>
    <t>Усьминкриш (З)</t>
  </si>
  <si>
    <t>Терси</t>
  </si>
  <si>
    <t>Булиант</t>
  </si>
  <si>
    <t>Актуба</t>
  </si>
  <si>
    <t>Буновик</t>
  </si>
  <si>
    <t>Ави (З)</t>
  </si>
  <si>
    <t>Цувель</t>
  </si>
  <si>
    <t>Акамин (З)</t>
  </si>
  <si>
    <t>Берхман (З)</t>
  </si>
  <si>
    <t>Пефер (З)</t>
  </si>
  <si>
    <t>Сенди (З)</t>
  </si>
  <si>
    <t>Хаухин (З)</t>
  </si>
  <si>
    <t>Цыбула</t>
  </si>
  <si>
    <t>Здонг</t>
  </si>
  <si>
    <t>Торгула</t>
  </si>
  <si>
    <t>Орондов (З)</t>
  </si>
  <si>
    <t>Биатрикс</t>
  </si>
  <si>
    <t>Алькам (З)</t>
  </si>
  <si>
    <t>Винтик (З)</t>
  </si>
  <si>
    <t>Ольтор (З)</t>
  </si>
  <si>
    <t>Надар (З)</t>
  </si>
  <si>
    <t>Гранеро (З)</t>
  </si>
  <si>
    <t>Али (З)</t>
  </si>
  <si>
    <t>Пафи (З)</t>
  </si>
  <si>
    <t>Хусер (З)</t>
  </si>
  <si>
    <t>Кеготти</t>
  </si>
  <si>
    <t>Биотор (З)</t>
  </si>
  <si>
    <t>Хенгент</t>
  </si>
  <si>
    <t>Понти</t>
  </si>
  <si>
    <t>Сторвус</t>
  </si>
  <si>
    <t>Половский</t>
  </si>
  <si>
    <t>Югус</t>
  </si>
  <si>
    <t>Тавильд</t>
  </si>
  <si>
    <t>Чахти</t>
  </si>
  <si>
    <t>Гардук</t>
  </si>
  <si>
    <t>Агамис</t>
  </si>
  <si>
    <t>Кочин (З)</t>
  </si>
  <si>
    <t>Йетин</t>
  </si>
  <si>
    <t>Цермион</t>
  </si>
  <si>
    <t>Ухинов</t>
  </si>
  <si>
    <t>Хэбют</t>
  </si>
  <si>
    <t>Хенгель</t>
  </si>
  <si>
    <t>Хекси</t>
  </si>
  <si>
    <t>Хемдель</t>
  </si>
  <si>
    <t>Саирсер (З)</t>
  </si>
  <si>
    <t>Виколич (З)</t>
  </si>
  <si>
    <t>Миду</t>
  </si>
  <si>
    <t>Грайз (З)</t>
  </si>
  <si>
    <t>Телби</t>
  </si>
  <si>
    <t>Бурвес</t>
  </si>
  <si>
    <t>Душкан (З)</t>
  </si>
  <si>
    <t>Цуфти</t>
  </si>
  <si>
    <t>Тифтия</t>
  </si>
  <si>
    <t>Чувитер</t>
  </si>
  <si>
    <t>Коути</t>
  </si>
  <si>
    <t>Щедрюк (З)</t>
  </si>
  <si>
    <t>Сеулла (З)</t>
  </si>
  <si>
    <t>Дошкетов</t>
  </si>
  <si>
    <t>Дроста (З)</t>
  </si>
  <si>
    <t>Сурден (З)</t>
  </si>
  <si>
    <t>Вильнов</t>
  </si>
  <si>
    <t>Кувой</t>
  </si>
  <si>
    <t>Аснан</t>
  </si>
  <si>
    <t>Урайнов</t>
  </si>
  <si>
    <t>Марти</t>
  </si>
  <si>
    <t>Фалион</t>
  </si>
  <si>
    <t>Гувишка</t>
  </si>
  <si>
    <t>Бублейнов</t>
  </si>
  <si>
    <t>Гранквист (З)</t>
  </si>
  <si>
    <t>Клоза (З)</t>
  </si>
  <si>
    <t>Рубийс</t>
  </si>
  <si>
    <t>Имминур</t>
  </si>
  <si>
    <t>Лобуз</t>
  </si>
  <si>
    <t>Саир</t>
  </si>
  <si>
    <t>Укин</t>
  </si>
  <si>
    <t>Альмаш (З)</t>
  </si>
  <si>
    <t>Д. Зуев (З)</t>
  </si>
  <si>
    <t>В.Зуев</t>
  </si>
  <si>
    <t>Лаггиззи</t>
  </si>
  <si>
    <t>Градаль (З)</t>
  </si>
  <si>
    <t>Лацио</t>
  </si>
  <si>
    <t>Кешкер (З)</t>
  </si>
  <si>
    <t>Ноиз (З)</t>
  </si>
  <si>
    <t>Лапшер</t>
  </si>
  <si>
    <t>Бульвари</t>
  </si>
  <si>
    <t>Ютур</t>
  </si>
  <si>
    <t>Толжер</t>
  </si>
  <si>
    <t>Германт</t>
  </si>
  <si>
    <t>Коршун</t>
  </si>
  <si>
    <t>Глубиц</t>
  </si>
  <si>
    <t>Авроров</t>
  </si>
  <si>
    <t>Кришта (З)</t>
  </si>
  <si>
    <t>Кошнар (З)</t>
  </si>
  <si>
    <t>Зувьер</t>
  </si>
  <si>
    <t>Тальмундор</t>
  </si>
  <si>
    <t>Кебра</t>
  </si>
  <si>
    <t>Альдом</t>
  </si>
  <si>
    <t>Кривой</t>
  </si>
  <si>
    <t>Габс</t>
  </si>
  <si>
    <t>Хевьер</t>
  </si>
  <si>
    <t>Нарсек</t>
  </si>
  <si>
    <t>Ричук (З)</t>
  </si>
  <si>
    <t>Супославр (З)</t>
  </si>
  <si>
    <t>Термич</t>
  </si>
  <si>
    <t>Турнат</t>
  </si>
  <si>
    <t>Ячкимов</t>
  </si>
  <si>
    <t>Борсун</t>
  </si>
  <si>
    <t>Быгай</t>
  </si>
  <si>
    <t>Ютис</t>
  </si>
  <si>
    <t>Хорвокки</t>
  </si>
  <si>
    <t>Нойз (З)</t>
  </si>
  <si>
    <t>Коршита (З)</t>
  </si>
  <si>
    <t>Мивани (З)</t>
  </si>
  <si>
    <t>Зонтер (З)</t>
  </si>
  <si>
    <t>Плизель</t>
  </si>
  <si>
    <t>Гравцув</t>
  </si>
  <si>
    <t>Полгент</t>
  </si>
  <si>
    <t>Нани</t>
  </si>
  <si>
    <t>Губка</t>
  </si>
  <si>
    <t>Туровой</t>
  </si>
  <si>
    <t>Хугантов</t>
  </si>
  <si>
    <t>Кравц</t>
  </si>
  <si>
    <t>Лоренц (З)</t>
  </si>
  <si>
    <t>Джэфо (З)</t>
  </si>
  <si>
    <t>Тиль (З)</t>
  </si>
  <si>
    <t>Гот</t>
  </si>
  <si>
    <t>Эреха (З)</t>
  </si>
  <si>
    <t>Тупков</t>
  </si>
  <si>
    <t>Хьюбер</t>
  </si>
  <si>
    <t>Эбьюс</t>
  </si>
  <si>
    <t>Маус (З)</t>
  </si>
  <si>
    <t>Келли</t>
  </si>
  <si>
    <t>Валлес</t>
  </si>
  <si>
    <t>Октавьер</t>
  </si>
  <si>
    <t>Калшер</t>
  </si>
  <si>
    <t>М.Кеовн</t>
  </si>
  <si>
    <t>А.Пюник (Н)</t>
  </si>
  <si>
    <t>Крипта (Н)</t>
  </si>
  <si>
    <t>МакКалистер</t>
  </si>
  <si>
    <t>Назар (Н)</t>
  </si>
  <si>
    <t>Нагазар (Н)</t>
  </si>
  <si>
    <t>Ют-Аюр</t>
  </si>
  <si>
    <t>Азар (Н)</t>
  </si>
  <si>
    <t>Дрошта (Н)</t>
  </si>
  <si>
    <t>Тавош (Н)</t>
  </si>
  <si>
    <t>Игла (Н)</t>
  </si>
  <si>
    <t>Скунда (Н)</t>
  </si>
  <si>
    <t>Моторс (Н)</t>
  </si>
  <si>
    <t>Джедидая</t>
  </si>
  <si>
    <t>Дуглас (Н)</t>
  </si>
  <si>
    <t>Душер (Н)</t>
  </si>
  <si>
    <t>Термианор</t>
  </si>
  <si>
    <t>Манду (Н)</t>
  </si>
  <si>
    <t>Д.Макраер</t>
  </si>
  <si>
    <t>Рейдар</t>
  </si>
  <si>
    <t xml:space="preserve">Данза </t>
  </si>
  <si>
    <t>Оливер</t>
  </si>
  <si>
    <t>Демитра</t>
  </si>
  <si>
    <t>Хелиан (Н)</t>
  </si>
  <si>
    <t>Скайрим (Н)</t>
  </si>
  <si>
    <t>Парма Ормалини</t>
  </si>
  <si>
    <t>Вэлли</t>
  </si>
  <si>
    <t>Реш (Н)</t>
  </si>
  <si>
    <t>Бормир (Н)</t>
  </si>
  <si>
    <t>Вирравек (Н)</t>
  </si>
  <si>
    <t>Варгон</t>
  </si>
  <si>
    <t>Водин (Н)</t>
  </si>
  <si>
    <t>Настер</t>
  </si>
  <si>
    <t>Юлаев (Н)</t>
  </si>
  <si>
    <t>Турив (Н)</t>
  </si>
  <si>
    <t>Дайволов</t>
  </si>
  <si>
    <t>Ролл</t>
  </si>
  <si>
    <t>Цач</t>
  </si>
  <si>
    <t>Аги</t>
  </si>
  <si>
    <t>Мейсмост</t>
  </si>
  <si>
    <t>Цуз</t>
  </si>
  <si>
    <t>Ритта (Н)</t>
  </si>
  <si>
    <t>Холменг</t>
  </si>
  <si>
    <t>Нот Шерт</t>
  </si>
  <si>
    <t>Торчинский</t>
  </si>
  <si>
    <t>Эх Вайсти</t>
  </si>
  <si>
    <t>Манконов</t>
  </si>
  <si>
    <t>Триллеров</t>
  </si>
  <si>
    <t>Добряковский</t>
  </si>
  <si>
    <t>Джердяк</t>
  </si>
  <si>
    <t>Загребов (Н)</t>
  </si>
  <si>
    <t>Ежов</t>
  </si>
  <si>
    <t>Туб</t>
  </si>
  <si>
    <t>Тендер</t>
  </si>
  <si>
    <t>Зебба</t>
  </si>
  <si>
    <t>Цар Ахонти</t>
  </si>
  <si>
    <t>Ракитов (Н)</t>
  </si>
  <si>
    <t>Якив Пол</t>
  </si>
  <si>
    <t>Дормент</t>
  </si>
  <si>
    <t>М. Кинли (Н)</t>
  </si>
  <si>
    <t>Тьюстен</t>
  </si>
  <si>
    <t>Чергинсов</t>
  </si>
  <si>
    <t>Себрин (Н)</t>
  </si>
  <si>
    <t>Мадуу</t>
  </si>
  <si>
    <t>Вот Атта</t>
  </si>
  <si>
    <t>Жуппленг</t>
  </si>
  <si>
    <t>Кристенс (Н)</t>
  </si>
  <si>
    <t>Вилиамс (Н)</t>
  </si>
  <si>
    <t>Дудер (Н)</t>
  </si>
  <si>
    <t>Хаеминг</t>
  </si>
  <si>
    <t>Триад (Н)</t>
  </si>
  <si>
    <t>Джази (Н)</t>
  </si>
  <si>
    <t>Питбуль (Н)</t>
  </si>
  <si>
    <t>Камилот</t>
  </si>
  <si>
    <t>Лендинг</t>
  </si>
  <si>
    <t>П.Джеф (Н)</t>
  </si>
  <si>
    <t>Стиллантор</t>
  </si>
  <si>
    <t>Шайпер</t>
  </si>
  <si>
    <t>Ык Сайми</t>
  </si>
  <si>
    <t>Фикт</t>
  </si>
  <si>
    <t>Палчинский</t>
  </si>
  <si>
    <t>Косоног (Н)</t>
  </si>
  <si>
    <t>Лайлан</t>
  </si>
  <si>
    <t>Вагуе (Н)</t>
  </si>
  <si>
    <t>Москот</t>
  </si>
  <si>
    <t>Тормуни (Н)</t>
  </si>
  <si>
    <t>Бальминтер</t>
  </si>
  <si>
    <t>Лоргунс</t>
  </si>
  <si>
    <t>Найкер</t>
  </si>
  <si>
    <t>Джастин Бормунд</t>
  </si>
  <si>
    <t>Джей Джейсон</t>
  </si>
  <si>
    <t>Осинов (Н)</t>
  </si>
  <si>
    <t>Кипренский (Н)</t>
  </si>
  <si>
    <t>Вифлеев (Н)</t>
  </si>
  <si>
    <t>Рогозов (Н)</t>
  </si>
  <si>
    <t>Цаораев (Н)</t>
  </si>
  <si>
    <t>Волков (Н)</t>
  </si>
  <si>
    <t>Оби (Н)</t>
  </si>
  <si>
    <t>Сурсои (н)</t>
  </si>
  <si>
    <t>Кер-Хер Нойз</t>
  </si>
  <si>
    <t>Баленгай</t>
  </si>
  <si>
    <t>Хроум (Н)</t>
  </si>
  <si>
    <t>Еллоита (П)</t>
  </si>
  <si>
    <t>Даллакки (П)</t>
  </si>
  <si>
    <t>Окта</t>
  </si>
  <si>
    <t>Молодцов (Н)</t>
  </si>
  <si>
    <t>Зейброн</t>
  </si>
  <si>
    <t>Клеверт</t>
  </si>
  <si>
    <t xml:space="preserve">Дробыш </t>
  </si>
  <si>
    <t>Рябов (Н)</t>
  </si>
  <si>
    <t>Гроод</t>
  </si>
  <si>
    <t>Найденов (Н)</t>
  </si>
  <si>
    <t>Акс Мелдерн</t>
  </si>
  <si>
    <t>Берни</t>
  </si>
  <si>
    <t>Ожедубов (Н)</t>
  </si>
  <si>
    <t>Кожевников (Н)</t>
  </si>
  <si>
    <t>Доррут</t>
  </si>
  <si>
    <t>Касайрес</t>
  </si>
  <si>
    <t>Ирен</t>
  </si>
  <si>
    <t>Джалиос (Н)</t>
  </si>
  <si>
    <t>Ллида</t>
  </si>
  <si>
    <t>МакАргус</t>
  </si>
  <si>
    <t>Цубиа (Н)</t>
  </si>
  <si>
    <t>Санди (Н)</t>
  </si>
  <si>
    <t>Тонни</t>
  </si>
  <si>
    <t>Гагги</t>
  </si>
  <si>
    <t>Варон</t>
  </si>
  <si>
    <t>Неон (Н)</t>
  </si>
  <si>
    <t>Савин (Н)</t>
  </si>
  <si>
    <t>Ланна (Н)</t>
  </si>
  <si>
    <t>Т. Кушер (Н)</t>
  </si>
  <si>
    <t>Ютенс</t>
  </si>
  <si>
    <t>Оргус</t>
  </si>
  <si>
    <t>Персиваль (Н)</t>
  </si>
  <si>
    <t>Мейбис</t>
  </si>
  <si>
    <t>Ивергон</t>
  </si>
  <si>
    <t>Фургат</t>
  </si>
  <si>
    <t>Шуббер</t>
  </si>
  <si>
    <t>Гуштер</t>
  </si>
  <si>
    <t>Ливерпульд (Н)</t>
  </si>
  <si>
    <t>Олич</t>
  </si>
  <si>
    <t>Рат</t>
  </si>
  <si>
    <t>Демиан Л-д (Н)</t>
  </si>
  <si>
    <t>Питер Оличсон (Н)</t>
  </si>
  <si>
    <t>Максвелл (Н)</t>
  </si>
  <si>
    <t>Лютингстен</t>
  </si>
  <si>
    <t>Киану</t>
  </si>
  <si>
    <t>Раш</t>
  </si>
  <si>
    <t>Эрмунд Сэр</t>
  </si>
  <si>
    <t>Белив</t>
  </si>
  <si>
    <t>Сабзар (Н)</t>
  </si>
  <si>
    <t>Тогист</t>
  </si>
  <si>
    <t>Айкин (Н)</t>
  </si>
  <si>
    <t>Головняк (Н)</t>
  </si>
  <si>
    <t>Ройчев</t>
  </si>
  <si>
    <t>Риллаб</t>
  </si>
  <si>
    <t>Дромьера</t>
  </si>
  <si>
    <t>Ф. Классный</t>
  </si>
  <si>
    <t>Смородинский</t>
  </si>
  <si>
    <t>Эсвандель</t>
  </si>
  <si>
    <t>Кинурине (Н)</t>
  </si>
  <si>
    <t>Инфиньер</t>
  </si>
  <si>
    <t xml:space="preserve">Фелиппе </t>
  </si>
  <si>
    <t>Саирэс (Н)</t>
  </si>
  <si>
    <t>Петролл (Н)</t>
  </si>
  <si>
    <t>Уренья (Н)</t>
  </si>
  <si>
    <t>Дундуш (Н)</t>
  </si>
  <si>
    <t>Льюис Рикардзото</t>
  </si>
  <si>
    <t>Аронда (Н)</t>
  </si>
  <si>
    <t>Инфинер (Н)</t>
  </si>
  <si>
    <t>Хидейна</t>
  </si>
  <si>
    <t>Цури</t>
  </si>
  <si>
    <t>Гьювью</t>
  </si>
  <si>
    <t>Чайсар</t>
  </si>
  <si>
    <t>Ростов</t>
  </si>
  <si>
    <t>Матросов</t>
  </si>
  <si>
    <t>Бальтунов</t>
  </si>
  <si>
    <t>Рара</t>
  </si>
  <si>
    <t>Тальдор</t>
  </si>
  <si>
    <t>Ирин (н)</t>
  </si>
  <si>
    <t>Фолки</t>
  </si>
  <si>
    <t>Ларно</t>
  </si>
  <si>
    <t>Санжан</t>
  </si>
  <si>
    <t>Тайлуг</t>
  </si>
  <si>
    <t>Йохта</t>
  </si>
  <si>
    <t>Лоо (Н)</t>
  </si>
  <si>
    <t>Брещан</t>
  </si>
  <si>
    <t>Блеккенд</t>
  </si>
  <si>
    <t>Консилиас</t>
  </si>
  <si>
    <t>М.Суарес</t>
  </si>
  <si>
    <t>Хуарсес (Н)</t>
  </si>
  <si>
    <t>Хенк Дости</t>
  </si>
  <si>
    <t>Рейна (Н)</t>
  </si>
  <si>
    <t>Бантюров</t>
  </si>
  <si>
    <t>Столеваро</t>
  </si>
  <si>
    <t>Кайн (Н)</t>
  </si>
  <si>
    <t>М. Калиптер (Н)</t>
  </si>
  <si>
    <t>Юлиан (Н)</t>
  </si>
  <si>
    <t>Аз (П)</t>
  </si>
  <si>
    <t>Дада (П)</t>
  </si>
  <si>
    <t>Маггиди (П)</t>
  </si>
  <si>
    <t>Гюнтер (П)</t>
  </si>
  <si>
    <t>Грушин (П)</t>
  </si>
  <si>
    <t>Горобец</t>
  </si>
  <si>
    <t>Акима</t>
  </si>
  <si>
    <t>Полов</t>
  </si>
  <si>
    <t>Лесандро (П)</t>
  </si>
  <si>
    <t>Вузар (П)</t>
  </si>
  <si>
    <t>Газар</t>
  </si>
  <si>
    <t>Вазарио</t>
  </si>
  <si>
    <t>Беллиба</t>
  </si>
  <si>
    <t>Кульчинский (П)</t>
  </si>
  <si>
    <t>Синевский (П)</t>
  </si>
  <si>
    <t>Маковец (П)</t>
  </si>
  <si>
    <t>Хак (П)</t>
  </si>
  <si>
    <t>Филин (П)</t>
  </si>
  <si>
    <t>Скерт (П)</t>
  </si>
  <si>
    <t>Хатенпак М (П)</t>
  </si>
  <si>
    <t>Голуши</t>
  </si>
  <si>
    <t>Гетафе (П)</t>
  </si>
  <si>
    <t>Джефер (П)</t>
  </si>
  <si>
    <t>Далворт (П)</t>
  </si>
  <si>
    <t>Дульстранг (П)</t>
  </si>
  <si>
    <t>П. Лоурет (П)</t>
  </si>
  <si>
    <t>Нельсон (П)</t>
  </si>
  <si>
    <t>Л. Ханчик (П)</t>
  </si>
  <si>
    <t>Кожевани (П)</t>
  </si>
  <si>
    <t>Хат</t>
  </si>
  <si>
    <t>Фятта</t>
  </si>
  <si>
    <t>Фейшер</t>
  </si>
  <si>
    <t>Тенри</t>
  </si>
  <si>
    <t>Эж Рейт</t>
  </si>
  <si>
    <t>Дом.Суарес</t>
  </si>
  <si>
    <t>Фистер</t>
  </si>
  <si>
    <t>Марк Лютер</t>
  </si>
  <si>
    <t>Гази</t>
  </si>
  <si>
    <t>Ерохин</t>
  </si>
  <si>
    <t>Доиль</t>
  </si>
  <si>
    <t>Лесси</t>
  </si>
  <si>
    <t>Ливардовский (П)</t>
  </si>
  <si>
    <t>Люсье (П)</t>
  </si>
  <si>
    <t>Рульно (П)</t>
  </si>
  <si>
    <t>Орбаис (П)</t>
  </si>
  <si>
    <t>Микса</t>
  </si>
  <si>
    <t>Брохирич (П)</t>
  </si>
  <si>
    <t>Сальвич (П)</t>
  </si>
  <si>
    <t>Тормир (П)</t>
  </si>
  <si>
    <t>Анн (П)</t>
  </si>
  <si>
    <t>Т. Аурин (П)</t>
  </si>
  <si>
    <t>Тарминг</t>
  </si>
  <si>
    <t>Варварра (П)</t>
  </si>
  <si>
    <t>Вивойчик (П)</t>
  </si>
  <si>
    <t>Годин (П)</t>
  </si>
  <si>
    <t>Пурков (П)</t>
  </si>
  <si>
    <t>Власин (П)</t>
  </si>
  <si>
    <t>Нек (П)</t>
  </si>
  <si>
    <t>Грек</t>
  </si>
  <si>
    <t>Фоллов</t>
  </si>
  <si>
    <t>Базурин (П)</t>
  </si>
  <si>
    <t>Редиган (П)</t>
  </si>
  <si>
    <t>Гокин (П)</t>
  </si>
  <si>
    <t>Ермолаев (П)</t>
  </si>
  <si>
    <t>Кельн (П)</t>
  </si>
  <si>
    <t>Пейман</t>
  </si>
  <si>
    <t>Энрики (П)</t>
  </si>
  <si>
    <t>Инсуньер (П)</t>
  </si>
  <si>
    <t>Горшеба</t>
  </si>
  <si>
    <t>Пекерсон</t>
  </si>
  <si>
    <t>Генушников</t>
  </si>
  <si>
    <t>Сей</t>
  </si>
  <si>
    <t>Вошников</t>
  </si>
  <si>
    <t>Тарсет</t>
  </si>
  <si>
    <t>Цускар</t>
  </si>
  <si>
    <t>Демонстрайт (П)</t>
  </si>
  <si>
    <t>Аналог (П)</t>
  </si>
  <si>
    <t>Демо (П)</t>
  </si>
  <si>
    <t>Тейса</t>
  </si>
  <si>
    <t>Батью Алонс</t>
  </si>
  <si>
    <t>Крамрук</t>
  </si>
  <si>
    <t>В. Новый (П)</t>
  </si>
  <si>
    <t>Молочников (П)</t>
  </si>
  <si>
    <t>Порщевски</t>
  </si>
  <si>
    <t>Норшев</t>
  </si>
  <si>
    <t>Мельтер</t>
  </si>
  <si>
    <t>Горвунов</t>
  </si>
  <si>
    <t>Йормент</t>
  </si>
  <si>
    <t>Гузи (П)</t>
  </si>
  <si>
    <t>Ракитич (П)</t>
  </si>
  <si>
    <t>Тошич</t>
  </si>
  <si>
    <t>Мезодич (П)</t>
  </si>
  <si>
    <t>Анринский (П)</t>
  </si>
  <si>
    <t>Верхов (П)</t>
  </si>
  <si>
    <t>Брагидич (П)</t>
  </si>
  <si>
    <t>Добронравов</t>
  </si>
  <si>
    <t>Торский</t>
  </si>
  <si>
    <t>Хорст</t>
  </si>
  <si>
    <t>Тульский</t>
  </si>
  <si>
    <t>Пакти</t>
  </si>
  <si>
    <t>Морщенников (П)</t>
  </si>
  <si>
    <t>Тонкий</t>
  </si>
  <si>
    <t>Щерский</t>
  </si>
  <si>
    <t>Фонклинский</t>
  </si>
  <si>
    <t>Кепрен</t>
  </si>
  <si>
    <t>Ловстин</t>
  </si>
  <si>
    <t>Феллингтон</t>
  </si>
  <si>
    <t>Маленко</t>
  </si>
  <si>
    <t>Керсар</t>
  </si>
  <si>
    <t>Сергина (П)</t>
  </si>
  <si>
    <t>Токер</t>
  </si>
  <si>
    <t>Вельминг</t>
  </si>
  <si>
    <t>Баргин</t>
  </si>
  <si>
    <t>Жеолби</t>
  </si>
  <si>
    <t>Афтер</t>
  </si>
  <si>
    <t>Шех</t>
  </si>
  <si>
    <t>Югга Т</t>
  </si>
  <si>
    <t>Сурнен</t>
  </si>
  <si>
    <t>Феалка</t>
  </si>
  <si>
    <t>Цырмаш</t>
  </si>
  <si>
    <t>Щок</t>
  </si>
  <si>
    <t>Вольямс (П)</t>
  </si>
  <si>
    <t>Йоханбергман (П)</t>
  </si>
  <si>
    <t>Снексер (П)</t>
  </si>
  <si>
    <t>Юзепсен (П)</t>
  </si>
  <si>
    <t>Б.Оял</t>
  </si>
  <si>
    <t>Лорсент</t>
  </si>
  <si>
    <t>Эзель</t>
  </si>
  <si>
    <t>Остапин (П)</t>
  </si>
  <si>
    <t>Моших (П)</t>
  </si>
  <si>
    <t>Кикорико (П)</t>
  </si>
  <si>
    <t>Радригес(П)</t>
  </si>
  <si>
    <t>Васнецов (П)</t>
  </si>
  <si>
    <t>Одевингер (П)</t>
  </si>
  <si>
    <t>Шепси (П)</t>
  </si>
  <si>
    <t>Хоннут</t>
  </si>
  <si>
    <t>Вальтерс</t>
  </si>
  <si>
    <t>Д.Суарес</t>
  </si>
  <si>
    <t>Шотти</t>
  </si>
  <si>
    <t>Векенд</t>
  </si>
  <si>
    <t>Джеб Бьюенс</t>
  </si>
  <si>
    <t>Ценки</t>
  </si>
  <si>
    <t>Ынник</t>
  </si>
  <si>
    <t>Коралесандрес</t>
  </si>
  <si>
    <t>Полипен</t>
  </si>
  <si>
    <t>Войски</t>
  </si>
  <si>
    <t>Фошент</t>
  </si>
  <si>
    <t>Клайстер</t>
  </si>
  <si>
    <t>Старлин (П)</t>
  </si>
  <si>
    <t>Ахоли (П)</t>
  </si>
  <si>
    <t>Д. Полюшко (П)</t>
  </si>
  <si>
    <t>В. Полюшко (П)</t>
  </si>
  <si>
    <t>Тонтлер</t>
  </si>
  <si>
    <t>Стамич (П)</t>
  </si>
  <si>
    <t>Мончлер (П)</t>
  </si>
  <si>
    <t>Уйкант</t>
  </si>
  <si>
    <t>Гульсич (П)</t>
  </si>
  <si>
    <t>Цайпилле</t>
  </si>
  <si>
    <t>Оттоман</t>
  </si>
  <si>
    <t>Сайсер</t>
  </si>
  <si>
    <t>Кеси</t>
  </si>
  <si>
    <t>Хейлбеорн</t>
  </si>
  <si>
    <t>Талли Эста</t>
  </si>
  <si>
    <t>Байбитер</t>
  </si>
  <si>
    <t>Блюс Стиллер</t>
  </si>
  <si>
    <t>Норт</t>
  </si>
  <si>
    <t>Зебровски</t>
  </si>
  <si>
    <t>Коховский (П)</t>
  </si>
  <si>
    <t>Лесчинский (П)</t>
  </si>
  <si>
    <t>Лясковский (П)</t>
  </si>
  <si>
    <t>Оляс (П)</t>
  </si>
  <si>
    <t>Твайлен</t>
  </si>
  <si>
    <t>Остапов (П)</t>
  </si>
  <si>
    <t>Гаскров (П)</t>
  </si>
  <si>
    <t>Гаджи</t>
  </si>
  <si>
    <t>Анардо (П)</t>
  </si>
  <si>
    <t>Петров (П)</t>
  </si>
  <si>
    <t>Хируин</t>
  </si>
  <si>
    <t>Саирс (П)</t>
  </si>
  <si>
    <t>Альзирос (П)</t>
  </si>
  <si>
    <t>Броштр</t>
  </si>
  <si>
    <t>Иванов (П)</t>
  </si>
  <si>
    <t>Чигирулли</t>
  </si>
  <si>
    <t>Хомми</t>
  </si>
  <si>
    <t>Хогстер</t>
  </si>
  <si>
    <t>Ячунга</t>
  </si>
  <si>
    <t>Трайт</t>
  </si>
  <si>
    <t>Дондент</t>
  </si>
  <si>
    <t>Фильфи (П)</t>
  </si>
  <si>
    <t>Бестужев (П)</t>
  </si>
  <si>
    <t>Рухна (П)</t>
  </si>
  <si>
    <t>Мохнович (П)</t>
  </si>
  <si>
    <t>Миронскировва (П)</t>
  </si>
  <si>
    <t>Сырна (П)</t>
  </si>
  <si>
    <t>Гаширов (П)</t>
  </si>
  <si>
    <t>Пандурин (П)</t>
  </si>
  <si>
    <t>Мизель (П)</t>
  </si>
  <si>
    <t>Стлипта (П)</t>
  </si>
  <si>
    <t>Тольяр</t>
  </si>
  <si>
    <t>Клоцка</t>
  </si>
  <si>
    <t>Авин (П)</t>
  </si>
  <si>
    <t>Толтер</t>
  </si>
  <si>
    <t>Полли Мейс</t>
  </si>
  <si>
    <t>Требухов (П)</t>
  </si>
  <si>
    <t>Корсмар</t>
  </si>
  <si>
    <t>Базиль (П)</t>
  </si>
  <si>
    <t>Эха (П)</t>
  </si>
  <si>
    <t>Ромуло (П)</t>
  </si>
  <si>
    <t>Глэй</t>
  </si>
  <si>
    <t>Стабилин (П)</t>
  </si>
  <si>
    <t>Больбон</t>
  </si>
  <si>
    <t>Клеберн</t>
  </si>
  <si>
    <t>Гулиавандент</t>
  </si>
  <si>
    <t>Неока (П)</t>
  </si>
  <si>
    <t>Алиан Техе</t>
  </si>
  <si>
    <t>Алмазын</t>
  </si>
  <si>
    <t>Тихошин (П)</t>
  </si>
  <si>
    <t>Криатов (П)</t>
  </si>
  <si>
    <t>Мохов (П)</t>
  </si>
  <si>
    <t>Неомов (П)</t>
  </si>
  <si>
    <t>Нестеров (П)</t>
  </si>
  <si>
    <t>Тутовников</t>
  </si>
  <si>
    <t>Смелый</t>
  </si>
  <si>
    <t>Тонти</t>
  </si>
  <si>
    <t>Буатенг</t>
  </si>
  <si>
    <t>Касмант</t>
  </si>
  <si>
    <t>Тонлига</t>
  </si>
  <si>
    <t>Браньер (П)</t>
  </si>
  <si>
    <t>М. Коулли (П)</t>
  </si>
  <si>
    <t>Туриа (П)</t>
  </si>
  <si>
    <t>Ювиавинг</t>
  </si>
  <si>
    <t>Харти</t>
  </si>
  <si>
    <t>Хеннон</t>
  </si>
  <si>
    <t>Сырдак (П)</t>
  </si>
  <si>
    <t>Хави (П)</t>
  </si>
  <si>
    <t>Забер (П)</t>
  </si>
  <si>
    <t>Квайголленд</t>
  </si>
  <si>
    <t>Гэйбен</t>
  </si>
  <si>
    <t>Цырмун</t>
  </si>
  <si>
    <t>Фальшер (П)</t>
  </si>
  <si>
    <t>Пишелли (П)</t>
  </si>
  <si>
    <t>Колен (П)</t>
  </si>
  <si>
    <t>Лаир (П)</t>
  </si>
  <si>
    <t>Верблум</t>
  </si>
  <si>
    <t>Икис (П)</t>
  </si>
  <si>
    <t>Танги (П)</t>
  </si>
  <si>
    <t>Пастар (П)</t>
  </si>
  <si>
    <t>Азонов (П)</t>
  </si>
  <si>
    <t>Царрелли (П)</t>
  </si>
  <si>
    <t>Сиен де Киля (П)</t>
  </si>
  <si>
    <t>Юсфил</t>
  </si>
  <si>
    <t>Бъен</t>
  </si>
  <si>
    <t>Лона (П)</t>
  </si>
  <si>
    <t>Яш Рен</t>
  </si>
  <si>
    <t>Фунгент</t>
  </si>
  <si>
    <t>Щеглонт</t>
  </si>
  <si>
    <t>Карсьяга</t>
  </si>
  <si>
    <t>Назурбук (П)</t>
  </si>
  <si>
    <t>Бьегон</t>
  </si>
  <si>
    <t>Сэмульер</t>
  </si>
  <si>
    <t>Яомов</t>
  </si>
  <si>
    <t>Брангульдин</t>
  </si>
  <si>
    <t>Йонгамунг</t>
  </si>
  <si>
    <t>Егоров</t>
  </si>
  <si>
    <t>Винно (П)</t>
  </si>
  <si>
    <t>Шахинов</t>
  </si>
  <si>
    <t>Фагаров</t>
  </si>
  <si>
    <t>Бэнди</t>
  </si>
  <si>
    <t>Виктор Оличсон</t>
  </si>
  <si>
    <t>Рейчал</t>
  </si>
  <si>
    <t>Вуатсон</t>
  </si>
  <si>
    <t>Клиц (П)</t>
  </si>
  <si>
    <t>Фернефт Л-д</t>
  </si>
  <si>
    <t>Хенсом (П)</t>
  </si>
  <si>
    <t>Хачбек</t>
  </si>
  <si>
    <t>Пеффер (П)</t>
  </si>
  <si>
    <t>Базель</t>
  </si>
  <si>
    <t>Р.Чарнинг (П)</t>
  </si>
  <si>
    <t>Бловар</t>
  </si>
  <si>
    <t>Грёз</t>
  </si>
  <si>
    <t>Барричи</t>
  </si>
  <si>
    <t>Форнет</t>
  </si>
  <si>
    <t>Гривион</t>
  </si>
  <si>
    <t>Глаузен</t>
  </si>
  <si>
    <t>Штриман</t>
  </si>
  <si>
    <t>Лаг-Аци</t>
  </si>
  <si>
    <t>Цурмиатор</t>
  </si>
  <si>
    <t>Сеуса (П)</t>
  </si>
  <si>
    <t>Эримнг</t>
  </si>
  <si>
    <t>Анхерт</t>
  </si>
  <si>
    <t>Ювь Юа</t>
  </si>
  <si>
    <t xml:space="preserve">Витчер </t>
  </si>
  <si>
    <t>Главин (П)</t>
  </si>
  <si>
    <t>Сторен (П)</t>
  </si>
  <si>
    <t>В.Умный (П)</t>
  </si>
  <si>
    <t>Локомотивов</t>
  </si>
  <si>
    <t>Тошиба</t>
  </si>
  <si>
    <t>Тарл (П)</t>
  </si>
  <si>
    <t>Перьми</t>
  </si>
  <si>
    <t>Кула</t>
  </si>
  <si>
    <t>Парт</t>
  </si>
  <si>
    <t>Пиллори</t>
  </si>
  <si>
    <t>Пальмир</t>
  </si>
  <si>
    <t>Шармильтон</t>
  </si>
  <si>
    <t>Макси</t>
  </si>
  <si>
    <t>Общенников</t>
  </si>
  <si>
    <t>Кариока</t>
  </si>
  <si>
    <t>Хэк</t>
  </si>
  <si>
    <t>Пакла</t>
  </si>
  <si>
    <t>Зазаиков</t>
  </si>
  <si>
    <t>П. Успехов</t>
  </si>
  <si>
    <t>Старомиров</t>
  </si>
  <si>
    <t>Бекман</t>
  </si>
  <si>
    <t>Полментравр</t>
  </si>
  <si>
    <t>Тусье</t>
  </si>
  <si>
    <t>Поготта</t>
  </si>
  <si>
    <t>Карми</t>
  </si>
  <si>
    <t>Гонсалес (П)</t>
  </si>
  <si>
    <t>Ойзаро</t>
  </si>
  <si>
    <t>Ковальчук (П)</t>
  </si>
  <si>
    <t>Воевода (П)</t>
  </si>
  <si>
    <t>Климов (П)</t>
  </si>
  <si>
    <t>Ридел</t>
  </si>
  <si>
    <t>Тошич Оксарский</t>
  </si>
  <si>
    <t>Нилмар</t>
  </si>
  <si>
    <t>Барадюзю (П)</t>
  </si>
  <si>
    <t xml:space="preserve">Каспарелли </t>
  </si>
  <si>
    <t>Джангер (П)</t>
  </si>
  <si>
    <t>С.Марчиньо (П)</t>
  </si>
  <si>
    <t>Дазар</t>
  </si>
  <si>
    <t>Баситон (П)</t>
  </si>
  <si>
    <t>Злаксем (П)</t>
  </si>
  <si>
    <t>Саикар (П)</t>
  </si>
  <si>
    <t>Кэшик (П)</t>
  </si>
  <si>
    <t>Каспарайтес</t>
  </si>
  <si>
    <t>Мохкилек (П)</t>
  </si>
  <si>
    <t>Лезвут</t>
  </si>
  <si>
    <t>Шерью (П)</t>
  </si>
  <si>
    <t>Дарманган</t>
  </si>
  <si>
    <t>Сумм</t>
  </si>
  <si>
    <t>Пламеншет</t>
  </si>
  <si>
    <t>Косерия (П)</t>
  </si>
  <si>
    <t>Пелли</t>
  </si>
  <si>
    <t>Фолкен</t>
  </si>
  <si>
    <t>Мильтер</t>
  </si>
  <si>
    <t>Паймар</t>
  </si>
  <si>
    <t>Ханойников</t>
  </si>
  <si>
    <t>Грайманхол</t>
  </si>
  <si>
    <t>Тисс</t>
  </si>
  <si>
    <t>Иллюдо</t>
  </si>
  <si>
    <t>Дормуд</t>
  </si>
  <si>
    <t>Миллон</t>
  </si>
  <si>
    <t>Мультрих</t>
  </si>
  <si>
    <t>Мишна</t>
  </si>
  <si>
    <t>Алькар (П)</t>
  </si>
  <si>
    <t>Мали (П)</t>
  </si>
  <si>
    <t>Цурмек</t>
  </si>
  <si>
    <t>Крамму</t>
  </si>
  <si>
    <t>Архих</t>
  </si>
  <si>
    <t>Нестерал (П)</t>
  </si>
  <si>
    <t>Мельоныч</t>
  </si>
  <si>
    <t>Фифин (П)</t>
  </si>
  <si>
    <t>Ноурен (П)</t>
  </si>
  <si>
    <t>Твитич (П)</t>
  </si>
  <si>
    <t>Бранмарк</t>
  </si>
  <si>
    <t>Бухлер</t>
  </si>
  <si>
    <t>Хиллил</t>
  </si>
  <si>
    <t>Ячзук</t>
  </si>
  <si>
    <t>Удмурук</t>
  </si>
  <si>
    <t>Глайвстук</t>
  </si>
  <si>
    <t xml:space="preserve">Виктор Гу </t>
  </si>
  <si>
    <t>Паолит</t>
  </si>
  <si>
    <t>Гуль (П)</t>
  </si>
  <si>
    <t>Барханов</t>
  </si>
  <si>
    <t>Остро-Вико</t>
  </si>
  <si>
    <t>Гончаров</t>
  </si>
  <si>
    <t>Порски</t>
  </si>
  <si>
    <t>Колонеза</t>
  </si>
  <si>
    <t>Лавочников</t>
  </si>
  <si>
    <t>Игнашьев</t>
  </si>
  <si>
    <t>Кальмус</t>
  </si>
  <si>
    <t>Иксвинг (П)</t>
  </si>
  <si>
    <t>Джозер (П)</t>
  </si>
  <si>
    <t>Порти</t>
  </si>
  <si>
    <t>Грайстер</t>
  </si>
  <si>
    <t>Щвагер (П)</t>
  </si>
  <si>
    <t>Лолоилов (П)</t>
  </si>
  <si>
    <t>Цубер (П)</t>
  </si>
  <si>
    <t>Жидель</t>
  </si>
  <si>
    <t>Архос</t>
  </si>
  <si>
    <t>Максимов (П)</t>
  </si>
  <si>
    <t>Глебстер</t>
  </si>
  <si>
    <t>Джерман</t>
  </si>
  <si>
    <t>Асин (П)</t>
  </si>
  <si>
    <t>М. Август (П)</t>
  </si>
  <si>
    <t>Оганов (П)</t>
  </si>
  <si>
    <t>Цезди (П)</t>
  </si>
  <si>
    <t>Найтленд</t>
  </si>
  <si>
    <t>Клаушер</t>
  </si>
  <si>
    <t>Вильмингтон</t>
  </si>
  <si>
    <t>Алмер</t>
  </si>
  <si>
    <t>Колдфилт</t>
  </si>
  <si>
    <t>Лут</t>
  </si>
  <si>
    <t>Хатенпак С</t>
  </si>
  <si>
    <t>Шерлис</t>
  </si>
  <si>
    <t>Рагнарс</t>
  </si>
  <si>
    <t>Клафин</t>
  </si>
  <si>
    <t>Лочник</t>
  </si>
  <si>
    <t>Лантерс</t>
  </si>
  <si>
    <t>Ширман</t>
  </si>
  <si>
    <t>Як Бьюри</t>
  </si>
  <si>
    <t>Корунков</t>
  </si>
  <si>
    <t>Пивчех</t>
  </si>
  <si>
    <t>Котов</t>
  </si>
  <si>
    <t>Юстал Герктар</t>
  </si>
  <si>
    <t>Кравин</t>
  </si>
  <si>
    <t>Байтерх</t>
  </si>
  <si>
    <t>Грой Сметинг</t>
  </si>
  <si>
    <t>Эрик Дилл</t>
  </si>
  <si>
    <t>Кароллини</t>
  </si>
  <si>
    <t>Петершельд</t>
  </si>
  <si>
    <t>Циримов</t>
  </si>
  <si>
    <t>Бривичко</t>
  </si>
  <si>
    <t>Хаггель</t>
  </si>
  <si>
    <t>Корланд</t>
  </si>
  <si>
    <t>Зорчий</t>
  </si>
  <si>
    <t>Лозинский</t>
  </si>
  <si>
    <t>Блайшеп</t>
  </si>
  <si>
    <t>Ягуззи</t>
  </si>
  <si>
    <t>Дрейвов</t>
  </si>
  <si>
    <t>Головатый</t>
  </si>
  <si>
    <t>Термис</t>
  </si>
  <si>
    <t>Мячин</t>
  </si>
  <si>
    <t>Висчит</t>
  </si>
  <si>
    <t>Броньер</t>
  </si>
  <si>
    <t>Пятов</t>
  </si>
  <si>
    <t>Ыбь</t>
  </si>
  <si>
    <t>Чермингтон</t>
  </si>
  <si>
    <t>Стимчински</t>
  </si>
  <si>
    <t>Мальшер</t>
  </si>
  <si>
    <t>Неотбин</t>
  </si>
  <si>
    <t>Фогги</t>
  </si>
  <si>
    <t>Мерлин</t>
  </si>
  <si>
    <t>Душкер Тив</t>
  </si>
  <si>
    <t>Коровин</t>
  </si>
  <si>
    <t>Ахшколит</t>
  </si>
  <si>
    <t>Ювенков</t>
  </si>
  <si>
    <t>Тим Ягр</t>
  </si>
  <si>
    <t>Баллистер</t>
  </si>
  <si>
    <t>Барадюзю Эри</t>
  </si>
  <si>
    <t>Гаречо</t>
  </si>
  <si>
    <t>Нетми</t>
  </si>
  <si>
    <t>Тью Теодор Гим</t>
  </si>
  <si>
    <t>Сонный</t>
  </si>
  <si>
    <t>Жубба</t>
  </si>
  <si>
    <t>Баршев</t>
  </si>
  <si>
    <t>Шломшан</t>
  </si>
  <si>
    <t>Глю Шамрай</t>
  </si>
  <si>
    <t>Бальтцев</t>
  </si>
  <si>
    <t>Флоренц</t>
  </si>
  <si>
    <t>Горсило</t>
  </si>
  <si>
    <t>Молуньо</t>
  </si>
  <si>
    <t>Тремли</t>
  </si>
  <si>
    <t>Филл Еж</t>
  </si>
  <si>
    <t>Гройшер</t>
  </si>
  <si>
    <t>Кальетр</t>
  </si>
  <si>
    <t>Бабитов</t>
  </si>
  <si>
    <t>Пивонов</t>
  </si>
  <si>
    <t>Гарлун</t>
  </si>
  <si>
    <t>Стивич</t>
  </si>
  <si>
    <t>Боровой</t>
  </si>
  <si>
    <t>Руханов</t>
  </si>
  <si>
    <t>Тизель</t>
  </si>
  <si>
    <t>Фостер</t>
  </si>
  <si>
    <t>Георигий Зуб</t>
  </si>
  <si>
    <t>Ойл</t>
  </si>
  <si>
    <t>Вик Трид</t>
  </si>
  <si>
    <t>Филл Яргус</t>
  </si>
  <si>
    <t>Дустер</t>
  </si>
  <si>
    <t>Пусьер</t>
  </si>
  <si>
    <t>Клестер</t>
  </si>
  <si>
    <t>Квайтовский</t>
  </si>
  <si>
    <t>Грайзенхаузер С</t>
  </si>
  <si>
    <t>Кашерти</t>
  </si>
  <si>
    <t>Грувих</t>
  </si>
  <si>
    <t>Лучков</t>
  </si>
  <si>
    <t>Уйцулла</t>
  </si>
  <si>
    <t>Беггус</t>
  </si>
  <si>
    <t>Тасил</t>
  </si>
  <si>
    <t>Цоттов</t>
  </si>
  <si>
    <t>Крабитор</t>
  </si>
  <si>
    <t>Оргунков</t>
  </si>
  <si>
    <t>Вонгент</t>
  </si>
  <si>
    <t>Уваров</t>
  </si>
  <si>
    <t>Агларов</t>
  </si>
  <si>
    <t>Денис Турба</t>
  </si>
  <si>
    <t>Аксель</t>
  </si>
  <si>
    <t>Хвойный</t>
  </si>
  <si>
    <t>Монтель</t>
  </si>
  <si>
    <t>Гаризон</t>
  </si>
  <si>
    <t>Гарсон</t>
  </si>
  <si>
    <t>Вендел</t>
  </si>
  <si>
    <t>Видаль</t>
  </si>
  <si>
    <t>Марышев</t>
  </si>
  <si>
    <t>Тыгмак</t>
  </si>
  <si>
    <t>В</t>
  </si>
  <si>
    <t>З</t>
  </si>
  <si>
    <t>Н</t>
  </si>
  <si>
    <t>П</t>
  </si>
  <si>
    <t>Т</t>
  </si>
  <si>
    <t>ЦЗ</t>
  </si>
  <si>
    <t>ЛЗ</t>
  </si>
  <si>
    <t>ПЗ</t>
  </si>
  <si>
    <t>ЦН</t>
  </si>
  <si>
    <t>ОФ</t>
  </si>
  <si>
    <t>ЦПЗ</t>
  </si>
  <si>
    <t>ОПЗ</t>
  </si>
  <si>
    <t>АПЗ</t>
  </si>
  <si>
    <t>ЛПЗ</t>
  </si>
  <si>
    <t>ППЗ</t>
  </si>
  <si>
    <t>А.Н.</t>
  </si>
  <si>
    <t>Ард</t>
  </si>
  <si>
    <t>Б.Л.</t>
  </si>
  <si>
    <t>Бел</t>
  </si>
  <si>
    <t>Биссий</t>
  </si>
  <si>
    <t>В.И.</t>
  </si>
  <si>
    <t>Вал</t>
  </si>
  <si>
    <t>Вар</t>
  </si>
  <si>
    <t>Вод</t>
  </si>
  <si>
    <t>Вор</t>
  </si>
  <si>
    <t>Генуа</t>
  </si>
  <si>
    <t>Гид</t>
  </si>
  <si>
    <t>Д.С.</t>
  </si>
  <si>
    <t>Заг</t>
  </si>
  <si>
    <t>Зар</t>
  </si>
  <si>
    <t>Зел.Хол</t>
  </si>
  <si>
    <t>Зем</t>
  </si>
  <si>
    <t>Зол.Хол</t>
  </si>
  <si>
    <t>К.С.</t>
  </si>
  <si>
    <t>Кедр</t>
  </si>
  <si>
    <t>Кирп</t>
  </si>
  <si>
    <t>Киш</t>
  </si>
  <si>
    <t>Клю</t>
  </si>
  <si>
    <t>Кол</t>
  </si>
  <si>
    <t>Крыж</t>
  </si>
  <si>
    <t>Кут</t>
  </si>
  <si>
    <t>Лес</t>
  </si>
  <si>
    <t>Лин</t>
  </si>
  <si>
    <t>Лищ</t>
  </si>
  <si>
    <t>Мал</t>
  </si>
  <si>
    <t>Мам</t>
  </si>
  <si>
    <t>Мох</t>
  </si>
  <si>
    <t>Н.С.</t>
  </si>
  <si>
    <t>Над</t>
  </si>
  <si>
    <t>Нал</t>
  </si>
  <si>
    <t>Нест</t>
  </si>
  <si>
    <t>Нумб</t>
  </si>
  <si>
    <t>Орех</t>
  </si>
  <si>
    <t>Орл</t>
  </si>
  <si>
    <t>Ост</t>
  </si>
  <si>
    <t>Павс</t>
  </si>
  <si>
    <t>Переп</t>
  </si>
  <si>
    <t>Перс</t>
  </si>
  <si>
    <t>Р.Тесно</t>
  </si>
  <si>
    <t>Рекс</t>
  </si>
  <si>
    <t>С.К.</t>
  </si>
  <si>
    <t>С.С.</t>
  </si>
  <si>
    <t>Сар</t>
  </si>
  <si>
    <t>Своб</t>
  </si>
  <si>
    <t>Смор</t>
  </si>
  <si>
    <t>Снег</t>
  </si>
  <si>
    <t>Сув</t>
  </si>
  <si>
    <t>Сул</t>
  </si>
  <si>
    <t>Тел</t>
  </si>
  <si>
    <t>Тури</t>
  </si>
  <si>
    <t>Турк</t>
  </si>
  <si>
    <t>Туркан</t>
  </si>
  <si>
    <t>Турн</t>
  </si>
  <si>
    <t>Хан</t>
  </si>
  <si>
    <t>Ч.Л.</t>
  </si>
  <si>
    <t>Черлесск</t>
  </si>
  <si>
    <t>Шах</t>
  </si>
  <si>
    <t>Щеб</t>
  </si>
  <si>
    <t>Юл</t>
  </si>
  <si>
    <t>Эвон</t>
  </si>
  <si>
    <t>Мель</t>
  </si>
  <si>
    <t>Лион</t>
  </si>
  <si>
    <t>Эстл</t>
  </si>
  <si>
    <t>Лиф</t>
  </si>
  <si>
    <t>Тевт</t>
  </si>
  <si>
    <t>Лив</t>
  </si>
  <si>
    <t>Дант</t>
  </si>
  <si>
    <t>Бельск</t>
  </si>
  <si>
    <t>Фин</t>
  </si>
  <si>
    <t>Эстон</t>
  </si>
  <si>
    <t>Фительн (А.Н.)</t>
  </si>
  <si>
    <t>Едань (Ард)</t>
  </si>
  <si>
    <t>Враул (Б.Л.)</t>
  </si>
  <si>
    <t>ФК Чернез (Ч.Л.)</t>
  </si>
  <si>
    <t>Азорден (Бел)</t>
  </si>
  <si>
    <t>Альфадонта (Бел)</t>
  </si>
  <si>
    <t>Донтор (Бел)</t>
  </si>
  <si>
    <t>Аларих (Вар)</t>
  </si>
  <si>
    <t>Юг (Вод)</t>
  </si>
  <si>
    <t>Р.М. (Мох)</t>
  </si>
  <si>
    <t>В.С. (Вор)</t>
  </si>
  <si>
    <t>Зетер (Тел)</t>
  </si>
  <si>
    <t>Юристер (Д.С.)</t>
  </si>
  <si>
    <t>Грайц (Заг)</t>
  </si>
  <si>
    <t>ФК Зарайск (Зар)</t>
  </si>
  <si>
    <t>Цитадель (Зем)</t>
  </si>
  <si>
    <t>Глеббер (Зол.Хол)</t>
  </si>
  <si>
    <t>Планарио (К.С.)</t>
  </si>
  <si>
    <t>Теодид (Кедр)</t>
  </si>
  <si>
    <t>Инги (Кирп)</t>
  </si>
  <si>
    <t>Миат (А.Н.)</t>
  </si>
  <si>
    <t>Тишкилет (Киш)</t>
  </si>
  <si>
    <t>Зихань (Кол)</t>
  </si>
  <si>
    <t>Бордино (Кут)</t>
  </si>
  <si>
    <t>Юризань (Рекс)</t>
  </si>
  <si>
    <t>Лелон (Лес)</t>
  </si>
  <si>
    <t>Цирконий (Лин)</t>
  </si>
  <si>
    <t>Акасимо (Лищ)</t>
  </si>
  <si>
    <t>Чинхань (Мам)</t>
  </si>
  <si>
    <t>Восток (Н.С.)</t>
  </si>
  <si>
    <t>Гора (Над)</t>
  </si>
  <si>
    <t>Больбон (Нал)</t>
  </si>
  <si>
    <t>Анхель (Нест)</t>
  </si>
  <si>
    <t>Молния (Павс)</t>
  </si>
  <si>
    <t>Центурион (Орех)</t>
  </si>
  <si>
    <t>Анарх (Орл)</t>
  </si>
  <si>
    <t>Алмер (Зар)</t>
  </si>
  <si>
    <t>Бриск (С.К.)</t>
  </si>
  <si>
    <t>ФК Мейчел (Р.Т.)</t>
  </si>
  <si>
    <t>Торнадо (Рекс)</t>
  </si>
  <si>
    <t>Анархист (Нест)</t>
  </si>
  <si>
    <t>Шайтан (С.С.)</t>
  </si>
  <si>
    <t>Контрол (Смор)</t>
  </si>
  <si>
    <t>Снегополис (Снег)</t>
  </si>
  <si>
    <t>Джаливиа (Сул)</t>
  </si>
  <si>
    <t>Солват (Сул)</t>
  </si>
  <si>
    <t>Эсса</t>
  </si>
  <si>
    <t>ФК Свобода (Тури)</t>
  </si>
  <si>
    <t>Корсар (Турк)</t>
  </si>
  <si>
    <t>Норвек (Хан)</t>
  </si>
  <si>
    <t>Притвоит (Бел)</t>
  </si>
  <si>
    <t>Шахтер(Шах)</t>
  </si>
  <si>
    <t>Вондерс (Щеб)</t>
  </si>
  <si>
    <t>ФК Цель (Юл)</t>
  </si>
  <si>
    <t>Север (Ост)</t>
  </si>
  <si>
    <t>Жанжак (Вал)</t>
  </si>
  <si>
    <t>Мьер</t>
  </si>
  <si>
    <t>Зельполь</t>
  </si>
  <si>
    <t>Аграва (Сул)</t>
  </si>
  <si>
    <t>Сибуй</t>
  </si>
  <si>
    <t>Шрит</t>
  </si>
  <si>
    <t>Стандарт</t>
  </si>
  <si>
    <t>Исинодор</t>
  </si>
  <si>
    <t>ЖЕЗЛ (Лищ)</t>
  </si>
  <si>
    <t>Неаполис</t>
  </si>
  <si>
    <t>Классик</t>
  </si>
  <si>
    <t>Анозора (Бел)</t>
  </si>
  <si>
    <t>Генуа (Бел)</t>
  </si>
  <si>
    <t>Саквоаж</t>
  </si>
  <si>
    <t>Косарло</t>
  </si>
  <si>
    <t>О,ЗЕ</t>
  </si>
  <si>
    <t>Шиатиа</t>
  </si>
  <si>
    <t>ЗП</t>
  </si>
  <si>
    <t>Состояние</t>
  </si>
  <si>
    <t>БеЛеС (Б.Л.)</t>
  </si>
  <si>
    <t>Сульзан</t>
  </si>
  <si>
    <t>Дондер</t>
  </si>
  <si>
    <t>ГФКГ (Генуа)</t>
  </si>
  <si>
    <t>Вормс Адон</t>
  </si>
  <si>
    <t>Сконский Д</t>
  </si>
  <si>
    <t>Ёрмер (Кирп)</t>
  </si>
  <si>
    <t>Кайлонсен</t>
  </si>
  <si>
    <t>Золотник (Черл)</t>
  </si>
  <si>
    <t>Зулеохха (С.С.)</t>
  </si>
  <si>
    <t>Тайцар</t>
  </si>
  <si>
    <t>Микса (Туркан)</t>
  </si>
  <si>
    <t>Корчва</t>
  </si>
  <si>
    <t>Курпас</t>
  </si>
  <si>
    <t>Нью-Грин (Лес)</t>
  </si>
  <si>
    <t>Хорми Ваццу</t>
  </si>
  <si>
    <t>ОКСАиТ (В.И.)</t>
  </si>
  <si>
    <t>Шоковой</t>
  </si>
  <si>
    <t>Жаннов Д</t>
  </si>
  <si>
    <t>Самптофия (В.И.)</t>
  </si>
  <si>
    <t>Мокрый Альберт</t>
  </si>
  <si>
    <t>Каш Зом</t>
  </si>
  <si>
    <t>Хватов Олег</t>
  </si>
  <si>
    <t>ФК Победа (В.И.)</t>
  </si>
  <si>
    <t>Костер Динео</t>
  </si>
  <si>
    <t>Названия строк</t>
  </si>
  <si>
    <t>Общий итог</t>
  </si>
  <si>
    <t>Сумма по полю ОР</t>
  </si>
  <si>
    <t>ОрдКлуб</t>
  </si>
  <si>
    <t>Кеор</t>
  </si>
  <si>
    <t>Коцый</t>
  </si>
  <si>
    <t>Тарфория</t>
  </si>
  <si>
    <t>Валшер (Мох)</t>
  </si>
  <si>
    <t>Витязь  (Сув)</t>
  </si>
  <si>
    <t>Лагес (В.И.)</t>
  </si>
  <si>
    <t>Лорхен (В.И.)</t>
  </si>
  <si>
    <t>Монреаль (В.И.)</t>
  </si>
  <si>
    <t>Монрель (В.И.)</t>
  </si>
  <si>
    <t>Мончарлотес (В.И.)</t>
  </si>
  <si>
    <t>Оксара (В.И.)</t>
  </si>
  <si>
    <t>Реал Малиновск (Мал)</t>
  </si>
  <si>
    <t>Реал Сербер (В.И.)</t>
  </si>
  <si>
    <t>Сербер (В.И.)</t>
  </si>
  <si>
    <t>Скаирс (В.И.)</t>
  </si>
  <si>
    <t>Центр (В.И.)</t>
  </si>
  <si>
    <t>Цербер (В.И.)</t>
  </si>
  <si>
    <t>Циклон (В.И.)</t>
  </si>
  <si>
    <t>Аксоль Рикардо</t>
  </si>
  <si>
    <t>Ромьера</t>
  </si>
  <si>
    <t>Болонье</t>
  </si>
  <si>
    <t>Торкан</t>
  </si>
  <si>
    <t>Уксуль</t>
  </si>
  <si>
    <t>Грецан</t>
  </si>
  <si>
    <t>Хемельди Сальдо</t>
  </si>
  <si>
    <t>Обычный игрок</t>
  </si>
  <si>
    <t>Ничего</t>
  </si>
  <si>
    <t>Дальний удар по воротам</t>
  </si>
  <si>
    <t>Может точно и сильно пробить по воротам хоть с середины поля. Та и в целом повышает шанс выполнения такого действия в середине поля</t>
  </si>
  <si>
    <t>Удар носком ВОД</t>
  </si>
  <si>
    <t>Сильный удар внешней стороной стопы</t>
  </si>
  <si>
    <t>Дриблер</t>
  </si>
  <si>
    <t>Повышен шанс обводки противника</t>
  </si>
  <si>
    <t>Один в один</t>
  </si>
  <si>
    <t>Повышен шанс переигровки игрока один в один</t>
  </si>
  <si>
    <t>Один в поле воин</t>
  </si>
  <si>
    <t>Повышен шанс самому создать и реализовать момент</t>
  </si>
  <si>
    <t>Таран</t>
  </si>
  <si>
    <t>Нападющий которого сложно сбить с ног</t>
  </si>
  <si>
    <t>Бомбардир</t>
  </si>
  <si>
    <t>Повышен шанс забить гол</t>
  </si>
  <si>
    <t>Ассистент</t>
  </si>
  <si>
    <t>Повышен шанс голевой передачи</t>
  </si>
  <si>
    <t>Левая нога</t>
  </si>
  <si>
    <t>Неожиданный точный удар слабой ногой</t>
  </si>
  <si>
    <t>Гений</t>
  </si>
  <si>
    <t>Повышен талант к тактикотактическим действиям. Один из сильнейших перков</t>
  </si>
  <si>
    <t>Агрессор</t>
  </si>
  <si>
    <t>Повышен талант к отбору и сильному удару, но и шанс получить карточку.</t>
  </si>
  <si>
    <t>Молодой талант</t>
  </si>
  <si>
    <t>Может приятно удивить, но неудачи сильно бьют психологически</t>
  </si>
  <si>
    <t>Легенда 6</t>
  </si>
  <si>
    <t>Один из сильнейших перков. Очень похож на Гений, но больше про усилиней Ауры</t>
  </si>
  <si>
    <t>Монстр</t>
  </si>
  <si>
    <t>Один из сильнейших перков. Может сильно усиливать статы внутри матча на время</t>
  </si>
  <si>
    <t>Одно касание</t>
  </si>
  <si>
    <t>Быстрая обработка мяча</t>
  </si>
  <si>
    <t>Суперзамена</t>
  </si>
  <si>
    <t>Усиливает статы при замене</t>
  </si>
  <si>
    <t>Создатель моментов</t>
  </si>
  <si>
    <t>Повышенный шанс создания голевых моментов</t>
  </si>
  <si>
    <t>Разрушитель атак</t>
  </si>
  <si>
    <t>Повышенный шанс перехватить пас противника и отобрать мяч</t>
  </si>
  <si>
    <t>Лис у ворот</t>
  </si>
  <si>
    <t>Сложно отобрать мяч у ворот, а так же повышен шанс хорошей передачи в штрафной зоне, повышен шанс заработать пенальти</t>
  </si>
  <si>
    <t>Добивающий</t>
  </si>
  <si>
    <t>Если вратарь отбивает мяч после удара, то повышен шанс, что мяч отлетит именно к игроку с этой перкой и он ударит по воротам</t>
  </si>
  <si>
    <t>Средний удар по воротам</t>
  </si>
  <si>
    <t>Может точно и сильно пробить по воротам хоть со средней дистаниции. Повышен шанс принятия решения бить в близи штрафной</t>
  </si>
  <si>
    <t>Универсальный ПЗ</t>
  </si>
  <si>
    <t>Не снижает средний рейтинг на любой позиции П. Повышен шанс удачного пасса</t>
  </si>
  <si>
    <t>Фланговый игрок</t>
  </si>
  <si>
    <t>Не снижает средний рейтинг на любой фланговой позиции ЛЗ, ПЗ, ЛПЗ, ППЗ. А так же имеет шанс к ускорению</t>
  </si>
  <si>
    <t>Суперпасс</t>
  </si>
  <si>
    <t>Сильно повышен шанс хорошего пасса</t>
  </si>
  <si>
    <t>Нестабильный</t>
  </si>
  <si>
    <t>Может сыграть матч, как монстр, а может и постоянно допускать ошибки</t>
  </si>
  <si>
    <t>Прессущий игрок</t>
  </si>
  <si>
    <t>Повышен шанс отбора</t>
  </si>
  <si>
    <t>Суперподкат</t>
  </si>
  <si>
    <t>Повышен шанс успешного подката</t>
  </si>
  <si>
    <t>Искусственный офсайд</t>
  </si>
  <si>
    <t>Старается оставить игрока противника в положении вне игры</t>
  </si>
  <si>
    <t>Отбивающий пенальти</t>
  </si>
  <si>
    <t>Повышен шанс отбить пенальти</t>
  </si>
  <si>
    <t>Защита один в один</t>
  </si>
  <si>
    <t>Повышен шанс отобрать мяч в защите один на один</t>
  </si>
  <si>
    <t>Шикарный вынос</t>
  </si>
  <si>
    <t>Повышен шанс точного выноса мяча</t>
  </si>
  <si>
    <t>Конли</t>
  </si>
  <si>
    <t>Алепов Федор</t>
  </si>
  <si>
    <t>Козмоз Лакки</t>
  </si>
  <si>
    <t>Одоньера</t>
  </si>
  <si>
    <t>Толреда</t>
  </si>
  <si>
    <t>Квашников</t>
  </si>
  <si>
    <t>Маршев Виктор</t>
  </si>
  <si>
    <t>Маршев Игнат</t>
  </si>
  <si>
    <t>Клостор</t>
  </si>
  <si>
    <t>Шок Владимир</t>
  </si>
  <si>
    <t>Горовой Евгений</t>
  </si>
  <si>
    <t>Лапшев Тун</t>
  </si>
  <si>
    <t>Шоруш Максим</t>
  </si>
  <si>
    <t>Коршер Жоб</t>
  </si>
  <si>
    <t>Ахти-Аласи</t>
  </si>
  <si>
    <t>Йорвуд Гарз</t>
  </si>
  <si>
    <t>Фермали Туля</t>
  </si>
  <si>
    <t>Хлопшев Эх</t>
  </si>
  <si>
    <t>Кляус Торби</t>
  </si>
  <si>
    <t>Дорбинс Ун</t>
  </si>
  <si>
    <t>Габыш Олег</t>
  </si>
  <si>
    <t>Клэйрон Харье</t>
  </si>
  <si>
    <t>Джорнулли Теор</t>
  </si>
  <si>
    <t>Гарзон Туф</t>
  </si>
  <si>
    <t>Шексир Аз</t>
  </si>
  <si>
    <t>Эмунд Райс</t>
  </si>
  <si>
    <t>Айфуллин Гербс</t>
  </si>
  <si>
    <t>Кроха Тон</t>
  </si>
  <si>
    <t>Дорси Лок</t>
  </si>
  <si>
    <t>Цуццарник Д</t>
  </si>
  <si>
    <t>Екъён Барсет</t>
  </si>
  <si>
    <t>Болдарен Т</t>
  </si>
  <si>
    <t>Язоннен Лапти</t>
  </si>
  <si>
    <t>Варгас Диего</t>
  </si>
  <si>
    <t>Фернандес Луис</t>
  </si>
  <si>
    <t>Окафор Дэвид</t>
  </si>
  <si>
    <t>Шнайдер Марк</t>
  </si>
  <si>
    <t>Сантос Рафаэль</t>
  </si>
  <si>
    <t>Аджаи Кевин</t>
  </si>
  <si>
    <t>Власенко Радим</t>
  </si>
  <si>
    <t>Лисовский Богдан</t>
  </si>
  <si>
    <t>Стрельцов Мирослав</t>
  </si>
  <si>
    <t>Ковалев Добрыня</t>
  </si>
  <si>
    <t>Радзивилл Ярополк</t>
  </si>
  <si>
    <t>Войцеховский Светозар</t>
  </si>
  <si>
    <t>Милодрагович Велеслав</t>
  </si>
  <si>
    <t>Яромиров Святогор</t>
  </si>
  <si>
    <t>Богумилов Ратибор</t>
  </si>
  <si>
    <t>Линдгрен Оскар</t>
  </si>
  <si>
    <t>Хансен Магнус</t>
  </si>
  <si>
    <t>Бергстрём Эрик</t>
  </si>
  <si>
    <t>Сёренсен Нильс</t>
  </si>
  <si>
    <t>Ларссон Фредрик</t>
  </si>
  <si>
    <t>Эрикссон Виктор</t>
  </si>
  <si>
    <t>Даль Йонас</t>
  </si>
  <si>
    <t>Хольм Андерс</t>
  </si>
  <si>
    <t>Стрём Ларс</t>
  </si>
  <si>
    <t>Дарвис Илия</t>
  </si>
  <si>
    <t>Гормеш Стоян</t>
  </si>
  <si>
    <t>Баллак Драган</t>
  </si>
  <si>
    <t>Вермар Тихомир</t>
  </si>
  <si>
    <t>Струвис Радован</t>
  </si>
  <si>
    <t>Аршев Боривое</t>
  </si>
  <si>
    <t>Вишнер Горан</t>
  </si>
  <si>
    <t>Толлак Зоран</t>
  </si>
  <si>
    <t>Гуллев Милен</t>
  </si>
  <si>
    <t>Бормислав Влатко</t>
  </si>
  <si>
    <t>Ван Дер Берг Люк</t>
  </si>
  <si>
    <t>Де Врис Томас</t>
  </si>
  <si>
    <t>Ван Хоут Рубен</t>
  </si>
  <si>
    <t>Клаасен Йенс</t>
  </si>
  <si>
    <t>Ван Аккер Дитер</t>
  </si>
  <si>
    <t>Де Клерк Свен</t>
  </si>
  <si>
    <t>Веркаутерен Йос</t>
  </si>
  <si>
    <t>Де Мол Яспер</t>
  </si>
  <si>
    <t>Ван Бюрен Хендрик</t>
  </si>
  <si>
    <t>Де Виттер Мартен</t>
  </si>
  <si>
    <t>Ван Хойдонк Кун</t>
  </si>
  <si>
    <t>Даллон Реми</t>
  </si>
  <si>
    <t>Фарин Ксавье</t>
  </si>
  <si>
    <t>Хуллер Тьерри</t>
  </si>
  <si>
    <t>Павис Лоран</t>
  </si>
  <si>
    <t>Аллин Седрик</t>
  </si>
  <si>
    <t>Кеффи Янис</t>
  </si>
  <si>
    <t>Бъелло Маттео</t>
  </si>
  <si>
    <t>Юсмар Нордин</t>
  </si>
  <si>
    <t>Азорин Фабьен</t>
  </si>
  <si>
    <t>Ланнис Оливье</t>
  </si>
  <si>
    <t>Хусеро Диего</t>
  </si>
  <si>
    <t>Пафин Уго</t>
  </si>
  <si>
    <t>Велехов Арсений</t>
  </si>
  <si>
    <t>Смоляров Добрыня</t>
  </si>
  <si>
    <t>Твердинов Ратмир</t>
  </si>
  <si>
    <t>Кривцов Светозар</t>
  </si>
  <si>
    <t>Морозов Ярополк</t>
  </si>
  <si>
    <t>Жданов Мирослав</t>
  </si>
  <si>
    <t>Ратмиров Велимир</t>
  </si>
  <si>
    <t>Заславский Богдан</t>
  </si>
  <si>
    <t>Вышеславский Гордей</t>
  </si>
  <si>
    <t>Тихомиров Влас</t>
  </si>
  <si>
    <t>Остромиров Радислав</t>
  </si>
  <si>
    <t>Дрейв Кайл</t>
  </si>
  <si>
    <t>Брокк Сандер</t>
  </si>
  <si>
    <t>Толл Мартин</t>
  </si>
  <si>
    <t>Винн Оскар</t>
  </si>
  <si>
    <t>Карр Лука</t>
  </si>
  <si>
    <t>Стелл Игор</t>
  </si>
  <si>
    <t>Гримм Феликс</t>
  </si>
  <si>
    <t>Пратт Немо</t>
  </si>
  <si>
    <t>Дорн Ральф</t>
  </si>
  <si>
    <t>Клосс Эмиль</t>
  </si>
  <si>
    <t>Марр Тибо</t>
  </si>
  <si>
    <t>Штерн Юлиан</t>
  </si>
  <si>
    <t>Брандт Нико</t>
  </si>
  <si>
    <t>Фальк Рюдигер</t>
  </si>
  <si>
    <t>Гросс Тиль</t>
  </si>
  <si>
    <t>Бронн Каспар</t>
  </si>
  <si>
    <t>Лунд Эйнар</t>
  </si>
  <si>
    <t>Хестон Ральф</t>
  </si>
  <si>
    <t>Ворн Стефан</t>
  </si>
  <si>
    <t>Тарвел Йонас</t>
  </si>
  <si>
    <t>Гривс Эдгар</t>
  </si>
  <si>
    <t>Марлон Тибо</t>
  </si>
  <si>
    <t>Дорнбург Феликс</t>
  </si>
  <si>
    <t>Клевен Люк</t>
  </si>
  <si>
    <t>Бернт Хенрик</t>
  </si>
  <si>
    <t>Граккет Пьер</t>
  </si>
  <si>
    <t>Дюпонте Реми</t>
  </si>
  <si>
    <t>Клариссон Тьерри</t>
  </si>
  <si>
    <t>Бурдак Марсель</t>
  </si>
  <si>
    <t>Фортель Ноэль</t>
  </si>
  <si>
    <t>Рошар Луи</t>
  </si>
  <si>
    <t>Вернье Сирил</t>
  </si>
  <si>
    <t>Каррель Антуан</t>
  </si>
  <si>
    <t>Братин Олег</t>
  </si>
  <si>
    <t>Сурмин Вадим</t>
  </si>
  <si>
    <t>Талис Дмитрий</t>
  </si>
  <si>
    <t>Вормин Сергей</t>
  </si>
  <si>
    <t>Кратин Илья</t>
  </si>
  <si>
    <t>Голдин Артём</t>
  </si>
  <si>
    <t>Миртов Кирилл</t>
  </si>
  <si>
    <t>Снежин Павел</t>
  </si>
  <si>
    <t>Ельцов Максим</t>
  </si>
  <si>
    <t>Туринцев Андрей</t>
  </si>
  <si>
    <t>Гронн Эмиль</t>
  </si>
  <si>
    <t>Штейн Люк</t>
  </si>
  <si>
    <t>Барти Хьюго</t>
  </si>
  <si>
    <t>Олдрин Марк</t>
  </si>
  <si>
    <t>Кветта Пол</t>
  </si>
  <si>
    <t>Лоренс Тим</t>
  </si>
  <si>
    <t>Стритт Джон</t>
  </si>
  <si>
    <t>Марчент Луи</t>
  </si>
  <si>
    <t>Гарвин Тед</t>
  </si>
  <si>
    <t>Финчли Роб</t>
  </si>
  <si>
    <t>Гронский Эрик</t>
  </si>
  <si>
    <t>Балтин Марк</t>
  </si>
  <si>
    <t>Штернберг Пол</t>
  </si>
  <si>
    <t>Гордин Лука</t>
  </si>
  <si>
    <t>Турбин Яков</t>
  </si>
  <si>
    <t>Миртович Иван</t>
  </si>
  <si>
    <t>Словин Павел</t>
  </si>
  <si>
    <t>Вортан Тим</t>
  </si>
  <si>
    <t>Зборовский Ян</t>
  </si>
  <si>
    <t>Гартвиг Нильс</t>
  </si>
  <si>
    <t>Гронлунд Эрик</t>
  </si>
  <si>
    <t>Винтер Клаус</t>
  </si>
  <si>
    <t>Клозен Матс</t>
  </si>
  <si>
    <t>Турвалд Нильс</t>
  </si>
  <si>
    <t>Берглин Ола</t>
  </si>
  <si>
    <t>Снелль Пьер</t>
  </si>
  <si>
    <t>Гармунд Ларс</t>
  </si>
  <si>
    <t>Дальвин Свен</t>
  </si>
  <si>
    <t>Фрост Кай</t>
  </si>
  <si>
    <t>Гримур Ларс</t>
  </si>
  <si>
    <t>Мальгрен Ола</t>
  </si>
  <si>
    <t>Стурман Эрик</t>
  </si>
  <si>
    <t>Берглунд Ханс</t>
  </si>
  <si>
    <t>Халлстен Нильс</t>
  </si>
  <si>
    <t>Ормсон Хенрик</t>
  </si>
  <si>
    <t>Свердруп Магнус</t>
  </si>
  <si>
    <t>Торкельсон Аксель</t>
  </si>
  <si>
    <t>Винге Хальвар</t>
  </si>
  <si>
    <t>Фалькенберг Кай</t>
  </si>
  <si>
    <t>Грильс Йенс</t>
  </si>
  <si>
    <t>Кривта Дарко</t>
  </si>
  <si>
    <t>Лорваль Пьер</t>
  </si>
  <si>
    <t>Джованни Лука</t>
  </si>
  <si>
    <t>Тильманс Ральф</t>
  </si>
  <si>
    <t>Сантьяго Рауль</t>
  </si>
  <si>
    <t>Рейнхарт Нико</t>
  </si>
  <si>
    <t>Ракович Марко</t>
  </si>
  <si>
    <t>Йохансен Ларс</t>
  </si>
  <si>
    <t>Сыркин Павел</t>
  </si>
  <si>
    <t>Гриллис Олаф</t>
  </si>
  <si>
    <t>Поллак Драго</t>
  </si>
  <si>
    <t>Чаплин Матс</t>
  </si>
  <si>
    <t>Труммер Йенс</t>
  </si>
  <si>
    <t>Жербиллон Люк</t>
  </si>
  <si>
    <t>Таврин Рауль</t>
  </si>
  <si>
    <t>Иглесиас Марк</t>
  </si>
  <si>
    <t>Шуберт Дитер</t>
  </si>
  <si>
    <t>Макович Станко</t>
  </si>
  <si>
    <t>Хаккель Вим</t>
  </si>
  <si>
    <t>Бруно Тадек</t>
  </si>
  <si>
    <t>Вергас Илия</t>
  </si>
  <si>
    <t>Тарквин Жан</t>
  </si>
  <si>
    <t>Мортез Оскар</t>
  </si>
  <si>
    <t>Кальво Реми</t>
  </si>
  <si>
    <t>Данило Кепе</t>
  </si>
  <si>
    <t>Ферран Уго</t>
  </si>
  <si>
    <t>Брито Санто</t>
  </si>
  <si>
    <t>Мануэль Тито</t>
  </si>
  <si>
    <t>Рока Бенито</t>
  </si>
  <si>
    <t>Бранд Ким</t>
  </si>
  <si>
    <t>Свенд Хуго</t>
  </si>
  <si>
    <t>Таннер Ларс</t>
  </si>
  <si>
    <t>Гвидо Марк</t>
  </si>
  <si>
    <t>Кранц Олаф</t>
  </si>
  <si>
    <t>Велло Рауль</t>
  </si>
  <si>
    <t>Дорно Пабло</t>
  </si>
  <si>
    <t>Тиббо Жан</t>
  </si>
  <si>
    <t>Фриго Мика</t>
  </si>
  <si>
    <t>Ксавье Поль</t>
  </si>
  <si>
    <t>Пшибыльский Казик</t>
  </si>
  <si>
    <t>Кркоун Йозеф</t>
  </si>
  <si>
    <t>Жижковский Сташек</t>
  </si>
  <si>
    <t>Пупчик Милан</t>
  </si>
  <si>
    <t>Тлустоух Янек</t>
  </si>
  <si>
    <t>Хваталка Войтек</t>
  </si>
  <si>
    <t>Жабка Ладислав</t>
  </si>
  <si>
    <t>Кукучка Богуш</t>
  </si>
  <si>
    <t>Пискляк Зденек</t>
  </si>
  <si>
    <t>Молчко Радован</t>
  </si>
  <si>
    <t>Гракх Люций</t>
  </si>
  <si>
    <t>Флавиан Марк</t>
  </si>
  <si>
    <t>Квинтилий Тит</t>
  </si>
  <si>
    <t>Валерий Гай</t>
  </si>
  <si>
    <t>Публий Авл</t>
  </si>
  <si>
    <t>Тиберий Квинт</t>
  </si>
  <si>
    <t>Фабий Луций</t>
  </si>
  <si>
    <t>Клавдий Деций</t>
  </si>
  <si>
    <t>Сервилий Гней</t>
  </si>
  <si>
    <t>Сенека Квинт</t>
  </si>
  <si>
    <t>Смолич Дарко</t>
  </si>
  <si>
    <t>Хорват Йосип</t>
  </si>
  <si>
    <t>Дундич Милош</t>
  </si>
  <si>
    <t>Пелька Богуслав</t>
  </si>
  <si>
    <t>Гуляш Ласло</t>
  </si>
  <si>
    <t>Пупкова Божена</t>
  </si>
  <si>
    <t>Синарчук Оксано</t>
  </si>
  <si>
    <t>Грида Марек</t>
  </si>
  <si>
    <t>Брандвик Кайл</t>
  </si>
  <si>
    <t>Стокли Ральф</t>
  </si>
  <si>
    <t>Громлик Пауль</t>
  </si>
  <si>
    <t>Флэшер Тим</t>
  </si>
  <si>
    <t>Столлант Йенс</t>
  </si>
  <si>
    <t>Вертуни Рауль</t>
  </si>
  <si>
    <t>Холлинтер Поль</t>
  </si>
  <si>
    <t>Гравейсер Кеси</t>
  </si>
  <si>
    <t>Торнвелл Марк</t>
  </si>
  <si>
    <t>Штайнберг Курт</t>
  </si>
  <si>
    <t>Вайсман Хельмут</t>
  </si>
  <si>
    <t>Крюгер Дитер</t>
  </si>
  <si>
    <t>Хоффманн Отто</t>
  </si>
  <si>
    <t>Мюллер Фриц</t>
  </si>
  <si>
    <t>Шмидт Ганс</t>
  </si>
  <si>
    <t>Вагнер Эрих</t>
  </si>
  <si>
    <t>Фишер Карл</t>
  </si>
  <si>
    <t>Циммерманн Людвиг</t>
  </si>
  <si>
    <t>Бергер Ханс</t>
  </si>
  <si>
    <t>Хольм Эрих</t>
  </si>
  <si>
    <t>Кранц Отто</t>
  </si>
  <si>
    <t>Штерн Вальтер</t>
  </si>
  <si>
    <t>Хенкель Ральф</t>
  </si>
  <si>
    <t>Целлер Мартин</t>
  </si>
  <si>
    <t>Варченко Игорь</t>
  </si>
  <si>
    <t>Горват Милан</t>
  </si>
  <si>
    <t>Штайгер Курт</t>
  </si>
  <si>
    <t>Дельгадо Рауль</t>
  </si>
  <si>
    <t>Бьянки Марко</t>
  </si>
  <si>
    <t>Дюбуа Луи</t>
  </si>
  <si>
    <t>Смит Томас</t>
  </si>
  <si>
    <t>Вукович Зоран</t>
  </si>
  <si>
    <t>Шнайдер Курт</t>
  </si>
  <si>
    <t>Петрович Дарко</t>
  </si>
  <si>
    <t>Хартли Джек</t>
  </si>
  <si>
    <t>Дюпон Пьер</t>
  </si>
  <si>
    <t>Бьянки Паоло</t>
  </si>
  <si>
    <t>Митчелл Том</t>
  </si>
  <si>
    <t>Росси Карло</t>
  </si>
  <si>
    <t>Бейкер Джон</t>
  </si>
  <si>
    <t>Дальберг Нильс</t>
  </si>
  <si>
    <t>Брантин Оскар</t>
  </si>
  <si>
    <t>Дорда Рауль</t>
  </si>
  <si>
    <t>Фрилавс Тим</t>
  </si>
  <si>
    <t>Струнен Марк</t>
  </si>
  <si>
    <t>Бальтер Люк</t>
  </si>
  <si>
    <t>Твистен Нильс</t>
  </si>
  <si>
    <t>Чадгинсон Пол</t>
  </si>
  <si>
    <t>Вергина Луи</t>
  </si>
  <si>
    <t>Грокер Ханс</t>
  </si>
  <si>
    <t>Стерминг Кай</t>
  </si>
  <si>
    <t>Гончий Ярослав</t>
  </si>
  <si>
    <t>Стрижун Влас</t>
  </si>
  <si>
    <t>Каменец Иржи</t>
  </si>
  <si>
    <t>Кравец Тадеуш</t>
  </si>
  <si>
    <t>Смелянский Рауль</t>
  </si>
  <si>
    <t>Пандуров Люк</t>
  </si>
  <si>
    <t>Мильбрат Ханс</t>
  </si>
  <si>
    <t>Загребный Олег</t>
  </si>
  <si>
    <t>Хорватин Марек</t>
  </si>
  <si>
    <t>Эрдэнэбат Ганбат</t>
  </si>
  <si>
    <t>Батмунх Даваа</t>
  </si>
  <si>
    <t>Чулуунбаяр Тэмур</t>
  </si>
  <si>
    <t>Отгонбаяр Алтан</t>
  </si>
  <si>
    <t>Гантулга Бат</t>
  </si>
  <si>
    <t>Доржсурэн Батбаяр</t>
  </si>
  <si>
    <t>Эрдэнэчулуун Ганзориг</t>
  </si>
  <si>
    <t>Бат-Эрдэнэ Төмөр</t>
  </si>
  <si>
    <t>Сүхбаатар Чингис</t>
  </si>
  <si>
    <t>Мэнхбат Энх</t>
  </si>
  <si>
    <t>Хартманн Курт</t>
  </si>
  <si>
    <t>Драгун Милош</t>
  </si>
  <si>
    <t>Верникель Ханс</t>
  </si>
  <si>
    <t>Айдын Кемаль</t>
  </si>
  <si>
    <t>Бозкурт Эрол</t>
  </si>
  <si>
    <t>Кылыч Мерхат</t>
  </si>
  <si>
    <t>Демирташ Озан</t>
  </si>
  <si>
    <t>Ялчин Сердар</t>
  </si>
  <si>
    <t>Эрдоган Мурат</t>
  </si>
  <si>
    <t>Караджа Ильхан</t>
  </si>
  <si>
    <t>Озтюрк Барыш</t>
  </si>
  <si>
    <t>Шахин Эмре</t>
  </si>
  <si>
    <t>Текке Бурак</t>
  </si>
  <si>
    <t>Гордец Ким</t>
  </si>
  <si>
    <t>Тарский Марек</t>
  </si>
  <si>
    <t>Врубель Иржи</t>
  </si>
  <si>
    <t>Дунаев Олег</t>
  </si>
  <si>
    <t>Смолин Павел</t>
  </si>
  <si>
    <t>Верник Люк</t>
  </si>
  <si>
    <t>Ярцев Тимур</t>
  </si>
  <si>
    <t>Куатро Рико</t>
  </si>
  <si>
    <t>Занзибар Оби</t>
  </si>
  <si>
    <t>Ксанаду Тибо</t>
  </si>
  <si>
    <t>Мамбаса Дарко</t>
  </si>
  <si>
    <t>Тимбукту Ян</t>
  </si>
  <si>
    <t>Йокогама Рауль</t>
  </si>
  <si>
    <t>Зимбабве Лука</t>
  </si>
  <si>
    <t>Могадишо Эрик</t>
  </si>
  <si>
    <t>Калькутта Пьер</t>
  </si>
  <si>
    <t>Каракас Диего</t>
  </si>
  <si>
    <t>Гавица Люк</t>
  </si>
  <si>
    <t>Драган Олаф</t>
  </si>
  <si>
    <t>Корус Матс</t>
  </si>
  <si>
    <t>Бректи Иржи</t>
  </si>
  <si>
    <t>Верлитон Тадеуш</t>
  </si>
  <si>
    <t>Сорбба Рауль</t>
  </si>
  <si>
    <t>Горщенников Павел</t>
  </si>
  <si>
    <t>Сладкий Игорь</t>
  </si>
  <si>
    <t>Пшерский Ян</t>
  </si>
  <si>
    <t>Фонбринский Курт</t>
  </si>
  <si>
    <t>Кепров Станко</t>
  </si>
  <si>
    <t>Мендоса Алонсо</t>
  </si>
  <si>
    <t>Штернберг Кай</t>
  </si>
  <si>
    <t>Варгаш Тадеуш</t>
  </si>
  <si>
    <t>Лундквист Оле</t>
  </si>
  <si>
    <t>Берарди Лука</t>
  </si>
  <si>
    <t>Фицджеральд Шон</t>
  </si>
  <si>
    <t>Морено Хавьер</t>
  </si>
  <si>
    <t>Тарковский Ян</t>
  </si>
  <si>
    <t>Горбелин Марек</t>
  </si>
  <si>
    <t>Стрельцов Иржи</t>
  </si>
  <si>
    <t>Вергас Люк</t>
  </si>
  <si>
    <t>Мартинес Рауль</t>
  </si>
  <si>
    <t>Дракенберг Олаф</t>
  </si>
  <si>
    <t>Розенкранц Ларс</t>
  </si>
  <si>
    <t>Винтерфельд Ганс</t>
  </si>
  <si>
    <t>Бергстен Оле</t>
  </si>
  <si>
    <t>Кальтенбруннер Дитер</t>
  </si>
  <si>
    <t>Фалькенхаген Пауль</t>
  </si>
  <si>
    <t>Штейнберг Эрих</t>
  </si>
  <si>
    <t>Хольцманн Макс</t>
  </si>
  <si>
    <t>Рихтер Курт</t>
  </si>
  <si>
    <t>Батбаяр Тэмур</t>
  </si>
  <si>
    <t>Чулуунбат Алтан</t>
  </si>
  <si>
    <t>Гантуя Энх</t>
  </si>
  <si>
    <t>Доржбаяр Бат</t>
  </si>
  <si>
    <t>Сурэнбат Ганзориг</t>
  </si>
  <si>
    <t>Туябаяр Мөнх</t>
  </si>
  <si>
    <t>Эрдэнэтуя Батбаяр</t>
  </si>
  <si>
    <t>Батчулуун Тэмур</t>
  </si>
  <si>
    <t>Ганбаяр Алтан</t>
  </si>
  <si>
    <t>Анхур Кай</t>
  </si>
  <si>
    <t>Папирон Сокар</t>
  </si>
  <si>
    <t>Лотус Ибрис</t>
  </si>
  <si>
    <t>Камир Песару</t>
  </si>
  <si>
    <t>Ветару Камару</t>
  </si>
  <si>
    <t>Зернат Смолис</t>
  </si>
  <si>
    <t>Тенару Светар</t>
  </si>
  <si>
    <t>Ночис Рекас</t>
  </si>
  <si>
    <t>Денар Нилас</t>
  </si>
  <si>
    <t>Долгополов Тарас</t>
  </si>
  <si>
    <t>Кособрюхов Егор</t>
  </si>
  <si>
    <t>Черноусов Матвей</t>
  </si>
  <si>
    <t>Кривошеин Лев</t>
  </si>
  <si>
    <t>Худяков Фома</t>
  </si>
  <si>
    <t>Синебрюхов Кузьма</t>
  </si>
  <si>
    <t>Дураков Аким</t>
  </si>
  <si>
    <t>Беспалов Устин</t>
  </si>
  <si>
    <t>Косоруков Тихон</t>
  </si>
  <si>
    <t>Мертвецов Савва</t>
  </si>
  <si>
    <t>Гвездослав Радек</t>
  </si>
  <si>
    <t>Крконош Яромир</t>
  </si>
  <si>
    <t>Мырча Флорин</t>
  </si>
  <si>
    <t>Думбрава Ион</t>
  </si>
  <si>
    <t>Циприан Марек</t>
  </si>
  <si>
    <t>Фекете Тибор</t>
  </si>
  <si>
    <t>Стаккато Никола</t>
  </si>
  <si>
    <t>Волгин Радек</t>
  </si>
  <si>
    <t>Ручей Флорин</t>
  </si>
  <si>
    <t>Омутин Казик</t>
  </si>
  <si>
    <t>Заводь Ион</t>
  </si>
  <si>
    <t>Плёсин Тадеуш</t>
  </si>
  <si>
    <t>Брызгин Ласло</t>
  </si>
  <si>
    <t>Ключёв Марек</t>
  </si>
  <si>
    <t>Тиховод Тибор</t>
  </si>
  <si>
    <t>Морозин Никола</t>
  </si>
  <si>
    <t>Пучин Савва</t>
  </si>
  <si>
    <t>Дракхар Бьорн</t>
  </si>
  <si>
    <t>Скаллгрим Торви</t>
  </si>
  <si>
    <t>Гримхольд Бран</t>
  </si>
  <si>
    <t>Торнвальд Эйрик</t>
  </si>
  <si>
    <t>Мордхель Свен</t>
  </si>
  <si>
    <t>Скеллур Хальвар</t>
  </si>
  <si>
    <t>Тролле Снорри</t>
  </si>
  <si>
    <t>Крагнор Дуин</t>
  </si>
  <si>
    <t>Хагмар Бранд</t>
  </si>
  <si>
    <t>Вальд Торкель</t>
  </si>
  <si>
    <t>Грим Кетиль</t>
  </si>
  <si>
    <t>Скегги Олаф</t>
  </si>
  <si>
    <t>Дверг Хальвар</t>
  </si>
  <si>
    <t>Тролль Звен</t>
  </si>
  <si>
    <t>Ормов Кетиль</t>
  </si>
  <si>
    <t>Берторов Эик</t>
  </si>
  <si>
    <t>Флавиан Люций</t>
  </si>
  <si>
    <t>Кальпурний Гай</t>
  </si>
  <si>
    <t>Деций Секст</t>
  </si>
  <si>
    <t>Гракх Авл</t>
  </si>
  <si>
    <t>Алерий Марк</t>
  </si>
  <si>
    <t>Куапу Малаки</t>
  </si>
  <si>
    <t>Орокаи Вани</t>
  </si>
  <si>
    <t>Тувара Матаи</t>
  </si>
  <si>
    <t>Гаруа Номба</t>
  </si>
  <si>
    <t>Лаунаи Пои</t>
  </si>
  <si>
    <t>Мандаке Аи</t>
  </si>
  <si>
    <t>Кураи Тио</t>
  </si>
  <si>
    <t>Ванимо Аруа</t>
  </si>
  <si>
    <t>Тарума Оро</t>
  </si>
  <si>
    <t>Науаи Купу</t>
  </si>
  <si>
    <t>Талион Сильвана</t>
  </si>
  <si>
    <t>Мириэн Аэлорн</t>
  </si>
  <si>
    <t>Тинну Карантир</t>
  </si>
  <si>
    <t>Лоратил Вэлин</t>
  </si>
  <si>
    <t>Бриндор Аэлин</t>
  </si>
  <si>
    <t>Аланти Нимо</t>
  </si>
  <si>
    <t>Силь Итиль</t>
  </si>
  <si>
    <t>Фин Рион</t>
  </si>
  <si>
    <t>Риндель Лорас</t>
  </si>
  <si>
    <t>Эланир Мири</t>
  </si>
  <si>
    <t>Соколов Артём</t>
  </si>
  <si>
    <t>Харрингтон Джек</t>
  </si>
  <si>
    <t>Мюллер Ханс</t>
  </si>
  <si>
    <t>Ковальский Ян</t>
  </si>
  <si>
    <t>Фарид Осуф</t>
  </si>
  <si>
    <t>Пападопус Никос</t>
  </si>
  <si>
    <t>Нини Марко</t>
  </si>
  <si>
    <t>Латссох Эронд</t>
  </si>
  <si>
    <t>Яма Кенд</t>
  </si>
  <si>
    <t>Беляев Тарас</t>
  </si>
  <si>
    <t>Фернандес Пабло</t>
  </si>
  <si>
    <t>Димитриу Костас</t>
  </si>
  <si>
    <t>Вайсберг Отто</t>
  </si>
  <si>
    <t>Монтичелли Паоло</t>
  </si>
  <si>
    <t>Хаген Фридрих</t>
  </si>
  <si>
    <t>Нгуен Ван</t>
  </si>
  <si>
    <t>Танака Хиро</t>
  </si>
  <si>
    <t>Дашид Галид</t>
  </si>
  <si>
    <t>Петерсон Шарс</t>
  </si>
  <si>
    <t>Рондзон Тимур</t>
  </si>
  <si>
    <t>Перлим Пётр</t>
  </si>
  <si>
    <t>Газан Андрей</t>
  </si>
  <si>
    <t>Ренетрин Илья</t>
  </si>
  <si>
    <t>Паволин Олег</t>
  </si>
  <si>
    <t>Флокхольм Семён</t>
  </si>
  <si>
    <t>Радрикс Фома</t>
  </si>
  <si>
    <t>Сервезов Кузьма</t>
  </si>
  <si>
    <t>Партоффель Савва</t>
  </si>
  <si>
    <t>Мисиклетин Аркадий</t>
  </si>
  <si>
    <t>Арданобат Гунбат</t>
  </si>
  <si>
    <t>Буярган Тэмур</t>
  </si>
  <si>
    <t>Чулунбат Манх</t>
  </si>
  <si>
    <t>Туяган Алдан</t>
  </si>
  <si>
    <t>Даржбат Сурэн</t>
  </si>
  <si>
    <t>Сурэнбаяр Гунбат</t>
  </si>
  <si>
    <t>Манхбат Тэмур</t>
  </si>
  <si>
    <t>Алданбаяр Чулун</t>
  </si>
  <si>
    <t>Тэмурган Буяр</t>
  </si>
  <si>
    <t>Гунбат Ардано</t>
  </si>
  <si>
    <t>Крондельт Ханс</t>
  </si>
  <si>
    <t>Мартельсон Олаф</t>
  </si>
  <si>
    <t>Штернблюм Курт</t>
  </si>
  <si>
    <t>Вальдкрон Эрик</t>
  </si>
  <si>
    <t>Пфайльманн Дитер</t>
  </si>
  <si>
    <t>Линдштром Аксель</t>
  </si>
  <si>
    <t>Бергфальк Нильс</t>
  </si>
  <si>
    <t>Гроссманн Пауль</t>
  </si>
  <si>
    <t>Хольмквист Свен</t>
  </si>
  <si>
    <t>Альбрехт Фриц</t>
  </si>
  <si>
    <t>Вайсхаупт Отто</t>
  </si>
  <si>
    <t>Кирхенвальд Люк</t>
  </si>
  <si>
    <t>Моргенштерн Ян</t>
  </si>
  <si>
    <t>Кранджевич Лука</t>
  </si>
  <si>
    <t>Стругачев Милош</t>
  </si>
  <si>
    <t>Бервич Станко</t>
  </si>
  <si>
    <t>Морвич Драго</t>
  </si>
  <si>
    <t>Гарбаревич Ян</t>
  </si>
  <si>
    <t>Пельвич Кай</t>
  </si>
  <si>
    <t>Дорнвальд Эрик</t>
  </si>
  <si>
    <t>Мельниченко Тарас</t>
  </si>
  <si>
    <t>Войцеховский Павел</t>
  </si>
  <si>
    <t>Голембовский Иржи</t>
  </si>
  <si>
    <t>Сковронский Ян</t>
  </si>
  <si>
    <t>Вегарин Дарво</t>
  </si>
  <si>
    <t>Сальмор Матэв</t>
  </si>
  <si>
    <t>Пеньяно Брувэ</t>
  </si>
  <si>
    <t>Риосте Лукан</t>
  </si>
  <si>
    <t>Моралего Диэво</t>
  </si>
  <si>
    <t>Ортеган Тьявэ</t>
  </si>
  <si>
    <t>Куэвано Раув</t>
  </si>
  <si>
    <t>Санчестер Матэв</t>
  </si>
  <si>
    <t>Гусмарин Энривэ</t>
  </si>
  <si>
    <t>Растроно Пабвэ</t>
  </si>
  <si>
    <t>Пертеро Родривэ</t>
  </si>
  <si>
    <t>Садильо Анрэв</t>
  </si>
  <si>
    <t>Ромеров Марко</t>
  </si>
  <si>
    <t>Фиано Кари</t>
  </si>
  <si>
    <t>Скороба Люк</t>
  </si>
  <si>
    <t>Быстроси Игнат</t>
  </si>
  <si>
    <t>Громоба Лука</t>
  </si>
  <si>
    <t>Кривоси Марк</t>
  </si>
  <si>
    <t>Тиховой Стас</t>
  </si>
  <si>
    <t>Молчач Илья</t>
  </si>
  <si>
    <t>Светлов Павел</t>
  </si>
  <si>
    <t>Ветросьев Андрей</t>
  </si>
  <si>
    <t>Скалобов Олег</t>
  </si>
  <si>
    <t>Бурлаченко Савва</t>
  </si>
  <si>
    <t>Дубосьев Тимур</t>
  </si>
  <si>
    <t>Кленсуров Пётр</t>
  </si>
  <si>
    <t>Волкоца Игнат</t>
  </si>
  <si>
    <t>Бьорндаль Хальвдан</t>
  </si>
  <si>
    <t>Стрёмвик Олаф</t>
  </si>
  <si>
    <t>Краглунд Эйрик</t>
  </si>
  <si>
    <t>Халльбак Торви</t>
  </si>
  <si>
    <t>Скаллбю Свен</t>
  </si>
  <si>
    <t>Торнквист Ларс</t>
  </si>
  <si>
    <t>Асгард Нильс</t>
  </si>
  <si>
    <t>Виндхольм Кай</t>
  </si>
  <si>
    <t>Брунстрём Аксель</t>
  </si>
  <si>
    <t>Фьельдмарк Ханс</t>
  </si>
  <si>
    <t>Дальгорд Рагнар</t>
  </si>
  <si>
    <t>Элвенстад Снорри</t>
  </si>
  <si>
    <t>Стурман Каспар</t>
  </si>
  <si>
    <t>Хавнбак Фритьоф</t>
  </si>
  <si>
    <t>Гримсвольд Оле</t>
  </si>
  <si>
    <t>Велензар Добрын</t>
  </si>
  <si>
    <t>Кудаш Сылван</t>
  </si>
  <si>
    <t>Стурлагай Олафз</t>
  </si>
  <si>
    <t>Вельтислав Красим</t>
  </si>
  <si>
    <t>Кальвин Яромыз</t>
  </si>
  <si>
    <t>Богумыл Радзко</t>
  </si>
  <si>
    <t>Власти Гордез</t>
  </si>
  <si>
    <t>Тетлан Радо</t>
  </si>
  <si>
    <t>Ирос Доин</t>
  </si>
  <si>
    <t>Рыр Ярополз</t>
  </si>
  <si>
    <t>Бордез Сятогар</t>
  </si>
  <si>
    <t>Ярооз Твердисл</t>
  </si>
  <si>
    <t>Сослаз Мосл</t>
  </si>
  <si>
    <t>Торкват Люмыз</t>
  </si>
  <si>
    <t>Вел Ксав</t>
  </si>
  <si>
    <t>Трув Ольг</t>
  </si>
  <si>
    <t>Крафт Брал</t>
  </si>
  <si>
    <t>Мольд Зерф</t>
  </si>
  <si>
    <t>Пиль-Траск</t>
  </si>
  <si>
    <t>Воль Ксав</t>
  </si>
  <si>
    <t>Друн Мирт</t>
  </si>
  <si>
    <t>Скар Эльв</t>
  </si>
  <si>
    <t>Трив-Оск</t>
  </si>
  <si>
    <t>Фальк Вельм</t>
  </si>
  <si>
    <t>Брунтелло Ксавро</t>
  </si>
  <si>
    <t>Грив Торн</t>
  </si>
  <si>
    <t>Скарн Мирт</t>
  </si>
  <si>
    <t>Трункелло Зерфо</t>
  </si>
  <si>
    <t>Ош Кай</t>
  </si>
  <si>
    <t>Тарн Эрик</t>
  </si>
  <si>
    <t>Брунвель Ларс</t>
  </si>
  <si>
    <t>Гвиндус Марк</t>
  </si>
  <si>
    <t>Фер Пол</t>
  </si>
  <si>
    <t>Дарно Тим</t>
  </si>
  <si>
    <t>Маллус Ян</t>
  </si>
  <si>
    <t>Брэн Кай</t>
  </si>
  <si>
    <t>Вергун Олаф</t>
  </si>
  <si>
    <t>Веллур Эрик</t>
  </si>
  <si>
    <t>Крон Марк</t>
  </si>
  <si>
    <t>Хольмгард Тим</t>
  </si>
  <si>
    <t>Ирми Пол</t>
  </si>
  <si>
    <t>Скарнвел Оси</t>
  </si>
  <si>
    <t>Утрерх Вай</t>
  </si>
  <si>
    <t>Камнельд Бьор</t>
  </si>
  <si>
    <t>Волкхейм Тор</t>
  </si>
  <si>
    <t>Снегфьелл Кнут</t>
  </si>
  <si>
    <t>Дубхальд Гунн</t>
  </si>
  <si>
    <t>Утквельд Бран</t>
  </si>
  <si>
    <t>Тролльбак Снор</t>
  </si>
  <si>
    <t>Вертельм Кай</t>
  </si>
  <si>
    <t>Стурлуг Кнут</t>
  </si>
  <si>
    <t>Хавнбак Пол</t>
  </si>
  <si>
    <t>Элвенстад Ян</t>
  </si>
  <si>
    <t>Уткфьелл Бьор</t>
  </si>
  <si>
    <t>Моргрим Халв</t>
  </si>
  <si>
    <t>Фьялл Бьерн</t>
  </si>
  <si>
    <t>Кальдм Халв</t>
  </si>
  <si>
    <t>Ветрад Остром</t>
  </si>
  <si>
    <t>Камзор Доброгн</t>
  </si>
  <si>
    <t>Дуброс Ставр</t>
  </si>
  <si>
    <t>Среброгор Ратиб</t>
  </si>
  <si>
    <t>Желзор Браним</t>
  </si>
  <si>
    <t>Водограй Светоз</t>
  </si>
  <si>
    <t>Камбор Велиз</t>
  </si>
  <si>
    <t>Волгон Радосл</t>
  </si>
  <si>
    <t>Желновод Яромир</t>
  </si>
  <si>
    <t>Огнебор Горд</t>
  </si>
  <si>
    <t>Камгор Ратм</t>
  </si>
  <si>
    <t>Сребровод Дорн</t>
  </si>
  <si>
    <t>Ветробор Сято</t>
  </si>
  <si>
    <t>Сребролист Люом</t>
  </si>
  <si>
    <t>Пепелгор Мирол</t>
  </si>
  <si>
    <t>Стонли Картер</t>
  </si>
  <si>
    <t>Брендвуд Холт</t>
  </si>
  <si>
    <t>Кларксон Дэрил</t>
  </si>
  <si>
    <t>Уинслоу Грант</t>
  </si>
  <si>
    <t>Мэйхью Рэндалл</t>
  </si>
  <si>
    <t>Пемброук Шелдон</t>
  </si>
  <si>
    <t>Фэрчайлд Брэдли</t>
  </si>
  <si>
    <t>Холлингс Кортни</t>
  </si>
  <si>
    <t>Лэнгфорд Тревор</t>
  </si>
  <si>
    <t>Рэдклифф Морган</t>
  </si>
  <si>
    <t>Уитмор Дэшл</t>
  </si>
  <si>
    <t>Бэлчер Спенс</t>
  </si>
  <si>
    <t>Стэнхоуп Ридли</t>
  </si>
  <si>
    <t>Марлоу Дэйн</t>
  </si>
  <si>
    <t>Пакстон Эллсворт</t>
  </si>
  <si>
    <t>Кроу Дэл</t>
  </si>
  <si>
    <t>Финн Рой</t>
  </si>
  <si>
    <t>Холт Клайд</t>
  </si>
  <si>
    <t>Гарднер Ллойд</t>
  </si>
  <si>
    <t>Бэк Росс</t>
  </si>
  <si>
    <t>Шоу Дэйв</t>
  </si>
  <si>
    <t>Флинн Брент</t>
  </si>
  <si>
    <t>Кейн Кирк</t>
  </si>
  <si>
    <t>Лоусон Трой</t>
  </si>
  <si>
    <t>Харт Мэйс</t>
  </si>
  <si>
    <t>Уинстон Дэш</t>
  </si>
  <si>
    <t>Бэйтс Спэнс</t>
  </si>
  <si>
    <t>Грин Рид</t>
  </si>
  <si>
    <t>Пирс Клэй</t>
  </si>
  <si>
    <t>Мэйсон Дэйл</t>
  </si>
  <si>
    <t>Рид Эрл</t>
  </si>
  <si>
    <t>Кларк Вэйд</t>
  </si>
  <si>
    <t>Флюкз Картер</t>
  </si>
  <si>
    <t>Кварзвич Олег</t>
  </si>
  <si>
    <t>Морфез Драж</t>
  </si>
  <si>
    <t>Эхоз Стан</t>
  </si>
  <si>
    <t>Тенорвич Ян</t>
  </si>
  <si>
    <t>Люменз Лука</t>
  </si>
  <si>
    <t>Скалярвич Тим</t>
  </si>
  <si>
    <t>Пиксез Дар</t>
  </si>
  <si>
    <t>Вираз Дар</t>
  </si>
  <si>
    <t>Кобальз Кай</t>
  </si>
  <si>
    <t>Эфирвич Пол</t>
  </si>
  <si>
    <t>Квартез Стан</t>
  </si>
  <si>
    <t>Мимвич Ирж</t>
  </si>
  <si>
    <t>Ноктюрз Дэн</t>
  </si>
  <si>
    <t>Резоназ Эрл</t>
  </si>
  <si>
    <t>Вихрзвич Тор</t>
  </si>
  <si>
    <t>Морфезвич Ксандр</t>
  </si>
  <si>
    <t>Тайгуш Мэйс</t>
  </si>
  <si>
    <t>Морэль Пол</t>
  </si>
  <si>
    <t>Саамор Стан</t>
  </si>
  <si>
    <t>Морэль Кс</t>
  </si>
  <si>
    <t>Саор Кириан</t>
  </si>
  <si>
    <t>Ураэт Ян</t>
  </si>
  <si>
    <t>Талкест Ирж</t>
  </si>
  <si>
    <t>Нортк Дан</t>
  </si>
  <si>
    <t>Дайавш Эрл</t>
  </si>
  <si>
    <t>Туэльдо Торвальд</t>
  </si>
  <si>
    <t>Юрал Остин</t>
  </si>
  <si>
    <t>Бэйгуш-Морэль</t>
  </si>
  <si>
    <t>Жрэль Януарий</t>
  </si>
  <si>
    <t>Денетц Дар</t>
  </si>
  <si>
    <t>Денетц Рой</t>
  </si>
  <si>
    <t>ТьюндрТаг</t>
  </si>
  <si>
    <t>Кндрэль Кайус</t>
  </si>
  <si>
    <t>Ортонс Люкси</t>
  </si>
  <si>
    <t>Вентворт-Клаус Остин</t>
  </si>
  <si>
    <t>Хартвелл Элд</t>
  </si>
  <si>
    <t>Грейвз Люк</t>
  </si>
  <si>
    <t>Пендлтон Рой</t>
  </si>
  <si>
    <t>Эшфорд Тим</t>
  </si>
  <si>
    <t>Уэнсбери Ян</t>
  </si>
  <si>
    <t>Стоктон Кир</t>
  </si>
  <si>
    <t>Кроуфорд Дар</t>
  </si>
  <si>
    <t>Блэквуд Кайус</t>
  </si>
  <si>
    <t>Дэшвуд Пол</t>
  </si>
  <si>
    <t>Холбрук Стан</t>
  </si>
  <si>
    <t>Рэдвей Ирж</t>
  </si>
  <si>
    <t>Уинтерборн Дан</t>
  </si>
  <si>
    <t>Пэнкрофт Эрл</t>
  </si>
  <si>
    <t>Винтергейт Остин</t>
  </si>
  <si>
    <t>Хартнелл Рэй</t>
  </si>
  <si>
    <t>Грейсфорд Элд</t>
  </si>
  <si>
    <t>Блэксмит Люк</t>
  </si>
  <si>
    <t>Эшдаун Тим</t>
  </si>
  <si>
    <t>Уэстли Ян</t>
  </si>
  <si>
    <t>Стокман Кир</t>
  </si>
  <si>
    <t>Кросспорт Дар</t>
  </si>
  <si>
    <t>Мэйбери Мэйс</t>
  </si>
  <si>
    <t>Дэшли Кайус</t>
  </si>
  <si>
    <t>Холтгейт Пол</t>
  </si>
  <si>
    <t>Рэдвуд Кэс</t>
  </si>
  <si>
    <t>Уинтерсол Ирж</t>
  </si>
  <si>
    <t>Пэнли Дан</t>
  </si>
  <si>
    <t>Брэдсток Эрл</t>
  </si>
  <si>
    <t>Дэштон Кс</t>
  </si>
  <si>
    <t>Кросс Остин</t>
  </si>
  <si>
    <t>Вельгор Остин</t>
  </si>
  <si>
    <t>Кранцль Рэй</t>
  </si>
  <si>
    <t>Торнбю Элд</t>
  </si>
  <si>
    <t>Дельгаро Рой</t>
  </si>
  <si>
    <t>Строжин Тим</t>
  </si>
  <si>
    <t>Линдрум Кир</t>
  </si>
  <si>
    <t>Морендо Дар</t>
  </si>
  <si>
    <t>Бьянкарди Кайус</t>
  </si>
  <si>
    <t>Салмиаго Ирж</t>
  </si>
  <si>
    <t>Хагенвик Остин</t>
  </si>
  <si>
    <t>Гунито Ян</t>
  </si>
  <si>
    <t>Сорабео Ксон</t>
  </si>
  <si>
    <t>Танефа Остин</t>
  </si>
  <si>
    <t>Кириба Рэй</t>
  </si>
  <si>
    <t>Ароха Элд</t>
  </si>
  <si>
    <t>Мбата Люк</t>
  </si>
  <si>
    <t>Кечуа Рой</t>
  </si>
  <si>
    <t>Вакати Тим</t>
  </si>
  <si>
    <t>Хаури Ян</t>
  </si>
  <si>
    <t>Баско Кир</t>
  </si>
  <si>
    <t>Суахил Дар</t>
  </si>
  <si>
    <t>Маори Мэйс</t>
  </si>
  <si>
    <t>Кикую Кайус</t>
  </si>
  <si>
    <t>Зулу Пол</t>
  </si>
  <si>
    <t>Валлий Стан</t>
  </si>
  <si>
    <t>Тонга Дан</t>
  </si>
  <si>
    <t>Самоа Эрл</t>
  </si>
  <si>
    <t>Фиджи Торвальд</t>
  </si>
  <si>
    <t>Таити Кс</t>
  </si>
  <si>
    <t>Гавайи Остин</t>
  </si>
  <si>
    <t>Хальвард Сигурд</t>
  </si>
  <si>
    <t>Кетиль Гуннар</t>
  </si>
  <si>
    <t>Хрольф Эйнар</t>
  </si>
  <si>
    <t>Трюггви Свейн</t>
  </si>
  <si>
    <t>Хакон Магнус</t>
  </si>
  <si>
    <t>Фритьоф Хермод</t>
  </si>
  <si>
    <t>Сигвальд Хрольф</t>
  </si>
  <si>
    <t>Торлейф Бьорн</t>
  </si>
  <si>
    <t>Ингвар Кетиль</t>
  </si>
  <si>
    <t>Снорри Хальвар</t>
  </si>
  <si>
    <t>Хермод Вигго</t>
  </si>
  <si>
    <t>Эйнар Сигурд</t>
  </si>
  <si>
    <t>Вигго Алан</t>
  </si>
  <si>
    <t>Кондишенус Тит</t>
  </si>
  <si>
    <t>Дифенсус Секст</t>
  </si>
  <si>
    <t>Секьюран Авл</t>
  </si>
  <si>
    <t>Ревенюм Гней</t>
  </si>
  <si>
    <t>Эквитиус Квинт</t>
  </si>
  <si>
    <t>Балансис Публий</t>
  </si>
  <si>
    <t>Теншн Децим</t>
  </si>
  <si>
    <t>Фьючерус Марк</t>
  </si>
  <si>
    <t>Меншен Луций</t>
  </si>
  <si>
    <t>Стенд Гай</t>
  </si>
  <si>
    <t>Маттерс Нерва</t>
  </si>
  <si>
    <t>Фортун Траян</t>
  </si>
  <si>
    <t>Пойнт Адриан</t>
  </si>
  <si>
    <t>Кейс Антонин</t>
  </si>
  <si>
    <t>Регардус Марцелл</t>
  </si>
  <si>
    <t>Перформус Коммод</t>
  </si>
  <si>
    <t>Скалерус Пий</t>
  </si>
  <si>
    <t>Паттерн Аврелий</t>
  </si>
  <si>
    <t>Инпут Севе</t>
  </si>
  <si>
    <t>Хальвардус Сигурд</t>
  </si>
  <si>
    <t>Рагнвальдус Ингвар</t>
  </si>
  <si>
    <t>Харальдус Снорри</t>
  </si>
  <si>
    <t>Хрольфус Эйнар</t>
  </si>
  <si>
    <t>Трюггвиус Свейн</t>
  </si>
  <si>
    <t>Хаконус Магнус</t>
  </si>
  <si>
    <t>Фритьофус Хермод</t>
  </si>
  <si>
    <t>Сигвальдус Хрольф</t>
  </si>
  <si>
    <t>Торлейфус Бьорн</t>
  </si>
  <si>
    <t>Ингварус Кетиль</t>
  </si>
  <si>
    <t>Снорриус Хальвар</t>
  </si>
  <si>
    <t>Свейнус Хакон</t>
  </si>
  <si>
    <t>Магнусус Фритьоф</t>
  </si>
  <si>
    <t>Эйнарус Сигурд</t>
  </si>
  <si>
    <t>Гермодус Витто</t>
  </si>
  <si>
    <t>Визонус Аслак</t>
  </si>
  <si>
    <t>Тлалокун Остин</t>
  </si>
  <si>
    <t>Кецаль Рэй</t>
  </si>
  <si>
    <t>Ицамна Элд</t>
  </si>
  <si>
    <t>Кукулькан Люк</t>
  </si>
  <si>
    <t>ШипеТотек Рой</t>
  </si>
  <si>
    <t>Тескатлипок Тим</t>
  </si>
  <si>
    <t>Уицилопочтли Ян</t>
  </si>
  <si>
    <t>Тлауикаль Кир</t>
  </si>
  <si>
    <t>КиничАхау Дар</t>
  </si>
  <si>
    <t>ЧакМоол Мэйс</t>
  </si>
  <si>
    <t>АхауКан Кайус</t>
  </si>
  <si>
    <t>ИшЧель Пол</t>
  </si>
  <si>
    <t>БаламКу Стан</t>
  </si>
  <si>
    <t>Кетцалькоатль Ирж</t>
  </si>
  <si>
    <t>Шанго Дан</t>
  </si>
  <si>
    <t>Огун Эрл</t>
  </si>
  <si>
    <t>Ананси Торвальд</t>
  </si>
  <si>
    <t>Мбомо Кс</t>
  </si>
  <si>
    <t>Ньяме Остин</t>
  </si>
  <si>
    <t>Айнук Остин</t>
  </si>
  <si>
    <t>Черокуш Элд</t>
  </si>
  <si>
    <t>Сиукан Люк</t>
  </si>
  <si>
    <t>Апачур Рой</t>
  </si>
  <si>
    <t>Инкуш Тим</t>
  </si>
  <si>
    <t>Тупур Ян</t>
  </si>
  <si>
    <t>Гуаран Кир</t>
  </si>
  <si>
    <t>Мапук Дар</t>
  </si>
  <si>
    <t>Семанк Мэйс</t>
  </si>
  <si>
    <t>Нивхур Кайус</t>
  </si>
  <si>
    <t>Ительмэн Пол</t>
  </si>
  <si>
    <t>Корякуш Стан</t>
  </si>
  <si>
    <t>Полинек Ирж</t>
  </si>
  <si>
    <t>Микронек Дан</t>
  </si>
  <si>
    <t>Меланек Эрл</t>
  </si>
  <si>
    <t>Андамар Остин</t>
  </si>
  <si>
    <t>Аторигун Торвальд</t>
  </si>
  <si>
    <t>Инкулунд Люк</t>
  </si>
  <si>
    <t>Маорберг Рой</t>
  </si>
  <si>
    <t>Кечудал Тим</t>
  </si>
  <si>
    <t>Суахистрём Ян</t>
  </si>
  <si>
    <t>Зулушер Кир</t>
  </si>
  <si>
    <t>Папуанес Дар</t>
  </si>
  <si>
    <t>Меланебак Стан</t>
  </si>
  <si>
    <t>Андамквист Ирж</t>
  </si>
  <si>
    <t>Семанвольд Дан</t>
  </si>
  <si>
    <t>Нивхгард Эрл</t>
  </si>
  <si>
    <t>Корятторп Кс</t>
  </si>
  <si>
    <t>Маорвик Остин</t>
  </si>
  <si>
    <t>Ристад Мэйс</t>
  </si>
  <si>
    <t>Негард Кайус</t>
  </si>
  <si>
    <t>Хронехейм Пол</t>
  </si>
  <si>
    <t>Чехольм Элд</t>
  </si>
  <si>
    <t>Афьорд Остин</t>
  </si>
  <si>
    <t>Виртанен Остин</t>
  </si>
  <si>
    <t>Корхонен Рэй</t>
  </si>
  <si>
    <t>Мякинен Элд</t>
  </si>
  <si>
    <t>Ниемунен Люк</t>
  </si>
  <si>
    <t>Мякеля Рой</t>
  </si>
  <si>
    <t>Хямяляйнен Тим</t>
  </si>
  <si>
    <t>Лайне Ян</t>
  </si>
  <si>
    <t>Хейккинен Кир</t>
  </si>
  <si>
    <t>Коскинен Дар</t>
  </si>
  <si>
    <t>Ярвинен Мэйс</t>
  </si>
  <si>
    <t>Лехтонен Кайус</t>
  </si>
  <si>
    <t>Лехтинен Пол</t>
  </si>
  <si>
    <t>Сааринен Стан</t>
  </si>
  <si>
    <t>Хейнонен Дан</t>
  </si>
  <si>
    <t>Ниеми Эрл</t>
  </si>
  <si>
    <t>Киннунен Торвальд</t>
  </si>
  <si>
    <t>Салонен Кс</t>
  </si>
  <si>
    <t>Турунен Остин</t>
  </si>
  <si>
    <t>Тутук Элд</t>
  </si>
  <si>
    <t>Хавууе Люк</t>
  </si>
  <si>
    <t>Мурзак Рой</t>
  </si>
  <si>
    <t>Чабак Тим</t>
  </si>
  <si>
    <t>Кутук Ян</t>
  </si>
  <si>
    <t>Тархан Кир</t>
  </si>
  <si>
    <t>Курчак Дар</t>
  </si>
  <si>
    <t>Бахчи Мэйс</t>
  </si>
  <si>
    <t>Тутук Кайус</t>
  </si>
  <si>
    <t>Хавуу Пол</t>
  </si>
  <si>
    <t>Сарык Стан</t>
  </si>
  <si>
    <t>Карачай Ирж</t>
  </si>
  <si>
    <t>Борчак Дан</t>
  </si>
  <si>
    <t>Мурзак Эрл</t>
  </si>
  <si>
    <t>Корчвак Кс</t>
  </si>
  <si>
    <t>Хавуук Остин</t>
  </si>
  <si>
    <t>Дундир Останис</t>
  </si>
  <si>
    <t>Брундыр Рэймунд</t>
  </si>
  <si>
    <t>Крындыр Элдрик</t>
  </si>
  <si>
    <t>Трундыр Люкас</t>
  </si>
  <si>
    <t>Вундыр Роймунд</t>
  </si>
  <si>
    <t>Стындыр Тимон</t>
  </si>
  <si>
    <t>Грундыр Янис</t>
  </si>
  <si>
    <t>Хундыр Кириан</t>
  </si>
  <si>
    <t>Фундыр Дариус</t>
  </si>
  <si>
    <t>Лундыр Мэйсон</t>
  </si>
  <si>
    <t>Мундыр Кайус</t>
  </si>
  <si>
    <t>Рундыр Полус</t>
  </si>
  <si>
    <t>Тундыр Станис</t>
  </si>
  <si>
    <t>Бундыр Иржик</t>
  </si>
  <si>
    <t>Кундыр Даниэль</t>
  </si>
  <si>
    <t>Зундыр Эрлик</t>
  </si>
  <si>
    <t>Дондырун Торвальд</t>
  </si>
  <si>
    <t>Крындыр Ксавьер</t>
  </si>
  <si>
    <t>Бьерг (Ост)</t>
  </si>
  <si>
    <t>Вальдмун Остак</t>
  </si>
  <si>
    <t>Качуан Рэйм</t>
  </si>
  <si>
    <t>Ямомото Элдок</t>
  </si>
  <si>
    <t>Ким Джун</t>
  </si>
  <si>
    <t>Чжэн Вэй</t>
  </si>
  <si>
    <t>Нувахо Тим</t>
  </si>
  <si>
    <t>Залу Ян</t>
  </si>
  <si>
    <t>Маури Кир</t>
  </si>
  <si>
    <t>Суахилу Дар</t>
  </si>
  <si>
    <t>Ойну Мэйс</t>
  </si>
  <si>
    <t>Попуас Кайус</t>
  </si>
  <si>
    <t>Соами Пол</t>
  </si>
  <si>
    <t>Нонц Стан</t>
  </si>
  <si>
    <t>Эвонк Ирж</t>
  </si>
  <si>
    <t>Чукчо Дан</t>
  </si>
  <si>
    <t>Куряк Эрл</t>
  </si>
  <si>
    <t>Олеут Торвальд</t>
  </si>
  <si>
    <t>Инуот Кс</t>
  </si>
  <si>
    <t>Тодо Остин</t>
  </si>
  <si>
    <t>Курташ Остак</t>
  </si>
  <si>
    <t>Жмунд Элдок</t>
  </si>
  <si>
    <t>Кравел Люкас</t>
  </si>
  <si>
    <t>Дунмал Роймунд</t>
  </si>
  <si>
    <t>Стрыжа Тимон</t>
  </si>
  <si>
    <t>Хвал Ян</t>
  </si>
  <si>
    <t>Линдрум Кириан</t>
  </si>
  <si>
    <t>Моржан Дариус</t>
  </si>
  <si>
    <t>Вернин Мэйсон</t>
  </si>
  <si>
    <t>Бьянко Кайус</t>
  </si>
  <si>
    <t>Горван Полус</t>
  </si>
  <si>
    <t>Соловко Станис</t>
  </si>
  <si>
    <t>Пеллегрин Эрлик</t>
  </si>
  <si>
    <t>Хаген Останис</t>
  </si>
  <si>
    <t>Нелли (Переп)</t>
  </si>
  <si>
    <t>Стрела (Зел.Хол)</t>
  </si>
  <si>
    <t>Власов Олег</t>
  </si>
  <si>
    <t>Кузнецов Артём</t>
  </si>
  <si>
    <t>Смирнов Игорь</t>
  </si>
  <si>
    <t>Попов Денис</t>
  </si>
  <si>
    <t>Соколов Максим</t>
  </si>
  <si>
    <t>Морозов Павел</t>
  </si>
  <si>
    <t>Новиков Андрей</t>
  </si>
  <si>
    <t>Егоров Никита</t>
  </si>
  <si>
    <t>Павлов Роман</t>
  </si>
  <si>
    <t>Семёнов Виктор</t>
  </si>
  <si>
    <t>Голубев Тимур</t>
  </si>
  <si>
    <t>Воробьёв Лев</t>
  </si>
  <si>
    <t>Фёдоров Глеб</t>
  </si>
  <si>
    <t>Михайлов Савва</t>
  </si>
  <si>
    <t>Тарасов Егор</t>
  </si>
  <si>
    <t>Белов Аркадий</t>
  </si>
  <si>
    <t>Шмидт Дитер</t>
  </si>
  <si>
    <t>Браус (Турк)</t>
  </si>
  <si>
    <t>Суржан Остак</t>
  </si>
  <si>
    <t>Кулзэр Рэйм</t>
  </si>
  <si>
    <t>Мулдар Элдок</t>
  </si>
  <si>
    <t>Сурхэл Люкас</t>
  </si>
  <si>
    <t>Булгэр Роймунд</t>
  </si>
  <si>
    <t>Тулгэн Тимон</t>
  </si>
  <si>
    <t>Дулзэр Ян</t>
  </si>
  <si>
    <t>Кулмэн Кириан</t>
  </si>
  <si>
    <t>Султэр Дариус</t>
  </si>
  <si>
    <t>Мултэк Мэйсон</t>
  </si>
  <si>
    <t>Бултэк Кайус</t>
  </si>
  <si>
    <t>Тулпэр Полус</t>
  </si>
  <si>
    <t>Сулпэр Станис</t>
  </si>
  <si>
    <t>Кулпэр Иржик</t>
  </si>
  <si>
    <t>Мулпэр Даниэль</t>
  </si>
  <si>
    <t>Султэш Эрлик</t>
  </si>
  <si>
    <t>Сулдэш Ксавьер</t>
  </si>
  <si>
    <t>Тулдэш Останис</t>
  </si>
  <si>
    <t>Велдрин Остак</t>
  </si>
  <si>
    <t>Крамун Рэйм</t>
  </si>
  <si>
    <t>Торвалд Элдок</t>
  </si>
  <si>
    <t>Делмар Роймунд</t>
  </si>
  <si>
    <t>Строжин Тимон</t>
  </si>
  <si>
    <t>Хуанто Ян</t>
  </si>
  <si>
    <t>Морендо Дариус</t>
  </si>
  <si>
    <t>Верникус Мэйсон</t>
  </si>
  <si>
    <t>Горваль Полус</t>
  </si>
  <si>
    <t>Соловкин Станис</t>
  </si>
  <si>
    <t>Дорнвик Даниэль</t>
  </si>
  <si>
    <t>Скарабео Ксавьер</t>
  </si>
  <si>
    <t>Хагенвик Останис</t>
  </si>
  <si>
    <t>Жорнеб Арик</t>
  </si>
  <si>
    <t>Борнеб Рэйус</t>
  </si>
  <si>
    <t>Тан Арт</t>
  </si>
  <si>
    <t>Дорнеб Алан</t>
  </si>
  <si>
    <t>Корнеб Ран</t>
  </si>
  <si>
    <t>Лан Ар</t>
  </si>
  <si>
    <t>Манновзул Ран</t>
  </si>
  <si>
    <t>Норнеб Рон</t>
  </si>
  <si>
    <t>Порнеб Ранто</t>
  </si>
  <si>
    <t>Ран Ронис</t>
  </si>
  <si>
    <t>Санновмир Ран</t>
  </si>
  <si>
    <t>Торнеб Ркон</t>
  </si>
  <si>
    <t>Форнеб Анк</t>
  </si>
  <si>
    <t>Хан Рок</t>
  </si>
  <si>
    <t>Цанновбер Анк</t>
  </si>
  <si>
    <t>Чорнеб Рарнельд</t>
  </si>
  <si>
    <t>Шорнеб Рновьир</t>
  </si>
  <si>
    <t>Щорнеб Аранеис</t>
  </si>
  <si>
    <t>Рарне Анрок</t>
  </si>
  <si>
    <t>Варне Наком</t>
  </si>
  <si>
    <t>Тор Аркек</t>
  </si>
  <si>
    <t>Гормизул Ронос</t>
  </si>
  <si>
    <t>Тарне Ланмонд</t>
  </si>
  <si>
    <t>Гарне Ранен</t>
  </si>
  <si>
    <t>Мор Ар</t>
  </si>
  <si>
    <t>Нормимир Ганон</t>
  </si>
  <si>
    <t>Барне Толеус</t>
  </si>
  <si>
    <t>Ларне Наксен</t>
  </si>
  <si>
    <t>Сор Гоенс</t>
  </si>
  <si>
    <t>Тормибер Бансе</t>
  </si>
  <si>
    <t>Варне Тонанс</t>
  </si>
  <si>
    <t>Карне Алкек</t>
  </si>
  <si>
    <t>Чор Толеэль</t>
  </si>
  <si>
    <t>Шормидор Анкек</t>
  </si>
  <si>
    <t>Шарне Рарнельд</t>
  </si>
  <si>
    <t>Алне Гновьир</t>
  </si>
  <si>
    <t>Алне Атанес</t>
  </si>
  <si>
    <t>Ройнер Анрок</t>
  </si>
  <si>
    <t>Войнер Наком</t>
  </si>
  <si>
    <t>Тай Аркек</t>
  </si>
  <si>
    <t>Гайцарзул Ронос</t>
  </si>
  <si>
    <t>Тойнер Ланмонд</t>
  </si>
  <si>
    <t>Гойнер Ранен</t>
  </si>
  <si>
    <t>Май Ар</t>
  </si>
  <si>
    <t>Найцармир Ганон</t>
  </si>
  <si>
    <t>Бойнер Толеус</t>
  </si>
  <si>
    <t>Лойнер Наксен</t>
  </si>
  <si>
    <t>Сай Гоенс</t>
  </si>
  <si>
    <t>Файцарбер Бансе</t>
  </si>
  <si>
    <t>Койнер Тонанс</t>
  </si>
  <si>
    <t>Нойнел Алкек</t>
  </si>
  <si>
    <t>Чай Толеэль</t>
  </si>
  <si>
    <t>Шайцардор Анкек</t>
  </si>
  <si>
    <t>Шойнер Рарнельд</t>
  </si>
  <si>
    <t>Лойнер Гновьир</t>
  </si>
  <si>
    <t>Мойрер Атанес</t>
  </si>
  <si>
    <t>Раней Анрок</t>
  </si>
  <si>
    <t>Ваней Наком</t>
  </si>
  <si>
    <t>Тоц Аркек</t>
  </si>
  <si>
    <t>Гоцыйзул Ронос</t>
  </si>
  <si>
    <t>Таней Ланмонд</t>
  </si>
  <si>
    <t>Наней Ранен</t>
  </si>
  <si>
    <t>Моц Ар</t>
  </si>
  <si>
    <t>Поцыймир Ганон</t>
  </si>
  <si>
    <t>Ланей Толеус</t>
  </si>
  <si>
    <t>Баней Наксен</t>
  </si>
  <si>
    <t>Соц Гоенс</t>
  </si>
  <si>
    <t>Хоцыйбер Бансе</t>
  </si>
  <si>
    <t>Нанел Тонанс</t>
  </si>
  <si>
    <t>Шаней Алкек</t>
  </si>
  <si>
    <t>Шоц Толеэль</t>
  </si>
  <si>
    <t>Щоцыйдор Анкек</t>
  </si>
  <si>
    <t>Маней Рарнельд</t>
  </si>
  <si>
    <t>Лоней Гновьир</t>
  </si>
  <si>
    <t>Морей Атанес</t>
  </si>
  <si>
    <t>Батинел Ругока</t>
  </si>
  <si>
    <t>Домиза Лупе</t>
  </si>
  <si>
    <t>Росату Вино</t>
  </si>
  <si>
    <t>Келамо Рите</t>
  </si>
  <si>
    <t>Зуфар Ганло</t>
  </si>
  <si>
    <t>Бертин Разул</t>
  </si>
  <si>
    <t>Валнис Каррел</t>
  </si>
  <si>
    <t>Донмас Пиргол</t>
  </si>
  <si>
    <t>Рунсан Таркел</t>
  </si>
  <si>
    <t>Бонфир Ландос</t>
  </si>
  <si>
    <t>Гетрин Балсун</t>
  </si>
  <si>
    <t>Токба Ринел</t>
  </si>
  <si>
    <t>Тикару Доми</t>
  </si>
  <si>
    <t>Залупе Роса</t>
  </si>
  <si>
    <t>Тувино Кела</t>
  </si>
  <si>
    <t>Ганло Бертин</t>
  </si>
  <si>
    <t>Разул Кандер</t>
  </si>
  <si>
    <t>Сиин (Биссий)</t>
  </si>
  <si>
    <t>Барунел Тимока</t>
  </si>
  <si>
    <t>Дозалу Пе</t>
  </si>
  <si>
    <t>Росатуми Вино</t>
  </si>
  <si>
    <t>Келамон Ритеза</t>
  </si>
  <si>
    <t>Зуфарган Ломин</t>
  </si>
  <si>
    <t>Бертинра Зул</t>
  </si>
  <si>
    <t>Кандерми Минтор</t>
  </si>
  <si>
    <t>Валнискар Рел</t>
  </si>
  <si>
    <t>Донмаспир Голрун</t>
  </si>
  <si>
    <t>Сантаркел Бон</t>
  </si>
  <si>
    <t>Фирландос Гетрин</t>
  </si>
  <si>
    <t>Балсунток Ба</t>
  </si>
  <si>
    <t>Ринелти Кару</t>
  </si>
  <si>
    <t>Домизалу Песа</t>
  </si>
  <si>
    <t>Тувиноми Кела</t>
  </si>
  <si>
    <t>Моритезу Фар</t>
  </si>
  <si>
    <t>Ганлобер Тинра</t>
  </si>
  <si>
    <t>Зулкандер Мин</t>
  </si>
  <si>
    <t>Разулти Кандер</t>
  </si>
  <si>
    <t>(пусто)</t>
  </si>
  <si>
    <t>Количество по полю Имя</t>
  </si>
  <si>
    <t>Глоншер Толли</t>
  </si>
  <si>
    <t>Хазилли Тус</t>
  </si>
  <si>
    <t>Аптье Жод</t>
  </si>
  <si>
    <t>Хварси Анлисер</t>
  </si>
  <si>
    <t>Андерсон Юхан</t>
  </si>
  <si>
    <t>Баал Торвик</t>
  </si>
  <si>
    <t>Лаксон Тюгвирт</t>
  </si>
  <si>
    <t>Белли Астор</t>
  </si>
  <si>
    <t>Бельский Ярослав</t>
  </si>
  <si>
    <t>Дорчан Рэй</t>
  </si>
  <si>
    <t>Костилини Вернер</t>
  </si>
  <si>
    <t>Брандт Торинс</t>
  </si>
  <si>
    <t>Братинов Домир</t>
  </si>
  <si>
    <t>Фрэдшоу Торвальд</t>
  </si>
  <si>
    <t>Бристон Рэй</t>
  </si>
  <si>
    <t>Бруздал Рэйм</t>
  </si>
  <si>
    <t>Бугвай Ален</t>
  </si>
  <si>
    <t>Буггута Хога</t>
  </si>
  <si>
    <t>Хулдэш Торвальд</t>
  </si>
  <si>
    <t>Тьорнвикс Торстейн</t>
  </si>
  <si>
    <t>Орнвикус Торстейн</t>
  </si>
  <si>
    <t>Хаксли Артем</t>
  </si>
  <si>
    <t>Шьорнхард Рэнар</t>
  </si>
  <si>
    <t>Бьорнссон Ранар</t>
  </si>
  <si>
    <t>Гаханхальд Торсен</t>
  </si>
  <si>
    <t>Бублятор Тута</t>
  </si>
  <si>
    <t>Акрос Морти</t>
  </si>
  <si>
    <t xml:space="preserve">Далис Тэлли </t>
  </si>
  <si>
    <t>Вальт Люж</t>
  </si>
  <si>
    <t>Ван Гоо Барт</t>
  </si>
  <si>
    <t>Клосберри Хели</t>
  </si>
  <si>
    <t>Вольфус Тюнтер</t>
  </si>
  <si>
    <t>Борольф Тер</t>
  </si>
  <si>
    <t>Клайсор Останис</t>
  </si>
  <si>
    <t>Гэллис Аанне</t>
  </si>
  <si>
    <t>Газар Орсити</t>
  </si>
  <si>
    <t>Гречко Арг</t>
  </si>
  <si>
    <t>Ласлон Акуба</t>
  </si>
  <si>
    <t>Горваль Забмер</t>
  </si>
  <si>
    <t>Оленничев Витор</t>
  </si>
  <si>
    <t>Годленд Торвальд</t>
  </si>
  <si>
    <t>Гохорн Кларк</t>
  </si>
  <si>
    <t>Госридж Кс</t>
  </si>
  <si>
    <t>Граанер Пауль</t>
  </si>
  <si>
    <t>Граловец Люк</t>
  </si>
  <si>
    <t>Гтабун Люкас</t>
  </si>
  <si>
    <t>Крустье Лаво</t>
  </si>
  <si>
    <t>Горышев Буулин</t>
  </si>
  <si>
    <t>Дециллий Алес</t>
  </si>
  <si>
    <t>Дорн Хехем</t>
  </si>
  <si>
    <t>Тярцев Тимур</t>
  </si>
  <si>
    <t>Эрд Богр</t>
  </si>
  <si>
    <t>Жтальберг Уси</t>
  </si>
  <si>
    <t>Тайнер Вуртас</t>
  </si>
  <si>
    <t>Роффманн Стонли</t>
  </si>
  <si>
    <t>Параль Орис</t>
  </si>
  <si>
    <t>Тутукун Буха</t>
  </si>
  <si>
    <t>Ааорно Ценли</t>
  </si>
  <si>
    <t>Муров Хогланд</t>
  </si>
  <si>
    <t>Туров Аальд</t>
  </si>
  <si>
    <t>Тиб Алистер</t>
  </si>
  <si>
    <t>Соржень Григор</t>
  </si>
  <si>
    <t>Соль Баллир</t>
  </si>
  <si>
    <t>Актукае Борис</t>
  </si>
  <si>
    <t>Согин Федот</t>
  </si>
  <si>
    <t>Краб Ксавьер</t>
  </si>
  <si>
    <t>Зараб Тростен</t>
  </si>
  <si>
    <t>Сёрон Цэрон</t>
  </si>
  <si>
    <t>Мервилаос Аппи</t>
  </si>
  <si>
    <t>Сенсор Элин</t>
  </si>
  <si>
    <t>Сордин Сординанд</t>
  </si>
  <si>
    <t>Вей Хакхог</t>
  </si>
  <si>
    <t>Алмиаго Иржас</t>
  </si>
  <si>
    <t>Лалминен Колли</t>
  </si>
  <si>
    <t>Салмин Оквал</t>
  </si>
  <si>
    <t>Штормов Александр</t>
  </si>
  <si>
    <t>Бьёстгор Харди</t>
  </si>
  <si>
    <t>Фольбыш Тонни</t>
  </si>
  <si>
    <t>Гольерди Востин</t>
  </si>
  <si>
    <t>Ютас-Гон Шен</t>
  </si>
  <si>
    <t>Торгорн Атэм</t>
  </si>
  <si>
    <t>Новачек Лот</t>
  </si>
  <si>
    <t>Новак Антон</t>
  </si>
  <si>
    <t>Шукан Йерг</t>
  </si>
  <si>
    <t>Орхотур Зонни</t>
  </si>
  <si>
    <t>Наовик Рэй</t>
  </si>
  <si>
    <t>Монли Олове</t>
  </si>
  <si>
    <t>Ёрвовис Бузин</t>
  </si>
  <si>
    <t>Мориззе Гогна</t>
  </si>
  <si>
    <t>Феелис Ланье</t>
  </si>
  <si>
    <t>Мапуак Ксон</t>
  </si>
  <si>
    <t>Маг Фиорт</t>
  </si>
  <si>
    <t>Лопатин Олег</t>
  </si>
  <si>
    <t>Гостер Ромет</t>
  </si>
  <si>
    <t>Ланге Фиц</t>
  </si>
  <si>
    <t>Лэммис Колин</t>
  </si>
  <si>
    <t>Рыбный Местор</t>
  </si>
  <si>
    <t>Колон Анноа</t>
  </si>
  <si>
    <t>Остичава Бон</t>
  </si>
  <si>
    <t>Кротс Томаш</t>
  </si>
  <si>
    <t>Гарвенни Мил</t>
  </si>
  <si>
    <t>Колзон Наберхт</t>
  </si>
  <si>
    <t>Кабута Атти</t>
  </si>
  <si>
    <t>Коварж Фекл</t>
  </si>
  <si>
    <t>Ко Гарси</t>
  </si>
  <si>
    <t>Кластен Пуби</t>
  </si>
  <si>
    <t>Гуннила Лонс</t>
  </si>
  <si>
    <t>Кит Охреба</t>
  </si>
  <si>
    <t>Куйгун Бастилло</t>
  </si>
  <si>
    <t>Кальдрин Олас</t>
  </si>
  <si>
    <t>Маттеос Дубон</t>
  </si>
  <si>
    <t>Ительбю Доллен</t>
  </si>
  <si>
    <t>Исланд Ижак</t>
  </si>
  <si>
    <t>Звер Одор</t>
  </si>
  <si>
    <t>Забров Кума</t>
  </si>
  <si>
    <t>Зоо-Лии Эх</t>
  </si>
  <si>
    <t>Зоннин Алексей</t>
  </si>
  <si>
    <t>Валеский Тадеуш</t>
  </si>
  <si>
    <t>Зовар Крэм</t>
  </si>
  <si>
    <t>Завадский Тад</t>
  </si>
  <si>
    <t>Дюгас Тон</t>
  </si>
  <si>
    <t>Дюрси Матье</t>
  </si>
  <si>
    <t>Дювально Люк</t>
  </si>
  <si>
    <t>Дюгуар Перни</t>
  </si>
  <si>
    <t>Гунаев Олег</t>
  </si>
  <si>
    <t>Дубровин Мош</t>
  </si>
  <si>
    <t>Домент Лука</t>
  </si>
  <si>
    <t>Донэрс Фриццо</t>
  </si>
  <si>
    <t>Дорзуг Даниэль</t>
  </si>
  <si>
    <t>Среднее по полю ОР</t>
  </si>
  <si>
    <t>Ланьерра Алон</t>
  </si>
  <si>
    <t>Гвард (Сар)</t>
  </si>
  <si>
    <t>Анхард (Гид)</t>
  </si>
  <si>
    <t>Вулкан (Кирп)</t>
  </si>
  <si>
    <t>Монарх (Бел)</t>
  </si>
  <si>
    <t>Вектор (Турн)</t>
  </si>
  <si>
    <t>Импульс (Клю)</t>
  </si>
  <si>
    <t>Фьорд (Кирп)</t>
  </si>
  <si>
    <t>Титан (Бел)</t>
  </si>
  <si>
    <t>Титан (П)</t>
  </si>
  <si>
    <t>Шторм (Своб)</t>
  </si>
  <si>
    <t>Сокол (Перс)</t>
  </si>
  <si>
    <t>КСоколов Сергей</t>
  </si>
  <si>
    <t>Бастион (Ост)</t>
  </si>
  <si>
    <t>Маяк (А.Н.)</t>
  </si>
  <si>
    <t>Легион (Орех)</t>
  </si>
  <si>
    <t>Щит (Сув)</t>
  </si>
  <si>
    <t>Утёс (Крыж)</t>
  </si>
  <si>
    <t>Утёслав Яп</t>
  </si>
  <si>
    <t>Ворон (К.С.)</t>
  </si>
  <si>
    <t>Алмаз (Нумб)</t>
  </si>
  <si>
    <t>Сумма по полю Стоимость</t>
  </si>
  <si>
    <t>Сумма по полю ЗП</t>
  </si>
  <si>
    <t>БЗП</t>
  </si>
  <si>
    <t>ДЗП</t>
  </si>
  <si>
    <t>Блонди Эрнест</t>
  </si>
  <si>
    <t>НаТрансф</t>
  </si>
  <si>
    <t>Зульджан Ахарти</t>
  </si>
  <si>
    <t>Костинир</t>
  </si>
  <si>
    <t>Вожак Арсений</t>
  </si>
  <si>
    <t>Ийограрф</t>
  </si>
  <si>
    <t>Кристоф</t>
  </si>
  <si>
    <t>Тонглдон</t>
  </si>
  <si>
    <t>Онтагор</t>
  </si>
  <si>
    <t>Тогурик Том</t>
  </si>
  <si>
    <t>Колкий Борис</t>
  </si>
  <si>
    <t>Дюгба Антолий</t>
  </si>
  <si>
    <t>Каньелис Угвей</t>
  </si>
  <si>
    <t>Алиссе Луран</t>
  </si>
  <si>
    <t>Нолий Раскар</t>
  </si>
  <si>
    <t>Эвиш Ласкес</t>
  </si>
  <si>
    <t>Хугура Велий</t>
  </si>
  <si>
    <t>Цэдиантон Яж</t>
  </si>
  <si>
    <t>К.К.</t>
  </si>
  <si>
    <t>Мерзония (В.И.)</t>
  </si>
  <si>
    <t>Архонт (Рекс)</t>
  </si>
  <si>
    <t>Гревус (Сар)</t>
  </si>
  <si>
    <t>Зорден (Бел)</t>
  </si>
  <si>
    <t>Иллюзионист (Вор)</t>
  </si>
  <si>
    <t>Император (Зол.Хол)</t>
  </si>
  <si>
    <t>Кассиопея (Лин)</t>
  </si>
  <si>
    <t>Кедр (Кедр)</t>
  </si>
  <si>
    <t>Кизово (Кут)</t>
  </si>
  <si>
    <t>Колосс (С.К.)</t>
  </si>
  <si>
    <t>Консул (Юл)</t>
  </si>
  <si>
    <t>Марлот (Сул)</t>
  </si>
  <si>
    <t>Одас (С.К.)</t>
  </si>
  <si>
    <t>Оникс (Турн)</t>
  </si>
  <si>
    <t>Пламя (Заг)</t>
  </si>
  <si>
    <t>Редаль (Н.С.)</t>
  </si>
  <si>
    <t>Ромаж (Павс)</t>
  </si>
  <si>
    <t>Сирень(Павс)</t>
  </si>
  <si>
    <t>Тайфун (А.Н.)</t>
  </si>
  <si>
    <t>Терлим (Д.С.)</t>
  </si>
  <si>
    <t>Тиок (Вар)</t>
  </si>
  <si>
    <t>Фоксхэм (Бел)</t>
  </si>
  <si>
    <t>Ли На</t>
  </si>
  <si>
    <t>Ван Лэй</t>
  </si>
  <si>
    <t>Смирнов Александр</t>
  </si>
  <si>
    <t>Кузнецов Дмитрий</t>
  </si>
  <si>
    <t>Гарсиа Мария</t>
  </si>
  <si>
    <t>Петров Иван</t>
  </si>
  <si>
    <t>Браун Майкл</t>
  </si>
  <si>
    <t>Шарма Прия</t>
  </si>
  <si>
    <t>Лоран Софи</t>
  </si>
  <si>
    <t>Нилсен Томас</t>
  </si>
  <si>
    <t>Ривера Матео</t>
  </si>
  <si>
    <t>Шнайдер Клаус</t>
  </si>
  <si>
    <t>Тейлор Лора</t>
  </si>
  <si>
    <t>Мендоса Карлос</t>
  </si>
  <si>
    <t>Мартен Антуан</t>
  </si>
  <si>
    <t>Бернар Камиль</t>
  </si>
  <si>
    <t>Андерсен Ларс</t>
  </si>
  <si>
    <t>Вебер Петер</t>
  </si>
  <si>
    <t>Морозов Алексей</t>
  </si>
  <si>
    <t>Уильямс Джеймс</t>
  </si>
  <si>
    <t>Рохас Андрес</t>
  </si>
  <si>
    <t>Пети Элен</t>
  </si>
  <si>
    <t>Ольсен Нильс</t>
  </si>
  <si>
    <t>Аарук Аред</t>
  </si>
  <si>
    <t>Лефевр Жанер</t>
  </si>
  <si>
    <t>Лопсерд Гуан</t>
  </si>
  <si>
    <t>Гюбуа Тъер</t>
  </si>
  <si>
    <t>Соколов Ольган</t>
  </si>
  <si>
    <t>Маллер Фанс</t>
  </si>
  <si>
    <t>Смитс Джор</t>
  </si>
  <si>
    <t>Джонсон Эми</t>
  </si>
  <si>
    <t>Дьюпонс Мари</t>
  </si>
  <si>
    <t>Гутьеррес Мони</t>
  </si>
  <si>
    <t>Ломбарди Марий</t>
  </si>
  <si>
    <t>Ланзоззи</t>
  </si>
  <si>
    <t>Топовар</t>
  </si>
  <si>
    <t>Шмидер Анс</t>
  </si>
  <si>
    <t>Уилсон Сарэ</t>
  </si>
  <si>
    <t>Бауэр Хель</t>
  </si>
  <si>
    <t>Конти Франчес</t>
  </si>
  <si>
    <t>Бюран Филипп</t>
  </si>
  <si>
    <t>Иварон Сергей</t>
  </si>
  <si>
    <t>Ларсенс Ингрид</t>
  </si>
  <si>
    <t>Васкес Пала</t>
  </si>
  <si>
    <t>Перуц Розан</t>
  </si>
  <si>
    <t>Торсес Таэль</t>
  </si>
  <si>
    <t>Рицци</t>
  </si>
  <si>
    <t>Фишер Урула</t>
  </si>
  <si>
    <t>Хольм Сигиди</t>
  </si>
  <si>
    <t>Исикав Аре</t>
  </si>
  <si>
    <t>Волковас Катен</t>
  </si>
  <si>
    <t>Дэвисма</t>
  </si>
  <si>
    <t>Фузими</t>
  </si>
  <si>
    <t>Огакур</t>
  </si>
  <si>
    <t>Кимуарут</t>
  </si>
  <si>
    <t>Чаоин</t>
  </si>
  <si>
    <t>Чаорт</t>
  </si>
  <si>
    <t>Менивьят</t>
  </si>
  <si>
    <t>Раалид</t>
  </si>
  <si>
    <t>Юдиран</t>
  </si>
  <si>
    <t>Юнжигас</t>
  </si>
  <si>
    <t>Каорхе</t>
  </si>
  <si>
    <t>Кэйтар</t>
  </si>
  <si>
    <t>Накамит</t>
  </si>
  <si>
    <t>Лунь Виктор</t>
  </si>
  <si>
    <t>Синх Викрам</t>
  </si>
  <si>
    <t>Девинитав</t>
  </si>
  <si>
    <t>Каруз</t>
  </si>
  <si>
    <t>Демше</t>
  </si>
  <si>
    <t>Ватарман</t>
  </si>
  <si>
    <t>Хасика</t>
  </si>
  <si>
    <t>Хонин</t>
  </si>
  <si>
    <t>Танроси</t>
  </si>
  <si>
    <t>Санкивоз</t>
  </si>
  <si>
    <t>Кимину</t>
  </si>
  <si>
    <t>Пажичкин</t>
  </si>
  <si>
    <t>Фернанд Луис</t>
  </si>
  <si>
    <t>Рорес Камен</t>
  </si>
  <si>
    <t>Роанока</t>
  </si>
  <si>
    <t>Ромулсев</t>
  </si>
  <si>
    <t>Ямарост</t>
  </si>
  <si>
    <t>Коба Ако</t>
  </si>
  <si>
    <t>Варет Пинт</t>
  </si>
  <si>
    <t>Тин Изер</t>
  </si>
  <si>
    <t>Бастрид</t>
  </si>
  <si>
    <t>Молсент</t>
  </si>
  <si>
    <t>Фантомми</t>
  </si>
  <si>
    <t>Брюрехт</t>
  </si>
  <si>
    <t>МакСунли</t>
  </si>
  <si>
    <t>Хаклойда</t>
  </si>
  <si>
    <t>Шаннот</t>
  </si>
  <si>
    <t>Квазионни</t>
  </si>
  <si>
    <t>Сурмех</t>
  </si>
  <si>
    <t>Густафор Роам</t>
  </si>
  <si>
    <t>Уззенли</t>
  </si>
  <si>
    <t>Горших</t>
  </si>
  <si>
    <t>Аллерий</t>
  </si>
  <si>
    <t>Скалзар</t>
  </si>
  <si>
    <t>Легионеров Олег</t>
  </si>
  <si>
    <t>Ванн Кесар</t>
  </si>
  <si>
    <t>Артемис</t>
  </si>
  <si>
    <t>Кузовой</t>
  </si>
  <si>
    <t>Трошан Валерий</t>
  </si>
  <si>
    <t>К.Р.</t>
  </si>
  <si>
    <t>Куст Ревени (К.Р.)</t>
  </si>
  <si>
    <t>Палонций</t>
  </si>
  <si>
    <t>Аврелли</t>
  </si>
  <si>
    <t>Брутос</t>
  </si>
  <si>
    <t>Талантов Константин</t>
  </si>
  <si>
    <t>Увязов</t>
  </si>
  <si>
    <t>Красиль</t>
  </si>
  <si>
    <t>Тон Тавьер</t>
  </si>
  <si>
    <t>Глацер</t>
  </si>
  <si>
    <t>Востерри</t>
  </si>
  <si>
    <t>Архания</t>
  </si>
  <si>
    <t>Дыманов</t>
  </si>
  <si>
    <t>Цыба</t>
  </si>
  <si>
    <t>Ютюр</t>
  </si>
  <si>
    <t>Квархардионна</t>
  </si>
  <si>
    <t>Яхр Зыбьюр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</si>
</sst>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" fillId="0" borderId="3" xfId="0" applyFont="1" applyFill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23.974225347221" createdVersion="7" refreshedVersion="7" minRefreshableVersion="3" recordCount="2928" xr:uid="{70743B01-B283-48FC-B38E-43BF0E84B9D0}">
  <cacheSource type="worksheet">
    <worksheetSource ref="B1:AA1048576" sheet="Игроки"/>
  </cacheSource>
  <cacheFields count="26">
    <cacheField name="Имя" numFmtId="0">
      <sharedItems containsBlank="1"/>
    </cacheField>
    <cacheField name="позиция" numFmtId="0">
      <sharedItems containsBlank="1" count="6">
        <s v="В"/>
        <s v="З"/>
        <s v="Н"/>
        <s v="П"/>
        <s v="Т"/>
        <m/>
      </sharedItems>
    </cacheField>
    <cacheField name="спец1" numFmtId="0">
      <sharedItems containsBlank="1"/>
    </cacheField>
    <cacheField name="спец2" numFmtId="0">
      <sharedItems containsBlank="1"/>
    </cacheField>
    <cacheField name="спец3" numFmtId="0">
      <sharedItems containsBlank="1"/>
    </cacheField>
    <cacheField name="сборная" numFmtId="0">
      <sharedItems containsBlank="1"/>
    </cacheField>
    <cacheField name="гражд1" numFmtId="0">
      <sharedItems containsBlank="1"/>
    </cacheField>
    <cacheField name="гражд2" numFmtId="0">
      <sharedItems containsBlank="1"/>
    </cacheField>
    <cacheField name="клуб" numFmtId="0">
      <sharedItems containsBlank="1" count="120">
        <s v="Аграва (Сул)"/>
        <s v="Азорден (Бел)"/>
        <s v="Акасимо (Лищ)"/>
        <s v="Аларих (Вар)"/>
        <s v="Алмаз (Нумб)"/>
        <s v="Алмер (Зар)"/>
        <s v="Альфадонта (Бел)"/>
        <s v="Анарх (Орл)"/>
        <s v="Анархист (Нест)"/>
        <s v="Анозора (Бел)"/>
        <s v="Анхард (Гид)"/>
        <s v="Анхель (Нест)"/>
        <s v="Бастион (Ост)"/>
        <s v="БеЛеС (Б.Л.)"/>
        <s v="Больбон (Нал)"/>
        <s v="Бордино (Кут)"/>
        <s v="Браус (Турк)"/>
        <s v="Бриск (С.К.)"/>
        <s v="Бьерг (Ост)"/>
        <s v="В.С. (Вор)"/>
        <s v="Валшер (Мох)"/>
        <s v="Вектор (Турн)"/>
        <s v="Витязь  (Сув)"/>
        <s v="Вондерс (Щеб)"/>
        <s v="Ворон (К.С.)"/>
        <s v="Восток (Н.С.)"/>
        <s v="Враул (Б.Л.)"/>
        <s v="Вулкан (Кирп)"/>
        <s v="Гвард (Сар)"/>
        <s v="Генуа (Бел)"/>
        <s v="Глеббер (Зол.Хол)"/>
        <s v="Гора (Над)"/>
        <s v="Грайц (Заг)"/>
        <s v="ГФКГ (Генуа)"/>
        <s v="Джаливиа (Сул)"/>
        <s v="Донтор (Бел)"/>
        <s v="Едань (Ард)"/>
        <s v="Ёрмер (Кирп)"/>
        <s v="Жанжак (Вал)"/>
        <s v="ЖЕЗЛ (Лищ)"/>
        <s v="Зельполь"/>
        <s v="Зетер (Тел)"/>
        <s v="Зихань (Кол)"/>
        <s v="Золотник (Черл)"/>
        <s v="Зулеохха (С.С.)"/>
        <s v="Импульс (Клю)"/>
        <s v="Инги (Кирп)"/>
        <s v="Исинодор"/>
        <s v="Классик"/>
        <s v="Контрол (Смор)"/>
        <s v="Корсар (Турк)"/>
        <s v="Косарло"/>
        <s v="Лагес (В.И.)"/>
        <s v="Легион (Орех)"/>
        <s v="Лелон (Лес)"/>
        <s v="Лорхен (В.И.)"/>
        <s v="Маяк (А.Н.)"/>
        <s v="Миат (А.Н.)"/>
        <s v="Микса (Туркан)"/>
        <s v="Молния (Павс)"/>
        <s v="Монарх (Бел)"/>
        <s v="Монреаль (В.И.)"/>
        <s v="Монрель (В.И.)"/>
        <s v="Мончарлотес (В.И.)"/>
        <s v="Мьер"/>
        <s v="Неаполис"/>
        <s v="Нелли (Переп)"/>
        <s v="Норвек (Хан)"/>
        <s v="Нью-Грин (Лес)"/>
        <s v="О,ЗЕ"/>
        <s v="ОКСАиТ (В.И.)"/>
        <s v="Оксара (В.И.)"/>
        <s v="Планарио (К.С.)"/>
        <s v="Притвоит (Бел)"/>
        <s v="Р.М. (Мох)"/>
        <s v="Реал Малиновск (Мал)"/>
        <s v="Реал Сербер (В.И.)"/>
        <s v="Саквоаж"/>
        <s v="Самптофия (В.И.)"/>
        <s v="Север (Ост)"/>
        <s v="Сербер (В.И.)"/>
        <s v="Сибуй"/>
        <s v="Сиин (Биссий)"/>
        <s v="Скаирс (В.И.)"/>
        <s v="Снегополис (Снег)"/>
        <s v="Сокол (Перс)"/>
        <s v="Солват (Сул)"/>
        <s v="Стандарт"/>
        <s v="Стрела (Зел.Хол)"/>
        <s v="Теодид (Кедр)"/>
        <s v="Титан (Бел)"/>
        <s v="Тишкилет (Киш)"/>
        <s v="Торнадо (Рекс)"/>
        <s v="Утёс (Крыж)"/>
        <s v="Фительн (А.Н.)"/>
        <s v="ФК Зарайск (Зар)"/>
        <s v="ФК Мейчел (Р.Т.)"/>
        <s v="ФК Победа (В.И.)"/>
        <s v="ФК Свобода (Тури)"/>
        <s v="ФК Цель (Юл)"/>
        <s v="ФК Чернез (Ч.Л.)"/>
        <s v="Фьорд (Кирп)"/>
        <s v="Центр (В.И.)"/>
        <s v="Центурион (Орех)"/>
        <s v="Цербер (В.И.)"/>
        <s v="Циклон (В.И.)"/>
        <s v="Цирконий (Лин)"/>
        <s v="Цитадель (Зем)"/>
        <s v="Чинхань (Мам)"/>
        <s v="Шайтан (С.С.)"/>
        <s v="Шахтер(Шах)"/>
        <s v="Шиатиа"/>
        <s v="Шрит"/>
        <s v="Шторм (Своб)"/>
        <s v="Щит (Сув)"/>
        <s v="Эсса"/>
        <s v="Юг (Вод)"/>
        <s v="Юризань (Рекс)"/>
        <s v="Юристер (Д.С.)"/>
        <m/>
      </sharedItems>
    </cacheField>
    <cacheField name="ОрдКлуб" numFmtId="0">
      <sharedItems containsBlank="1"/>
    </cacheField>
    <cacheField name="Аренда" numFmtId="0">
      <sharedItems containsNonDate="0" containsString="0" containsBlank="1"/>
    </cacheField>
    <cacheField name="ОР" numFmtId="0">
      <sharedItems containsString="0" containsBlank="1" containsNumber="1" minValue="24.428571428571427" maxValue="97.571428571428569"/>
    </cacheField>
    <cacheField name="Аура" numFmtId="0">
      <sharedItems containsString="0" containsBlank="1" containsNumber="1" containsInteger="1" minValue="6" maxValue="100"/>
    </cacheField>
    <cacheField name="Скорость" numFmtId="0">
      <sharedItems containsString="0" containsBlank="1" containsNumber="1" containsInteger="1" minValue="20" maxValue="100"/>
    </cacheField>
    <cacheField name="Удар" numFmtId="0">
      <sharedItems containsString="0" containsBlank="1" containsNumber="1" containsInteger="1" minValue="12" maxValue="100"/>
    </cacheField>
    <cacheField name="Пас" numFmtId="0">
      <sharedItems containsString="0" containsBlank="1" containsNumber="1" containsInteger="1" minValue="22" maxValue="100"/>
    </cacheField>
    <cacheField name="Отбор" numFmtId="0">
      <sharedItems containsString="0" containsBlank="1" containsNumber="1" containsInteger="1" minValue="30" maxValue="100"/>
    </cacheField>
    <cacheField name="Верх" numFmtId="0">
      <sharedItems containsString="0" containsBlank="1" containsNumber="1" containsInteger="1" minValue="32" maxValue="100"/>
    </cacheField>
    <cacheField name="Тактика" numFmtId="0">
      <sharedItems containsString="0" containsBlank="1" containsNumber="1" containsInteger="1" minValue="6" maxValue="100"/>
    </cacheField>
    <cacheField name="Перки" numFmtId="0">
      <sharedItems containsString="0" containsBlank="1" containsNumber="1" containsInteger="1" minValue="0" maxValue="31"/>
    </cacheField>
    <cacheField name="Стоимость" numFmtId="0">
      <sharedItems containsString="0" containsBlank="1" containsNumber="1" containsInteger="1" minValue="76" maxValue="117305371"/>
    </cacheField>
    <cacheField name="ЗП" numFmtId="0">
      <sharedItems containsString="0" containsBlank="1" containsNumber="1" minValue="6.333333333333333" maxValue="9775447.583333334"/>
    </cacheField>
    <cacheField name="Состояние" numFmtId="0">
      <sharedItems containsString="0" containsBlank="1" containsNumber="1" containsInteger="1" minValue="0" maxValue="0"/>
    </cacheField>
    <cacheField name="БЗП" numFmtId="0">
      <sharedItems containsString="0" containsBlank="1" containsNumber="1" minValue="6.333333333333333" maxValue="9775447.583333334"/>
    </cacheField>
    <cacheField name="ДЗП" numFmtId="0">
      <sharedItems containsString="0" containsBlank="1" containsNumber="1" minValue="-99.91" maxValue="55.39"/>
    </cacheField>
    <cacheField name="НаТрансф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25.504567824071" createdVersion="7" refreshedVersion="7" minRefreshableVersion="3" recordCount="2936" xr:uid="{3E6FC949-7F47-4612-96D2-9C90C00710F9}">
  <cacheSource type="worksheet">
    <worksheetSource ref="B1:X1048576" sheet="Игроки"/>
  </cacheSource>
  <cacheFields count="23">
    <cacheField name="Имя" numFmtId="0">
      <sharedItems containsBlank="1"/>
    </cacheField>
    <cacheField name="позиция" numFmtId="0">
      <sharedItems containsBlank="1"/>
    </cacheField>
    <cacheField name="спец1" numFmtId="0">
      <sharedItems containsBlank="1"/>
    </cacheField>
    <cacheField name="спец2" numFmtId="0">
      <sharedItems containsBlank="1"/>
    </cacheField>
    <cacheField name="спец3" numFmtId="0">
      <sharedItems containsBlank="1"/>
    </cacheField>
    <cacheField name="сборная" numFmtId="0">
      <sharedItems containsBlank="1"/>
    </cacheField>
    <cacheField name="гражд1" numFmtId="0">
      <sharedItems containsBlank="1"/>
    </cacheField>
    <cacheField name="гражд2" numFmtId="0">
      <sharedItems containsBlank="1"/>
    </cacheField>
    <cacheField name="клуб" numFmtId="0">
      <sharedItems containsBlank="1" count="182">
        <s v="Аграва (Сул)"/>
        <s v="Азорден (Бел)"/>
        <s v="Акасимо (Лищ)"/>
        <s v="Аларих (Вар)"/>
        <s v="Алмаз (Нумб)"/>
        <s v="Алмер (Зар)"/>
        <s v="Альфадонта (Бел)"/>
        <s v="Анарх (Орл)"/>
        <s v="Анархист (Нест)"/>
        <s v="Анозора (Бел)"/>
        <s v="Анхард (Гид)"/>
        <s v="Анхель (Нест)"/>
        <s v="Бастион (Ост)"/>
        <s v="БеЛеС (Б.Л.)"/>
        <s v="Больбон (Нал)"/>
        <s v="Бордино (Кут)"/>
        <s v="Браус (Турк)"/>
        <s v="Бриск (С.К.)"/>
        <s v="Бьерг (Ост)"/>
        <s v="В.С. (Вор)"/>
        <s v="Валшер (Мох)"/>
        <s v="Вектор (Турн)"/>
        <s v="Витязь  (Сув)"/>
        <s v="Вондерс (Щеб)"/>
        <s v="Ворон (К.С.)"/>
        <s v="Восток (Н.С.)"/>
        <s v="Враул (Б.Л.)"/>
        <s v="Вулкан (Кирп)"/>
        <s v="Гвард (Сар)"/>
        <s v="Генуа (Бел)"/>
        <s v="Глеббер (Зол.Хол)"/>
        <s v="Гора (Над)"/>
        <s v="Грайц (Заг)"/>
        <s v="ГФКГ (Генуа)"/>
        <s v="Джаливиа (Сул)"/>
        <s v="Донтор (Бел)"/>
        <s v="Едань (Ард)"/>
        <s v="Ёрмер (Кирп)"/>
        <s v="Жанжак (Вал)"/>
        <s v="ЖЕЗЛ (Лищ)"/>
        <s v="Зельполь"/>
        <s v="Зетер (Тел)"/>
        <s v="Зихань (Кол)"/>
        <s v="Золотник (Черл)"/>
        <s v="Зулеохха (С.С.)"/>
        <s v="Импульс (Клю)"/>
        <s v="Инги (Кирп)"/>
        <s v="Исинодор"/>
        <s v="Классик"/>
        <s v="Контрол (Смор)"/>
        <s v="Корсар (Турк)"/>
        <s v="Косарло"/>
        <s v="Лагес (В.И.)"/>
        <s v="Легион (Орех)"/>
        <s v="Лелон (Лес)"/>
        <s v="Лорхен (В.И.)"/>
        <s v="Маяк (А.Н.)"/>
        <s v="Миат (А.Н.)"/>
        <s v="Микса (Туркан)"/>
        <s v="Молния (Павс)"/>
        <s v="Монарх (Бел)"/>
        <s v="Монреаль (В.И.)"/>
        <s v="Монрель (В.И.)"/>
        <s v="Мончарлотес (В.И.)"/>
        <s v="Мьер"/>
        <s v="Неаполис"/>
        <s v="Нелли (Переп)"/>
        <s v="Норвек (Хан)"/>
        <s v="Нью-Грин (Лес)"/>
        <s v="О,ЗЕ"/>
        <s v="ОКСАиТ (В.И.)"/>
        <s v="Оксара (В.И.)"/>
        <s v="Планарио (К.С.)"/>
        <s v="Притвоит (Бел)"/>
        <s v="Р.М. (Мох)"/>
        <s v="Реал Малиновск (Мал)"/>
        <s v="Реал Сербер (В.И.)"/>
        <s v="Саквоаж"/>
        <s v="Самптофия (В.И.)"/>
        <s v="Север (Ост)"/>
        <s v="Мерзония (В.И.)"/>
        <s v="Сибуй"/>
        <s v="Сиин (Биссий)"/>
        <s v="Скаирс (В.И.)"/>
        <s v="Снегополис (Снег)"/>
        <s v="Сокол (Перс)"/>
        <s v="Солват (Сул)"/>
        <s v="Стандарт"/>
        <s v="Стрела (Зел.Хол)"/>
        <s v="Теодид (Кедр)"/>
        <s v="Титан (Бел)"/>
        <s v="Тишкилет (Киш)"/>
        <s v="Торнадо (Рекс)"/>
        <s v="Утёс (Крыж)"/>
        <s v="Фительн (А.Н.)"/>
        <s v="ФК Зарайск (Зар)"/>
        <s v="ФК Мейчел (Р.Т.)"/>
        <s v="ФК Победа (В.И.)"/>
        <s v="ФК Свобода (Тури)"/>
        <s v="ФК Цель (Юл)"/>
        <s v="ФК Чернез (Ч.Л.)"/>
        <s v="Фьорд (Кирп)"/>
        <s v="Центр (В.И.)"/>
        <s v="Центурион (Орех)"/>
        <s v="Цербер (В.И.)"/>
        <s v="Циклон (В.И.)"/>
        <s v="Цирконий (Лин)"/>
        <s v="Цитадель (Зем)"/>
        <s v="Чинхань (Мам)"/>
        <s v="Шайтан (С.С.)"/>
        <s v="Шахтер(Шах)"/>
        <s v="Шиатиа"/>
        <s v="Шрит"/>
        <s v="Шторм (Своб)"/>
        <s v="Щит (Сув)"/>
        <s v="Эсса"/>
        <s v="Юг (Вод)"/>
        <s v="Юризань (Рекс)"/>
        <s v="Юристер (Д.С.)"/>
        <m/>
        <s v="Архонт (Рекс)"/>
        <s v="Гревус (Сар)"/>
        <s v="Зорден (Бел)"/>
        <s v="Иллюзионист (Вор)"/>
        <s v="Император (Зол.Хол)"/>
        <s v="Кассиопея (Лин)"/>
        <s v="Кедр (Кедр)"/>
        <s v="Кизово (Кут)"/>
        <s v="Колосс (С.К.)"/>
        <s v="Консул (Юл)"/>
        <s v="Куст Ревени (К.Р.)"/>
        <s v="Марлот (Сул)"/>
        <s v="Одас (С.К.)"/>
        <s v="Оникс (Турн)"/>
        <s v="Пламя (Заг)"/>
        <s v="Редаль (Н.С.)"/>
        <s v="Ромаж (Павс)"/>
        <s v="Сирень(Павс)"/>
        <s v="Тайфун (А.Н.)"/>
        <s v="Терлим (Д.С.)"/>
        <s v="Тиок (Вар)"/>
        <s v="Фоксхэм (Бел)"/>
        <s v="Сиин (В.И.)" u="1"/>
        <s v="З.В. (Кирп)" u="1"/>
        <s v="ДЛВ (Нумб)" u="1"/>
        <s v="Циклон" u="1"/>
        <s v="Черномор (Сув)" u="1"/>
        <s v="Сербер (В.И.)" u="1"/>
        <s v="Монрель" u="1"/>
        <s v="Тролл (А.Н.)" u="1"/>
        <s v="Скаирс" u="1"/>
        <s v="Мончарлотес" u="1"/>
        <s v="Зубр (Турн)" u="1"/>
        <s v="Стрела (Черл)" u="1"/>
        <s v="Витязь  (Сув В.И.)" u="1"/>
        <s v="Лорхен" u="1"/>
        <s v="Браус (Монрель)" u="1"/>
        <s v="Кравд (Клю)" u="1"/>
        <s v="Валшер (Шкатно Мох)" u="1"/>
        <s v="Мишель (Бел)" u="1"/>
        <s v="Нелли (В.И.)" u="1"/>
        <s v="В.Ж. (К.С.)" u="1"/>
        <s v="Мотер (Своб)" u="1"/>
        <s v="Волс (Крыж)" u="1"/>
        <s v="ДЛВ (Монрель)" u="1"/>
        <s v="Витязь (Сув)" u="1"/>
        <s v="ОЗЛ (Перс)" u="1"/>
        <s v="Цербер" u="1"/>
        <s v="Реал Сербер" u="1"/>
        <s v="Черномор" u="1"/>
        <s v="Реал Малиновск" u="1"/>
        <s v="Лагес" u="1"/>
        <s v="Кусер (Кирп)" u="1"/>
        <s v="Бьерг (Сав Ост)" u="1"/>
        <s v="ФК ЮС (Орех)" u="1"/>
        <s v="Сербер" u="1"/>
        <s v="Оксара" u="1"/>
        <s v="Монреаль" u="1"/>
        <s v="Острийц (Ост)" u="1"/>
        <s v="Анария (Сар)" u="1"/>
        <s v="Центр" u="1"/>
        <s v="Анаха (Гид)" u="1"/>
      </sharedItems>
    </cacheField>
    <cacheField name="ОрдКлуб" numFmtId="0">
      <sharedItems containsBlank="1" count="11">
        <s v="Эвон"/>
        <s v="Мель"/>
        <s v="Бельск"/>
        <s v="Лион"/>
        <s v="Дант"/>
        <s v="Тевт"/>
        <s v="Эстон"/>
        <s v="Фин"/>
        <s v="Кеор"/>
        <s v="Лив"/>
        <m/>
      </sharedItems>
    </cacheField>
    <cacheField name="Аренда" numFmtId="0">
      <sharedItems containsNonDate="0" containsString="0" containsBlank="1"/>
    </cacheField>
    <cacheField name="ОР" numFmtId="0">
      <sharedItems containsString="0" containsBlank="1" containsNumber="1" minValue="16.857142857142858" maxValue="97.571428571428569"/>
    </cacheField>
    <cacheField name="Аура" numFmtId="0">
      <sharedItems containsString="0" containsBlank="1" containsNumber="1" containsInteger="1" minValue="5" maxValue="100"/>
    </cacheField>
    <cacheField name="Скорость" numFmtId="0">
      <sharedItems containsString="0" containsBlank="1" containsNumber="1" containsInteger="1" minValue="5" maxValue="100"/>
    </cacheField>
    <cacheField name="Удар" numFmtId="0">
      <sharedItems containsString="0" containsBlank="1" containsNumber="1" containsInteger="1" minValue="5" maxValue="100"/>
    </cacheField>
    <cacheField name="Пас" numFmtId="0">
      <sharedItems containsString="0" containsBlank="1" containsNumber="1" containsInteger="1" minValue="8" maxValue="100"/>
    </cacheField>
    <cacheField name="Отбор" numFmtId="0">
      <sharedItems containsString="0" containsBlank="1" containsNumber="1" containsInteger="1" minValue="6" maxValue="100"/>
    </cacheField>
    <cacheField name="Верх" numFmtId="0">
      <sharedItems containsString="0" containsBlank="1" containsNumber="1" containsInteger="1" minValue="7" maxValue="100"/>
    </cacheField>
    <cacheField name="Тактика" numFmtId="0">
      <sharedItems containsString="0" containsBlank="1" containsNumber="1" containsInteger="1" minValue="5" maxValue="100"/>
    </cacheField>
    <cacheField name="Перки" numFmtId="0">
      <sharedItems containsString="0" containsBlank="1" containsNumber="1" containsInteger="1" minValue="0" maxValue="31"/>
    </cacheField>
    <cacheField name="Стоимость" numFmtId="0">
      <sharedItems containsString="0" containsBlank="1" containsNumber="1" containsInteger="1" minValue="2" maxValue="117305371"/>
    </cacheField>
    <cacheField name="ЗП" numFmtId="0">
      <sharedItems containsString="0" containsBlank="1" containsNumber="1" minValue="6.333333333333333" maxValue="9775447.583333334"/>
    </cacheField>
    <cacheField name="Состояние" numFmtId="0">
      <sharedItems containsString="0" containsBlank="1" containsNumber="1" containsInteger="1" minValue="0" maxValue="1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28">
  <r>
    <s v="Бэйгуш-Морэль"/>
    <x v="0"/>
    <s v="В"/>
    <m/>
    <m/>
    <m/>
    <s v="Сул"/>
    <s v="Сул"/>
    <x v="0"/>
    <s v="Эвон"/>
    <m/>
    <n v="61.142857142857146"/>
    <n v="16"/>
    <n v="77"/>
    <n v="69"/>
    <n v="75"/>
    <n v="77"/>
    <n v="79"/>
    <n v="35"/>
    <n v="0"/>
    <n v="730226"/>
    <n v="60852.166666666664"/>
    <n v="0"/>
    <n v="60852.166666666664"/>
    <n v="0"/>
    <n v="0"/>
  </r>
  <r>
    <s v="Жрэль Януарий"/>
    <x v="0"/>
    <s v="В"/>
    <m/>
    <m/>
    <m/>
    <s v="Сул"/>
    <s v="Сул"/>
    <x v="0"/>
    <s v="Эвон"/>
    <m/>
    <n v="63.571428571428569"/>
    <n v="18"/>
    <n v="81"/>
    <n v="71"/>
    <n v="77"/>
    <n v="79"/>
    <n v="81"/>
    <n v="38"/>
    <n v="0"/>
    <n v="1078003"/>
    <n v="89833.583333333328"/>
    <n v="0"/>
    <n v="89833.583333333328"/>
    <n v="0"/>
    <n v="0"/>
  </r>
  <r>
    <s v="Денетц Рой"/>
    <x v="1"/>
    <s v="ЦЗ"/>
    <s v="ЛЗ"/>
    <m/>
    <m/>
    <s v="Сул"/>
    <s v="Сул"/>
    <x v="0"/>
    <s v="Эвон"/>
    <m/>
    <n v="65"/>
    <n v="21"/>
    <n v="85"/>
    <n v="73"/>
    <n v="77"/>
    <n v="79"/>
    <n v="81"/>
    <n v="39"/>
    <n v="0"/>
    <n v="1346275"/>
    <n v="112189.58333333333"/>
    <n v="0"/>
    <n v="112189.58333333333"/>
    <n v="0"/>
    <n v="0"/>
  </r>
  <r>
    <s v="Лаггиззи"/>
    <x v="1"/>
    <s v="ПЗ"/>
    <s v="ЦЗ"/>
    <m/>
    <s v="Сул"/>
    <s v="Сул"/>
    <s v="Сул"/>
    <x v="0"/>
    <s v="Эвон"/>
    <m/>
    <n v="84.142857142857139"/>
    <n v="70"/>
    <n v="96"/>
    <n v="80"/>
    <n v="87"/>
    <n v="86"/>
    <n v="84"/>
    <n v="86"/>
    <n v="27"/>
    <n v="26684792"/>
    <n v="2223732.6666666665"/>
    <n v="0"/>
    <n v="2223732.6666666665"/>
    <n v="0"/>
    <n v="0"/>
  </r>
  <r>
    <s v="Ортонс Люкси"/>
    <x v="1"/>
    <s v="ЦЗ"/>
    <s v="ОПЗ"/>
    <m/>
    <m/>
    <s v="Сул"/>
    <s v="Сул"/>
    <x v="0"/>
    <s v="Эвон"/>
    <m/>
    <n v="60.142857142857146"/>
    <n v="16"/>
    <n v="80"/>
    <n v="67"/>
    <n v="73"/>
    <n v="75"/>
    <n v="77"/>
    <n v="33"/>
    <n v="0"/>
    <n v="619214"/>
    <n v="51601.166666666664"/>
    <n v="0"/>
    <n v="51601.166666666664"/>
    <n v="0"/>
    <n v="0"/>
  </r>
  <r>
    <s v="Саор Кириан"/>
    <x v="1"/>
    <s v="ЛЗ"/>
    <s v="ЦЗ"/>
    <m/>
    <m/>
    <s v="Сул"/>
    <s v="Сул"/>
    <x v="0"/>
    <s v="Эвон"/>
    <m/>
    <n v="64.571428571428569"/>
    <n v="20"/>
    <n v="84"/>
    <n v="73"/>
    <n v="77"/>
    <n v="79"/>
    <n v="81"/>
    <n v="38"/>
    <n v="0"/>
    <n v="1260097"/>
    <n v="105008.08333333333"/>
    <n v="0"/>
    <n v="105008.08333333333"/>
    <n v="0"/>
    <n v="0"/>
  </r>
  <r>
    <s v="ТьюндрТаг"/>
    <x v="1"/>
    <s v="ПЗ"/>
    <s v="ЦЗ"/>
    <m/>
    <m/>
    <s v="Сул"/>
    <s v="Сул"/>
    <x v="0"/>
    <s v="Эвон"/>
    <m/>
    <n v="62.857142857142854"/>
    <n v="19"/>
    <n v="83"/>
    <n v="71"/>
    <n v="75"/>
    <n v="77"/>
    <n v="79"/>
    <n v="36"/>
    <n v="0"/>
    <n v="962823"/>
    <n v="80235.25"/>
    <n v="0"/>
    <n v="80235.25"/>
    <n v="0"/>
    <n v="0"/>
  </r>
  <r>
    <s v="Ураэт Ян"/>
    <x v="1"/>
    <s v="ПЗ"/>
    <s v="ЛЗ"/>
    <m/>
    <m/>
    <s v="Сул"/>
    <s v="Сул"/>
    <x v="0"/>
    <s v="Эвон"/>
    <m/>
    <n v="59.857142857142854"/>
    <n v="16"/>
    <n v="79"/>
    <n v="67"/>
    <n v="73"/>
    <n v="75"/>
    <n v="77"/>
    <n v="32"/>
    <n v="0"/>
    <n v="590419"/>
    <n v="49201.583333333336"/>
    <n v="0"/>
    <n v="49201.583333333336"/>
    <n v="0"/>
    <n v="0"/>
  </r>
  <r>
    <s v="Дайавш Эрл"/>
    <x v="2"/>
    <s v="ОФ"/>
    <s v="ЦН"/>
    <m/>
    <m/>
    <s v="Сул"/>
    <s v="Сул"/>
    <x v="0"/>
    <s v="Эвон"/>
    <m/>
    <n v="60.142857142857146"/>
    <n v="17"/>
    <n v="79"/>
    <n v="67"/>
    <n v="73"/>
    <n v="75"/>
    <n v="77"/>
    <n v="33"/>
    <n v="0"/>
    <n v="619214"/>
    <n v="51601.166666666664"/>
    <n v="0"/>
    <n v="51601.166666666664"/>
    <n v="0"/>
    <n v="0"/>
  </r>
  <r>
    <s v="Нортк Дан"/>
    <x v="2"/>
    <s v="ОФ"/>
    <s v="ЦН"/>
    <m/>
    <m/>
    <s v="Сул"/>
    <s v="Сул"/>
    <x v="0"/>
    <s v="Эвон"/>
    <m/>
    <n v="69"/>
    <n v="36"/>
    <n v="81"/>
    <n v="75"/>
    <n v="80"/>
    <n v="77"/>
    <n v="79"/>
    <n v="55"/>
    <n v="0"/>
    <n v="2446195"/>
    <n v="69941.666666666672"/>
    <n v="0"/>
    <n v="203849.58333333334"/>
    <n v="-65.69"/>
    <n v="0"/>
  </r>
  <r>
    <s v="Туэльдо Торвальд"/>
    <x v="2"/>
    <s v="ЦН"/>
    <s v="ОФ"/>
    <m/>
    <m/>
    <s v="Сул"/>
    <s v="Сул"/>
    <x v="0"/>
    <s v="Эвон"/>
    <m/>
    <n v="72.285714285714292"/>
    <n v="24"/>
    <n v="90"/>
    <n v="83"/>
    <n v="85"/>
    <n v="87"/>
    <n v="89"/>
    <n v="48"/>
    <n v="0"/>
    <n v="3895156"/>
    <n v="324596.33333333331"/>
    <n v="0"/>
    <n v="324596.33333333331"/>
    <n v="0"/>
    <n v="0"/>
  </r>
  <r>
    <s v="Алиан Техе"/>
    <x v="3"/>
    <s v="АПЗ"/>
    <s v="ЦН"/>
    <s v="ЦПЗ"/>
    <s v="Нал"/>
    <s v="Нал"/>
    <s v="Нал"/>
    <x v="0"/>
    <s v="Эвон"/>
    <m/>
    <n v="95.428571428571431"/>
    <n v="100"/>
    <n v="90"/>
    <n v="100"/>
    <n v="100"/>
    <n v="90"/>
    <n v="88"/>
    <n v="100"/>
    <n v="13"/>
    <n v="93945393"/>
    <n v="7828782.75"/>
    <n v="0"/>
    <n v="7828782.75"/>
    <n v="0"/>
    <n v="0"/>
  </r>
  <r>
    <s v="Денетц Дар"/>
    <x v="3"/>
    <s v="ОПЗ"/>
    <s v="ЦПЗ"/>
    <m/>
    <m/>
    <s v="Сул"/>
    <s v="Сул"/>
    <x v="0"/>
    <s v="Эвон"/>
    <m/>
    <n v="61.857142857142854"/>
    <n v="18"/>
    <n v="81"/>
    <n v="69"/>
    <n v="75"/>
    <n v="77"/>
    <n v="79"/>
    <n v="34"/>
    <n v="0"/>
    <n v="820160"/>
    <n v="68346.666666666672"/>
    <n v="0"/>
    <n v="68346.666666666672"/>
    <n v="0"/>
    <n v="0"/>
  </r>
  <r>
    <s v="Кндрэль Кайус"/>
    <x v="3"/>
    <s v="ЦПЗ"/>
    <s v="ОПЗ"/>
    <m/>
    <m/>
    <s v="Сул"/>
    <s v="Сул"/>
    <x v="0"/>
    <s v="Эвон"/>
    <m/>
    <n v="60.857142857142854"/>
    <n v="17"/>
    <n v="80"/>
    <n v="68"/>
    <n v="74"/>
    <n v="76"/>
    <n v="78"/>
    <n v="33"/>
    <n v="0"/>
    <n v="696812"/>
    <n v="58067.666666666664"/>
    <n v="0"/>
    <n v="58067.666666666664"/>
    <n v="0"/>
    <n v="0"/>
  </r>
  <r>
    <s v="Морэль Кс"/>
    <x v="3"/>
    <s v="ППЗ"/>
    <s v="АПЗ"/>
    <m/>
    <m/>
    <s v="Сул"/>
    <s v="Сул"/>
    <x v="0"/>
    <s v="Эвон"/>
    <m/>
    <n v="68.857142857142861"/>
    <n v="22"/>
    <n v="88"/>
    <n v="79"/>
    <n v="81"/>
    <n v="83"/>
    <n v="85"/>
    <n v="44"/>
    <n v="0"/>
    <n v="2396018"/>
    <n v="199668.16666666666"/>
    <n v="0"/>
    <n v="199668.16666666666"/>
    <n v="0"/>
    <n v="0"/>
  </r>
  <r>
    <s v="Морэль Пол"/>
    <x v="3"/>
    <s v="АПЗ"/>
    <s v="ЦПЗ"/>
    <m/>
    <m/>
    <s v="Сул"/>
    <s v="Сул"/>
    <x v="0"/>
    <s v="Эвон"/>
    <m/>
    <n v="64.714285714285708"/>
    <n v="19"/>
    <n v="85"/>
    <n v="72"/>
    <n v="78"/>
    <n v="80"/>
    <n v="82"/>
    <n v="37"/>
    <n v="0"/>
    <n v="1288255"/>
    <n v="107354.58333333333"/>
    <n v="0"/>
    <n v="107354.58333333333"/>
    <n v="0"/>
    <n v="0"/>
  </r>
  <r>
    <s v="Саамор Стан"/>
    <x v="3"/>
    <s v="ЛПЗ"/>
    <s v="ОПЗ"/>
    <m/>
    <m/>
    <s v="Сул"/>
    <s v="Сул"/>
    <x v="0"/>
    <s v="Эвон"/>
    <m/>
    <n v="58.285714285714285"/>
    <n v="16"/>
    <n v="77"/>
    <n v="65"/>
    <n v="71"/>
    <n v="73"/>
    <n v="75"/>
    <n v="31"/>
    <n v="0"/>
    <n v="452503"/>
    <n v="37708.583333333336"/>
    <n v="0"/>
    <n v="37708.583333333336"/>
    <n v="0"/>
    <n v="0"/>
  </r>
  <r>
    <s v="Тайгуш Мэйс"/>
    <x v="3"/>
    <s v="ОПЗ"/>
    <s v="ЦЗ"/>
    <m/>
    <m/>
    <s v="Сул"/>
    <s v="Сул"/>
    <x v="0"/>
    <s v="Эвон"/>
    <m/>
    <n v="70.142857142857139"/>
    <n v="23"/>
    <n v="89"/>
    <n v="79"/>
    <n v="83"/>
    <n v="85"/>
    <n v="87"/>
    <n v="45"/>
    <n v="0"/>
    <n v="2882933"/>
    <n v="240244.41666666666"/>
    <n v="0"/>
    <n v="240244.41666666666"/>
    <n v="0"/>
    <n v="0"/>
  </r>
  <r>
    <s v="Талкест Ирж"/>
    <x v="3"/>
    <s v="ЛПЗ"/>
    <s v="ЦПЗ"/>
    <m/>
    <m/>
    <s v="Сул"/>
    <s v="Сул"/>
    <x v="0"/>
    <s v="Эвон"/>
    <m/>
    <n v="62.285714285714285"/>
    <n v="18"/>
    <n v="83"/>
    <n v="69"/>
    <n v="75"/>
    <n v="77"/>
    <n v="79"/>
    <n v="35"/>
    <n v="0"/>
    <n v="878789"/>
    <n v="73232.416666666672"/>
    <n v="0"/>
    <n v="73232.416666666672"/>
    <n v="0"/>
    <n v="0"/>
  </r>
  <r>
    <s v="Юрал Остин"/>
    <x v="4"/>
    <s v="Т"/>
    <m/>
    <m/>
    <m/>
    <s v="Сул"/>
    <s v="Сул"/>
    <x v="0"/>
    <s v="Эвон"/>
    <m/>
    <n v="62.285714285714285"/>
    <n v="17"/>
    <n v="79"/>
    <n v="70"/>
    <n v="76"/>
    <n v="78"/>
    <n v="80"/>
    <n v="36"/>
    <n v="0"/>
    <n v="878789"/>
    <n v="73232.416666666672"/>
    <n v="0"/>
    <n v="73232.416666666672"/>
    <n v="0"/>
    <n v="0"/>
  </r>
  <r>
    <s v="Стонли Картер"/>
    <x v="0"/>
    <s v="В"/>
    <m/>
    <m/>
    <m/>
    <s v="Бел"/>
    <s v="Бел"/>
    <x v="1"/>
    <s v="Эвон"/>
    <m/>
    <n v="65.571428571428569"/>
    <n v="24"/>
    <n v="75"/>
    <n v="73"/>
    <n v="79"/>
    <n v="81"/>
    <n v="83"/>
    <n v="44"/>
    <n v="0"/>
    <n v="1469422"/>
    <n v="122451.83333333333"/>
    <n v="0"/>
    <n v="122451.83333333333"/>
    <n v="0"/>
    <n v="0"/>
  </r>
  <r>
    <s v="Стоун (В)"/>
    <x v="0"/>
    <s v="В"/>
    <m/>
    <m/>
    <s v="Бел"/>
    <s v="Бел"/>
    <s v="Бел"/>
    <x v="1"/>
    <s v="Эвон"/>
    <m/>
    <n v="76.142857142857139"/>
    <n v="47"/>
    <n v="76"/>
    <n v="80"/>
    <n v="80"/>
    <n v="85"/>
    <n v="85"/>
    <n v="80"/>
    <n v="30"/>
    <n v="9826141"/>
    <n v="818845.08333333337"/>
    <n v="0"/>
    <n v="818845.08333333337"/>
    <n v="0"/>
    <n v="0"/>
  </r>
  <r>
    <s v="Кларксон Дэрил"/>
    <x v="1"/>
    <s v="ЦЗ"/>
    <s v="ОПЗ"/>
    <m/>
    <m/>
    <s v="Бел"/>
    <s v="Бел"/>
    <x v="1"/>
    <s v="Эвон"/>
    <m/>
    <n v="61.285714285714285"/>
    <n v="21"/>
    <n v="77"/>
    <n v="70"/>
    <n v="73"/>
    <n v="75"/>
    <n v="77"/>
    <n v="36"/>
    <n v="0"/>
    <n v="747468"/>
    <n v="62289"/>
    <n v="0"/>
    <n v="62289"/>
    <n v="0"/>
    <n v="0"/>
  </r>
  <r>
    <s v="Мэйхью Рэндалл"/>
    <x v="1"/>
    <s v="ПЗ"/>
    <s v="ЦЗ"/>
    <m/>
    <m/>
    <s v="Бел"/>
    <s v="Бел"/>
    <x v="1"/>
    <s v="Эвон"/>
    <m/>
    <n v="63.142857142857146"/>
    <n v="22"/>
    <n v="80"/>
    <n v="72"/>
    <n v="75"/>
    <n v="77"/>
    <n v="79"/>
    <n v="37"/>
    <n v="0"/>
    <n v="1007494"/>
    <n v="83957.833333333328"/>
    <n v="0"/>
    <n v="83957.833333333328"/>
    <n v="0"/>
    <n v="0"/>
  </r>
  <r>
    <s v="Пемброук Шелдон"/>
    <x v="1"/>
    <s v="ЛЗ"/>
    <s v="ЦЗ"/>
    <m/>
    <m/>
    <s v="Бел"/>
    <s v="Бел"/>
    <x v="1"/>
    <s v="Эвон"/>
    <m/>
    <n v="61.428571428571431"/>
    <n v="21"/>
    <n v="79"/>
    <n v="70"/>
    <n v="73"/>
    <n v="75"/>
    <n v="77"/>
    <n v="35"/>
    <n v="0"/>
    <n v="765076"/>
    <n v="63756.333333333336"/>
    <n v="0"/>
    <n v="63756.333333333336"/>
    <n v="0"/>
    <n v="0"/>
  </r>
  <r>
    <s v="Уинслоу Грант"/>
    <x v="1"/>
    <s v="ПЗ"/>
    <s v="ЦЗ"/>
    <m/>
    <m/>
    <s v="Бел"/>
    <s v="Бел"/>
    <x v="1"/>
    <s v="Эвон"/>
    <m/>
    <n v="65.142857142857139"/>
    <n v="23"/>
    <n v="83"/>
    <n v="74"/>
    <n v="77"/>
    <n v="79"/>
    <n v="81"/>
    <n v="39"/>
    <n v="0"/>
    <n v="1376158"/>
    <n v="114679.83333333333"/>
    <n v="0"/>
    <n v="114679.83333333333"/>
    <n v="0"/>
    <n v="0"/>
  </r>
  <r>
    <s v="Хенгель"/>
    <x v="1"/>
    <s v="ЦЗ"/>
    <s v="ЛЗ"/>
    <s v="ОПЗ"/>
    <s v="Рекс"/>
    <s v="Рекс"/>
    <s v="Рекс"/>
    <x v="1"/>
    <s v="Эвон"/>
    <m/>
    <n v="86.714285714285708"/>
    <n v="80"/>
    <n v="83"/>
    <n v="90"/>
    <n v="89"/>
    <n v="92"/>
    <n v="91"/>
    <n v="82"/>
    <n v="26"/>
    <n v="36057680"/>
    <n v="2186265.4166666665"/>
    <n v="0"/>
    <n v="3004806.6666666665"/>
    <n v="-27.24"/>
    <n v="0"/>
  </r>
  <r>
    <s v="Марлоу Дэйн"/>
    <x v="2"/>
    <s v="ОФ"/>
    <s v="ЦН"/>
    <m/>
    <m/>
    <s v="Бел"/>
    <s v="Бел"/>
    <x v="1"/>
    <s v="Эвон"/>
    <m/>
    <n v="63"/>
    <n v="21"/>
    <n v="77"/>
    <n v="70"/>
    <n v="77"/>
    <n v="79"/>
    <n v="81"/>
    <n v="36"/>
    <n v="0"/>
    <n v="984931"/>
    <n v="82077.583333333328"/>
    <n v="0"/>
    <n v="82077.583333333328"/>
    <n v="0"/>
    <n v="0"/>
  </r>
  <r>
    <s v="Пакстон Эллсворт"/>
    <x v="2"/>
    <s v="ЦН"/>
    <s v="ОФ"/>
    <m/>
    <m/>
    <s v="Бел"/>
    <s v="Бел"/>
    <x v="1"/>
    <s v="Эвон"/>
    <m/>
    <n v="67.571428571428569"/>
    <n v="24"/>
    <n v="83"/>
    <n v="76"/>
    <n v="81"/>
    <n v="83"/>
    <n v="85"/>
    <n v="41"/>
    <n v="0"/>
    <n v="1984409"/>
    <n v="165367.41666666666"/>
    <n v="0"/>
    <n v="165367.41666666666"/>
    <n v="0"/>
    <n v="0"/>
  </r>
  <r>
    <s v="Хуарсес (Н)"/>
    <x v="2"/>
    <s v="ЦН"/>
    <s v="ОФ"/>
    <m/>
    <s v="Шах"/>
    <s v="Бел"/>
    <s v="Бел"/>
    <x v="1"/>
    <s v="Эвон"/>
    <m/>
    <n v="79.571428571428569"/>
    <n v="75"/>
    <n v="85"/>
    <n v="83"/>
    <n v="80"/>
    <n v="80"/>
    <n v="86"/>
    <n v="68"/>
    <n v="0"/>
    <n v="10175871"/>
    <n v="847989.25"/>
    <n v="0"/>
    <n v="847989.25"/>
    <n v="0"/>
    <n v="0"/>
  </r>
  <r>
    <s v="Бэлчер Спенс"/>
    <x v="3"/>
    <s v="ЛПЗ"/>
    <s v="ЦПЗ"/>
    <m/>
    <m/>
    <s v="Бел"/>
    <s v="Бел"/>
    <x v="1"/>
    <s v="Эвон"/>
    <m/>
    <n v="62.285714285714285"/>
    <n v="22"/>
    <n v="80"/>
    <n v="70"/>
    <n v="75"/>
    <n v="77"/>
    <n v="79"/>
    <n v="33"/>
    <n v="0"/>
    <n v="878789"/>
    <n v="73232.416666666672"/>
    <n v="0"/>
    <n v="73232.416666666672"/>
    <n v="0"/>
    <n v="0"/>
  </r>
  <r>
    <s v="Гохорн Кларк"/>
    <x v="3"/>
    <s v="ППЗ"/>
    <s v="ЛПЗ"/>
    <m/>
    <m/>
    <s v="Бел"/>
    <s v="Бел"/>
    <x v="1"/>
    <s v="Эвон"/>
    <m/>
    <n v="70.285714285714292"/>
    <n v="27"/>
    <n v="88"/>
    <n v="80"/>
    <n v="83"/>
    <n v="85"/>
    <n v="87"/>
    <n v="42"/>
    <n v="0"/>
    <n v="2942190"/>
    <n v="245182.5"/>
    <n v="0"/>
    <n v="245182.5"/>
    <n v="0"/>
    <n v="0"/>
  </r>
  <r>
    <s v="Кальмус"/>
    <x v="3"/>
    <s v="ОПЗ"/>
    <m/>
    <m/>
    <s v="Шах"/>
    <s v="Шах"/>
    <s v="Шах"/>
    <x v="1"/>
    <s v="Эвон"/>
    <m/>
    <n v="54.285714285714285"/>
    <n v="54"/>
    <n v="62"/>
    <n v="52"/>
    <n v="52"/>
    <n v="66"/>
    <n v="59"/>
    <n v="35"/>
    <n v="0"/>
    <n v="222258"/>
    <n v="18521.5"/>
    <n v="0"/>
    <n v="18521.5"/>
    <n v="0"/>
    <n v="0"/>
  </r>
  <r>
    <s v="Лэнгфорд Тревор"/>
    <x v="3"/>
    <s v="АПЗ"/>
    <s v="ЦПЗ"/>
    <m/>
    <m/>
    <s v="Бел"/>
    <s v="Бел"/>
    <x v="1"/>
    <s v="Эвон"/>
    <m/>
    <n v="63"/>
    <n v="21"/>
    <n v="77"/>
    <n v="72"/>
    <n v="77"/>
    <n v="79"/>
    <n v="81"/>
    <n v="34"/>
    <n v="0"/>
    <n v="984931"/>
    <n v="82077.583333333328"/>
    <n v="0"/>
    <n v="82077.583333333328"/>
    <n v="0"/>
    <n v="0"/>
  </r>
  <r>
    <s v="Рэдклифф Морган"/>
    <x v="3"/>
    <s v="АПЗ"/>
    <s v="ППЗ"/>
    <m/>
    <m/>
    <s v="Бел"/>
    <s v="Бел"/>
    <x v="1"/>
    <s v="Эвон"/>
    <m/>
    <n v="70"/>
    <n v="26"/>
    <n v="86"/>
    <n v="80"/>
    <n v="83"/>
    <n v="85"/>
    <n v="87"/>
    <n v="43"/>
    <n v="0"/>
    <n v="2824753"/>
    <n v="235396.08333333334"/>
    <n v="0"/>
    <n v="235396.08333333334"/>
    <n v="0"/>
    <n v="0"/>
  </r>
  <r>
    <s v="Стэнхоуп Ридли"/>
    <x v="3"/>
    <s v="ППЗ"/>
    <s v="АПЗ"/>
    <m/>
    <m/>
    <s v="Бел"/>
    <s v="Бел"/>
    <x v="1"/>
    <s v="Эвон"/>
    <m/>
    <n v="60.857142857142854"/>
    <n v="20"/>
    <n v="75"/>
    <n v="68"/>
    <n v="75"/>
    <n v="77"/>
    <n v="79"/>
    <n v="32"/>
    <n v="0"/>
    <n v="696812"/>
    <n v="58067.666666666664"/>
    <n v="0"/>
    <n v="58067.666666666664"/>
    <n v="0"/>
    <n v="0"/>
  </r>
  <r>
    <s v="Уитмор Дэшл"/>
    <x v="3"/>
    <s v="ЛПЗ"/>
    <s v="ОПЗ"/>
    <m/>
    <m/>
    <s v="Бел"/>
    <s v="Бел"/>
    <x v="1"/>
    <s v="Эвон"/>
    <m/>
    <n v="72.142857142857139"/>
    <n v="28"/>
    <n v="89"/>
    <n v="82"/>
    <n v="85"/>
    <n v="87"/>
    <n v="89"/>
    <n v="45"/>
    <n v="0"/>
    <n v="3818857"/>
    <n v="318238.08333333331"/>
    <n v="0"/>
    <n v="318238.08333333331"/>
    <n v="0"/>
    <n v="0"/>
  </r>
  <r>
    <s v="Фэрчайлд Брэдли"/>
    <x v="3"/>
    <s v="ЦПЗ"/>
    <s v="ОПЗ"/>
    <m/>
    <m/>
    <s v="Бел"/>
    <s v="Бел"/>
    <x v="1"/>
    <s v="Эвон"/>
    <m/>
    <n v="65.571428571428569"/>
    <n v="23"/>
    <n v="81"/>
    <n v="76"/>
    <n v="81"/>
    <n v="79"/>
    <n v="81"/>
    <n v="38"/>
    <n v="0"/>
    <n v="1469422"/>
    <n v="122451.83333333333"/>
    <n v="0"/>
    <n v="122451.83333333333"/>
    <n v="0"/>
    <n v="0"/>
  </r>
  <r>
    <s v="Холлингс Кортни"/>
    <x v="3"/>
    <s v="ЦПЗ"/>
    <s v="ОПЗ"/>
    <m/>
    <m/>
    <s v="Бел"/>
    <s v="Бел"/>
    <x v="1"/>
    <s v="Эвон"/>
    <m/>
    <n v="68.142857142857139"/>
    <n v="21"/>
    <n v="83"/>
    <n v="79"/>
    <n v="84"/>
    <n v="86"/>
    <n v="88"/>
    <n v="36"/>
    <n v="0"/>
    <n v="2158756"/>
    <n v="179896.33333333334"/>
    <n v="0"/>
    <n v="179896.33333333334"/>
    <n v="0"/>
    <n v="0"/>
  </r>
  <r>
    <s v="Брендвуд Холт"/>
    <x v="4"/>
    <s v="Т"/>
    <m/>
    <m/>
    <m/>
    <s v="Бел"/>
    <s v="Бел"/>
    <x v="1"/>
    <s v="Эвон"/>
    <m/>
    <n v="63.285714285714285"/>
    <n v="22"/>
    <n v="73"/>
    <n v="70"/>
    <n v="77"/>
    <n v="79"/>
    <n v="81"/>
    <n v="41"/>
    <n v="0"/>
    <n v="1030522"/>
    <n v="85876.833333333328"/>
    <n v="0"/>
    <n v="85876.833333333328"/>
    <n v="0"/>
    <n v="0"/>
  </r>
  <r>
    <s v="Велехов Арсений"/>
    <x v="0"/>
    <s v="В"/>
    <m/>
    <m/>
    <m/>
    <s v="Лищ"/>
    <s v="Лищ"/>
    <x v="2"/>
    <s v="Эвон"/>
    <m/>
    <n v="70.714285714285708"/>
    <n v="38"/>
    <n v="73"/>
    <n v="74"/>
    <n v="78"/>
    <n v="82"/>
    <n v="79"/>
    <n v="71"/>
    <n v="0"/>
    <n v="3126595"/>
    <n v="260549.58333333334"/>
    <n v="0"/>
    <n v="260549.58333333334"/>
    <n v="0"/>
    <n v="0"/>
  </r>
  <r>
    <s v="Давр (В)"/>
    <x v="0"/>
    <s v="В"/>
    <m/>
    <m/>
    <s v="Лищ"/>
    <s v="Лищ"/>
    <s v="Лищ"/>
    <x v="2"/>
    <s v="Эвон"/>
    <m/>
    <n v="80.571428571428569"/>
    <n v="70"/>
    <n v="80"/>
    <n v="86"/>
    <n v="80"/>
    <n v="85"/>
    <n v="84"/>
    <n v="79"/>
    <n v="31"/>
    <n v="17294257"/>
    <n v="1441188.0833333333"/>
    <n v="0"/>
    <n v="1441188.0833333333"/>
    <n v="0"/>
    <n v="0"/>
  </r>
  <r>
    <s v="Братинов Домир"/>
    <x v="1"/>
    <s v="ПЗ"/>
    <s v="ЦЗ"/>
    <m/>
    <m/>
    <s v="Лищ"/>
    <s v="Лищ"/>
    <x v="2"/>
    <s v="Эвон"/>
    <m/>
    <n v="72.571428571428569"/>
    <n v="42"/>
    <n v="76"/>
    <n v="81"/>
    <n v="79"/>
    <n v="77"/>
    <n v="80"/>
    <n v="73"/>
    <n v="0"/>
    <n v="4051882"/>
    <n v="337656.83333333331"/>
    <n v="0"/>
    <n v="337656.83333333331"/>
    <n v="0"/>
    <n v="0"/>
  </r>
  <r>
    <s v="Горстов"/>
    <x v="1"/>
    <s v="ЦЗ"/>
    <s v="ПЗ"/>
    <m/>
    <s v="Лищ"/>
    <s v="Лищ"/>
    <s v="Лищ"/>
    <x v="2"/>
    <s v="Эвон"/>
    <m/>
    <n v="81.285714285714292"/>
    <n v="78"/>
    <n v="76"/>
    <n v="83"/>
    <n v="84"/>
    <n v="88"/>
    <n v="90"/>
    <n v="70"/>
    <n v="26"/>
    <n v="18890069"/>
    <n v="1574172.4166666667"/>
    <n v="0"/>
    <n v="1574172.4166666667"/>
    <n v="0"/>
    <n v="0"/>
  </r>
  <r>
    <s v="Дроста (З)"/>
    <x v="1"/>
    <s v="ЛЗ"/>
    <s v="ЦЗ"/>
    <m/>
    <s v="Сар"/>
    <s v="Сар"/>
    <s v="Сар"/>
    <x v="2"/>
    <s v="Эвон"/>
    <m/>
    <n v="88"/>
    <n v="86"/>
    <n v="90"/>
    <n v="84"/>
    <n v="93"/>
    <n v="89"/>
    <n v="86"/>
    <n v="88"/>
    <n v="28"/>
    <n v="41775147"/>
    <n v="3481262.25"/>
    <n v="0"/>
    <n v="3481262.25"/>
    <n v="0"/>
    <n v="0"/>
  </r>
  <r>
    <s v="Кривцов Светозар"/>
    <x v="1"/>
    <s v="ПЗ"/>
    <s v="ЛЗ"/>
    <m/>
    <m/>
    <s v="Лищ"/>
    <s v="Лищ"/>
    <x v="2"/>
    <s v="Эвон"/>
    <m/>
    <n v="70.714285714285708"/>
    <n v="31"/>
    <n v="77"/>
    <n v="80"/>
    <n v="79"/>
    <n v="77"/>
    <n v="81"/>
    <n v="70"/>
    <n v="0"/>
    <n v="3126595"/>
    <n v="260549.58333333334"/>
    <n v="0"/>
    <n v="260549.58333333334"/>
    <n v="0"/>
    <n v="0"/>
  </r>
  <r>
    <s v="Надар (З)"/>
    <x v="1"/>
    <s v="ЦЗ"/>
    <s v="ПЗ"/>
    <m/>
    <s v="Ост"/>
    <s v="Ост"/>
    <s v="Ост"/>
    <x v="2"/>
    <s v="Эвон"/>
    <m/>
    <n v="87.142857142857139"/>
    <n v="80"/>
    <n v="84"/>
    <n v="88"/>
    <n v="84"/>
    <n v="95"/>
    <n v="92"/>
    <n v="87"/>
    <n v="26"/>
    <n v="37879934"/>
    <n v="3156661.1666666665"/>
    <n v="0"/>
    <n v="3156661.1666666665"/>
    <n v="0"/>
    <n v="0"/>
  </r>
  <r>
    <s v="Полинтром"/>
    <x v="1"/>
    <s v="ЦЗ"/>
    <s v="ОПЗ"/>
    <m/>
    <s v="Лищ"/>
    <s v="Лищ"/>
    <s v="Лищ"/>
    <x v="2"/>
    <s v="Эвон"/>
    <m/>
    <n v="80.857142857142861"/>
    <n v="79"/>
    <n v="77"/>
    <n v="80"/>
    <n v="82"/>
    <n v="90"/>
    <n v="86"/>
    <n v="72"/>
    <n v="26"/>
    <n v="17917408"/>
    <n v="1493117.3333333333"/>
    <n v="0"/>
    <n v="1493117.3333333333"/>
    <n v="0"/>
    <n v="0"/>
  </r>
  <r>
    <s v="Смоляров Добрыня"/>
    <x v="1"/>
    <s v="ЛЗ"/>
    <s v="ЦЗ"/>
    <m/>
    <m/>
    <s v="Лищ"/>
    <s v="Лищ"/>
    <x v="2"/>
    <s v="Эвон"/>
    <m/>
    <n v="71.428571428571431"/>
    <n v="35"/>
    <n v="78"/>
    <n v="79"/>
    <n v="81"/>
    <n v="76"/>
    <n v="82"/>
    <n v="69"/>
    <n v="0"/>
    <n v="3457162"/>
    <n v="288096.83333333331"/>
    <n v="0"/>
    <n v="288096.83333333331"/>
    <n v="0"/>
    <n v="0"/>
  </r>
  <r>
    <s v="Твердинов Ратмир"/>
    <x v="1"/>
    <s v="ЦЗ"/>
    <s v="ОПЗ"/>
    <m/>
    <m/>
    <s v="Лищ"/>
    <s v="Лищ"/>
    <x v="2"/>
    <s v="Эвон"/>
    <m/>
    <n v="73"/>
    <n v="47"/>
    <n v="74"/>
    <n v="80"/>
    <n v="78"/>
    <n v="81"/>
    <n v="79"/>
    <n v="72"/>
    <n v="0"/>
    <n v="4297626"/>
    <n v="358135.5"/>
    <n v="0"/>
    <n v="358135.5"/>
    <n v="0"/>
    <n v="0"/>
  </r>
  <r>
    <s v="Уткин (З)"/>
    <x v="1"/>
    <s v="ЦЗ"/>
    <s v="ЛЗ"/>
    <m/>
    <s v="Лищ"/>
    <s v="Лищ"/>
    <s v="Лищ"/>
    <x v="2"/>
    <s v="Эвон"/>
    <m/>
    <n v="83.285714285714292"/>
    <n v="80"/>
    <n v="76"/>
    <n v="90"/>
    <n v="80"/>
    <n v="88"/>
    <n v="89"/>
    <n v="80"/>
    <n v="28"/>
    <n v="24087760"/>
    <n v="2007313.3333333333"/>
    <n v="0"/>
    <n v="2007313.3333333333"/>
    <n v="0"/>
    <n v="0"/>
  </r>
  <r>
    <s v="Вифлеев (Н)"/>
    <x v="2"/>
    <s v="ЦН"/>
    <s v="АПЗ"/>
    <m/>
    <s v="Лищ"/>
    <s v="Лищ"/>
    <s v="Лищ"/>
    <x v="2"/>
    <s v="Эвон"/>
    <m/>
    <n v="90.571428571428569"/>
    <n v="90"/>
    <n v="92"/>
    <n v="93"/>
    <n v="90"/>
    <n v="87"/>
    <n v="91"/>
    <n v="91"/>
    <n v="12"/>
    <n v="55719016"/>
    <n v="4643251.333333333"/>
    <n v="0"/>
    <n v="4643251.333333333"/>
    <n v="0"/>
    <n v="0"/>
  </r>
  <r>
    <s v="Кипренский (Н)"/>
    <x v="2"/>
    <s v="ЦН"/>
    <s v="ОФ"/>
    <m/>
    <s v="Лищ"/>
    <s v="Лищ"/>
    <s v="Лищ"/>
    <x v="2"/>
    <s v="Эвон"/>
    <m/>
    <n v="88.428571428571431"/>
    <n v="88"/>
    <n v="86"/>
    <n v="90"/>
    <n v="85"/>
    <n v="95"/>
    <n v="90"/>
    <n v="85"/>
    <n v="11"/>
    <n v="43854822"/>
    <n v="3654568.5"/>
    <n v="0"/>
    <n v="3654568.5"/>
    <n v="0"/>
    <n v="0"/>
  </r>
  <r>
    <s v="Осинов (Н)"/>
    <x v="2"/>
    <s v="ОФ"/>
    <s v="ППЗ"/>
    <m/>
    <s v="Лищ"/>
    <s v="Лищ"/>
    <s v="Лищ"/>
    <x v="2"/>
    <s v="Эвон"/>
    <m/>
    <n v="87.857142857142861"/>
    <n v="83"/>
    <n v="87"/>
    <n v="92"/>
    <n v="94"/>
    <n v="85"/>
    <n v="84"/>
    <n v="90"/>
    <n v="8"/>
    <n v="41101912"/>
    <n v="3425159.3333333335"/>
    <n v="0"/>
    <n v="3425159.3333333335"/>
    <n v="0"/>
    <n v="0"/>
  </r>
  <r>
    <s v="Остромиров Радислав"/>
    <x v="2"/>
    <s v="ЦН"/>
    <s v="ОФ"/>
    <m/>
    <m/>
    <s v="Лищ"/>
    <s v="Лищ"/>
    <x v="2"/>
    <s v="Эвон"/>
    <m/>
    <n v="73.285714285714292"/>
    <n v="46"/>
    <n v="74"/>
    <n v="82"/>
    <n v="80"/>
    <n v="84"/>
    <n v="76"/>
    <n v="71"/>
    <n v="0"/>
    <n v="4468825"/>
    <n v="372402.08333333331"/>
    <n v="0"/>
    <n v="372402.08333333331"/>
    <n v="0"/>
    <n v="0"/>
  </r>
  <r>
    <s v="Вышеславский Гордей"/>
    <x v="3"/>
    <s v="ЦПЗ"/>
    <s v="ППЗ"/>
    <m/>
    <m/>
    <s v="Лищ"/>
    <s v="Лищ"/>
    <x v="2"/>
    <s v="Эвон"/>
    <m/>
    <n v="72.857142857142861"/>
    <n v="37"/>
    <n v="79"/>
    <n v="83"/>
    <n v="81"/>
    <n v="80"/>
    <n v="79"/>
    <n v="71"/>
    <n v="0"/>
    <n v="4214261"/>
    <n v="351188.41666666669"/>
    <n v="0"/>
    <n v="351188.41666666669"/>
    <n v="0"/>
    <n v="0"/>
  </r>
  <r>
    <s v="Жданов Мирослав"/>
    <x v="3"/>
    <s v="ЦПЗ"/>
    <s v="АПЗ"/>
    <m/>
    <m/>
    <s v="Лищ"/>
    <s v="Лищ"/>
    <x v="2"/>
    <s v="Эвон"/>
    <m/>
    <n v="71.857142857142861"/>
    <n v="39"/>
    <n v="82"/>
    <n v="78"/>
    <n v="81"/>
    <n v="75"/>
    <n v="78"/>
    <n v="70"/>
    <n v="0"/>
    <n v="3670283"/>
    <n v="305856.91666666669"/>
    <n v="0"/>
    <n v="305856.91666666669"/>
    <n v="0"/>
    <n v="0"/>
  </r>
  <r>
    <s v="Заславский Богдан"/>
    <x v="3"/>
    <s v="ЛПЗ"/>
    <s v="ЦПЗ"/>
    <m/>
    <m/>
    <s v="Лищ"/>
    <s v="Лищ"/>
    <x v="2"/>
    <s v="Эвон"/>
    <m/>
    <n v="73.142857142857139"/>
    <n v="48"/>
    <n v="81"/>
    <n v="78"/>
    <n v="80"/>
    <n v="76"/>
    <n v="80"/>
    <n v="69"/>
    <n v="0"/>
    <n v="4382473"/>
    <n v="365206.08333333331"/>
    <n v="0"/>
    <n v="365206.08333333331"/>
    <n v="0"/>
    <n v="0"/>
  </r>
  <r>
    <s v="Коховский (П)"/>
    <x v="3"/>
    <s v="ЦПЗ"/>
    <s v="АПЗ"/>
    <m/>
    <s v="Лищ"/>
    <s v="Лищ"/>
    <s v="Лищ"/>
    <x v="2"/>
    <s v="Эвон"/>
    <m/>
    <n v="91.571428571428569"/>
    <n v="86"/>
    <n v="84"/>
    <n v="93"/>
    <n v="98"/>
    <n v="97"/>
    <n v="95"/>
    <n v="88"/>
    <n v="18"/>
    <n v="62185790"/>
    <n v="5182149.166666667"/>
    <n v="0"/>
    <n v="5182149.166666667"/>
    <n v="0"/>
    <n v="0"/>
  </r>
  <r>
    <s v="Лесчинский (П)"/>
    <x v="3"/>
    <s v="ЦПЗ"/>
    <s v="ОПЗ"/>
    <m/>
    <s v="Лищ"/>
    <s v="Лищ"/>
    <s v="Лищ"/>
    <x v="2"/>
    <s v="Эвон"/>
    <m/>
    <n v="89.571428571428569"/>
    <n v="85"/>
    <n v="89"/>
    <n v="89"/>
    <n v="94"/>
    <n v="91"/>
    <n v="89"/>
    <n v="90"/>
    <n v="22"/>
    <n v="49863903"/>
    <n v="4155325.25"/>
    <n v="0"/>
    <n v="4155325.25"/>
    <n v="0"/>
    <n v="0"/>
  </r>
  <r>
    <s v="Лясковский (П)"/>
    <x v="3"/>
    <s v="ОПЗ"/>
    <s v="ЦПЗ"/>
    <s v="ЦЗ"/>
    <s v="Лищ"/>
    <s v="Лищ"/>
    <s v="Лищ"/>
    <x v="2"/>
    <s v="Эвон"/>
    <m/>
    <n v="90"/>
    <n v="90"/>
    <n v="92"/>
    <n v="86"/>
    <n v="91"/>
    <n v="90"/>
    <n v="88"/>
    <n v="93"/>
    <n v="23"/>
    <n v="52301767"/>
    <n v="4358480.583333333"/>
    <n v="0"/>
    <n v="4358480.583333333"/>
    <n v="0"/>
    <n v="0"/>
  </r>
  <r>
    <s v="Морозов Ярополк"/>
    <x v="3"/>
    <s v="ОПЗ"/>
    <s v="ЦПЗ"/>
    <m/>
    <m/>
    <s v="Лищ"/>
    <s v="Лищ"/>
    <x v="2"/>
    <s v="Эвон"/>
    <m/>
    <n v="74.857142857142861"/>
    <n v="44"/>
    <n v="80"/>
    <n v="84"/>
    <n v="82"/>
    <n v="81"/>
    <n v="80"/>
    <n v="73"/>
    <n v="0"/>
    <n v="5525003"/>
    <n v="460416.91666666669"/>
    <n v="0"/>
    <n v="460416.91666666669"/>
    <n v="0"/>
    <n v="0"/>
  </r>
  <r>
    <s v="Оляс (П)"/>
    <x v="3"/>
    <s v="ЛПЗ"/>
    <s v="ОПЗ"/>
    <m/>
    <s v="Лищ"/>
    <s v="Лищ"/>
    <s v="Лищ"/>
    <x v="2"/>
    <s v="Эвон"/>
    <m/>
    <n v="93.571428571428569"/>
    <n v="95"/>
    <n v="98"/>
    <n v="92"/>
    <n v="95"/>
    <n v="88"/>
    <n v="91"/>
    <n v="96"/>
    <n v="10"/>
    <n v="77183392"/>
    <n v="6431949.333333333"/>
    <n v="0"/>
    <n v="6431949.333333333"/>
    <n v="0"/>
    <n v="0"/>
  </r>
  <r>
    <s v="Ратмиров Велимир"/>
    <x v="3"/>
    <s v="ППЗ"/>
    <s v="АПЗ"/>
    <m/>
    <m/>
    <s v="Лищ"/>
    <s v="Лищ"/>
    <x v="2"/>
    <s v="Эвон"/>
    <m/>
    <n v="70.428571428571431"/>
    <n v="33"/>
    <n v="80"/>
    <n v="77"/>
    <n v="81"/>
    <n v="75"/>
    <n v="79"/>
    <n v="68"/>
    <n v="0"/>
    <n v="3002540"/>
    <n v="250211.66666666666"/>
    <n v="0"/>
    <n v="250211.66666666666"/>
    <n v="0"/>
    <n v="0"/>
  </r>
  <r>
    <s v="Твайлен"/>
    <x v="3"/>
    <s v="ЦПЗ"/>
    <s v="ППЗ"/>
    <s v="ОПЗ"/>
    <s v="Лищ"/>
    <s v="Лищ"/>
    <s v="Лищ"/>
    <x v="2"/>
    <s v="Эвон"/>
    <m/>
    <n v="83.857142857142861"/>
    <n v="73"/>
    <n v="84"/>
    <n v="85"/>
    <n v="87"/>
    <n v="85"/>
    <n v="88"/>
    <n v="85"/>
    <n v="18"/>
    <n v="25792407"/>
    <n v="1718100.4166666667"/>
    <n v="0"/>
    <n v="2149367.25"/>
    <n v="-20.059999999999999"/>
    <n v="0"/>
  </r>
  <r>
    <s v="Тихомиров Влас"/>
    <x v="3"/>
    <s v="ОПЗ"/>
    <s v="ЦЗ"/>
    <m/>
    <m/>
    <s v="Лищ"/>
    <s v="Лищ"/>
    <x v="2"/>
    <s v="Эвон"/>
    <m/>
    <n v="72.285714285714292"/>
    <n v="41"/>
    <n v="81"/>
    <n v="79"/>
    <n v="80"/>
    <n v="77"/>
    <n v="78"/>
    <n v="70"/>
    <n v="0"/>
    <n v="3895156"/>
    <n v="324596.33333333331"/>
    <n v="0"/>
    <n v="324596.33333333331"/>
    <n v="0"/>
    <n v="0"/>
  </r>
  <r>
    <s v="Квайтовский"/>
    <x v="4"/>
    <s v="Т"/>
    <m/>
    <m/>
    <m/>
    <s v="Лищ"/>
    <s v="Лищ"/>
    <x v="2"/>
    <s v="Эвон"/>
    <m/>
    <n v="87.857142857142861"/>
    <n v="73"/>
    <n v="88"/>
    <n v="94"/>
    <n v="92"/>
    <n v="96"/>
    <n v="91"/>
    <n v="81"/>
    <n v="0"/>
    <n v="27401275"/>
    <n v="2283439.5833333335"/>
    <n v="0"/>
    <n v="2283439.5833333335"/>
    <n v="0"/>
    <n v="0"/>
  </r>
  <r>
    <s v="Брувис"/>
    <x v="0"/>
    <s v="В"/>
    <m/>
    <m/>
    <s v="Вар"/>
    <s v="Вар"/>
    <s v="Вар"/>
    <x v="3"/>
    <s v="Эвон"/>
    <m/>
    <n v="80.142857142857139"/>
    <n v="70"/>
    <n v="80"/>
    <n v="80"/>
    <n v="80"/>
    <n v="87"/>
    <n v="89"/>
    <n v="75"/>
    <n v="0"/>
    <n v="10930706"/>
    <n v="910892.16666666663"/>
    <n v="0"/>
    <n v="910892.16666666663"/>
    <n v="0"/>
    <n v="0"/>
  </r>
  <r>
    <s v="Дарвис Илия"/>
    <x v="0"/>
    <s v="В"/>
    <m/>
    <m/>
    <s v="Вар"/>
    <s v="Вар"/>
    <s v="Вар"/>
    <x v="3"/>
    <s v="Эвон"/>
    <m/>
    <n v="75.571428571428569"/>
    <n v="69"/>
    <n v="74"/>
    <n v="75"/>
    <n v="79"/>
    <n v="82"/>
    <n v="78"/>
    <n v="72"/>
    <n v="0"/>
    <n v="6075421"/>
    <n v="506285.08333333331"/>
    <n v="0"/>
    <n v="506285.08333333331"/>
    <n v="0"/>
    <n v="0"/>
  </r>
  <r>
    <s v="Сальжанеро (В)"/>
    <x v="0"/>
    <s v="В"/>
    <m/>
    <m/>
    <s v="Мал"/>
    <s v="В.И."/>
    <s v="В.И."/>
    <x v="3"/>
    <s v="Эвон"/>
    <m/>
    <n v="86.428571428571431"/>
    <n v="75"/>
    <n v="85"/>
    <n v="87"/>
    <n v="85"/>
    <n v="90"/>
    <n v="92"/>
    <n v="91"/>
    <n v="31"/>
    <n v="34887079"/>
    <n v="2907256.5833333335"/>
    <n v="0"/>
    <n v="2907256.5833333335"/>
    <n v="0"/>
    <n v="0"/>
  </r>
  <r>
    <s v="Айалла (З)"/>
    <x v="1"/>
    <s v="ЦЗ"/>
    <s v="ПЗ"/>
    <m/>
    <s v="Киш"/>
    <s v="Киш"/>
    <s v="Киш"/>
    <x v="3"/>
    <s v="Эвон"/>
    <m/>
    <n v="91.285714285714292"/>
    <n v="90"/>
    <n v="84"/>
    <n v="100"/>
    <n v="87"/>
    <n v="94"/>
    <n v="91"/>
    <n v="93"/>
    <n v="1"/>
    <n v="60272533"/>
    <n v="5022711.083333333"/>
    <n v="0"/>
    <n v="5022711.083333333"/>
    <n v="0"/>
    <n v="0"/>
  </r>
  <r>
    <s v="Армаш (З)"/>
    <x v="1"/>
    <s v="ЦЗ"/>
    <s v="ОПЗ"/>
    <s v="ЛЗ"/>
    <s v="Вар"/>
    <s v="Вар"/>
    <s v="Вар"/>
    <x v="3"/>
    <s v="Эвон"/>
    <m/>
    <n v="87.714285714285708"/>
    <n v="81"/>
    <n v="80"/>
    <n v="97"/>
    <n v="90"/>
    <n v="87"/>
    <n v="99"/>
    <n v="80"/>
    <n v="1"/>
    <n v="40438457"/>
    <n v="3369871.4166666665"/>
    <n v="0"/>
    <n v="3369871.4166666665"/>
    <n v="0"/>
    <n v="0"/>
  </r>
  <r>
    <s v="Баллак Драган"/>
    <x v="1"/>
    <s v="ЛЗ"/>
    <s v="ЦЗ"/>
    <m/>
    <s v="Вар"/>
    <s v="Вар"/>
    <s v="Вар"/>
    <x v="3"/>
    <s v="Эвон"/>
    <m/>
    <n v="77.285714285714292"/>
    <n v="70"/>
    <n v="79"/>
    <n v="80"/>
    <n v="82"/>
    <n v="77"/>
    <n v="83"/>
    <n v="70"/>
    <n v="0"/>
    <n v="7603128"/>
    <n v="633594"/>
    <n v="0"/>
    <n v="633594"/>
    <n v="0"/>
    <n v="0"/>
  </r>
  <r>
    <s v="Вегер (З)"/>
    <x v="1"/>
    <s v="ЦЗ"/>
    <s v="ЛЗ"/>
    <m/>
    <s v="Вар"/>
    <s v="Вар"/>
    <s v="Вар"/>
    <x v="3"/>
    <s v="Эвон"/>
    <m/>
    <n v="89.714285714285708"/>
    <n v="82"/>
    <n v="82"/>
    <n v="92"/>
    <n v="93"/>
    <n v="94"/>
    <n v="95"/>
    <n v="90"/>
    <n v="26"/>
    <n v="50664913"/>
    <n v="4222076.083333333"/>
    <n v="0"/>
    <n v="4222076.083333333"/>
    <n v="0"/>
    <n v="0"/>
  </r>
  <r>
    <s v="Вермар Тихомир"/>
    <x v="1"/>
    <s v="ЦЗ"/>
    <s v="ОПЗ"/>
    <m/>
    <s v="Вар"/>
    <s v="Вар"/>
    <s v="Вар"/>
    <x v="3"/>
    <s v="Эвон"/>
    <m/>
    <n v="77.285714285714292"/>
    <n v="71"/>
    <n v="75"/>
    <n v="81"/>
    <n v="79"/>
    <n v="82"/>
    <n v="80"/>
    <n v="73"/>
    <n v="0"/>
    <n v="7603128"/>
    <n v="633594"/>
    <n v="0"/>
    <n v="633594"/>
    <n v="0"/>
    <n v="0"/>
  </r>
  <r>
    <s v="Гормеш Стоян"/>
    <x v="1"/>
    <s v="ПЗ"/>
    <s v="ЦЗ"/>
    <m/>
    <s v="Вар"/>
    <s v="Вар"/>
    <s v="Вар"/>
    <x v="3"/>
    <s v="Эвон"/>
    <m/>
    <n v="77.857142857142861"/>
    <n v="73"/>
    <n v="77"/>
    <n v="82"/>
    <n v="80"/>
    <n v="78"/>
    <n v="81"/>
    <n v="74"/>
    <n v="0"/>
    <n v="8184359"/>
    <n v="682029.91666666663"/>
    <n v="0"/>
    <n v="682029.91666666663"/>
    <n v="0"/>
    <n v="0"/>
  </r>
  <r>
    <s v="Гульшер (З)"/>
    <x v="1"/>
    <s v="ЛЗ"/>
    <s v="ПЗ"/>
    <m/>
    <s v="Вар"/>
    <s v="Вар"/>
    <s v="Вар"/>
    <x v="3"/>
    <s v="Эвон"/>
    <m/>
    <n v="83"/>
    <n v="72"/>
    <n v="89"/>
    <n v="92"/>
    <n v="81"/>
    <n v="84"/>
    <n v="88"/>
    <n v="75"/>
    <n v="26"/>
    <n v="23274062"/>
    <n v="1939505.1666666667"/>
    <n v="0"/>
    <n v="1939505.1666666667"/>
    <n v="0"/>
    <n v="0"/>
  </r>
  <r>
    <s v="Столла"/>
    <x v="1"/>
    <s v="ЦЗ"/>
    <s v="ПЗ"/>
    <m/>
    <s v="Вар"/>
    <s v="Вар"/>
    <s v="Вар"/>
    <x v="3"/>
    <s v="Эвон"/>
    <m/>
    <n v="81.571428571428569"/>
    <n v="65"/>
    <n v="85"/>
    <n v="90"/>
    <n v="82"/>
    <n v="85"/>
    <n v="90"/>
    <n v="74"/>
    <n v="26"/>
    <n v="19564644"/>
    <n v="1630387"/>
    <n v="0"/>
    <n v="1630387"/>
    <n v="0"/>
    <n v="0"/>
  </r>
  <r>
    <s v="Струвис Радован"/>
    <x v="1"/>
    <s v="ПЗ"/>
    <s v="ЛЗ"/>
    <m/>
    <s v="Вар"/>
    <s v="Вар"/>
    <s v="Вар"/>
    <x v="3"/>
    <s v="Эвон"/>
    <m/>
    <n v="75.142857142857139"/>
    <n v="68"/>
    <n v="76"/>
    <n v="79"/>
    <n v="78"/>
    <n v="76"/>
    <n v="80"/>
    <n v="69"/>
    <n v="0"/>
    <n v="5739540"/>
    <n v="478295"/>
    <n v="0"/>
    <n v="478295"/>
    <n v="0"/>
    <n v="0"/>
  </r>
  <r>
    <s v="Бормир (Н)"/>
    <x v="2"/>
    <s v="ОФ"/>
    <s v="ЛПЗ"/>
    <m/>
    <s v="Вар"/>
    <s v="Вар"/>
    <s v="Вар"/>
    <x v="3"/>
    <s v="Эвон"/>
    <m/>
    <n v="89"/>
    <n v="85"/>
    <n v="92"/>
    <n v="90"/>
    <n v="91"/>
    <n v="93"/>
    <n v="83"/>
    <n v="89"/>
    <n v="11"/>
    <n v="46772580"/>
    <n v="3897715"/>
    <n v="0"/>
    <n v="3897715"/>
    <n v="0"/>
    <n v="0"/>
  </r>
  <r>
    <s v="Бормислав Влатко"/>
    <x v="2"/>
    <s v="ЦН"/>
    <s v="ОФ"/>
    <m/>
    <s v="Вар"/>
    <s v="Вар"/>
    <s v="Вар"/>
    <x v="3"/>
    <s v="Эвон"/>
    <m/>
    <n v="76.714285714285708"/>
    <n v="73"/>
    <n v="75"/>
    <n v="81"/>
    <n v="79"/>
    <n v="83"/>
    <n v="76"/>
    <n v="70"/>
    <n v="0"/>
    <n v="7059314"/>
    <n v="588276.16666666663"/>
    <n v="0"/>
    <n v="588276.16666666663"/>
    <n v="0"/>
    <n v="0"/>
  </r>
  <r>
    <s v="Варгон"/>
    <x v="2"/>
    <s v="ЦН"/>
    <m/>
    <m/>
    <s v="Вар"/>
    <s v="Вар"/>
    <s v="Вар"/>
    <x v="3"/>
    <s v="Эвон"/>
    <m/>
    <n v="80.142857142857139"/>
    <n v="72"/>
    <n v="80"/>
    <n v="86"/>
    <n v="81"/>
    <n v="90"/>
    <n v="92"/>
    <n v="60"/>
    <n v="6"/>
    <n v="16396059"/>
    <n v="882414.16666666663"/>
    <n v="0"/>
    <n v="1366338.25"/>
    <n v="-35.42"/>
    <n v="0"/>
  </r>
  <r>
    <s v="Вирравек (Н)"/>
    <x v="2"/>
    <s v="ЦН"/>
    <s v="АПЗ"/>
    <s v="ОФ"/>
    <s v="Вар"/>
    <s v="Вар"/>
    <s v="Вар"/>
    <x v="3"/>
    <s v="Эвон"/>
    <m/>
    <n v="88.857142857142861"/>
    <n v="84"/>
    <n v="85"/>
    <n v="94"/>
    <n v="90"/>
    <n v="85"/>
    <n v="91"/>
    <n v="93"/>
    <n v="7"/>
    <n v="46027216"/>
    <n v="3835601.3333333335"/>
    <n v="0"/>
    <n v="3835601.3333333335"/>
    <n v="0"/>
    <n v="0"/>
  </r>
  <r>
    <s v="Реш (Н)"/>
    <x v="2"/>
    <s v="ЦН"/>
    <m/>
    <m/>
    <s v="Вар"/>
    <s v="Вар"/>
    <s v="Вар"/>
    <x v="3"/>
    <s v="Эвон"/>
    <m/>
    <n v="82.571428571428569"/>
    <n v="70"/>
    <n v="82"/>
    <n v="92"/>
    <n v="80"/>
    <n v="94"/>
    <n v="95"/>
    <n v="65"/>
    <n v="6"/>
    <n v="22099846"/>
    <n v="1519708.25"/>
    <n v="0"/>
    <n v="1841653.8333333333"/>
    <n v="-17.48"/>
    <n v="0"/>
  </r>
  <r>
    <s v="Аршев Боривое"/>
    <x v="3"/>
    <s v="ОПЗ"/>
    <s v="ЦПЗ"/>
    <m/>
    <s v="Вар"/>
    <s v="Вар"/>
    <s v="Вар"/>
    <x v="3"/>
    <s v="Эвон"/>
    <m/>
    <n v="80.142857142857139"/>
    <n v="75"/>
    <n v="81"/>
    <n v="85"/>
    <n v="83"/>
    <n v="82"/>
    <n v="81"/>
    <n v="74"/>
    <n v="0"/>
    <n v="10930706"/>
    <n v="910892.16666666663"/>
    <n v="0"/>
    <n v="910892.16666666663"/>
    <n v="0"/>
    <n v="0"/>
  </r>
  <r>
    <s v="Варварра (П)"/>
    <x v="3"/>
    <s v="ОПЗ"/>
    <s v="ЦПЗ"/>
    <s v="ЦЗ"/>
    <s v="Вар"/>
    <s v="Вар"/>
    <s v="Вар"/>
    <x v="3"/>
    <s v="Эвон"/>
    <m/>
    <n v="91.428571428571431"/>
    <n v="90"/>
    <n v="88"/>
    <n v="91"/>
    <n v="90"/>
    <n v="98"/>
    <n v="97"/>
    <n v="86"/>
    <n v="18"/>
    <n v="61222435"/>
    <n v="5101869.583333333"/>
    <n v="0"/>
    <n v="5101869.583333333"/>
    <n v="0"/>
    <n v="0"/>
  </r>
  <r>
    <s v="Вивойчик (П)"/>
    <x v="3"/>
    <s v="ОПЗ"/>
    <s v="ЦЗ"/>
    <m/>
    <s v="Вар"/>
    <s v="Вар"/>
    <s v="Вар"/>
    <x v="3"/>
    <s v="Эвон"/>
    <m/>
    <n v="90"/>
    <n v="89"/>
    <n v="89"/>
    <n v="90"/>
    <n v="91"/>
    <n v="94"/>
    <n v="93"/>
    <n v="84"/>
    <n v="17"/>
    <n v="52301767"/>
    <n v="4358480.583333333"/>
    <n v="0"/>
    <n v="4358480.583333333"/>
    <n v="0"/>
    <n v="0"/>
  </r>
  <r>
    <s v="Вишнер Горан"/>
    <x v="3"/>
    <s v="ЦПЗ"/>
    <s v="АПЗ"/>
    <m/>
    <s v="Вар"/>
    <s v="Вар"/>
    <s v="Вар"/>
    <x v="3"/>
    <s v="Эвон"/>
    <m/>
    <n v="77.714285714285708"/>
    <n v="74"/>
    <n v="83"/>
    <n v="79"/>
    <n v="82"/>
    <n v="76"/>
    <n v="79"/>
    <n v="71"/>
    <n v="0"/>
    <n v="8035421"/>
    <n v="669618.41666666663"/>
    <n v="0"/>
    <n v="669618.41666666663"/>
    <n v="0"/>
    <n v="0"/>
  </r>
  <r>
    <s v="Гуллев Милен"/>
    <x v="3"/>
    <s v="ЛПЗ"/>
    <s v="ЦПЗ"/>
    <m/>
    <s v="Вар"/>
    <s v="Вар"/>
    <s v="Вар"/>
    <x v="3"/>
    <s v="Эвон"/>
    <m/>
    <n v="76.571428571428569"/>
    <n v="72"/>
    <n v="81"/>
    <n v="78"/>
    <n v="80"/>
    <n v="76"/>
    <n v="80"/>
    <n v="69"/>
    <n v="0"/>
    <n v="6928952"/>
    <n v="577412.66666666663"/>
    <n v="0"/>
    <n v="577412.66666666663"/>
    <n v="0"/>
    <n v="0"/>
  </r>
  <r>
    <s v="Корсмар"/>
    <x v="3"/>
    <s v="ОПЗ"/>
    <s v="ЦЗ"/>
    <s v="ЦПЗ"/>
    <s v="Н.С."/>
    <s v="Н.С."/>
    <s v="Н.С."/>
    <x v="3"/>
    <s v="Эвон"/>
    <m/>
    <n v="77.571428571428569"/>
    <n v="50"/>
    <n v="84"/>
    <n v="82"/>
    <n v="82"/>
    <n v="88"/>
    <n v="82"/>
    <n v="75"/>
    <n v="26"/>
    <n v="11833390"/>
    <n v="986115.83333333337"/>
    <n v="0"/>
    <n v="986115.83333333337"/>
    <n v="0"/>
    <n v="0"/>
  </r>
  <r>
    <s v="Талли Эста"/>
    <x v="3"/>
    <s v="ППЗ"/>
    <s v="ОПЗ"/>
    <m/>
    <s v="Лин"/>
    <s v="Лин"/>
    <s v="Лин"/>
    <x v="3"/>
    <s v="Эвон"/>
    <m/>
    <n v="81"/>
    <n v="60"/>
    <n v="90"/>
    <n v="88"/>
    <n v="80"/>
    <n v="88"/>
    <n v="85"/>
    <n v="76"/>
    <n v="19"/>
    <n v="18236499"/>
    <n v="1519708.25"/>
    <n v="0"/>
    <n v="1519708.25"/>
    <n v="0"/>
    <n v="0"/>
  </r>
  <r>
    <s v="Толлак Зоран"/>
    <x v="3"/>
    <s v="ППЗ"/>
    <s v="АПЗ"/>
    <m/>
    <s v="Вар"/>
    <s v="Вар"/>
    <s v="Вар"/>
    <x v="3"/>
    <s v="Эвон"/>
    <m/>
    <n v="75.571428571428569"/>
    <n v="69"/>
    <n v="80"/>
    <n v="77"/>
    <n v="81"/>
    <n v="75"/>
    <n v="79"/>
    <n v="68"/>
    <n v="0"/>
    <n v="6075421"/>
    <n v="506285.08333333331"/>
    <n v="0"/>
    <n v="506285.08333333331"/>
    <n v="0"/>
    <n v="0"/>
  </r>
  <r>
    <s v="Тасил"/>
    <x v="4"/>
    <s v="Т"/>
    <m/>
    <m/>
    <m/>
    <s v="Вар"/>
    <s v="Вар"/>
    <x v="3"/>
    <s v="Эвон"/>
    <m/>
    <n v="88"/>
    <n v="75"/>
    <n v="84"/>
    <n v="88"/>
    <n v="90"/>
    <n v="98"/>
    <n v="93"/>
    <n v="88"/>
    <n v="0"/>
    <n v="27850098"/>
    <n v="2320841.5"/>
    <n v="0"/>
    <n v="2320841.5"/>
    <n v="0"/>
    <n v="0"/>
  </r>
  <r>
    <s v="Виртанен Остин"/>
    <x v="0"/>
    <s v="В"/>
    <m/>
    <m/>
    <m/>
    <s v="Нумб"/>
    <s v="Нумб"/>
    <x v="4"/>
    <s v="Эвон"/>
    <m/>
    <n v="52.714285714285715"/>
    <n v="10"/>
    <n v="67"/>
    <n v="59"/>
    <n v="65"/>
    <n v="67"/>
    <n v="69"/>
    <n v="32"/>
    <n v="0"/>
    <n v="165686"/>
    <n v="13807.166666666666"/>
    <n v="0"/>
    <n v="13807.166666666666"/>
    <n v="0"/>
    <n v="0"/>
  </r>
  <r>
    <s v="Корхонен Рэй"/>
    <x v="0"/>
    <s v="В"/>
    <m/>
    <m/>
    <m/>
    <s v="Нумб"/>
    <s v="Нумб"/>
    <x v="4"/>
    <s v="Эвон"/>
    <m/>
    <n v="50.285714285714285"/>
    <n v="8"/>
    <n v="64"/>
    <n v="56"/>
    <n v="63"/>
    <n v="65"/>
    <n v="67"/>
    <n v="29"/>
    <n v="0"/>
    <n v="103383"/>
    <n v="8615.25"/>
    <n v="0"/>
    <n v="8615.25"/>
    <n v="0"/>
    <n v="0"/>
  </r>
  <r>
    <s v="Турунен Остин"/>
    <x v="0"/>
    <s v="В"/>
    <m/>
    <m/>
    <m/>
    <s v="Нумб"/>
    <s v="Нумб"/>
    <x v="4"/>
    <s v="Эвон"/>
    <m/>
    <n v="50.857142857142854"/>
    <n v="8"/>
    <n v="65"/>
    <n v="58"/>
    <n v="63"/>
    <n v="65"/>
    <n v="67"/>
    <n v="30"/>
    <n v="0"/>
    <n v="115750"/>
    <n v="9645.8333333333339"/>
    <n v="0"/>
    <n v="9645.8333333333339"/>
    <n v="0"/>
    <n v="0"/>
  </r>
  <r>
    <s v="Лайне Ян"/>
    <x v="1"/>
    <s v="ЛЗ"/>
    <s v="ЦЗ"/>
    <m/>
    <m/>
    <s v="Нумб"/>
    <s v="Нумб"/>
    <x v="4"/>
    <s v="Эвон"/>
    <m/>
    <n v="53.857142857142854"/>
    <n v="31"/>
    <n v="65"/>
    <n v="58"/>
    <n v="63"/>
    <n v="65"/>
    <n v="67"/>
    <n v="28"/>
    <n v="0"/>
    <n v="205321"/>
    <n v="8863.1666666666661"/>
    <n v="0"/>
    <n v="17110.083333333332"/>
    <n v="-48.2"/>
    <n v="0"/>
  </r>
  <r>
    <s v="Мякеля Рой"/>
    <x v="1"/>
    <s v="ЦЗ"/>
    <s v="ЛЗ"/>
    <m/>
    <m/>
    <s v="Нумб"/>
    <s v="Нумб"/>
    <x v="4"/>
    <s v="Эвон"/>
    <m/>
    <n v="55.428571428571431"/>
    <n v="12"/>
    <n v="71"/>
    <n v="63"/>
    <n v="67"/>
    <n v="69"/>
    <n v="71"/>
    <n v="35"/>
    <n v="0"/>
    <n v="273740"/>
    <n v="22811.666666666668"/>
    <n v="0"/>
    <n v="22811.666666666668"/>
    <n v="0"/>
    <n v="0"/>
  </r>
  <r>
    <s v="Ниемунен Люк"/>
    <x v="1"/>
    <s v="ЦЗ"/>
    <s v="ОПЗ"/>
    <m/>
    <m/>
    <s v="Нумб"/>
    <s v="Нумб"/>
    <x v="4"/>
    <s v="Эвон"/>
    <m/>
    <n v="47.428571428571431"/>
    <n v="6"/>
    <n v="61"/>
    <n v="54"/>
    <n v="60"/>
    <n v="62"/>
    <n v="64"/>
    <n v="25"/>
    <n v="0"/>
    <n v="57598"/>
    <n v="4799.833333333333"/>
    <n v="0"/>
    <n v="4799.833333333333"/>
    <n v="0"/>
    <n v="0"/>
  </r>
  <r>
    <s v="Сконский Д"/>
    <x v="1"/>
    <s v="ЛЗ"/>
    <s v="ПЗ"/>
    <m/>
    <m/>
    <s v="В.И."/>
    <s v="В.И."/>
    <x v="4"/>
    <s v="Эвон"/>
    <m/>
    <n v="52.428571428571431"/>
    <n v="21"/>
    <n v="66"/>
    <n v="45"/>
    <n v="47"/>
    <n v="78"/>
    <n v="88"/>
    <n v="22"/>
    <n v="0"/>
    <n v="156921"/>
    <n v="1924.3333333333333"/>
    <n v="0"/>
    <n v="13076.75"/>
    <n v="-85.28"/>
    <n v="0"/>
  </r>
  <r>
    <s v="Хямяляйнен Тим"/>
    <x v="1"/>
    <s v="ПЗ"/>
    <s v="ЦЗ"/>
    <m/>
    <m/>
    <s v="Нумб"/>
    <s v="Нумб"/>
    <x v="4"/>
    <s v="Эвон"/>
    <m/>
    <n v="60.142857142857146"/>
    <n v="40"/>
    <n v="69"/>
    <n v="80"/>
    <n v="65"/>
    <n v="67"/>
    <n v="69"/>
    <n v="31"/>
    <n v="16"/>
    <n v="928821"/>
    <n v="14185.916666666666"/>
    <n v="0"/>
    <n v="77401.75"/>
    <n v="-81.67"/>
    <n v="0"/>
  </r>
  <r>
    <s v="Киннунен Торвальд"/>
    <x v="2"/>
    <s v="ЦН"/>
    <s v="ОФ"/>
    <m/>
    <m/>
    <s v="Нумб"/>
    <s v="Нумб"/>
    <x v="4"/>
    <s v="Эвон"/>
    <m/>
    <n v="63.857142857142854"/>
    <n v="15"/>
    <n v="75"/>
    <n v="80"/>
    <n v="75"/>
    <n v="77"/>
    <n v="80"/>
    <n v="45"/>
    <n v="0"/>
    <n v="1127444"/>
    <n v="93953.666666666672"/>
    <n v="0"/>
    <n v="93953.666666666672"/>
    <n v="0"/>
    <n v="0"/>
  </r>
  <r>
    <s v="Ниеми Эрл"/>
    <x v="2"/>
    <s v="ОФ"/>
    <s v="ЦН"/>
    <m/>
    <m/>
    <s v="Нумб"/>
    <s v="Нумб"/>
    <x v="4"/>
    <s v="Эвон"/>
    <m/>
    <n v="55"/>
    <n v="10"/>
    <n v="70"/>
    <n v="63"/>
    <n v="68"/>
    <n v="70"/>
    <n v="72"/>
    <n v="32"/>
    <n v="0"/>
    <n v="253296"/>
    <n v="21108"/>
    <n v="0"/>
    <n v="21108"/>
    <n v="0"/>
    <n v="0"/>
  </r>
  <r>
    <s v="Хейнонен Дан"/>
    <x v="2"/>
    <s v="ОФ"/>
    <s v="ЦН"/>
    <m/>
    <m/>
    <s v="Нумб"/>
    <s v="Нумб"/>
    <x v="4"/>
    <s v="Эвон"/>
    <m/>
    <n v="60"/>
    <n v="14"/>
    <n v="75"/>
    <n v="68"/>
    <n v="73"/>
    <n v="75"/>
    <n v="77"/>
    <n v="38"/>
    <n v="0"/>
    <n v="604662"/>
    <n v="50388.5"/>
    <n v="0"/>
    <n v="50388.5"/>
    <n v="0"/>
    <n v="0"/>
  </r>
  <r>
    <s v="Коскинен Дар"/>
    <x v="3"/>
    <s v="ОПЗ"/>
    <s v="ЦЗ"/>
    <m/>
    <m/>
    <s v="Нумб"/>
    <s v="Нумб"/>
    <x v="4"/>
    <s v="Эвон"/>
    <m/>
    <n v="53.428571428571431"/>
    <n v="9"/>
    <n v="68"/>
    <n v="60"/>
    <n v="67"/>
    <n v="69"/>
    <n v="71"/>
    <n v="30"/>
    <n v="0"/>
    <n v="189556"/>
    <n v="15796.333333333334"/>
    <n v="0"/>
    <n v="15796.333333333334"/>
    <n v="0"/>
    <n v="0"/>
  </r>
  <r>
    <s v="Лехтинен Пол"/>
    <x v="3"/>
    <s v="АПЗ"/>
    <s v="ЦПЗ"/>
    <m/>
    <m/>
    <s v="Нумб"/>
    <s v="Нумб"/>
    <x v="4"/>
    <s v="Эвон"/>
    <m/>
    <n v="64.285714285714292"/>
    <n v="33"/>
    <n v="80"/>
    <n v="70"/>
    <n v="67"/>
    <n v="69"/>
    <n v="71"/>
    <n v="60"/>
    <n v="19"/>
    <n v="1808157"/>
    <n v="19014.666666666668"/>
    <n v="0"/>
    <n v="150679.75"/>
    <n v="-87.38"/>
    <n v="0"/>
  </r>
  <r>
    <s v="Лехтонен Кайус"/>
    <x v="3"/>
    <s v="ЦПЗ"/>
    <s v="ЛПЗ"/>
    <m/>
    <m/>
    <s v="Нумб"/>
    <s v="Нумб"/>
    <x v="4"/>
    <s v="Эвон"/>
    <m/>
    <n v="52"/>
    <n v="34"/>
    <n v="60"/>
    <n v="54"/>
    <n v="62"/>
    <n v="64"/>
    <n v="66"/>
    <n v="24"/>
    <n v="0"/>
    <n v="144556"/>
    <n v="5410.5"/>
    <n v="0"/>
    <n v="12046.333333333334"/>
    <n v="-55.09"/>
    <n v="0"/>
  </r>
  <r>
    <s v="Сааринен Стан"/>
    <x v="3"/>
    <s v="АПЗ"/>
    <s v="ППЗ"/>
    <m/>
    <m/>
    <s v="Нумб"/>
    <s v="Нумб"/>
    <x v="4"/>
    <s v="Эвон"/>
    <m/>
    <n v="49.857142857142854"/>
    <n v="7"/>
    <n v="64"/>
    <n v="57"/>
    <n v="63"/>
    <n v="65"/>
    <n v="67"/>
    <n v="26"/>
    <n v="0"/>
    <n v="94902"/>
    <n v="7908.5"/>
    <n v="0"/>
    <n v="7908.5"/>
    <n v="0"/>
    <n v="0"/>
  </r>
  <r>
    <s v="Лалминен Колли"/>
    <x v="3"/>
    <s v="ЛПЗ"/>
    <s v="ОПЗ"/>
    <m/>
    <m/>
    <s v="Нумб"/>
    <s v="Нумб"/>
    <x v="4"/>
    <s v="Эвон"/>
    <m/>
    <n v="56.142857142857146"/>
    <n v="11"/>
    <n v="71"/>
    <n v="64"/>
    <n v="69"/>
    <n v="71"/>
    <n v="73"/>
    <n v="34"/>
    <n v="0"/>
    <n v="311133"/>
    <n v="25927.75"/>
    <n v="0"/>
    <n v="25927.75"/>
    <n v="0"/>
    <n v="0"/>
  </r>
  <r>
    <s v="Салонен Кс"/>
    <x v="3"/>
    <s v="ППЗ"/>
    <s v="АПЗ"/>
    <m/>
    <m/>
    <s v="Нумб"/>
    <s v="Нумб"/>
    <x v="4"/>
    <s v="Эвон"/>
    <m/>
    <n v="62.571428571428569"/>
    <n v="14"/>
    <n v="73"/>
    <n v="77"/>
    <n v="75"/>
    <n v="77"/>
    <n v="79"/>
    <n v="43"/>
    <n v="0"/>
    <n v="919943"/>
    <n v="76661.916666666672"/>
    <n v="0"/>
    <n v="76661.916666666672"/>
    <n v="0"/>
    <n v="0"/>
  </r>
  <r>
    <s v="Хейккинен Кир"/>
    <x v="3"/>
    <s v="ОПЗ"/>
    <s v="ЦПЗ"/>
    <m/>
    <m/>
    <s v="Нумб"/>
    <s v="Нумб"/>
    <x v="4"/>
    <s v="Эвон"/>
    <m/>
    <n v="54.428571428571431"/>
    <n v="11"/>
    <n v="70"/>
    <n v="62"/>
    <n v="66"/>
    <n v="68"/>
    <n v="70"/>
    <n v="34"/>
    <n v="0"/>
    <n v="228176"/>
    <n v="19014.666666666668"/>
    <n v="0"/>
    <n v="19014.666666666668"/>
    <n v="0"/>
    <n v="0"/>
  </r>
  <r>
    <s v="Ярвинен Мэйс"/>
    <x v="3"/>
    <s v="ЦПЗ"/>
    <s v="ОПЗ"/>
    <m/>
    <m/>
    <s v="Нумб"/>
    <s v="Нумб"/>
    <x v="4"/>
    <s v="Эвон"/>
    <m/>
    <n v="58.285714285714285"/>
    <n v="13"/>
    <n v="73"/>
    <n v="66"/>
    <n v="71"/>
    <n v="73"/>
    <n v="75"/>
    <n v="37"/>
    <n v="0"/>
    <n v="452503"/>
    <n v="37708.583333333336"/>
    <n v="0"/>
    <n v="37708.583333333336"/>
    <n v="0"/>
    <n v="0"/>
  </r>
  <r>
    <s v="Мякинен Элд"/>
    <x v="4"/>
    <s v="Т"/>
    <m/>
    <m/>
    <m/>
    <s v="Нумб"/>
    <s v="Нумб"/>
    <x v="4"/>
    <s v="Эвон"/>
    <m/>
    <n v="51.285714285714285"/>
    <n v="9"/>
    <n v="65"/>
    <n v="57"/>
    <n v="64"/>
    <n v="66"/>
    <n v="68"/>
    <n v="30"/>
    <n v="0"/>
    <n v="125883"/>
    <n v="10490.25"/>
    <n v="0"/>
    <n v="10490.25"/>
    <n v="0"/>
    <n v="0"/>
  </r>
  <r>
    <s v="Койсон"/>
    <x v="0"/>
    <s v="В"/>
    <m/>
    <m/>
    <s v="Переп"/>
    <s v="Переп"/>
    <s v="Переп"/>
    <x v="5"/>
    <s v="Эвон"/>
    <m/>
    <n v="69.714285714285708"/>
    <n v="51"/>
    <n v="82"/>
    <n v="78"/>
    <n v="80"/>
    <n v="70"/>
    <n v="67"/>
    <n v="60"/>
    <n v="0"/>
    <n v="2711552"/>
    <n v="19519.666666666668"/>
    <n v="0"/>
    <n v="225962.66666666666"/>
    <n v="-91.36"/>
    <n v="0"/>
  </r>
  <r>
    <s v="Флюкз Картер"/>
    <x v="0"/>
    <s v="В"/>
    <m/>
    <m/>
    <m/>
    <s v="Зар"/>
    <s v="Зар"/>
    <x v="5"/>
    <s v="Эвон"/>
    <m/>
    <n v="56.285714285714285"/>
    <n v="10"/>
    <n v="72"/>
    <n v="64"/>
    <n v="70"/>
    <n v="72"/>
    <n v="74"/>
    <n v="32"/>
    <n v="0"/>
    <n v="319141"/>
    <n v="26595.083333333332"/>
    <n v="0"/>
    <n v="26595.083333333332"/>
    <n v="0"/>
    <n v="0"/>
  </r>
  <r>
    <s v="Люменз Лука"/>
    <x v="1"/>
    <s v="ПЗ"/>
    <s v="ЛЗ"/>
    <m/>
    <m/>
    <s v="Зар"/>
    <s v="Зар"/>
    <x v="5"/>
    <s v="Эвон"/>
    <m/>
    <n v="54"/>
    <n v="7"/>
    <n v="70"/>
    <n v="63"/>
    <n v="68"/>
    <n v="70"/>
    <n v="72"/>
    <n v="28"/>
    <n v="0"/>
    <n v="210833"/>
    <n v="17569.416666666668"/>
    <n v="0"/>
    <n v="17569.416666666668"/>
    <n v="0"/>
    <n v="0"/>
  </r>
  <r>
    <s v="Морфез Драж"/>
    <x v="1"/>
    <s v="ЦЗ"/>
    <s v="ОПЗ"/>
    <m/>
    <m/>
    <s v="Зар"/>
    <s v="Зар"/>
    <x v="5"/>
    <s v="Эвон"/>
    <m/>
    <n v="51"/>
    <n v="6"/>
    <n v="66"/>
    <n v="59"/>
    <n v="65"/>
    <n v="67"/>
    <n v="69"/>
    <n v="25"/>
    <n v="0"/>
    <n v="119043"/>
    <n v="9920.25"/>
    <n v="0"/>
    <n v="9920.25"/>
    <n v="0"/>
    <n v="0"/>
  </r>
  <r>
    <s v="Скалярвич Тим"/>
    <x v="1"/>
    <s v="ЛЗ"/>
    <s v="ЦЗ"/>
    <m/>
    <m/>
    <s v="Зар"/>
    <s v="Зар"/>
    <x v="5"/>
    <s v="Эвон"/>
    <m/>
    <n v="58"/>
    <n v="11"/>
    <n v="75"/>
    <n v="67"/>
    <n v="71"/>
    <n v="73"/>
    <n v="75"/>
    <n v="34"/>
    <n v="0"/>
    <n v="430805"/>
    <n v="35900.416666666664"/>
    <n v="0"/>
    <n v="35900.416666666664"/>
    <n v="0"/>
    <n v="0"/>
  </r>
  <r>
    <s v="Тенорвич Ян"/>
    <x v="1"/>
    <s v="ПЗ"/>
    <s v="ЦЗ"/>
    <m/>
    <m/>
    <s v="Зар"/>
    <s v="Зар"/>
    <x v="5"/>
    <s v="Эвон"/>
    <m/>
    <n v="56.428571428571431"/>
    <n v="9"/>
    <n v="74"/>
    <n v="65"/>
    <n v="70"/>
    <n v="72"/>
    <n v="74"/>
    <n v="31"/>
    <n v="0"/>
    <n v="327334"/>
    <n v="27277.833333333332"/>
    <n v="0"/>
    <n v="27277.833333333332"/>
    <n v="0"/>
    <n v="0"/>
  </r>
  <r>
    <s v="Эхоз Стан"/>
    <x v="1"/>
    <s v="ЦЗ"/>
    <s v="ЛЗ"/>
    <m/>
    <m/>
    <s v="Зар"/>
    <s v="Зар"/>
    <x v="5"/>
    <s v="Эвон"/>
    <m/>
    <n v="59"/>
    <n v="12"/>
    <n v="76"/>
    <n v="68"/>
    <n v="72"/>
    <n v="74"/>
    <n v="76"/>
    <n v="35"/>
    <n v="0"/>
    <n v="511117"/>
    <n v="42593.083333333336"/>
    <n v="0"/>
    <n v="42593.083333333336"/>
    <n v="0"/>
    <n v="0"/>
  </r>
  <r>
    <s v="Вихрзвич Тор"/>
    <x v="2"/>
    <s v="ЦН"/>
    <m/>
    <m/>
    <m/>
    <s v="Зар"/>
    <s v="Зар"/>
    <x v="5"/>
    <s v="Эвон"/>
    <m/>
    <n v="59.714285714285715"/>
    <n v="11"/>
    <n v="76"/>
    <n v="69"/>
    <n v="74"/>
    <n v="76"/>
    <n v="78"/>
    <n v="34"/>
    <n v="0"/>
    <n v="576478"/>
    <n v="48039.833333333336"/>
    <n v="0"/>
    <n v="48039.833333333336"/>
    <n v="0"/>
    <n v="0"/>
  </r>
  <r>
    <s v="Ноктюрз Дэн"/>
    <x v="2"/>
    <s v="ОФ"/>
    <s v="ЦН"/>
    <m/>
    <m/>
    <s v="Зар"/>
    <s v="Зар"/>
    <x v="5"/>
    <s v="Эвон"/>
    <m/>
    <n v="63.571428571428569"/>
    <n v="14"/>
    <n v="80"/>
    <n v="73"/>
    <n v="78"/>
    <n v="80"/>
    <n v="82"/>
    <n v="38"/>
    <n v="0"/>
    <n v="1078003"/>
    <n v="89833.583333333328"/>
    <n v="0"/>
    <n v="89833.583333333328"/>
    <n v="0"/>
    <n v="0"/>
  </r>
  <r>
    <s v="Резоназ Эрл"/>
    <x v="2"/>
    <s v="ЦН"/>
    <s v="ОФ"/>
    <m/>
    <m/>
    <s v="Зар"/>
    <s v="Зар"/>
    <x v="5"/>
    <s v="Эвон"/>
    <m/>
    <n v="58.571428571428569"/>
    <n v="10"/>
    <n v="75"/>
    <n v="68"/>
    <n v="73"/>
    <n v="75"/>
    <n v="77"/>
    <n v="32"/>
    <n v="0"/>
    <n v="475181"/>
    <n v="39598.416666666664"/>
    <n v="0"/>
    <n v="39598.416666666664"/>
    <n v="0"/>
    <n v="0"/>
  </r>
  <r>
    <s v="Ютенс"/>
    <x v="2"/>
    <s v="ОФ"/>
    <m/>
    <m/>
    <s v="Переп"/>
    <s v="Переп"/>
    <s v="Переп"/>
    <x v="5"/>
    <s v="Эвон"/>
    <m/>
    <n v="45.857142857142854"/>
    <n v="12"/>
    <n v="52"/>
    <n v="58"/>
    <n v="61"/>
    <n v="53"/>
    <n v="64"/>
    <n v="21"/>
    <n v="0"/>
    <n v="41122"/>
    <n v="3426.8333333333335"/>
    <n v="0"/>
    <n v="3426.8333333333335"/>
    <n v="0"/>
    <n v="0"/>
  </r>
  <r>
    <s v="Анринский (П)"/>
    <x v="3"/>
    <s v="ЦПЗ"/>
    <s v="ЛПЗ"/>
    <s v="АПЗ"/>
    <s v="Зар"/>
    <s v="Зар"/>
    <s v="Зар"/>
    <x v="5"/>
    <s v="Эвон"/>
    <m/>
    <n v="83.428571428571431"/>
    <n v="81"/>
    <n v="85"/>
    <n v="87"/>
    <n v="87"/>
    <n v="80"/>
    <n v="83"/>
    <n v="81"/>
    <n v="22"/>
    <n v="24504133"/>
    <n v="2042011.0833333333"/>
    <n v="0"/>
    <n v="2042011.0833333333"/>
    <n v="0"/>
    <n v="0"/>
  </r>
  <r>
    <s v="Вираз Дар"/>
    <x v="3"/>
    <s v="ЦПЗ"/>
    <s v="ОПЗ"/>
    <m/>
    <m/>
    <s v="Зар"/>
    <s v="Зар"/>
    <x v="5"/>
    <s v="Эвон"/>
    <m/>
    <n v="61.857142857142854"/>
    <n v="13"/>
    <n v="78"/>
    <n v="71"/>
    <n v="76"/>
    <n v="78"/>
    <n v="80"/>
    <n v="37"/>
    <n v="0"/>
    <n v="820160"/>
    <n v="68346.666666666672"/>
    <n v="0"/>
    <n v="68346.666666666672"/>
    <n v="0"/>
    <n v="0"/>
  </r>
  <r>
    <s v="Квартез Стан"/>
    <x v="3"/>
    <s v="АПЗ"/>
    <s v="ЦПЗ"/>
    <m/>
    <m/>
    <s v="Зар"/>
    <s v="Зар"/>
    <x v="5"/>
    <s v="Эвон"/>
    <m/>
    <n v="55.571428571428569"/>
    <n v="8"/>
    <n v="72"/>
    <n v="64"/>
    <n v="70"/>
    <n v="72"/>
    <n v="74"/>
    <n v="29"/>
    <n v="0"/>
    <n v="280877"/>
    <n v="23406.416666666668"/>
    <n v="0"/>
    <n v="23406.416666666668"/>
    <n v="0"/>
    <n v="0"/>
  </r>
  <r>
    <s v="Кобальз Кай"/>
    <x v="3"/>
    <s v="ППЗ"/>
    <s v="АПЗ"/>
    <m/>
    <m/>
    <s v="Зар"/>
    <s v="Зар"/>
    <x v="5"/>
    <s v="Эвон"/>
    <m/>
    <n v="69.857142857142861"/>
    <n v="44"/>
    <n v="80"/>
    <n v="80"/>
    <n v="80"/>
    <n v="78"/>
    <n v="87"/>
    <n v="40"/>
    <n v="0"/>
    <n v="2767632"/>
    <n v="230636"/>
    <n v="0"/>
    <n v="230636"/>
    <n v="0"/>
    <n v="0"/>
  </r>
  <r>
    <s v="Мимвич Ирж"/>
    <x v="3"/>
    <s v="ЛПЗ"/>
    <s v="ОПЗ"/>
    <m/>
    <m/>
    <s v="Зар"/>
    <s v="Зар"/>
    <x v="5"/>
    <s v="Эвон"/>
    <m/>
    <n v="53.428571428571431"/>
    <n v="7"/>
    <n v="69"/>
    <n v="62"/>
    <n v="68"/>
    <n v="70"/>
    <n v="72"/>
    <n v="26"/>
    <n v="0"/>
    <n v="189556"/>
    <n v="15796.333333333334"/>
    <n v="0"/>
    <n v="15796.333333333334"/>
    <n v="0"/>
    <n v="0"/>
  </r>
  <r>
    <s v="Морфезвич Ксандр"/>
    <x v="3"/>
    <s v="ОПЗ"/>
    <s v="ЦЗ"/>
    <m/>
    <m/>
    <s v="Зар"/>
    <s v="Зар"/>
    <x v="5"/>
    <s v="Эвон"/>
    <m/>
    <n v="59.714285714285715"/>
    <n v="11"/>
    <n v="76"/>
    <n v="69"/>
    <n v="74"/>
    <n v="76"/>
    <n v="78"/>
    <n v="34"/>
    <n v="0"/>
    <n v="576478"/>
    <n v="48039.833333333336"/>
    <n v="0"/>
    <n v="48039.833333333336"/>
    <n v="0"/>
    <n v="0"/>
  </r>
  <r>
    <s v="Пиксез Дар"/>
    <x v="3"/>
    <s v="ОПЗ"/>
    <s v="ЦПЗ"/>
    <m/>
    <m/>
    <s v="Зар"/>
    <s v="Зар"/>
    <x v="5"/>
    <s v="Эвон"/>
    <m/>
    <n v="57"/>
    <n v="9"/>
    <n v="73"/>
    <n v="65"/>
    <n v="72"/>
    <n v="74"/>
    <n v="76"/>
    <n v="30"/>
    <n v="0"/>
    <n v="362034"/>
    <n v="30169.5"/>
    <n v="0"/>
    <n v="30169.5"/>
    <n v="0"/>
    <n v="0"/>
  </r>
  <r>
    <s v="Эфирвич Пол"/>
    <x v="3"/>
    <s v="ППЗ"/>
    <s v="ЛПЗ"/>
    <m/>
    <m/>
    <s v="Зар"/>
    <s v="Зар"/>
    <x v="5"/>
    <s v="Эвон"/>
    <m/>
    <n v="58"/>
    <n v="10"/>
    <n v="74"/>
    <n v="67"/>
    <n v="72"/>
    <n v="74"/>
    <n v="76"/>
    <n v="33"/>
    <n v="0"/>
    <n v="430805"/>
    <n v="35900.416666666664"/>
    <n v="0"/>
    <n v="35900.416666666664"/>
    <n v="0"/>
    <n v="0"/>
  </r>
  <r>
    <s v="Кварзвич Олег"/>
    <x v="4"/>
    <s v="Т"/>
    <m/>
    <m/>
    <m/>
    <s v="Зар"/>
    <s v="Зар"/>
    <x v="5"/>
    <s v="Эвон"/>
    <m/>
    <n v="53.857142857142854"/>
    <n v="8"/>
    <n v="69"/>
    <n v="61"/>
    <n v="68"/>
    <n v="70"/>
    <n v="72"/>
    <n v="29"/>
    <n v="0"/>
    <n v="205321"/>
    <n v="17110.083333333332"/>
    <n v="0"/>
    <n v="17110.083333333332"/>
    <n v="0"/>
    <n v="0"/>
  </r>
  <r>
    <s v="Стор (В)"/>
    <x v="0"/>
    <s v="В"/>
    <m/>
    <m/>
    <s v="Бел"/>
    <s v="Бел"/>
    <s v="Бел"/>
    <x v="6"/>
    <s v="Эвон"/>
    <m/>
    <n v="80.285714285714292"/>
    <n v="67"/>
    <n v="75"/>
    <n v="75"/>
    <n v="85"/>
    <n v="90"/>
    <n v="90"/>
    <n v="80"/>
    <n v="29"/>
    <n v="16690680"/>
    <n v="1390890"/>
    <n v="0"/>
    <n v="1390890"/>
    <n v="0"/>
    <n v="0"/>
  </r>
  <r>
    <s v="Штайнберг Курт"/>
    <x v="0"/>
    <s v="В"/>
    <m/>
    <m/>
    <m/>
    <s v="Бел"/>
    <s v="Бел"/>
    <x v="6"/>
    <s v="Эвон"/>
    <m/>
    <n v="73.857142857142861"/>
    <n v="31"/>
    <n v="78"/>
    <n v="79"/>
    <n v="88"/>
    <n v="92"/>
    <n v="93"/>
    <n v="56"/>
    <n v="0"/>
    <n v="4829755"/>
    <n v="402479.58333333331"/>
    <n v="0"/>
    <n v="402479.58333333331"/>
    <n v="0"/>
    <n v="0"/>
  </r>
  <r>
    <s v="Бер (З)"/>
    <x v="1"/>
    <s v="ЦЗ"/>
    <m/>
    <m/>
    <s v="Бел"/>
    <s v="Бел"/>
    <s v="Бел"/>
    <x v="6"/>
    <s v="Эвон"/>
    <m/>
    <n v="70.571428571428569"/>
    <n v="36"/>
    <n v="75"/>
    <n v="77"/>
    <n v="85"/>
    <n v="81"/>
    <n v="80"/>
    <n v="60"/>
    <n v="26"/>
    <n v="4596004"/>
    <n v="383000.33333333331"/>
    <n v="0"/>
    <n v="383000.33333333331"/>
    <n v="0"/>
    <n v="0"/>
  </r>
  <r>
    <s v="Костилини Вернер"/>
    <x v="1"/>
    <s v="ЦЗ"/>
    <s v="ОПЗ"/>
    <m/>
    <m/>
    <s v="Бел"/>
    <s v="Бел"/>
    <x v="6"/>
    <s v="Эвон"/>
    <m/>
    <n v="68.428571428571431"/>
    <n v="28"/>
    <n v="82"/>
    <n v="68"/>
    <n v="80"/>
    <n v="85"/>
    <n v="86"/>
    <n v="50"/>
    <n v="0"/>
    <n v="2250997"/>
    <n v="187583.08333333334"/>
    <n v="0"/>
    <n v="187583.08333333334"/>
    <n v="0"/>
    <n v="0"/>
  </r>
  <r>
    <s v="Вайсман Хельмут"/>
    <x v="1"/>
    <s v="ЦЗ"/>
    <s v="ОПЗ"/>
    <m/>
    <m/>
    <s v="Бел"/>
    <s v="Бел"/>
    <x v="6"/>
    <s v="Эвон"/>
    <m/>
    <n v="71"/>
    <n v="36"/>
    <n v="77"/>
    <n v="72"/>
    <n v="86"/>
    <n v="87"/>
    <n v="88"/>
    <n v="51"/>
    <n v="0"/>
    <n v="3255244"/>
    <n v="271270.33333333331"/>
    <n v="0"/>
    <n v="271270.33333333331"/>
    <n v="0"/>
    <n v="0"/>
  </r>
  <r>
    <s v="Кравц"/>
    <x v="1"/>
    <s v="ЦЗ"/>
    <m/>
    <m/>
    <s v="Шах"/>
    <s v="Шах"/>
    <s v="Шах"/>
    <x v="6"/>
    <s v="Эвон"/>
    <m/>
    <n v="66.714285714285708"/>
    <n v="50"/>
    <n v="63"/>
    <n v="75"/>
    <n v="70"/>
    <n v="73"/>
    <n v="84"/>
    <n v="52"/>
    <n v="0"/>
    <n v="1746580"/>
    <n v="145548.33333333334"/>
    <n v="0"/>
    <n v="145548.33333333334"/>
    <n v="0"/>
    <n v="0"/>
  </r>
  <r>
    <s v="Крюгер Дитер"/>
    <x v="1"/>
    <s v="ЦЗ"/>
    <s v="ЛЗ"/>
    <m/>
    <m/>
    <s v="Бел"/>
    <s v="Бел"/>
    <x v="6"/>
    <s v="Эвон"/>
    <m/>
    <n v="67"/>
    <n v="24"/>
    <n v="80"/>
    <n v="66"/>
    <n v="82"/>
    <n v="84"/>
    <n v="85"/>
    <n v="48"/>
    <n v="0"/>
    <n v="1822838"/>
    <n v="151903.16666666666"/>
    <n v="0"/>
    <n v="151903.16666666666"/>
    <n v="0"/>
    <n v="0"/>
  </r>
  <r>
    <s v="Метер (З)"/>
    <x v="1"/>
    <s v="ЦЗ"/>
    <s v="ОПЗ"/>
    <m/>
    <s v="Бел"/>
    <s v="Бел"/>
    <s v="Бел"/>
    <x v="6"/>
    <s v="Эвон"/>
    <m/>
    <n v="70"/>
    <n v="41"/>
    <n v="74"/>
    <n v="73"/>
    <n v="88"/>
    <n v="80"/>
    <n v="79"/>
    <n v="55"/>
    <n v="0"/>
    <n v="2824753"/>
    <n v="235396.08333333334"/>
    <n v="0"/>
    <n v="235396.08333333334"/>
    <n v="0"/>
    <n v="0"/>
  </r>
  <r>
    <s v="Хоффманн Отто"/>
    <x v="1"/>
    <s v="ЦЗ"/>
    <m/>
    <m/>
    <m/>
    <s v="Бел"/>
    <s v="Бел"/>
    <x v="6"/>
    <s v="Эвон"/>
    <m/>
    <n v="67"/>
    <n v="24"/>
    <n v="80"/>
    <n v="66"/>
    <n v="82"/>
    <n v="84"/>
    <n v="85"/>
    <n v="48"/>
    <n v="0"/>
    <n v="1822838"/>
    <n v="151903.16666666666"/>
    <n v="0"/>
    <n v="151903.16666666666"/>
    <n v="0"/>
    <n v="0"/>
  </r>
  <r>
    <s v="Хуальди (З)"/>
    <x v="1"/>
    <s v="ЦЗ"/>
    <s v="ОПЗ"/>
    <m/>
    <s v="Вор"/>
    <s v="Вор"/>
    <s v="Вор"/>
    <x v="6"/>
    <s v="Эвон"/>
    <m/>
    <n v="73.285714285714292"/>
    <n v="70"/>
    <n v="72"/>
    <n v="76"/>
    <n v="70"/>
    <n v="72"/>
    <n v="82"/>
    <n v="71"/>
    <n v="0"/>
    <n v="4468825"/>
    <n v="372402.08333333331"/>
    <n v="0"/>
    <n v="372402.08333333331"/>
    <n v="0"/>
    <n v="0"/>
  </r>
  <r>
    <s v="Камилот"/>
    <x v="2"/>
    <s v="ЦН"/>
    <s v="АПЗ"/>
    <m/>
    <s v="Клю"/>
    <s v="Фин"/>
    <s v="Фин"/>
    <x v="6"/>
    <s v="Эвон"/>
    <m/>
    <n v="85.142857142857139"/>
    <n v="83"/>
    <n v="91"/>
    <n v="89"/>
    <n v="88"/>
    <n v="81"/>
    <n v="75"/>
    <n v="89"/>
    <n v="9"/>
    <n v="30031254"/>
    <n v="2502604.5"/>
    <n v="0"/>
    <n v="2502604.5"/>
    <n v="0"/>
    <n v="0"/>
  </r>
  <r>
    <s v="Моторс (Н)"/>
    <x v="2"/>
    <s v="ЦН"/>
    <s v="АПЗ"/>
    <m/>
    <s v="Бел"/>
    <s v="Бел"/>
    <s v="Бел"/>
    <x v="6"/>
    <s v="Эвон"/>
    <m/>
    <n v="81.428571428571431"/>
    <n v="70"/>
    <n v="82"/>
    <n v="88"/>
    <n v="84"/>
    <n v="88"/>
    <n v="88"/>
    <n v="70"/>
    <n v="16"/>
    <n v="19224694"/>
    <n v="1602057.8333333333"/>
    <n v="0"/>
    <n v="1602057.8333333333"/>
    <n v="0"/>
    <n v="0"/>
  </r>
  <r>
    <s v="Монли Олове"/>
    <x v="2"/>
    <s v="ЦН"/>
    <s v="АПЗ"/>
    <m/>
    <m/>
    <s v="Бел"/>
    <s v="Бел"/>
    <x v="6"/>
    <s v="Эвон"/>
    <m/>
    <n v="73.714285714285708"/>
    <n v="37"/>
    <n v="80"/>
    <n v="83"/>
    <n v="82"/>
    <n v="88"/>
    <n v="89"/>
    <n v="57"/>
    <n v="0"/>
    <n v="4737145"/>
    <n v="394762.08333333331"/>
    <n v="0"/>
    <n v="394762.08333333331"/>
    <n v="0"/>
    <n v="0"/>
  </r>
  <r>
    <s v="Шмидт Ганс"/>
    <x v="2"/>
    <s v="ЦН"/>
    <s v="АПЗ"/>
    <m/>
    <m/>
    <s v="Бел"/>
    <s v="Бел"/>
    <x v="6"/>
    <s v="Эвон"/>
    <m/>
    <n v="68.714285714285708"/>
    <n v="25"/>
    <n v="76"/>
    <n v="78"/>
    <n v="80"/>
    <n v="84"/>
    <n v="86"/>
    <n v="52"/>
    <n v="0"/>
    <n v="2346770"/>
    <n v="195564.16666666666"/>
    <n v="0"/>
    <n v="195564.16666666666"/>
    <n v="0"/>
    <n v="0"/>
  </r>
  <r>
    <s v="Аз (П)"/>
    <x v="3"/>
    <s v="ЦПЗ"/>
    <s v="АПЗ"/>
    <s v="ЛПЗ"/>
    <s v="А.Н."/>
    <s v="А.Н."/>
    <s v="А.Н."/>
    <x v="6"/>
    <s v="Эвон"/>
    <m/>
    <n v="91.571428571428569"/>
    <n v="86"/>
    <n v="91"/>
    <n v="95"/>
    <n v="98"/>
    <n v="90"/>
    <n v="87"/>
    <n v="94"/>
    <n v="22"/>
    <n v="62185790"/>
    <n v="5182149.166666667"/>
    <n v="0"/>
    <n v="5182149.166666667"/>
    <n v="0"/>
    <n v="0"/>
  </r>
  <r>
    <s v="Брохирич (П)"/>
    <x v="3"/>
    <s v="ОПЗ"/>
    <s v="ЦПЗ"/>
    <m/>
    <s v="Вар"/>
    <s v="Вар"/>
    <s v="Вар"/>
    <x v="6"/>
    <s v="Эвон"/>
    <m/>
    <n v="89.142857142857139"/>
    <n v="86"/>
    <n v="85"/>
    <n v="92"/>
    <n v="93"/>
    <n v="96"/>
    <n v="88"/>
    <n v="84"/>
    <n v="18"/>
    <n v="47528790"/>
    <n v="3960732.5"/>
    <n v="0"/>
    <n v="3960732.5"/>
    <n v="0"/>
    <n v="0"/>
  </r>
  <r>
    <s v="Вагнер Эрих"/>
    <x v="3"/>
    <s v="ОПЗ"/>
    <s v="ЦПЗ"/>
    <m/>
    <m/>
    <s v="Бел"/>
    <s v="Бел"/>
    <x v="6"/>
    <s v="Эвон"/>
    <m/>
    <n v="72.142857142857139"/>
    <n v="33"/>
    <n v="79"/>
    <n v="76"/>
    <n v="87"/>
    <n v="88"/>
    <n v="87"/>
    <n v="55"/>
    <n v="0"/>
    <n v="3818857"/>
    <n v="318238.08333333331"/>
    <n v="0"/>
    <n v="318238.08333333331"/>
    <n v="0"/>
    <n v="0"/>
  </r>
  <r>
    <s v="Нестерал (П)"/>
    <x v="3"/>
    <s v="ОПЗ"/>
    <s v="ЦЗ"/>
    <s v="ЦПЗ"/>
    <s v="Турн"/>
    <s v="Турн"/>
    <s v="Турн"/>
    <x v="6"/>
    <s v="Эвон"/>
    <m/>
    <n v="89.142857142857139"/>
    <n v="89"/>
    <n v="87"/>
    <n v="88"/>
    <n v="90"/>
    <n v="91"/>
    <n v="94"/>
    <n v="85"/>
    <n v="22"/>
    <n v="47528790"/>
    <n v="3960732.5"/>
    <n v="0"/>
    <n v="3960732.5"/>
    <n v="0"/>
    <n v="0"/>
  </r>
  <r>
    <s v="Фишер Карл"/>
    <x v="3"/>
    <s v="ЦПЗ"/>
    <s v="АПЗ"/>
    <m/>
    <m/>
    <s v="Бел"/>
    <s v="Бел"/>
    <x v="6"/>
    <s v="Эвон"/>
    <m/>
    <n v="65.857142857142861"/>
    <n v="22"/>
    <n v="75"/>
    <n v="70"/>
    <n v="78"/>
    <n v="84"/>
    <n v="83"/>
    <n v="49"/>
    <n v="0"/>
    <n v="1534719"/>
    <n v="127893.25"/>
    <n v="0"/>
    <n v="127893.25"/>
    <n v="0"/>
    <n v="0"/>
  </r>
  <r>
    <s v="Хатенпак М (П)"/>
    <x v="3"/>
    <s v="ОПЗ"/>
    <s v="ЦЗ"/>
    <s v="ЦПЗ"/>
    <s v="Бел"/>
    <s v="Бел"/>
    <s v="Бел"/>
    <x v="6"/>
    <s v="Эвон"/>
    <m/>
    <n v="82.714285714285708"/>
    <n v="75"/>
    <n v="81"/>
    <n v="85"/>
    <n v="88"/>
    <n v="85"/>
    <n v="92"/>
    <n v="73"/>
    <n v="25"/>
    <n v="22485187"/>
    <n v="1873765.5833333333"/>
    <n v="0"/>
    <n v="1873765.5833333333"/>
    <n v="0"/>
    <n v="0"/>
  </r>
  <r>
    <s v="Циммерманн Людвиг"/>
    <x v="3"/>
    <s v="ЛПЗ"/>
    <s v="ОПЗ"/>
    <m/>
    <m/>
    <s v="Бел"/>
    <s v="Бел"/>
    <x v="6"/>
    <s v="Эвон"/>
    <m/>
    <n v="65.428571428571431"/>
    <n v="20"/>
    <n v="84"/>
    <n v="65"/>
    <n v="79"/>
    <n v="82"/>
    <n v="81"/>
    <n v="47"/>
    <n v="0"/>
    <n v="1437721"/>
    <n v="119810.08333333333"/>
    <n v="0"/>
    <n v="119810.08333333333"/>
    <n v="0"/>
    <n v="0"/>
  </r>
  <r>
    <s v="Филл Еж"/>
    <x v="4"/>
    <s v="Т"/>
    <m/>
    <m/>
    <m/>
    <s v="Бел"/>
    <s v="Бел"/>
    <x v="6"/>
    <s v="Эвон"/>
    <m/>
    <n v="67.571428571428569"/>
    <n v="47"/>
    <n v="84"/>
    <n v="71"/>
    <n v="65"/>
    <n v="69"/>
    <n v="67"/>
    <n v="70"/>
    <n v="0"/>
    <n v="1984409"/>
    <n v="165367.41666666666"/>
    <n v="0"/>
    <n v="165367.41666666666"/>
    <n v="0"/>
    <n v="0"/>
  </r>
  <r>
    <s v="Бранд Ким"/>
    <x v="0"/>
    <s v="В"/>
    <m/>
    <m/>
    <m/>
    <s v="Орл"/>
    <s v="Орл"/>
    <x v="7"/>
    <s v="Эвон"/>
    <m/>
    <n v="62.142857142857146"/>
    <n v="22"/>
    <n v="71"/>
    <n v="82"/>
    <n v="73"/>
    <n v="79"/>
    <n v="74"/>
    <n v="34"/>
    <n v="0"/>
    <n v="858840"/>
    <n v="71570"/>
    <n v="0"/>
    <n v="71570"/>
    <n v="0"/>
    <n v="0"/>
  </r>
  <r>
    <s v="Жлобс"/>
    <x v="0"/>
    <s v="В"/>
    <m/>
    <m/>
    <s v="Орл"/>
    <s v="Орл"/>
    <s v="Орл"/>
    <x v="7"/>
    <s v="Эвон"/>
    <m/>
    <n v="70.285714285714292"/>
    <n v="53"/>
    <n v="77"/>
    <n v="85"/>
    <n v="76"/>
    <n v="82"/>
    <n v="77"/>
    <n v="42"/>
    <n v="0"/>
    <n v="2942190"/>
    <n v="245182.5"/>
    <n v="0"/>
    <n v="245182.5"/>
    <n v="0"/>
    <n v="0"/>
  </r>
  <r>
    <s v="Гвидо Марк"/>
    <x v="1"/>
    <s v="ПЗ"/>
    <s v="ЛЗ"/>
    <m/>
    <m/>
    <s v="Орл"/>
    <s v="Орл"/>
    <x v="7"/>
    <s v="Эвон"/>
    <m/>
    <n v="63.142857142857146"/>
    <n v="27"/>
    <n v="81"/>
    <n v="70"/>
    <n v="72"/>
    <n v="71"/>
    <n v="79"/>
    <n v="42"/>
    <n v="0"/>
    <n v="1007494"/>
    <n v="83957.833333333328"/>
    <n v="0"/>
    <n v="83957.833333333328"/>
    <n v="0"/>
    <n v="0"/>
  </r>
  <r>
    <s v="Здонг"/>
    <x v="1"/>
    <s v="ЦЗ"/>
    <m/>
    <m/>
    <s v="Орл"/>
    <s v="Орл"/>
    <s v="Орл"/>
    <x v="7"/>
    <s v="Эвон"/>
    <m/>
    <n v="61"/>
    <n v="36"/>
    <n v="64"/>
    <n v="79"/>
    <n v="65"/>
    <n v="68"/>
    <n v="85"/>
    <n v="30"/>
    <n v="0"/>
    <n v="713343"/>
    <n v="59445.25"/>
    <n v="0"/>
    <n v="59445.25"/>
    <n v="0"/>
    <n v="0"/>
  </r>
  <r>
    <s v="Кранц Олаф"/>
    <x v="1"/>
    <s v="ЦЗ"/>
    <s v="ОПЗ"/>
    <m/>
    <m/>
    <s v="Орл"/>
    <s v="Орл"/>
    <x v="7"/>
    <s v="Эвон"/>
    <m/>
    <n v="62.571428571428569"/>
    <n v="25"/>
    <n v="63"/>
    <n v="68"/>
    <n v="80"/>
    <n v="83"/>
    <n v="81"/>
    <n v="38"/>
    <n v="0"/>
    <n v="919943"/>
    <n v="76661.916666666672"/>
    <n v="0"/>
    <n v="76661.916666666672"/>
    <n v="0"/>
    <n v="0"/>
  </r>
  <r>
    <s v="Свенд Хуго"/>
    <x v="1"/>
    <s v="ЦЗ"/>
    <s v="ЛЗ"/>
    <m/>
    <s v="Орл"/>
    <s v="Орл"/>
    <s v="Орл"/>
    <x v="7"/>
    <s v="Эвон"/>
    <m/>
    <n v="68.857142857142861"/>
    <n v="29"/>
    <n v="76"/>
    <n v="78"/>
    <n v="86"/>
    <n v="84"/>
    <n v="82"/>
    <n v="47"/>
    <n v="0"/>
    <n v="2396018"/>
    <n v="199668.16666666666"/>
    <n v="0"/>
    <n v="199668.16666666666"/>
    <n v="0"/>
    <n v="0"/>
  </r>
  <r>
    <s v="Сенди (З)"/>
    <x v="1"/>
    <s v="ЦЗ"/>
    <s v="ЛЗ"/>
    <m/>
    <s v="Орл"/>
    <s v="Орл"/>
    <s v="Орл"/>
    <x v="7"/>
    <s v="Эвон"/>
    <m/>
    <n v="77.714285714285708"/>
    <n v="71"/>
    <n v="72"/>
    <n v="80"/>
    <n v="85"/>
    <n v="82"/>
    <n v="84"/>
    <n v="70"/>
    <n v="0"/>
    <n v="8035421"/>
    <n v="669618.41666666663"/>
    <n v="0"/>
    <n v="669618.41666666663"/>
    <n v="0"/>
    <n v="0"/>
  </r>
  <r>
    <s v="Таннер Ларс"/>
    <x v="1"/>
    <s v="ЦЗ"/>
    <s v="ПЗ"/>
    <m/>
    <m/>
    <s v="Орл"/>
    <s v="Орл"/>
    <x v="7"/>
    <s v="Эвон"/>
    <m/>
    <n v="54.285714285714285"/>
    <n v="21"/>
    <n v="58"/>
    <n v="63"/>
    <n v="64"/>
    <n v="66"/>
    <n v="77"/>
    <n v="31"/>
    <n v="0"/>
    <n v="222258"/>
    <n v="18521.5"/>
    <n v="0"/>
    <n v="18521.5"/>
    <n v="0"/>
    <n v="0"/>
  </r>
  <r>
    <s v="Торгула"/>
    <x v="1"/>
    <s v="ЦЗ"/>
    <m/>
    <m/>
    <s v="Орл"/>
    <s v="Орл"/>
    <s v="Орл"/>
    <x v="7"/>
    <s v="Эвон"/>
    <m/>
    <n v="65.857142857142861"/>
    <n v="36"/>
    <n v="73"/>
    <n v="74"/>
    <n v="68"/>
    <n v="71"/>
    <n v="95"/>
    <n v="44"/>
    <n v="0"/>
    <n v="1534719"/>
    <n v="127893.25"/>
    <n v="0"/>
    <n v="127893.25"/>
    <n v="0"/>
    <n v="0"/>
  </r>
  <r>
    <s v="Хаухин (З)"/>
    <x v="1"/>
    <s v="ЦЗ"/>
    <s v="ПЗ"/>
    <m/>
    <s v="Орл"/>
    <s v="Орл"/>
    <s v="Орл"/>
    <x v="7"/>
    <s v="Эвон"/>
    <m/>
    <n v="67.428571428571431"/>
    <n v="51"/>
    <n v="67"/>
    <n v="74"/>
    <n v="74"/>
    <n v="73"/>
    <n v="83"/>
    <n v="50"/>
    <n v="0"/>
    <n v="1942852"/>
    <n v="161904.33333333334"/>
    <n v="0"/>
    <n v="161904.33333333334"/>
    <n v="0"/>
    <n v="0"/>
  </r>
  <r>
    <s v="Цыбула"/>
    <x v="1"/>
    <s v="ЦЗ"/>
    <m/>
    <m/>
    <s v="Орл"/>
    <s v="Орл"/>
    <s v="Орл"/>
    <x v="7"/>
    <s v="Эвон"/>
    <m/>
    <n v="66.428571428571431"/>
    <n v="48"/>
    <n v="61"/>
    <n v="85"/>
    <n v="70"/>
    <n v="70"/>
    <n v="91"/>
    <n v="40"/>
    <n v="0"/>
    <n v="1673205"/>
    <n v="139433.75"/>
    <n v="0"/>
    <n v="139433.75"/>
    <n v="0"/>
    <n v="0"/>
  </r>
  <r>
    <s v="Велло Рауль"/>
    <x v="2"/>
    <s v="ЦН"/>
    <s v="ОФ"/>
    <m/>
    <m/>
    <s v="Орл"/>
    <s v="Орл"/>
    <x v="7"/>
    <s v="Эвон"/>
    <m/>
    <n v="66.571428571428569"/>
    <n v="28"/>
    <n v="78"/>
    <n v="74"/>
    <n v="75"/>
    <n v="80"/>
    <n v="86"/>
    <n v="45"/>
    <n v="0"/>
    <n v="1709539"/>
    <n v="142461.58333333334"/>
    <n v="0"/>
    <n v="142461.58333333334"/>
    <n v="0"/>
    <n v="0"/>
  </r>
  <r>
    <s v="Гагги"/>
    <x v="2"/>
    <s v="ОФ"/>
    <s v="ППЗ"/>
    <m/>
    <s v="Орл"/>
    <s v="Орл"/>
    <s v="Орл"/>
    <x v="7"/>
    <s v="Эвон"/>
    <m/>
    <n v="68.428571428571431"/>
    <n v="46"/>
    <n v="74"/>
    <n v="70"/>
    <n v="77"/>
    <n v="83"/>
    <n v="76"/>
    <n v="53"/>
    <n v="0"/>
    <n v="2250997"/>
    <n v="187583.08333333334"/>
    <n v="0"/>
    <n v="187583.08333333334"/>
    <n v="0"/>
    <n v="0"/>
  </r>
  <r>
    <s v="Дорно Пабло"/>
    <x v="2"/>
    <s v="ЦН"/>
    <m/>
    <m/>
    <m/>
    <s v="Орл"/>
    <s v="Орл"/>
    <x v="7"/>
    <s v="Эвон"/>
    <m/>
    <n v="66.571428571428569"/>
    <n v="28"/>
    <n v="78"/>
    <n v="74"/>
    <n v="75"/>
    <n v="80"/>
    <n v="86"/>
    <n v="45"/>
    <n v="0"/>
    <n v="1709539"/>
    <n v="142461.58333333334"/>
    <n v="0"/>
    <n v="142461.58333333334"/>
    <n v="0"/>
    <n v="0"/>
  </r>
  <r>
    <s v="Санди (Н)"/>
    <x v="2"/>
    <s v="ЦН"/>
    <m/>
    <m/>
    <s v="Орл"/>
    <s v="Орл"/>
    <s v="Орл"/>
    <x v="7"/>
    <s v="Эвон"/>
    <m/>
    <n v="78"/>
    <n v="63"/>
    <n v="79"/>
    <n v="81"/>
    <n v="80"/>
    <n v="81"/>
    <n v="84"/>
    <n v="78"/>
    <n v="0"/>
    <n v="8335776"/>
    <n v="694648"/>
    <n v="0"/>
    <n v="694648"/>
    <n v="0"/>
    <n v="0"/>
  </r>
  <r>
    <s v="Тиббо Жан"/>
    <x v="2"/>
    <s v="ОФ"/>
    <s v="ППЗ"/>
    <m/>
    <m/>
    <s v="Орл"/>
    <s v="Орл"/>
    <x v="7"/>
    <s v="Эвон"/>
    <m/>
    <n v="61.142857142857146"/>
    <n v="24"/>
    <n v="83"/>
    <n v="65"/>
    <n v="70"/>
    <n v="75"/>
    <n v="72"/>
    <n v="39"/>
    <n v="0"/>
    <n v="730226"/>
    <n v="60852.166666666664"/>
    <n v="0"/>
    <n v="60852.166666666664"/>
    <n v="0"/>
    <n v="0"/>
  </r>
  <r>
    <s v="Тонни"/>
    <x v="2"/>
    <s v="ЦН"/>
    <m/>
    <m/>
    <s v="Орл"/>
    <s v="Орл"/>
    <s v="Орл"/>
    <x v="7"/>
    <s v="Эвон"/>
    <m/>
    <n v="74"/>
    <n v="51"/>
    <n v="75"/>
    <n v="84"/>
    <n v="76"/>
    <n v="78"/>
    <n v="88"/>
    <n v="66"/>
    <n v="0"/>
    <n v="4923991"/>
    <n v="299830.33333333331"/>
    <n v="0"/>
    <n v="410332.58333333331"/>
    <n v="-26.93"/>
    <n v="0"/>
  </r>
  <r>
    <s v="Гэйбен"/>
    <x v="3"/>
    <s v="ЦПЗ"/>
    <s v="АПЗ"/>
    <m/>
    <s v="Орл"/>
    <s v="Орл"/>
    <s v="Орл"/>
    <x v="7"/>
    <s v="Эвон"/>
    <m/>
    <n v="70"/>
    <n v="50"/>
    <n v="80"/>
    <n v="75"/>
    <n v="78"/>
    <n v="73"/>
    <n v="79"/>
    <n v="55"/>
    <n v="0"/>
    <n v="2824753"/>
    <n v="127893.25"/>
    <n v="0"/>
    <n v="235396.08333333334"/>
    <n v="-45.67"/>
    <n v="0"/>
  </r>
  <r>
    <s v="Забер (П)"/>
    <x v="3"/>
    <s v="ЛПЗ"/>
    <s v="ОПЗ"/>
    <m/>
    <s v="Орл"/>
    <s v="Орл"/>
    <s v="Орл"/>
    <x v="7"/>
    <s v="Эвон"/>
    <m/>
    <n v="79.428571428571431"/>
    <n v="71"/>
    <n v="88"/>
    <n v="81"/>
    <n v="80"/>
    <n v="79"/>
    <n v="82"/>
    <n v="75"/>
    <n v="23"/>
    <n v="14991973"/>
    <n v="1249331.0833333333"/>
    <n v="0"/>
    <n v="1249331.0833333333"/>
    <n v="0"/>
    <n v="0"/>
  </r>
  <r>
    <s v="Квайголленд"/>
    <x v="3"/>
    <s v="ЦПЗ"/>
    <s v="АПЗ"/>
    <m/>
    <s v="Орл"/>
    <s v="Орл"/>
    <s v="Орл"/>
    <x v="7"/>
    <s v="Эвон"/>
    <m/>
    <n v="89.857142857142861"/>
    <n v="85"/>
    <n v="89"/>
    <n v="90"/>
    <n v="92"/>
    <n v="90"/>
    <n v="95"/>
    <n v="88"/>
    <n v="17"/>
    <n v="51477485"/>
    <n v="1630387"/>
    <n v="0"/>
    <n v="4289790.416666667"/>
    <n v="-61.99"/>
    <n v="0"/>
  </r>
  <r>
    <s v="Ксавье Поль"/>
    <x v="3"/>
    <s v="ЦПЗ"/>
    <s v="АПЗ"/>
    <m/>
    <m/>
    <s v="Орл"/>
    <s v="Орл"/>
    <x v="7"/>
    <s v="Эвон"/>
    <m/>
    <n v="56.428571428571431"/>
    <n v="23"/>
    <n v="64"/>
    <n v="60"/>
    <n v="72"/>
    <n v="68"/>
    <n v="76"/>
    <n v="32"/>
    <n v="0"/>
    <n v="327334"/>
    <n v="27277.833333333332"/>
    <n v="0"/>
    <n v="27277.833333333332"/>
    <n v="0"/>
    <n v="0"/>
  </r>
  <r>
    <s v="Фриго Мика"/>
    <x v="3"/>
    <s v="ЛПЗ"/>
    <s v="ППЗ"/>
    <m/>
    <m/>
    <s v="Орл"/>
    <s v="Орл"/>
    <x v="7"/>
    <s v="Эвон"/>
    <m/>
    <n v="67.571428571428569"/>
    <n v="26"/>
    <n v="88"/>
    <n v="76"/>
    <n v="81"/>
    <n v="78"/>
    <n v="80"/>
    <n v="44"/>
    <n v="0"/>
    <n v="1984409"/>
    <n v="165367.41666666666"/>
    <n v="0"/>
    <n v="165367.41666666666"/>
    <n v="0"/>
    <n v="0"/>
  </r>
  <r>
    <s v="Хави (П)"/>
    <x v="3"/>
    <s v="ЛПЗ"/>
    <s v="ППЗ"/>
    <s v="ОПЗ"/>
    <s v="Орл"/>
    <s v="Орл"/>
    <s v="Орл"/>
    <x v="7"/>
    <s v="Эвон"/>
    <m/>
    <n v="80.714285714285708"/>
    <n v="70"/>
    <n v="90"/>
    <n v="83"/>
    <n v="82"/>
    <n v="80"/>
    <n v="80"/>
    <n v="80"/>
    <n v="23"/>
    <n v="17603351"/>
    <n v="1466945.9166666667"/>
    <n v="0"/>
    <n v="1466945.9166666667"/>
    <n v="0"/>
    <n v="0"/>
  </r>
  <r>
    <s v="Цырмун"/>
    <x v="3"/>
    <s v="ЦПЗ"/>
    <s v="ОПЗ"/>
    <m/>
    <s v="Орл"/>
    <s v="Орл"/>
    <s v="Орл"/>
    <x v="7"/>
    <s v="Эвон"/>
    <m/>
    <n v="68.571428571428569"/>
    <n v="49"/>
    <n v="68"/>
    <n v="79"/>
    <n v="72"/>
    <n v="82"/>
    <n v="88"/>
    <n v="42"/>
    <n v="0"/>
    <n v="2298434"/>
    <n v="191536.16666666666"/>
    <n v="0"/>
    <n v="191536.16666666666"/>
    <n v="0"/>
    <n v="0"/>
  </r>
  <r>
    <s v="Грайзенхаузер М"/>
    <x v="0"/>
    <s v="В"/>
    <m/>
    <m/>
    <s v="С.К."/>
    <s v="С.К."/>
    <s v="С.К."/>
    <x v="8"/>
    <s v="Эвон"/>
    <m/>
    <n v="75.571428571428569"/>
    <n v="61"/>
    <n v="63"/>
    <n v="66"/>
    <n v="89"/>
    <n v="77"/>
    <n v="91"/>
    <n v="82"/>
    <n v="29"/>
    <n v="9113131"/>
    <n v="759427.58333333337"/>
    <n v="0"/>
    <n v="759427.58333333337"/>
    <n v="0"/>
    <n v="0"/>
  </r>
  <r>
    <s v="Альмарин (З)"/>
    <x v="1"/>
    <s v="ЦЗ"/>
    <s v="ОПЗ"/>
    <m/>
    <s v="Нест"/>
    <s v="Нест"/>
    <s v="Нест"/>
    <x v="8"/>
    <s v="Эвон"/>
    <m/>
    <n v="73.571428571428569"/>
    <n v="48"/>
    <n v="79"/>
    <n v="80"/>
    <n v="79"/>
    <n v="82"/>
    <n v="87"/>
    <n v="60"/>
    <n v="0"/>
    <n v="4646136"/>
    <n v="387178"/>
    <n v="0"/>
    <n v="387178"/>
    <n v="0"/>
    <n v="0"/>
  </r>
  <r>
    <s v="Германт"/>
    <x v="1"/>
    <s v="ЦЗ"/>
    <m/>
    <m/>
    <s v="Тури"/>
    <s v="Тури"/>
    <s v="Тури"/>
    <x v="8"/>
    <s v="Эвон"/>
    <m/>
    <n v="69.428571428571431"/>
    <n v="42"/>
    <n v="68"/>
    <n v="74"/>
    <n v="74"/>
    <n v="80"/>
    <n v="85"/>
    <n v="63"/>
    <n v="0"/>
    <n v="2602450"/>
    <n v="216870.83333333334"/>
    <n v="0"/>
    <n v="216870.83333333334"/>
    <n v="0"/>
    <n v="0"/>
  </r>
  <r>
    <s v="Крконош Яромир"/>
    <x v="1"/>
    <s v="ПЗ"/>
    <s v="ЦЗ"/>
    <m/>
    <m/>
    <s v="Нест"/>
    <s v="Нест"/>
    <x v="8"/>
    <s v="Эвон"/>
    <m/>
    <n v="59.142857142857146"/>
    <n v="16"/>
    <n v="66"/>
    <n v="64"/>
    <n v="74"/>
    <n v="80"/>
    <n v="82"/>
    <n v="32"/>
    <n v="0"/>
    <n v="523629"/>
    <n v="43635.75"/>
    <n v="0"/>
    <n v="43635.75"/>
    <n v="0"/>
    <n v="0"/>
  </r>
  <r>
    <s v="Мырча Флорин"/>
    <x v="1"/>
    <s v="ЦЗ"/>
    <m/>
    <m/>
    <m/>
    <s v="Нест"/>
    <s v="Нест"/>
    <x v="8"/>
    <s v="Эвон"/>
    <m/>
    <n v="56.142857142857146"/>
    <n v="18"/>
    <n v="62"/>
    <n v="62"/>
    <n v="70"/>
    <n v="74"/>
    <n v="77"/>
    <n v="30"/>
    <n v="0"/>
    <n v="311133"/>
    <n v="25927.75"/>
    <n v="0"/>
    <n v="25927.75"/>
    <n v="0"/>
    <n v="0"/>
  </r>
  <r>
    <s v="Фольбыш Тонни"/>
    <x v="1"/>
    <s v="ЦЗ"/>
    <s v="ОПЗ"/>
    <m/>
    <m/>
    <s v="Нест"/>
    <s v="Нест"/>
    <x v="8"/>
    <s v="Эвон"/>
    <m/>
    <n v="66.285714285714292"/>
    <n v="23"/>
    <n v="76"/>
    <n v="70"/>
    <n v="82"/>
    <n v="84"/>
    <n v="86"/>
    <n v="43"/>
    <n v="0"/>
    <n v="1637569"/>
    <n v="136464.08333333334"/>
    <n v="0"/>
    <n v="136464.08333333334"/>
    <n v="0"/>
    <n v="0"/>
  </r>
  <r>
    <s v="Толжер"/>
    <x v="1"/>
    <s v="ЦЗ"/>
    <s v="ЛЗ"/>
    <m/>
    <s v="Тури"/>
    <s v="Тури"/>
    <s v="Тури"/>
    <x v="8"/>
    <s v="Эвон"/>
    <m/>
    <n v="68.142857142857139"/>
    <n v="41"/>
    <n v="62"/>
    <n v="73"/>
    <n v="75"/>
    <n v="81"/>
    <n v="84"/>
    <n v="61"/>
    <n v="0"/>
    <n v="2158756"/>
    <n v="179896.33333333334"/>
    <n v="0"/>
    <n v="179896.33333333334"/>
    <n v="0"/>
    <n v="0"/>
  </r>
  <r>
    <s v="Ростов"/>
    <x v="2"/>
    <s v="ЦН"/>
    <m/>
    <m/>
    <s v="Тури"/>
    <s v="Тури"/>
    <s v="Тури"/>
    <x v="8"/>
    <s v="Эвон"/>
    <m/>
    <n v="71.857142857142861"/>
    <n v="50"/>
    <n v="75"/>
    <n v="89"/>
    <n v="71"/>
    <n v="70"/>
    <n v="88"/>
    <n v="60"/>
    <n v="0"/>
    <n v="3670283"/>
    <n v="230636"/>
    <n v="0"/>
    <n v="305856.91666666669"/>
    <n v="-24.59"/>
    <n v="0"/>
  </r>
  <r>
    <s v="Стаккато Никола"/>
    <x v="2"/>
    <s v="ОФ"/>
    <s v="ЦН"/>
    <m/>
    <m/>
    <s v="Нест"/>
    <s v="Нест"/>
    <x v="8"/>
    <s v="Эвон"/>
    <m/>
    <n v="68"/>
    <n v="24"/>
    <n v="80"/>
    <n v="80"/>
    <n v="81"/>
    <n v="82"/>
    <n v="85"/>
    <n v="44"/>
    <n v="0"/>
    <n v="2113923"/>
    <n v="176160.25"/>
    <n v="0"/>
    <n v="176160.25"/>
    <n v="0"/>
    <n v="0"/>
  </r>
  <r>
    <s v="Ласлон Акуба"/>
    <x v="3"/>
    <s v="АПЗ"/>
    <s v="ЦПЗ"/>
    <m/>
    <m/>
    <s v="Нест"/>
    <s v="Нест"/>
    <x v="8"/>
    <s v="Эвон"/>
    <m/>
    <n v="61.571428571428569"/>
    <n v="21"/>
    <n v="72"/>
    <n v="68"/>
    <n v="80"/>
    <n v="76"/>
    <n v="78"/>
    <n v="36"/>
    <n v="0"/>
    <n v="783056"/>
    <n v="65254.666666666664"/>
    <n v="0"/>
    <n v="65254.666666666664"/>
    <n v="0"/>
    <n v="0"/>
  </r>
  <r>
    <s v="Думбрава Ион"/>
    <x v="3"/>
    <s v="ЦПЗ"/>
    <s v="ОПЗ"/>
    <m/>
    <m/>
    <s v="Нест"/>
    <s v="Нест"/>
    <x v="8"/>
    <s v="Эвон"/>
    <m/>
    <n v="54.714285714285715"/>
    <n v="16"/>
    <n v="60"/>
    <n v="64"/>
    <n v="72"/>
    <n v="70"/>
    <n v="73"/>
    <n v="28"/>
    <n v="0"/>
    <n v="240441"/>
    <n v="20036.75"/>
    <n v="0"/>
    <n v="20036.75"/>
    <n v="0"/>
    <n v="0"/>
  </r>
  <r>
    <s v="Завадский Тад"/>
    <x v="3"/>
    <s v="ОПЗ"/>
    <s v="ЦПЗ"/>
    <m/>
    <m/>
    <s v="Нест"/>
    <s v="Нест"/>
    <x v="8"/>
    <s v="Эвон"/>
    <m/>
    <n v="65.571428571428569"/>
    <n v="24"/>
    <n v="78"/>
    <n v="74"/>
    <n v="84"/>
    <n v="78"/>
    <n v="80"/>
    <n v="41"/>
    <n v="0"/>
    <n v="1469422"/>
    <n v="122451.83333333333"/>
    <n v="0"/>
    <n v="122451.83333333333"/>
    <n v="0"/>
    <n v="0"/>
  </r>
  <r>
    <s v="Криатов (П)"/>
    <x v="3"/>
    <s v="ППЗ"/>
    <s v="ЦПЗ"/>
    <s v="ОПЗ"/>
    <s v="Нест"/>
    <s v="Нест"/>
    <s v="Нест"/>
    <x v="8"/>
    <s v="Эвон"/>
    <m/>
    <n v="83.714285714285708"/>
    <n v="77"/>
    <n v="87"/>
    <n v="84"/>
    <n v="83"/>
    <n v="83"/>
    <n v="87"/>
    <n v="85"/>
    <n v="22"/>
    <n v="25356367"/>
    <n v="2113030.5833333335"/>
    <n v="0"/>
    <n v="2113030.5833333335"/>
    <n v="0"/>
    <n v="0"/>
  </r>
  <r>
    <s v="Мохов (П)"/>
    <x v="3"/>
    <s v="ОПЗ"/>
    <s v="ЦЗ"/>
    <s v="ЦПЗ"/>
    <s v="Нест"/>
    <s v="Нест"/>
    <s v="Нест"/>
    <x v="8"/>
    <s v="Эвон"/>
    <m/>
    <n v="87.428571428571431"/>
    <n v="80"/>
    <n v="86"/>
    <n v="90"/>
    <n v="90"/>
    <n v="86"/>
    <n v="92"/>
    <n v="88"/>
    <n v="1"/>
    <n v="39140384"/>
    <n v="3261698.6666666665"/>
    <n v="0"/>
    <n v="3261698.6666666665"/>
    <n v="0"/>
    <n v="0"/>
  </r>
  <r>
    <s v="Пелли"/>
    <x v="3"/>
    <s v="ОПЗ"/>
    <s v="ЦПЗ"/>
    <m/>
    <s v="Тури"/>
    <s v="Тури"/>
    <s v="Тури"/>
    <x v="8"/>
    <s v="Эвон"/>
    <m/>
    <n v="56.285714285714285"/>
    <n v="32"/>
    <n v="63"/>
    <n v="66"/>
    <n v="63"/>
    <n v="68"/>
    <n v="66"/>
    <n v="36"/>
    <n v="0"/>
    <n v="319141"/>
    <n v="26595.083333333332"/>
    <n v="0"/>
    <n v="26595.083333333332"/>
    <n v="0"/>
    <n v="0"/>
  </r>
  <r>
    <s v="Стлипта (П)"/>
    <x v="3"/>
    <s v="ЦПЗ"/>
    <s v="ЛПЗ"/>
    <m/>
    <s v="Мох"/>
    <s v="Мох"/>
    <s v="Мох"/>
    <x v="8"/>
    <s v="Эвон"/>
    <m/>
    <n v="75.285714285714292"/>
    <n v="50"/>
    <n v="79"/>
    <n v="76"/>
    <n v="88"/>
    <n v="86"/>
    <n v="88"/>
    <n v="60"/>
    <n v="26"/>
    <n v="8774392"/>
    <n v="731199.33333333337"/>
    <n v="0"/>
    <n v="731199.33333333337"/>
    <n v="0"/>
    <n v="0"/>
  </r>
  <r>
    <s v="Фекете Тибор"/>
    <x v="3"/>
    <s v="ППЗ"/>
    <s v="ЛПЗ"/>
    <m/>
    <m/>
    <s v="Нест"/>
    <s v="Нест"/>
    <x v="8"/>
    <s v="Эвон"/>
    <m/>
    <n v="69.857142857142861"/>
    <n v="40"/>
    <n v="85"/>
    <n v="68"/>
    <n v="80"/>
    <n v="74"/>
    <n v="76"/>
    <n v="66"/>
    <n v="23"/>
    <n v="4151447"/>
    <n v="345953.91666666669"/>
    <n v="0"/>
    <n v="345953.91666666669"/>
    <n v="0"/>
    <n v="0"/>
  </r>
  <r>
    <s v="Фильфи (П)"/>
    <x v="3"/>
    <s v="ОПЗ"/>
    <m/>
    <m/>
    <s v="Мох"/>
    <s v="Мох"/>
    <s v="Мох"/>
    <x v="8"/>
    <s v="Эвон"/>
    <m/>
    <n v="76.428571428571431"/>
    <n v="60"/>
    <n v="71"/>
    <n v="80"/>
    <n v="80"/>
    <n v="89"/>
    <n v="90"/>
    <n v="65"/>
    <n v="26"/>
    <n v="10201140"/>
    <n v="850095"/>
    <n v="0"/>
    <n v="850095"/>
    <n v="0"/>
    <n v="0"/>
  </r>
  <r>
    <s v="Циприан Марек"/>
    <x v="3"/>
    <s v="ЛПЗ"/>
    <s v="ОПЗ"/>
    <m/>
    <m/>
    <s v="Нест"/>
    <s v="Нест"/>
    <x v="8"/>
    <s v="Эвон"/>
    <m/>
    <n v="57.142857142857146"/>
    <n v="18"/>
    <n v="64"/>
    <n v="66"/>
    <n v="74"/>
    <n v="72"/>
    <n v="75"/>
    <n v="31"/>
    <n v="0"/>
    <n v="371210"/>
    <n v="30934.166666666668"/>
    <n v="0"/>
    <n v="30934.166666666668"/>
    <n v="0"/>
    <n v="0"/>
  </r>
  <r>
    <s v="Гвездослав Радек"/>
    <x v="4"/>
    <s v="Т"/>
    <m/>
    <m/>
    <m/>
    <s v="Нест"/>
    <s v="Нест"/>
    <x v="8"/>
    <s v="Эвон"/>
    <m/>
    <n v="62.285714285714285"/>
    <n v="21"/>
    <n v="74"/>
    <n v="68"/>
    <n v="78"/>
    <n v="76"/>
    <n v="79"/>
    <n v="40"/>
    <n v="0"/>
    <n v="878789"/>
    <n v="73232.416666666672"/>
    <n v="0"/>
    <n v="73232.416666666672"/>
    <n v="0"/>
    <n v="0"/>
  </r>
  <r>
    <s v="Кроу Дэл"/>
    <x v="0"/>
    <s v="В"/>
    <m/>
    <m/>
    <m/>
    <s v="Бел"/>
    <s v="Бел"/>
    <x v="9"/>
    <s v="Эвон"/>
    <m/>
    <n v="62.714285714285715"/>
    <n v="18"/>
    <n v="75"/>
    <n v="71"/>
    <n v="77"/>
    <n v="79"/>
    <n v="81"/>
    <n v="38"/>
    <n v="0"/>
    <n v="941163"/>
    <n v="78430.25"/>
    <n v="0"/>
    <n v="78430.25"/>
    <n v="0"/>
    <n v="0"/>
  </r>
  <r>
    <s v="Финн Рой"/>
    <x v="0"/>
    <s v="В"/>
    <m/>
    <m/>
    <m/>
    <s v="Бел"/>
    <s v="Бел"/>
    <x v="9"/>
    <s v="Эвон"/>
    <m/>
    <n v="67.571428571428569"/>
    <n v="45"/>
    <n v="73"/>
    <n v="69"/>
    <n v="75"/>
    <n v="77"/>
    <n v="79"/>
    <n v="55"/>
    <n v="0"/>
    <n v="1984409"/>
    <n v="55398.416666666664"/>
    <n v="0"/>
    <n v="165367.41666666666"/>
    <n v="-66.5"/>
    <n v="0"/>
  </r>
  <r>
    <s v="Бэк Росс"/>
    <x v="1"/>
    <s v="ЦЗ"/>
    <s v="ЛЗ"/>
    <m/>
    <m/>
    <s v="Бел"/>
    <s v="Бел"/>
    <x v="9"/>
    <s v="Эвон"/>
    <m/>
    <n v="64.428571428571431"/>
    <n v="21"/>
    <n v="81"/>
    <n v="73"/>
    <n v="77"/>
    <n v="79"/>
    <n v="81"/>
    <n v="39"/>
    <n v="0"/>
    <n v="1232495"/>
    <n v="102707.91666666667"/>
    <n v="0"/>
    <n v="102707.91666666667"/>
    <n v="0"/>
    <n v="0"/>
  </r>
  <r>
    <s v="Гарднер Ллойд"/>
    <x v="1"/>
    <s v="ЦЗ"/>
    <s v="ОПЗ"/>
    <m/>
    <m/>
    <s v="Бел"/>
    <s v="Бел"/>
    <x v="9"/>
    <s v="Эвон"/>
    <m/>
    <n v="59.428571428571431"/>
    <n v="16"/>
    <n v="75"/>
    <n v="67"/>
    <n v="73"/>
    <n v="75"/>
    <n v="77"/>
    <n v="33"/>
    <n v="0"/>
    <n v="549482"/>
    <n v="45790.166666666664"/>
    <n v="0"/>
    <n v="45790.166666666664"/>
    <n v="0"/>
    <n v="0"/>
  </r>
  <r>
    <s v="Кейн Кирк"/>
    <x v="1"/>
    <s v="ЛЗ"/>
    <s v="ЦЗ"/>
    <m/>
    <m/>
    <s v="Бел"/>
    <s v="Бел"/>
    <x v="9"/>
    <s v="Эвон"/>
    <m/>
    <n v="64"/>
    <n v="20"/>
    <n v="80"/>
    <n v="73"/>
    <n v="77"/>
    <n v="79"/>
    <n v="81"/>
    <n v="38"/>
    <n v="0"/>
    <n v="1152922"/>
    <n v="96076.833333333328"/>
    <n v="0"/>
    <n v="96076.833333333328"/>
    <n v="0"/>
    <n v="0"/>
  </r>
  <r>
    <s v="Флинн Брент"/>
    <x v="1"/>
    <s v="ПЗ"/>
    <s v="ЛЗ"/>
    <m/>
    <m/>
    <s v="Бел"/>
    <s v="Бел"/>
    <x v="9"/>
    <s v="Эвон"/>
    <m/>
    <n v="59.285714285714285"/>
    <n v="16"/>
    <n v="75"/>
    <n v="67"/>
    <n v="73"/>
    <n v="75"/>
    <n v="77"/>
    <n v="32"/>
    <n v="0"/>
    <n v="536415"/>
    <n v="44701.25"/>
    <n v="0"/>
    <n v="44701.25"/>
    <n v="0"/>
    <n v="0"/>
  </r>
  <r>
    <s v="Шоу Дэйв"/>
    <x v="1"/>
    <s v="ПЗ"/>
    <s v="ЦЗ"/>
    <m/>
    <m/>
    <s v="Бел"/>
    <s v="Бел"/>
    <x v="9"/>
    <s v="Эвон"/>
    <m/>
    <n v="62.285714285714285"/>
    <n v="19"/>
    <n v="79"/>
    <n v="71"/>
    <n v="75"/>
    <n v="77"/>
    <n v="79"/>
    <n v="36"/>
    <n v="0"/>
    <n v="878789"/>
    <n v="73232.416666666672"/>
    <n v="0"/>
    <n v="73232.416666666672"/>
    <n v="0"/>
    <n v="0"/>
  </r>
  <r>
    <s v="Кларк Вэйд"/>
    <x v="2"/>
    <s v="ЦН"/>
    <m/>
    <m/>
    <m/>
    <s v="Бел"/>
    <s v="Бел"/>
    <x v="9"/>
    <s v="Эвон"/>
    <m/>
    <n v="59.571428571428569"/>
    <n v="17"/>
    <n v="75"/>
    <n v="67"/>
    <n v="73"/>
    <n v="75"/>
    <n v="77"/>
    <n v="33"/>
    <n v="0"/>
    <n v="562834"/>
    <n v="46902.833333333336"/>
    <n v="0"/>
    <n v="46902.833333333336"/>
    <n v="0"/>
    <n v="0"/>
  </r>
  <r>
    <s v="Мэйсон Дэйл"/>
    <x v="2"/>
    <s v="ОФ"/>
    <s v="ЦН"/>
    <m/>
    <m/>
    <s v="Бел"/>
    <s v="Бел"/>
    <x v="9"/>
    <s v="Эвон"/>
    <m/>
    <n v="61.428571428571431"/>
    <n v="18"/>
    <n v="77"/>
    <n v="69"/>
    <n v="75"/>
    <n v="77"/>
    <n v="79"/>
    <n v="35"/>
    <n v="0"/>
    <n v="765076"/>
    <n v="63756.333333333336"/>
    <n v="0"/>
    <n v="63756.333333333336"/>
    <n v="0"/>
    <n v="0"/>
  </r>
  <r>
    <s v="Рид Эрл"/>
    <x v="2"/>
    <s v="ЦН"/>
    <s v="ОФ"/>
    <m/>
    <m/>
    <s v="Бел"/>
    <s v="Бел"/>
    <x v="9"/>
    <s v="Эвон"/>
    <m/>
    <n v="59.571428571428569"/>
    <n v="17"/>
    <n v="75"/>
    <n v="67"/>
    <n v="73"/>
    <n v="75"/>
    <n v="77"/>
    <n v="33"/>
    <n v="0"/>
    <n v="562834"/>
    <n v="46902.833333333336"/>
    <n v="0"/>
    <n v="46902.833333333336"/>
    <n v="0"/>
    <n v="0"/>
  </r>
  <r>
    <s v="Хенк Дости"/>
    <x v="2"/>
    <s v="ОФ"/>
    <s v="ЦН"/>
    <m/>
    <s v="Шах"/>
    <s v="Шах"/>
    <s v="Шах"/>
    <x v="9"/>
    <s v="Эвон"/>
    <m/>
    <n v="59.857142857142854"/>
    <n v="36"/>
    <n v="69"/>
    <n v="65"/>
    <n v="66"/>
    <n v="68"/>
    <n v="75"/>
    <n v="40"/>
    <n v="0"/>
    <n v="590419"/>
    <n v="49201.583333333336"/>
    <n v="0"/>
    <n v="49201.583333333336"/>
    <n v="0"/>
    <n v="0"/>
  </r>
  <r>
    <s v="Бэйтс Спэнс"/>
    <x v="3"/>
    <s v="АПЗ"/>
    <s v="ППЗ"/>
    <m/>
    <m/>
    <s v="Бел"/>
    <s v="Бел"/>
    <x v="9"/>
    <s v="Эвон"/>
    <m/>
    <n v="64.142857142857139"/>
    <n v="19"/>
    <n v="81"/>
    <n v="72"/>
    <n v="78"/>
    <n v="80"/>
    <n v="82"/>
    <n v="37"/>
    <n v="0"/>
    <n v="1178917"/>
    <n v="98243.083333333328"/>
    <n v="0"/>
    <n v="98243.083333333328"/>
    <n v="0"/>
    <n v="0"/>
  </r>
  <r>
    <s v="Голуши"/>
    <x v="3"/>
    <s v="ЦПЗ"/>
    <s v="ЛПЗ"/>
    <s v="ППЗ"/>
    <s v="Бел"/>
    <s v="Бел"/>
    <s v="Бел"/>
    <x v="9"/>
    <s v="Эвон"/>
    <m/>
    <n v="76.571428571428569"/>
    <n v="72"/>
    <n v="75"/>
    <n v="77"/>
    <n v="78"/>
    <n v="83"/>
    <n v="86"/>
    <n v="65"/>
    <n v="18"/>
    <n v="10393427"/>
    <n v="866118.91666666663"/>
    <n v="0"/>
    <n v="866118.91666666663"/>
    <n v="0"/>
    <n v="0"/>
  </r>
  <r>
    <s v="Грин Рид"/>
    <x v="3"/>
    <s v="ЛПЗ"/>
    <s v="ОПЗ"/>
    <m/>
    <m/>
    <s v="Бел"/>
    <s v="Бел"/>
    <x v="9"/>
    <s v="Эвон"/>
    <m/>
    <n v="57.714285714285715"/>
    <n v="16"/>
    <n v="73"/>
    <n v="65"/>
    <n v="71"/>
    <n v="73"/>
    <n v="75"/>
    <n v="31"/>
    <n v="0"/>
    <n v="410047"/>
    <n v="34170.583333333336"/>
    <n v="0"/>
    <n v="34170.583333333336"/>
    <n v="0"/>
    <n v="0"/>
  </r>
  <r>
    <s v="Иксвинг (П)"/>
    <x v="3"/>
    <s v="ЛПЗ"/>
    <s v="ОПЗ"/>
    <m/>
    <s v="Шах"/>
    <s v="Фин"/>
    <s v="Фин"/>
    <x v="9"/>
    <s v="Эвон"/>
    <m/>
    <n v="83"/>
    <n v="85"/>
    <n v="92"/>
    <n v="84"/>
    <n v="85"/>
    <n v="80"/>
    <n v="75"/>
    <n v="80"/>
    <n v="9"/>
    <n v="23274062"/>
    <n v="1939505.1666666667"/>
    <n v="0"/>
    <n v="1939505.1666666667"/>
    <n v="0"/>
    <n v="0"/>
  </r>
  <r>
    <s v="Лоусон Трой"/>
    <x v="3"/>
    <s v="ОПЗ"/>
    <s v="ЦПЗ"/>
    <m/>
    <m/>
    <s v="Бел"/>
    <s v="Бел"/>
    <x v="9"/>
    <s v="Эвон"/>
    <m/>
    <n v="61.285714285714285"/>
    <n v="18"/>
    <n v="77"/>
    <n v="69"/>
    <n v="75"/>
    <n v="77"/>
    <n v="79"/>
    <n v="34"/>
    <n v="0"/>
    <n v="747468"/>
    <n v="62289"/>
    <n v="0"/>
    <n v="62289"/>
    <n v="0"/>
    <n v="0"/>
  </r>
  <r>
    <s v="Пирс Клэй"/>
    <x v="3"/>
    <s v="ППЗ"/>
    <s v="АПЗ"/>
    <m/>
    <m/>
    <s v="Бел"/>
    <s v="Бел"/>
    <x v="9"/>
    <s v="Эвон"/>
    <m/>
    <n v="67.714285714285708"/>
    <n v="22"/>
    <n v="83"/>
    <n v="77"/>
    <n v="81"/>
    <n v="83"/>
    <n v="85"/>
    <n v="43"/>
    <n v="0"/>
    <n v="2026764"/>
    <n v="168897"/>
    <n v="0"/>
    <n v="168897"/>
    <n v="0"/>
    <n v="0"/>
  </r>
  <r>
    <s v="Уинстон Дэш"/>
    <x v="3"/>
    <s v="АПЗ"/>
    <s v="ЦПЗ"/>
    <m/>
    <m/>
    <s v="Бел"/>
    <s v="Бел"/>
    <x v="9"/>
    <s v="Эвон"/>
    <m/>
    <n v="60.285714285714285"/>
    <n v="17"/>
    <n v="76"/>
    <n v="68"/>
    <n v="74"/>
    <n v="76"/>
    <n v="78"/>
    <n v="33"/>
    <n v="0"/>
    <n v="634081"/>
    <n v="52840.083333333336"/>
    <n v="0"/>
    <n v="52840.083333333336"/>
    <n v="0"/>
    <n v="0"/>
  </r>
  <r>
    <s v="Харт Мэйс"/>
    <x v="3"/>
    <s v="ЦПЗ"/>
    <s v="ОПЗ"/>
    <m/>
    <m/>
    <s v="Бел"/>
    <s v="Бел"/>
    <x v="9"/>
    <s v="Эвон"/>
    <m/>
    <n v="69.571428571428569"/>
    <n v="23"/>
    <n v="85"/>
    <n v="79"/>
    <n v="83"/>
    <n v="85"/>
    <n v="87"/>
    <n v="45"/>
    <n v="0"/>
    <n v="2656497"/>
    <n v="221374.75"/>
    <n v="0"/>
    <n v="221374.75"/>
    <n v="0"/>
    <n v="0"/>
  </r>
  <r>
    <s v="Холт Клайд"/>
    <x v="4"/>
    <s v="Т"/>
    <m/>
    <m/>
    <m/>
    <s v="Бел"/>
    <s v="Бел"/>
    <x v="9"/>
    <s v="Эвон"/>
    <m/>
    <n v="61.571428571428569"/>
    <n v="17"/>
    <n v="74"/>
    <n v="70"/>
    <n v="76"/>
    <n v="78"/>
    <n v="80"/>
    <n v="36"/>
    <n v="0"/>
    <n v="783056"/>
    <n v="65254.666666666664"/>
    <n v="0"/>
    <n v="65254.666666666664"/>
    <n v="0"/>
    <n v="0"/>
  </r>
  <r>
    <s v="Тарковский Ян"/>
    <x v="0"/>
    <s v="В"/>
    <m/>
    <m/>
    <m/>
    <s v="Гид"/>
    <s v="Гид"/>
    <x v="10"/>
    <s v="Эвон"/>
    <m/>
    <n v="58.428571428571431"/>
    <n v="18"/>
    <n v="65"/>
    <n v="57"/>
    <n v="79"/>
    <n v="75"/>
    <n v="73"/>
    <n v="42"/>
    <n v="0"/>
    <n v="463717"/>
    <n v="38643.083333333336"/>
    <n v="0"/>
    <n v="38643.083333333336"/>
    <n v="0"/>
    <n v="0"/>
  </r>
  <r>
    <s v="Барехин"/>
    <x v="1"/>
    <s v="ЦЗ"/>
    <m/>
    <m/>
    <s v="Гид"/>
    <s v="Гид"/>
    <s v="Гид"/>
    <x v="10"/>
    <s v="Эвон"/>
    <m/>
    <n v="66.428571428571431"/>
    <n v="36"/>
    <n v="56"/>
    <n v="75"/>
    <n v="80"/>
    <n v="75"/>
    <n v="73"/>
    <n v="70"/>
    <n v="0"/>
    <n v="1673205"/>
    <n v="139433.75"/>
    <n v="0"/>
    <n v="139433.75"/>
    <n v="0"/>
    <n v="0"/>
  </r>
  <r>
    <s v="Бугвай Ален"/>
    <x v="1"/>
    <s v="ЦЗ"/>
    <s v="ПЗ"/>
    <m/>
    <s v="Гид"/>
    <s v="Гид"/>
    <s v="Гид"/>
    <x v="10"/>
    <s v="Эвон"/>
    <m/>
    <n v="72"/>
    <n v="51"/>
    <n v="57"/>
    <n v="79"/>
    <n v="81"/>
    <n v="69"/>
    <n v="87"/>
    <n v="80"/>
    <n v="0"/>
    <n v="3743907"/>
    <n v="311992.25"/>
    <n v="0"/>
    <n v="311992.25"/>
    <n v="0"/>
    <n v="0"/>
  </r>
  <r>
    <s v="Бурибов"/>
    <x v="1"/>
    <s v="ЦЗ"/>
    <s v="ПЗ"/>
    <m/>
    <s v="Гид"/>
    <s v="Гид"/>
    <s v="Гид"/>
    <x v="10"/>
    <s v="Эвон"/>
    <m/>
    <n v="69"/>
    <n v="50"/>
    <n v="58"/>
    <n v="75"/>
    <n v="81"/>
    <n v="72"/>
    <n v="73"/>
    <n v="74"/>
    <n v="0"/>
    <n v="2446195"/>
    <n v="203849.58333333334"/>
    <n v="0"/>
    <n v="203849.58333333334"/>
    <n v="0"/>
    <n v="0"/>
  </r>
  <r>
    <s v="Вергас Люк"/>
    <x v="1"/>
    <s v="ЦЗ"/>
    <s v="ЛЗ"/>
    <m/>
    <m/>
    <s v="Гид"/>
    <s v="Гид"/>
    <x v="10"/>
    <s v="Эвон"/>
    <m/>
    <n v="60.142857142857146"/>
    <n v="21"/>
    <n v="67"/>
    <n v="61"/>
    <n v="81"/>
    <n v="77"/>
    <n v="75"/>
    <n v="39"/>
    <n v="0"/>
    <n v="619214"/>
    <n v="51601.166666666664"/>
    <n v="0"/>
    <n v="51601.166666666664"/>
    <n v="0"/>
    <n v="0"/>
  </r>
  <r>
    <s v="Горбелин Марек"/>
    <x v="1"/>
    <s v="ЦЗ"/>
    <s v="ПЗ"/>
    <m/>
    <m/>
    <s v="Гид"/>
    <s v="Гид"/>
    <x v="10"/>
    <s v="Эвон"/>
    <m/>
    <n v="60.428571428571431"/>
    <n v="24"/>
    <n v="61"/>
    <n v="65"/>
    <n v="77"/>
    <n v="81"/>
    <n v="79"/>
    <n v="36"/>
    <n v="0"/>
    <n v="649267"/>
    <n v="54105.583333333336"/>
    <n v="0"/>
    <n v="54105.583333333336"/>
    <n v="0"/>
    <n v="0"/>
  </r>
  <r>
    <s v="Зоннин Алексей"/>
    <x v="1"/>
    <s v="ЦЗ"/>
    <m/>
    <m/>
    <m/>
    <s v="Гид"/>
    <s v="Гид"/>
    <x v="10"/>
    <s v="Эвон"/>
    <m/>
    <n v="54.285714285714285"/>
    <n v="17"/>
    <n v="57"/>
    <n v="59"/>
    <n v="73"/>
    <n v="71"/>
    <n v="72"/>
    <n v="31"/>
    <n v="0"/>
    <n v="222258"/>
    <n v="18521.5"/>
    <n v="0"/>
    <n v="18521.5"/>
    <n v="0"/>
    <n v="0"/>
  </r>
  <r>
    <s v="Стрельцов Иржи"/>
    <x v="1"/>
    <s v="ЦЗ"/>
    <m/>
    <m/>
    <m/>
    <s v="Гид"/>
    <s v="Гид"/>
    <x v="10"/>
    <s v="Эвон"/>
    <m/>
    <n v="51.571428571428569"/>
    <n v="15"/>
    <n v="53"/>
    <n v="55"/>
    <n v="71"/>
    <n v="69"/>
    <n v="70"/>
    <n v="28"/>
    <n v="0"/>
    <n v="133074"/>
    <n v="11089.5"/>
    <n v="0"/>
    <n v="11089.5"/>
    <n v="0"/>
    <n v="0"/>
  </r>
  <r>
    <s v="Эрешков"/>
    <x v="1"/>
    <s v="ЦЗ"/>
    <s v="ЛЗ"/>
    <m/>
    <s v="Гид"/>
    <s v="Гид"/>
    <s v="Гид"/>
    <x v="10"/>
    <s v="Эвон"/>
    <m/>
    <n v="70.285714285714292"/>
    <n v="52"/>
    <n v="62"/>
    <n v="72"/>
    <n v="83"/>
    <n v="68"/>
    <n v="80"/>
    <n v="75"/>
    <n v="0"/>
    <n v="2942190"/>
    <n v="245182.5"/>
    <n v="0"/>
    <n v="245182.5"/>
    <n v="0"/>
    <n v="0"/>
  </r>
  <r>
    <s v="Аги"/>
    <x v="2"/>
    <s v="ОФ"/>
    <m/>
    <m/>
    <s v="Гид"/>
    <s v="Гид"/>
    <s v="Гид"/>
    <x v="10"/>
    <s v="Эвон"/>
    <m/>
    <n v="54.571428571428569"/>
    <n v="11"/>
    <n v="76"/>
    <n v="63"/>
    <n v="68"/>
    <n v="65"/>
    <n v="55"/>
    <n v="44"/>
    <n v="0"/>
    <n v="234236"/>
    <n v="19519.666666666668"/>
    <n v="0"/>
    <n v="19519.666666666668"/>
    <n v="0"/>
    <n v="0"/>
  </r>
  <r>
    <s v="Мейсмост"/>
    <x v="2"/>
    <s v="ЦН"/>
    <m/>
    <m/>
    <s v="Гид"/>
    <s v="Гид"/>
    <s v="Гид"/>
    <x v="10"/>
    <s v="Эвон"/>
    <m/>
    <n v="57.142857142857146"/>
    <n v="22"/>
    <n v="63"/>
    <n v="70"/>
    <n v="65"/>
    <n v="60"/>
    <n v="70"/>
    <n v="50"/>
    <n v="0"/>
    <n v="371210"/>
    <n v="30934.166666666668"/>
    <n v="0"/>
    <n v="30934.166666666668"/>
    <n v="0"/>
    <n v="0"/>
  </r>
  <r>
    <s v="Тярцев Тимур"/>
    <x v="2"/>
    <s v="ЦН"/>
    <s v="ОФ"/>
    <m/>
    <m/>
    <s v="Гид"/>
    <s v="Гид"/>
    <x v="10"/>
    <s v="Эвон"/>
    <m/>
    <n v="65.714285714285708"/>
    <n v="26"/>
    <n v="79"/>
    <n v="73"/>
    <n v="78"/>
    <n v="79"/>
    <n v="81"/>
    <n v="44"/>
    <n v="0"/>
    <n v="1501751"/>
    <n v="125145.91666666667"/>
    <n v="0"/>
    <n v="125145.91666666667"/>
    <n v="0"/>
    <n v="0"/>
  </r>
  <r>
    <s v="Вошников"/>
    <x v="3"/>
    <s v="ЦПЗ"/>
    <m/>
    <m/>
    <s v="Гид"/>
    <s v="Гид"/>
    <s v="Гид"/>
    <x v="10"/>
    <s v="Эвон"/>
    <m/>
    <n v="59.428571428571431"/>
    <n v="35"/>
    <n v="60"/>
    <n v="65"/>
    <n v="73"/>
    <n v="60"/>
    <n v="73"/>
    <n v="50"/>
    <n v="0"/>
    <n v="549482"/>
    <n v="45790.166666666664"/>
    <n v="0"/>
    <n v="45790.166666666664"/>
    <n v="0"/>
    <n v="0"/>
  </r>
  <r>
    <s v="Генушников"/>
    <x v="3"/>
    <s v="ЦПЗ"/>
    <s v="ОПЗ"/>
    <s v="АПЗ"/>
    <s v="Гид"/>
    <s v="Гид"/>
    <s v="Гид"/>
    <x v="10"/>
    <s v="Эвон"/>
    <m/>
    <n v="77.571428571428569"/>
    <n v="75"/>
    <n v="73"/>
    <n v="83"/>
    <n v="85"/>
    <n v="68"/>
    <n v="81"/>
    <n v="78"/>
    <n v="24"/>
    <n v="11833390"/>
    <n v="986115.83333333337"/>
    <n v="0"/>
    <n v="986115.83333333337"/>
    <n v="0"/>
    <n v="0"/>
  </r>
  <r>
    <s v="Гунаев Олег"/>
    <x v="3"/>
    <s v="ЦПЗ"/>
    <s v="ППЗ"/>
    <m/>
    <m/>
    <s v="Гид"/>
    <s v="Гид"/>
    <x v="10"/>
    <s v="Эвон"/>
    <m/>
    <n v="68.571428571428569"/>
    <n v="40"/>
    <n v="75"/>
    <n v="71"/>
    <n v="85"/>
    <n v="80"/>
    <n v="77"/>
    <n v="52"/>
    <n v="0"/>
    <n v="2298434"/>
    <n v="114679.83333333333"/>
    <n v="0"/>
    <n v="191536.16666666666"/>
    <n v="-40.130000000000003"/>
    <n v="0"/>
  </r>
  <r>
    <s v="Колон Анноа"/>
    <x v="3"/>
    <s v="ЦПЗ"/>
    <m/>
    <m/>
    <m/>
    <s v="Гид"/>
    <s v="Гид"/>
    <x v="10"/>
    <s v="Эвон"/>
    <m/>
    <n v="52.571428571428569"/>
    <n v="15"/>
    <n v="61"/>
    <n v="57"/>
    <n v="75"/>
    <n v="63"/>
    <n v="68"/>
    <n v="29"/>
    <n v="0"/>
    <n v="161250"/>
    <n v="13437.5"/>
    <n v="0"/>
    <n v="13437.5"/>
    <n v="0"/>
    <n v="0"/>
  </r>
  <r>
    <s v="Мартинес Рауль"/>
    <x v="3"/>
    <s v="ЛПЗ"/>
    <s v="АПЗ"/>
    <m/>
    <m/>
    <s v="Гид"/>
    <s v="Гид"/>
    <x v="10"/>
    <s v="Эвон"/>
    <m/>
    <n v="56.428571428571431"/>
    <n v="16"/>
    <n v="77"/>
    <n v="55"/>
    <n v="83"/>
    <n v="65"/>
    <n v="69"/>
    <n v="30"/>
    <n v="0"/>
    <n v="327334"/>
    <n v="27277.833333333332"/>
    <n v="0"/>
    <n v="27277.833333333332"/>
    <n v="0"/>
    <n v="0"/>
  </r>
  <r>
    <s v="Пурков (П)"/>
    <x v="3"/>
    <s v="ЦПЗ"/>
    <s v="ППЗ"/>
    <m/>
    <s v="Вод"/>
    <s v="Вод"/>
    <s v="Вод"/>
    <x v="10"/>
    <s v="Эвон"/>
    <m/>
    <n v="78"/>
    <n v="81"/>
    <n v="76"/>
    <n v="83"/>
    <n v="76"/>
    <n v="77"/>
    <n v="79"/>
    <n v="74"/>
    <n v="2"/>
    <n v="12503664"/>
    <n v="1041972"/>
    <n v="0"/>
    <n v="1041972"/>
    <n v="0"/>
    <n v="0"/>
  </r>
  <r>
    <s v="Сей"/>
    <x v="3"/>
    <s v="ЛПЗ"/>
    <s v="АПЗ"/>
    <m/>
    <s v="Гид"/>
    <s v="Гид"/>
    <s v="Гид"/>
    <x v="10"/>
    <s v="Эвон"/>
    <m/>
    <n v="67.428571428571431"/>
    <n v="45"/>
    <n v="79"/>
    <n v="70"/>
    <n v="76"/>
    <n v="70"/>
    <n v="72"/>
    <n v="60"/>
    <n v="23"/>
    <n v="2914278"/>
    <n v="134750.33333333334"/>
    <n v="0"/>
    <n v="242856.5"/>
    <n v="-44.51"/>
    <n v="0"/>
  </r>
  <r>
    <s v="Смолин Павел"/>
    <x v="3"/>
    <s v="ЦПЗ"/>
    <s v="ОПЗ"/>
    <m/>
    <m/>
    <s v="Гид"/>
    <s v="Гид"/>
    <x v="10"/>
    <s v="Эвон"/>
    <m/>
    <n v="58.285714285714285"/>
    <n v="20"/>
    <n v="67"/>
    <n v="63"/>
    <n v="80"/>
    <n v="69"/>
    <n v="74"/>
    <n v="35"/>
    <n v="0"/>
    <n v="452503"/>
    <n v="37708.583333333336"/>
    <n v="0"/>
    <n v="37708.583333333336"/>
    <n v="0"/>
    <n v="0"/>
  </r>
  <r>
    <s v="Тарсет"/>
    <x v="3"/>
    <s v="ЦПЗ"/>
    <m/>
    <m/>
    <s v="Гид"/>
    <s v="Гид"/>
    <s v="Гид"/>
    <x v="10"/>
    <s v="Эвон"/>
    <m/>
    <n v="58.857142857142854"/>
    <n v="30"/>
    <n v="59"/>
    <n v="63"/>
    <n v="75"/>
    <n v="59"/>
    <n v="75"/>
    <n v="51"/>
    <n v="0"/>
    <n v="498876"/>
    <n v="41573"/>
    <n v="0"/>
    <n v="41573"/>
    <n v="0"/>
    <n v="0"/>
  </r>
  <r>
    <s v="Цускар"/>
    <x v="3"/>
    <s v="ЦПЗ"/>
    <s v="АПЗ"/>
    <m/>
    <s v="Гид"/>
    <s v="Гид"/>
    <s v="Гид"/>
    <x v="10"/>
    <s v="Эвон"/>
    <m/>
    <n v="67.285714285714292"/>
    <n v="44"/>
    <n v="68"/>
    <n v="80"/>
    <n v="80"/>
    <n v="70"/>
    <n v="79"/>
    <n v="50"/>
    <n v="0"/>
    <n v="1902080"/>
    <n v="40574.833333333336"/>
    <n v="0"/>
    <n v="158506.66666666666"/>
    <n v="-74.400000000000006"/>
    <n v="0"/>
  </r>
  <r>
    <s v="Крустье Лаво"/>
    <x v="4"/>
    <s v="Т"/>
    <m/>
    <m/>
    <m/>
    <s v="Гид"/>
    <s v="Гид"/>
    <x v="10"/>
    <s v="Эвон"/>
    <m/>
    <n v="58.714285714285715"/>
    <n v="19"/>
    <n v="69"/>
    <n v="65"/>
    <n v="81"/>
    <n v="71"/>
    <n v="73"/>
    <n v="33"/>
    <n v="0"/>
    <n v="486898"/>
    <n v="40574.833333333336"/>
    <n v="0"/>
    <n v="40574.833333333336"/>
    <n v="0"/>
    <n v="0"/>
  </r>
  <r>
    <s v="Азотов (В)"/>
    <x v="0"/>
    <s v="В"/>
    <m/>
    <m/>
    <s v="Нест"/>
    <s v="Нест"/>
    <s v="Нест"/>
    <x v="11"/>
    <s v="Эвон"/>
    <m/>
    <n v="83.714285714285708"/>
    <n v="79"/>
    <n v="75"/>
    <n v="82"/>
    <n v="86"/>
    <n v="90"/>
    <n v="92"/>
    <n v="82"/>
    <n v="29"/>
    <n v="25356367"/>
    <n v="2113030.5833333335"/>
    <n v="0"/>
    <n v="2113030.5833333335"/>
    <n v="0"/>
    <n v="0"/>
  </r>
  <r>
    <s v="Востер"/>
    <x v="1"/>
    <s v="ЦЗ"/>
    <s v="ЛЗ"/>
    <m/>
    <s v="Мох"/>
    <s v="Мох"/>
    <s v="Мох"/>
    <x v="11"/>
    <s v="Эвон"/>
    <m/>
    <n v="82.285714285714292"/>
    <n v="80"/>
    <n v="84"/>
    <n v="83"/>
    <n v="80"/>
    <n v="85"/>
    <n v="84"/>
    <n v="80"/>
    <n v="26"/>
    <n v="21346944"/>
    <n v="1778912"/>
    <n v="0"/>
    <n v="1778912"/>
    <n v="0"/>
    <n v="0"/>
  </r>
  <r>
    <s v="Горовой Евгений"/>
    <x v="1"/>
    <s v="ЛЗ"/>
    <s v="ПЗ"/>
    <m/>
    <m/>
    <s v="Нест"/>
    <s v="Нест"/>
    <x v="11"/>
    <s v="Эвон"/>
    <m/>
    <n v="72.142857142857139"/>
    <n v="34"/>
    <n v="84"/>
    <n v="70"/>
    <n v="78"/>
    <n v="82"/>
    <n v="87"/>
    <n v="70"/>
    <n v="0"/>
    <n v="3818857"/>
    <n v="318238.08333333331"/>
    <n v="0"/>
    <n v="318238.08333333331"/>
    <n v="0"/>
    <n v="0"/>
  </r>
  <r>
    <s v="Гушин (З)"/>
    <x v="1"/>
    <s v="ЦЗ"/>
    <s v="ОПЗ"/>
    <s v="ЛЗ"/>
    <s v="Нест"/>
    <s v="Нест"/>
    <s v="Нест"/>
    <x v="11"/>
    <s v="Эвон"/>
    <m/>
    <n v="83"/>
    <n v="78"/>
    <n v="81"/>
    <n v="84"/>
    <n v="84"/>
    <n v="85"/>
    <n v="88"/>
    <n v="81"/>
    <n v="28"/>
    <n v="23274062"/>
    <n v="1939505.1666666667"/>
    <n v="0"/>
    <n v="1939505.1666666667"/>
    <n v="0"/>
    <n v="0"/>
  </r>
  <r>
    <s v="Керимов (З)"/>
    <x v="1"/>
    <s v="ЦЗ"/>
    <s v="ПЗ"/>
    <s v="ЛЗ"/>
    <s v="Зар"/>
    <s v="Зар"/>
    <s v="Зар"/>
    <x v="11"/>
    <s v="Эвон"/>
    <m/>
    <n v="86"/>
    <n v="79"/>
    <n v="80"/>
    <n v="90"/>
    <n v="80"/>
    <n v="94"/>
    <n v="91"/>
    <n v="88"/>
    <n v="28"/>
    <n v="33195237"/>
    <n v="2766269.75"/>
    <n v="0"/>
    <n v="2766269.75"/>
    <n v="0"/>
    <n v="0"/>
  </r>
  <r>
    <s v="Костин (З)"/>
    <x v="1"/>
    <s v="ЦЗ"/>
    <s v="ПЗ"/>
    <s v="ЛЗ"/>
    <s v="Нест"/>
    <s v="Нест"/>
    <s v="Нест"/>
    <x v="11"/>
    <s v="Эвон"/>
    <m/>
    <n v="86.714285714285708"/>
    <n v="83"/>
    <n v="82"/>
    <n v="90"/>
    <n v="88"/>
    <n v="90"/>
    <n v="89"/>
    <n v="85"/>
    <n v="28"/>
    <n v="36057680"/>
    <n v="3004806.6666666665"/>
    <n v="0"/>
    <n v="3004806.6666666665"/>
    <n v="0"/>
    <n v="0"/>
  </r>
  <r>
    <s v="Санта (З)"/>
    <x v="1"/>
    <s v="ЦЗ"/>
    <s v="ПЗ"/>
    <s v="ОПЗ"/>
    <s v="Зар"/>
    <s v="Зар"/>
    <s v="Зар"/>
    <x v="11"/>
    <s v="Эвон"/>
    <m/>
    <n v="81.285714285714292"/>
    <n v="72"/>
    <n v="76"/>
    <n v="78"/>
    <n v="86"/>
    <n v="86"/>
    <n v="90"/>
    <n v="81"/>
    <n v="27"/>
    <n v="18890069"/>
    <n v="1574172.4166666667"/>
    <n v="0"/>
    <n v="1574172.4166666667"/>
    <n v="0"/>
    <n v="0"/>
  </r>
  <r>
    <s v="Ункен"/>
    <x v="1"/>
    <s v="ЦЗ"/>
    <s v="ПЗ"/>
    <m/>
    <s v="Нест"/>
    <s v="Нест"/>
    <s v="Нест"/>
    <x v="11"/>
    <s v="Эвон"/>
    <m/>
    <n v="89.857142857142861"/>
    <n v="85"/>
    <n v="85"/>
    <n v="87"/>
    <n v="91"/>
    <n v="97"/>
    <n v="92"/>
    <n v="92"/>
    <n v="28"/>
    <n v="51477485"/>
    <n v="4289790.416666667"/>
    <n v="0"/>
    <n v="4289790.416666667"/>
    <n v="0"/>
    <n v="0"/>
  </r>
  <r>
    <s v="Доррут"/>
    <x v="2"/>
    <s v="ЦН"/>
    <s v="ОФ"/>
    <m/>
    <s v="Нест"/>
    <s v="Нест"/>
    <s v="Нест"/>
    <x v="11"/>
    <s v="Эвон"/>
    <m/>
    <n v="77.285714285714292"/>
    <n v="55"/>
    <n v="78"/>
    <n v="84"/>
    <n v="83"/>
    <n v="81"/>
    <n v="95"/>
    <n v="65"/>
    <n v="12"/>
    <n v="11404691"/>
    <n v="950390.91666666663"/>
    <n v="0"/>
    <n v="950390.91666666663"/>
    <n v="0"/>
    <n v="0"/>
  </r>
  <r>
    <s v="Кожевников (Н)"/>
    <x v="2"/>
    <s v="ЦН"/>
    <s v="ОФ"/>
    <m/>
    <s v="Нест"/>
    <s v="Нест"/>
    <s v="Нест"/>
    <x v="11"/>
    <s v="Эвон"/>
    <m/>
    <n v="90.142857142857139"/>
    <n v="92"/>
    <n v="88"/>
    <n v="93"/>
    <n v="90"/>
    <n v="90"/>
    <n v="88"/>
    <n v="90"/>
    <n v="7"/>
    <n v="53137908"/>
    <n v="4428159"/>
    <n v="0"/>
    <n v="4428159"/>
    <n v="0"/>
    <n v="0"/>
  </r>
  <r>
    <s v="Ожедубов (Н)"/>
    <x v="2"/>
    <s v="ЦН"/>
    <s v="АПЗ"/>
    <m/>
    <s v="Нест"/>
    <s v="Нест"/>
    <s v="Нест"/>
    <x v="11"/>
    <s v="Эвон"/>
    <m/>
    <n v="92.571428571428569"/>
    <n v="90"/>
    <n v="94"/>
    <n v="94"/>
    <n v="92"/>
    <n v="94"/>
    <n v="87"/>
    <n v="97"/>
    <n v="14"/>
    <n v="69320378"/>
    <n v="5776698.166666667"/>
    <n v="0"/>
    <n v="5776698.166666667"/>
    <n v="0"/>
    <n v="0"/>
  </r>
  <r>
    <s v="Питбуль (Н)"/>
    <x v="2"/>
    <s v="ЦН"/>
    <s v="ОФ"/>
    <m/>
    <s v="Киш"/>
    <s v="Киш"/>
    <s v="Киш"/>
    <x v="11"/>
    <s v="Эвон"/>
    <m/>
    <n v="80.714285714285708"/>
    <n v="60"/>
    <n v="83"/>
    <n v="87"/>
    <n v="83"/>
    <n v="86"/>
    <n v="88"/>
    <n v="78"/>
    <n v="6"/>
    <n v="17603351"/>
    <n v="1466945.9166666667"/>
    <n v="0"/>
    <n v="1466945.9166666667"/>
    <n v="0"/>
    <n v="0"/>
  </r>
  <r>
    <s v="Бестужев (П)"/>
    <x v="3"/>
    <s v="ЦПЗ"/>
    <s v="ЛПЗ"/>
    <s v="ОПЗ"/>
    <s v="Мох"/>
    <s v="Мох"/>
    <s v="Мох"/>
    <x v="11"/>
    <s v="Эвон"/>
    <m/>
    <n v="93"/>
    <n v="93"/>
    <n v="88"/>
    <n v="93"/>
    <n v="95"/>
    <n v="93"/>
    <n v="93"/>
    <n v="96"/>
    <n v="10"/>
    <n v="72597347"/>
    <n v="6049778.916666667"/>
    <n v="0"/>
    <n v="6049778.916666667"/>
    <n v="0"/>
    <n v="0"/>
  </r>
  <r>
    <s v="Брагидич (П)"/>
    <x v="3"/>
    <s v="ЦПЗ"/>
    <s v="ОПЗ"/>
    <s v="ЛПЗ"/>
    <s v="Зар"/>
    <s v="Зар"/>
    <s v="Зар"/>
    <x v="11"/>
    <s v="Эвон"/>
    <m/>
    <n v="86.142857142857139"/>
    <n v="84"/>
    <n v="82"/>
    <n v="91"/>
    <n v="91"/>
    <n v="85"/>
    <n v="85"/>
    <n v="85"/>
    <n v="21"/>
    <n v="33750793"/>
    <n v="2812566.0833333335"/>
    <n v="0"/>
    <n v="2812566.0833333335"/>
    <n v="0"/>
    <n v="0"/>
  </r>
  <r>
    <s v="Лапшев Тун"/>
    <x v="3"/>
    <s v="ЛПЗ"/>
    <s v="ЦПЗ"/>
    <m/>
    <m/>
    <s v="Нест"/>
    <s v="Нест"/>
    <x v="11"/>
    <s v="Эвон"/>
    <m/>
    <n v="76.857142857142861"/>
    <n v="45"/>
    <n v="88"/>
    <n v="80"/>
    <n v="80"/>
    <n v="80"/>
    <n v="85"/>
    <n v="80"/>
    <n v="0"/>
    <n v="7191879"/>
    <n v="288096.83333333331"/>
    <n v="0"/>
    <n v="599323.25"/>
    <n v="-51.93"/>
    <n v="0"/>
  </r>
  <r>
    <s v="Неомов (П)"/>
    <x v="3"/>
    <s v="ЦПЗ"/>
    <s v="ЛПЗ"/>
    <s v="ППЗ"/>
    <s v="Нест"/>
    <s v="Нест"/>
    <s v="Нест"/>
    <x v="11"/>
    <s v="Эвон"/>
    <m/>
    <n v="89"/>
    <n v="85"/>
    <n v="83"/>
    <n v="92"/>
    <n v="93"/>
    <n v="86"/>
    <n v="93"/>
    <n v="91"/>
    <n v="21"/>
    <n v="46772580"/>
    <n v="3897715"/>
    <n v="0"/>
    <n v="3897715"/>
    <n v="0"/>
    <n v="0"/>
  </r>
  <r>
    <s v="Нестеров (П)"/>
    <x v="3"/>
    <s v="ЦПЗ"/>
    <s v="ОПЗ"/>
    <s v="АПЗ"/>
    <s v="Нест"/>
    <s v="Нест"/>
    <s v="Нест"/>
    <x v="11"/>
    <s v="Эвон"/>
    <m/>
    <n v="92.571428571428569"/>
    <n v="91"/>
    <n v="83"/>
    <n v="96"/>
    <n v="98"/>
    <n v="90"/>
    <n v="94"/>
    <n v="96"/>
    <n v="8"/>
    <n v="69320378"/>
    <n v="5776698.166666667"/>
    <n v="0"/>
    <n v="5776698.166666667"/>
    <n v="0"/>
    <n v="0"/>
  </r>
  <r>
    <s v="Требухов (П)"/>
    <x v="3"/>
    <s v="АПЗ"/>
    <s v="ППЗ"/>
    <s v="ЦПЗ"/>
    <s v="Н.С."/>
    <s v="Н.С."/>
    <s v="Н.С."/>
    <x v="11"/>
    <s v="Эвон"/>
    <m/>
    <n v="88"/>
    <n v="85"/>
    <n v="86"/>
    <n v="95"/>
    <n v="88"/>
    <n v="85"/>
    <n v="88"/>
    <n v="89"/>
    <n v="17"/>
    <n v="41775147"/>
    <n v="3481262.25"/>
    <n v="0"/>
    <n v="3481262.25"/>
    <n v="0"/>
    <n v="0"/>
  </r>
  <r>
    <s v="Тутовников"/>
    <x v="3"/>
    <s v="ОПЗ"/>
    <s v="ЦЗ"/>
    <s v="ЦПЗ"/>
    <s v="Нест"/>
    <s v="Нест"/>
    <s v="Нест"/>
    <x v="11"/>
    <s v="Эвон"/>
    <m/>
    <n v="80.285714285714292"/>
    <n v="77"/>
    <n v="85"/>
    <n v="80"/>
    <n v="85"/>
    <n v="82"/>
    <n v="90"/>
    <n v="63"/>
    <n v="0"/>
    <n v="11127120"/>
    <n v="927260"/>
    <n v="0"/>
    <n v="927260"/>
    <n v="0"/>
    <n v="0"/>
  </r>
  <r>
    <s v="Фолкен"/>
    <x v="3"/>
    <s v="ЦПЗ"/>
    <m/>
    <m/>
    <s v="Тури"/>
    <s v="Тури"/>
    <s v="Тури"/>
    <x v="11"/>
    <s v="Эвон"/>
    <m/>
    <n v="53.142857142857146"/>
    <n v="44"/>
    <n v="53"/>
    <n v="50"/>
    <n v="59"/>
    <n v="54"/>
    <n v="54"/>
    <n v="58"/>
    <n v="0"/>
    <n v="179660"/>
    <n v="14971.666666666666"/>
    <n v="0"/>
    <n v="14971.666666666666"/>
    <n v="0"/>
    <n v="0"/>
  </r>
  <r>
    <s v="Шоруш Максим"/>
    <x v="3"/>
    <s v="ОПЗ"/>
    <s v="ЦПЗ"/>
    <m/>
    <m/>
    <s v="Нест"/>
    <s v="Нест"/>
    <x v="11"/>
    <s v="Эвон"/>
    <m/>
    <n v="70.857142857142861"/>
    <n v="36"/>
    <n v="79"/>
    <n v="77"/>
    <n v="74"/>
    <n v="86"/>
    <n v="84"/>
    <n v="60"/>
    <n v="0"/>
    <n v="3190336"/>
    <n v="265861.33333333331"/>
    <n v="0"/>
    <n v="265861.33333333331"/>
    <n v="0"/>
    <n v="0"/>
  </r>
  <r>
    <s v="Боровой"/>
    <x v="4"/>
    <s v="Т"/>
    <m/>
    <m/>
    <m/>
    <s v="Нест"/>
    <s v="Нест"/>
    <x v="11"/>
    <s v="Эвон"/>
    <m/>
    <n v="86.285714285714292"/>
    <n v="78"/>
    <n v="84"/>
    <n v="93"/>
    <n v="90"/>
    <n v="89"/>
    <n v="84"/>
    <n v="86"/>
    <n v="0"/>
    <n v="22876469"/>
    <n v="1906372.4166666667"/>
    <n v="0"/>
    <n v="1906372.4166666667"/>
    <n v="0"/>
    <n v="0"/>
  </r>
  <r>
    <s v="Синди (В)"/>
    <x v="0"/>
    <s v="В"/>
    <m/>
    <m/>
    <s v="Ост"/>
    <s v="Ост"/>
    <s v="Ост"/>
    <x v="12"/>
    <s v="Эвон"/>
    <m/>
    <n v="72.571428571428569"/>
    <n v="70"/>
    <n v="70"/>
    <n v="90"/>
    <n v="72"/>
    <n v="80"/>
    <n v="82"/>
    <n v="44"/>
    <n v="0"/>
    <n v="4051882"/>
    <n v="337656.83333333331"/>
    <n v="0"/>
    <n v="337656.83333333331"/>
    <n v="0"/>
    <n v="0"/>
  </r>
  <r>
    <s v="Алькам (З)"/>
    <x v="1"/>
    <s v="ЦЗ"/>
    <m/>
    <m/>
    <s v="Ост"/>
    <s v="Дант"/>
    <s v="Дант"/>
    <x v="12"/>
    <s v="Эвон"/>
    <m/>
    <n v="77.857142857142861"/>
    <n v="71"/>
    <n v="75"/>
    <n v="80"/>
    <n v="74"/>
    <n v="91"/>
    <n v="93"/>
    <n v="61"/>
    <n v="26"/>
    <n v="12276538"/>
    <n v="1023044.8333333334"/>
    <n v="0"/>
    <n v="1023044.8333333334"/>
    <n v="0"/>
    <n v="0"/>
  </r>
  <r>
    <s v="Винтик (З)"/>
    <x v="1"/>
    <s v="ЦЗ"/>
    <s v="ПЗ"/>
    <m/>
    <s v="Ост"/>
    <s v="Ост"/>
    <s v="Ост"/>
    <x v="12"/>
    <s v="Эвон"/>
    <m/>
    <n v="83.428571428571431"/>
    <n v="75"/>
    <n v="80"/>
    <n v="85"/>
    <n v="80"/>
    <n v="93"/>
    <n v="97"/>
    <n v="74"/>
    <n v="26"/>
    <n v="24504133"/>
    <n v="2042011.0833333333"/>
    <n v="0"/>
    <n v="2042011.0833333333"/>
    <n v="0"/>
    <n v="0"/>
  </r>
  <r>
    <s v="Гримхольд Бран"/>
    <x v="1"/>
    <s v="ЦЗ"/>
    <s v="ОПЗ"/>
    <m/>
    <m/>
    <s v="Ост"/>
    <s v="Ост"/>
    <x v="12"/>
    <s v="Эвон"/>
    <m/>
    <n v="66.285714285714292"/>
    <n v="23"/>
    <n v="76"/>
    <n v="70"/>
    <n v="82"/>
    <n v="84"/>
    <n v="86"/>
    <n v="43"/>
    <n v="0"/>
    <n v="1637569"/>
    <n v="136464.08333333334"/>
    <n v="0"/>
    <n v="136464.08333333334"/>
    <n v="0"/>
    <n v="0"/>
  </r>
  <r>
    <s v="Ольтор (З)"/>
    <x v="1"/>
    <s v="ЦЗ"/>
    <m/>
    <m/>
    <s v="Ост"/>
    <s v="Ост"/>
    <s v="Ост"/>
    <x v="12"/>
    <s v="Эвон"/>
    <m/>
    <n v="75.714285714285708"/>
    <n v="60"/>
    <n v="77"/>
    <n v="78"/>
    <n v="73"/>
    <n v="88"/>
    <n v="99"/>
    <n v="55"/>
    <n v="26"/>
    <n v="9286875"/>
    <n v="773906.25"/>
    <n v="0"/>
    <n v="773906.25"/>
    <n v="0"/>
    <n v="0"/>
  </r>
  <r>
    <s v="Скаллгрим Торви"/>
    <x v="1"/>
    <s v="ЛЗ"/>
    <s v="ЦЗ"/>
    <m/>
    <m/>
    <s v="Ост"/>
    <s v="Ост"/>
    <x v="12"/>
    <s v="Эвон"/>
    <m/>
    <n v="58.857142857142854"/>
    <n v="16"/>
    <n v="66"/>
    <n v="62"/>
    <n v="74"/>
    <n v="80"/>
    <n v="82"/>
    <n v="32"/>
    <n v="0"/>
    <n v="498876"/>
    <n v="41573"/>
    <n v="0"/>
    <n v="41573"/>
    <n v="0"/>
    <n v="0"/>
  </r>
  <r>
    <s v="Бьорнссон Ранар"/>
    <x v="2"/>
    <s v="ОФ"/>
    <s v="ЦН"/>
    <m/>
    <m/>
    <s v="Ост"/>
    <s v="Ост"/>
    <x v="12"/>
    <s v="Эвон"/>
    <m/>
    <n v="68"/>
    <n v="24"/>
    <n v="80"/>
    <n v="80"/>
    <n v="81"/>
    <n v="82"/>
    <n v="85"/>
    <n v="44"/>
    <n v="0"/>
    <n v="2113923"/>
    <n v="176160.25"/>
    <n v="0"/>
    <n v="176160.25"/>
    <n v="0"/>
    <n v="0"/>
  </r>
  <r>
    <s v="Неон (Н)"/>
    <x v="2"/>
    <s v="ЦН"/>
    <s v="АПЗ"/>
    <m/>
    <s v="Ост"/>
    <s v="Лив"/>
    <s v="Лив"/>
    <x v="12"/>
    <s v="Эвон"/>
    <m/>
    <n v="85.142857142857139"/>
    <n v="80"/>
    <n v="84"/>
    <n v="88"/>
    <n v="84"/>
    <n v="86"/>
    <n v="90"/>
    <n v="84"/>
    <n v="7"/>
    <n v="30031254"/>
    <n v="2502604.5"/>
    <n v="0"/>
    <n v="2502604.5"/>
    <n v="0"/>
    <n v="0"/>
  </r>
  <r>
    <s v="Савин (Н)"/>
    <x v="2"/>
    <s v="ЦН"/>
    <s v="ОФ"/>
    <m/>
    <s v="Ост"/>
    <s v="Ост"/>
    <s v="Ост"/>
    <x v="12"/>
    <s v="Эвон"/>
    <m/>
    <n v="79.285714285714292"/>
    <n v="70"/>
    <n v="79"/>
    <n v="83"/>
    <n v="80"/>
    <n v="87"/>
    <n v="91"/>
    <n v="65"/>
    <n v="6"/>
    <n v="14724505"/>
    <n v="1227042.0833333333"/>
    <n v="0"/>
    <n v="1227042.0833333333"/>
    <n v="0"/>
    <n v="0"/>
  </r>
  <r>
    <s v="Верблум"/>
    <x v="3"/>
    <s v="АПЗ"/>
    <s v="ЦПЗ"/>
    <m/>
    <s v="Ост"/>
    <s v="Ост"/>
    <s v="Ост"/>
    <x v="12"/>
    <s v="Эвон"/>
    <m/>
    <n v="91.857142857142861"/>
    <n v="93"/>
    <n v="82"/>
    <n v="98"/>
    <n v="94"/>
    <n v="95"/>
    <n v="95"/>
    <n v="86"/>
    <n v="18"/>
    <n v="64153535"/>
    <n v="5346127.916666667"/>
    <n v="0"/>
    <n v="5346127.916666667"/>
    <n v="0"/>
    <n v="0"/>
  </r>
  <r>
    <s v="Кальдрин Олас"/>
    <x v="3"/>
    <s v="ЛПЗ"/>
    <s v="ОПЗ"/>
    <m/>
    <m/>
    <s v="Ост"/>
    <s v="Ост"/>
    <x v="12"/>
    <s v="Эвон"/>
    <m/>
    <n v="61.571428571428569"/>
    <n v="21"/>
    <n v="72"/>
    <n v="68"/>
    <n v="80"/>
    <n v="76"/>
    <n v="78"/>
    <n v="36"/>
    <n v="0"/>
    <n v="783056"/>
    <n v="65254.666666666664"/>
    <n v="0"/>
    <n v="65254.666666666664"/>
    <n v="0"/>
    <n v="0"/>
  </r>
  <r>
    <s v="Колен (П)"/>
    <x v="3"/>
    <s v="ОПЗ"/>
    <s v="ЦЗ"/>
    <m/>
    <s v="Ост"/>
    <s v="Ост"/>
    <s v="Ост"/>
    <x v="12"/>
    <s v="Эвон"/>
    <m/>
    <n v="81.428571428571431"/>
    <n v="72"/>
    <n v="80"/>
    <n v="83"/>
    <n v="85"/>
    <n v="90"/>
    <n v="90"/>
    <n v="70"/>
    <n v="26"/>
    <n v="19224694"/>
    <n v="1602057.8333333333"/>
    <n v="0"/>
    <n v="1602057.8333333333"/>
    <n v="0"/>
    <n v="0"/>
  </r>
  <r>
    <s v="Крагнор Дуин"/>
    <x v="3"/>
    <s v="ОПЗ"/>
    <s v="ЦПЗ"/>
    <m/>
    <m/>
    <s v="Ост"/>
    <s v="Ост"/>
    <x v="12"/>
    <s v="Эвон"/>
    <m/>
    <n v="56.142857142857146"/>
    <n v="18"/>
    <n v="62"/>
    <n v="62"/>
    <n v="70"/>
    <n v="74"/>
    <n v="77"/>
    <n v="30"/>
    <n v="0"/>
    <n v="311133"/>
    <n v="25927.75"/>
    <n v="0"/>
    <n v="25927.75"/>
    <n v="0"/>
    <n v="0"/>
  </r>
  <r>
    <s v="Лаир (П)"/>
    <x v="3"/>
    <s v="ОПЗ"/>
    <s v="ЦПЗ"/>
    <m/>
    <s v="Ост"/>
    <s v="Ост"/>
    <s v="Ост"/>
    <x v="12"/>
    <s v="Эвон"/>
    <m/>
    <n v="75.285714285714292"/>
    <n v="51"/>
    <n v="77"/>
    <n v="81"/>
    <n v="81"/>
    <n v="87"/>
    <n v="85"/>
    <n v="65"/>
    <n v="26"/>
    <n v="8774392"/>
    <n v="731199.33333333337"/>
    <n v="0"/>
    <n v="731199.33333333337"/>
    <n v="0"/>
    <n v="0"/>
  </r>
  <r>
    <s v="Мордхель Свен"/>
    <x v="3"/>
    <s v="АПЗ"/>
    <s v="ЦПЗ"/>
    <m/>
    <m/>
    <s v="Ост"/>
    <s v="Ост"/>
    <x v="12"/>
    <s v="Эвон"/>
    <m/>
    <n v="54.714285714285715"/>
    <n v="16"/>
    <n v="60"/>
    <n v="64"/>
    <n v="72"/>
    <n v="70"/>
    <n v="73"/>
    <n v="28"/>
    <n v="0"/>
    <n v="240441"/>
    <n v="20036.75"/>
    <n v="0"/>
    <n v="20036.75"/>
    <n v="0"/>
    <n v="0"/>
  </r>
  <r>
    <s v="Скеллур Хальвар"/>
    <x v="3"/>
    <s v="ППЗ"/>
    <s v="ЛПЗ"/>
    <m/>
    <m/>
    <s v="Ост"/>
    <s v="Ост"/>
    <x v="12"/>
    <s v="Эвон"/>
    <m/>
    <n v="57.142857142857146"/>
    <n v="18"/>
    <n v="64"/>
    <n v="66"/>
    <n v="74"/>
    <n v="72"/>
    <n v="75"/>
    <n v="31"/>
    <n v="0"/>
    <n v="371210"/>
    <n v="30934.166666666668"/>
    <n v="0"/>
    <n v="30934.166666666668"/>
    <n v="0"/>
    <n v="0"/>
  </r>
  <r>
    <s v="Торнвальд Эйрик"/>
    <x v="3"/>
    <s v="ЦПЗ"/>
    <s v="ОПЗ"/>
    <m/>
    <m/>
    <s v="Ост"/>
    <s v="Ост"/>
    <x v="12"/>
    <s v="Эвон"/>
    <m/>
    <n v="65.571428571428569"/>
    <n v="24"/>
    <n v="78"/>
    <n v="74"/>
    <n v="84"/>
    <n v="78"/>
    <n v="80"/>
    <n v="41"/>
    <n v="0"/>
    <n v="1469422"/>
    <n v="122451.83333333333"/>
    <n v="0"/>
    <n v="122451.83333333333"/>
    <n v="0"/>
    <n v="0"/>
  </r>
  <r>
    <s v="Тролле Снорри"/>
    <x v="3"/>
    <s v="ППЗ"/>
    <s v="АПЗ"/>
    <m/>
    <m/>
    <s v="Ост"/>
    <s v="Ост"/>
    <x v="12"/>
    <s v="Эвон"/>
    <m/>
    <n v="59.428571428571431"/>
    <n v="19"/>
    <n v="70"/>
    <n v="68"/>
    <n v="76"/>
    <n v="74"/>
    <n v="76"/>
    <n v="33"/>
    <n v="0"/>
    <n v="549482"/>
    <n v="45790.166666666664"/>
    <n v="0"/>
    <n v="45790.166666666664"/>
    <n v="0"/>
    <n v="0"/>
  </r>
  <r>
    <s v="Дракхар Бьорн"/>
    <x v="4"/>
    <s v="Т"/>
    <m/>
    <m/>
    <m/>
    <s v="Ост"/>
    <s v="Ост"/>
    <x v="12"/>
    <s v="Эвон"/>
    <m/>
    <n v="61.857142857142854"/>
    <n v="21"/>
    <n v="72"/>
    <n v="66"/>
    <n v="76"/>
    <n v="78"/>
    <n v="80"/>
    <n v="40"/>
    <n v="0"/>
    <n v="820160"/>
    <n v="68346.666666666672"/>
    <n v="0"/>
    <n v="68346.666666666672"/>
    <n v="0"/>
    <n v="0"/>
  </r>
  <r>
    <s v="Айнук Остин"/>
    <x v="0"/>
    <s v="В"/>
    <m/>
    <m/>
    <m/>
    <s v="Б.Л."/>
    <s v="Б.Л."/>
    <x v="13"/>
    <s v="Эвон"/>
    <m/>
    <n v="52.714285714285715"/>
    <n v="10"/>
    <n v="67"/>
    <n v="59"/>
    <n v="65"/>
    <n v="67"/>
    <n v="69"/>
    <n v="32"/>
    <n v="0"/>
    <n v="165686"/>
    <n v="13807.166666666666"/>
    <n v="0"/>
    <n v="13807.166666666666"/>
    <n v="0"/>
    <n v="0"/>
  </r>
  <r>
    <s v="Андамар Остин"/>
    <x v="0"/>
    <s v="В"/>
    <m/>
    <m/>
    <m/>
    <s v="Б.Л."/>
    <s v="Б.Л."/>
    <x v="13"/>
    <s v="Эвон"/>
    <m/>
    <n v="50.857142857142854"/>
    <n v="8"/>
    <n v="65"/>
    <n v="58"/>
    <n v="63"/>
    <n v="65"/>
    <n v="67"/>
    <n v="30"/>
    <n v="0"/>
    <n v="115750"/>
    <n v="9645.8333333333339"/>
    <n v="0"/>
    <n v="9645.8333333333339"/>
    <n v="0"/>
    <n v="0"/>
  </r>
  <r>
    <s v="Орхотур Зонни"/>
    <x v="0"/>
    <s v="В"/>
    <m/>
    <m/>
    <m/>
    <s v="Б.Л."/>
    <s v="Б.Л."/>
    <x v="13"/>
    <s v="Эвон"/>
    <m/>
    <n v="50.285714285714285"/>
    <n v="8"/>
    <n v="64"/>
    <n v="56"/>
    <n v="63"/>
    <n v="65"/>
    <n v="67"/>
    <n v="29"/>
    <n v="0"/>
    <n v="103383"/>
    <n v="8615.25"/>
    <n v="0"/>
    <n v="8615.25"/>
    <n v="0"/>
    <n v="0"/>
  </r>
  <r>
    <s v="Апачур Рой"/>
    <x v="1"/>
    <s v="ЦЗ"/>
    <s v="ЛЗ"/>
    <m/>
    <m/>
    <s v="Б.Л."/>
    <s v="Б.Л."/>
    <x v="13"/>
    <s v="Эвон"/>
    <m/>
    <n v="55.428571428571431"/>
    <n v="12"/>
    <n v="71"/>
    <n v="63"/>
    <n v="67"/>
    <n v="69"/>
    <n v="71"/>
    <n v="35"/>
    <n v="0"/>
    <n v="273740"/>
    <n v="22811.666666666668"/>
    <n v="0"/>
    <n v="22811.666666666668"/>
    <n v="0"/>
    <n v="0"/>
  </r>
  <r>
    <s v="Гуаран Кир"/>
    <x v="1"/>
    <s v="ЛЗ"/>
    <s v="ЦЗ"/>
    <m/>
    <m/>
    <s v="Б.Л."/>
    <s v="Б.Л."/>
    <x v="13"/>
    <s v="Эвон"/>
    <m/>
    <n v="54.428571428571431"/>
    <n v="11"/>
    <n v="70"/>
    <n v="62"/>
    <n v="66"/>
    <n v="68"/>
    <n v="70"/>
    <n v="34"/>
    <n v="0"/>
    <n v="228176"/>
    <n v="19014.666666666668"/>
    <n v="0"/>
    <n v="19014.666666666668"/>
    <n v="0"/>
    <n v="0"/>
  </r>
  <r>
    <s v="Инкуш Тим"/>
    <x v="1"/>
    <s v="ПЗ"/>
    <s v="ЦЗ"/>
    <m/>
    <m/>
    <s v="Б.Л."/>
    <s v="Б.Л."/>
    <x v="13"/>
    <s v="Эвон"/>
    <m/>
    <n v="52.857142857142854"/>
    <n v="9"/>
    <n v="69"/>
    <n v="60"/>
    <n v="65"/>
    <n v="67"/>
    <n v="69"/>
    <n v="31"/>
    <n v="0"/>
    <n v="170231"/>
    <n v="14185.916666666666"/>
    <n v="0"/>
    <n v="14185.916666666666"/>
    <n v="0"/>
    <n v="0"/>
  </r>
  <r>
    <s v="Сиукан Люк"/>
    <x v="1"/>
    <s v="ЦЗ"/>
    <s v="ОПЗ"/>
    <m/>
    <m/>
    <s v="Б.Л."/>
    <s v="Б.Л."/>
    <x v="13"/>
    <s v="Эвон"/>
    <m/>
    <n v="47.428571428571431"/>
    <n v="6"/>
    <n v="61"/>
    <n v="54"/>
    <n v="60"/>
    <n v="62"/>
    <n v="64"/>
    <n v="25"/>
    <n v="0"/>
    <n v="57598"/>
    <n v="4799.833333333333"/>
    <n v="0"/>
    <n v="4799.833333333333"/>
    <n v="0"/>
    <n v="0"/>
  </r>
  <r>
    <s v="Тупур Ян"/>
    <x v="1"/>
    <s v="ПЗ"/>
    <s v="ЛЗ"/>
    <m/>
    <m/>
    <s v="Б.Л."/>
    <s v="Б.Л."/>
    <x v="13"/>
    <s v="Эвон"/>
    <m/>
    <n v="50.428571428571431"/>
    <n v="7"/>
    <n v="65"/>
    <n v="58"/>
    <n v="63"/>
    <n v="65"/>
    <n v="67"/>
    <n v="28"/>
    <n v="0"/>
    <n v="106358"/>
    <n v="8863.1666666666661"/>
    <n v="0"/>
    <n v="8863.1666666666661"/>
    <n v="0"/>
    <n v="0"/>
  </r>
  <r>
    <s v="Аторигун Торвальд"/>
    <x v="2"/>
    <s v="ЦН"/>
    <s v="ОФ"/>
    <m/>
    <m/>
    <s v="Б.Л."/>
    <s v="Б.Л."/>
    <x v="13"/>
    <s v="Эвон"/>
    <m/>
    <n v="63.857142857142854"/>
    <n v="15"/>
    <n v="75"/>
    <n v="80"/>
    <n v="75"/>
    <n v="77"/>
    <n v="80"/>
    <n v="45"/>
    <n v="0"/>
    <n v="1127444"/>
    <n v="93953.666666666672"/>
    <n v="0"/>
    <n v="93953.666666666672"/>
    <n v="0"/>
    <n v="0"/>
  </r>
  <r>
    <s v="Меланек Эрл"/>
    <x v="2"/>
    <s v="ОФ"/>
    <s v="ЦН"/>
    <m/>
    <m/>
    <s v="Б.Л."/>
    <s v="Б.Л."/>
    <x v="13"/>
    <s v="Эвон"/>
    <m/>
    <n v="55"/>
    <n v="10"/>
    <n v="70"/>
    <n v="63"/>
    <n v="68"/>
    <n v="70"/>
    <n v="72"/>
    <n v="32"/>
    <n v="0"/>
    <n v="253296"/>
    <n v="21108"/>
    <n v="0"/>
    <n v="21108"/>
    <n v="0"/>
    <n v="0"/>
  </r>
  <r>
    <s v="Микронек Дан"/>
    <x v="2"/>
    <s v="ОФ"/>
    <s v="ЦН"/>
    <m/>
    <m/>
    <s v="Б.Л."/>
    <s v="Б.Л."/>
    <x v="13"/>
    <s v="Эвон"/>
    <m/>
    <n v="60"/>
    <n v="14"/>
    <n v="75"/>
    <n v="68"/>
    <n v="73"/>
    <n v="75"/>
    <n v="77"/>
    <n v="38"/>
    <n v="0"/>
    <n v="604662"/>
    <n v="50388.5"/>
    <n v="0"/>
    <n v="50388.5"/>
    <n v="0"/>
    <n v="0"/>
  </r>
  <r>
    <s v="Ительмэн Пол"/>
    <x v="3"/>
    <s v="АПЗ"/>
    <s v="ЛПЗ"/>
    <m/>
    <m/>
    <s v="Б.Л."/>
    <s v="Б.Л."/>
    <x v="13"/>
    <s v="Эвон"/>
    <m/>
    <n v="54.428571428571431"/>
    <n v="10"/>
    <n v="69"/>
    <n v="62"/>
    <n v="67"/>
    <n v="69"/>
    <n v="71"/>
    <n v="33"/>
    <n v="0"/>
    <n v="228176"/>
    <n v="19014.666666666668"/>
    <n v="0"/>
    <n v="19014.666666666668"/>
    <n v="0"/>
    <n v="0"/>
  </r>
  <r>
    <s v="Корякуш Стан"/>
    <x v="3"/>
    <s v="ЛПЗ"/>
    <s v="ОПЗ"/>
    <m/>
    <m/>
    <s v="Б.Л."/>
    <s v="Б.Л."/>
    <x v="13"/>
    <s v="Эвон"/>
    <m/>
    <n v="49.857142857142854"/>
    <n v="7"/>
    <n v="64"/>
    <n v="57"/>
    <n v="63"/>
    <n v="65"/>
    <n v="67"/>
    <n v="26"/>
    <n v="0"/>
    <n v="94902"/>
    <n v="7908.5"/>
    <n v="0"/>
    <n v="7908.5"/>
    <n v="0"/>
    <n v="0"/>
  </r>
  <r>
    <s v="Мапуак Ксон"/>
    <x v="3"/>
    <s v="ППЗ"/>
    <s v="АПЗ"/>
    <m/>
    <m/>
    <s v="Б.Л."/>
    <s v="Б.Л."/>
    <x v="13"/>
    <s v="Эвон"/>
    <m/>
    <n v="62.571428571428569"/>
    <n v="14"/>
    <n v="73"/>
    <n v="77"/>
    <n v="75"/>
    <n v="77"/>
    <n v="79"/>
    <n v="43"/>
    <n v="0"/>
    <n v="919943"/>
    <n v="76661.916666666672"/>
    <n v="0"/>
    <n v="76661.916666666672"/>
    <n v="0"/>
    <n v="0"/>
  </r>
  <r>
    <s v="Мапук Дар"/>
    <x v="3"/>
    <s v="ОПЗ"/>
    <s v="ЦПЗ"/>
    <m/>
    <m/>
    <s v="Б.Л."/>
    <s v="Б.Л."/>
    <x v="13"/>
    <s v="Эвон"/>
    <m/>
    <n v="53.428571428571431"/>
    <n v="9"/>
    <n v="68"/>
    <n v="60"/>
    <n v="67"/>
    <n v="69"/>
    <n v="71"/>
    <n v="30"/>
    <n v="0"/>
    <n v="189556"/>
    <n v="15796.333333333334"/>
    <n v="0"/>
    <n v="15796.333333333334"/>
    <n v="0"/>
    <n v="0"/>
  </r>
  <r>
    <s v="Нивхур Кайус"/>
    <x v="3"/>
    <s v="АПЗ"/>
    <s v="ЦПЗ"/>
    <m/>
    <m/>
    <s v="Б.Л."/>
    <s v="Б.Л."/>
    <x v="13"/>
    <s v="Эвон"/>
    <m/>
    <n v="48"/>
    <n v="6"/>
    <n v="60"/>
    <n v="54"/>
    <n v="62"/>
    <n v="64"/>
    <n v="66"/>
    <n v="24"/>
    <n v="0"/>
    <n v="64926"/>
    <n v="5410.5"/>
    <n v="0"/>
    <n v="5410.5"/>
    <n v="0"/>
    <n v="0"/>
  </r>
  <r>
    <s v="Полинек Ирж"/>
    <x v="3"/>
    <s v="ППЗ"/>
    <s v="АПЗ"/>
    <m/>
    <m/>
    <s v="Б.Л."/>
    <s v="Б.Л."/>
    <x v="13"/>
    <s v="Эвон"/>
    <m/>
    <n v="56.142857142857146"/>
    <n v="11"/>
    <n v="71"/>
    <n v="64"/>
    <n v="69"/>
    <n v="71"/>
    <n v="73"/>
    <n v="34"/>
    <n v="0"/>
    <n v="311133"/>
    <n v="25927.75"/>
    <n v="0"/>
    <n v="25927.75"/>
    <n v="0"/>
    <n v="0"/>
  </r>
  <r>
    <s v="Семанк Мэйс"/>
    <x v="3"/>
    <s v="ЦПЗ"/>
    <s v="ОПЗ"/>
    <m/>
    <m/>
    <s v="Б.Л."/>
    <s v="Б.Л."/>
    <x v="13"/>
    <s v="Эвон"/>
    <m/>
    <n v="58.285714285714285"/>
    <n v="13"/>
    <n v="73"/>
    <n v="66"/>
    <n v="71"/>
    <n v="73"/>
    <n v="75"/>
    <n v="37"/>
    <n v="0"/>
    <n v="452503"/>
    <n v="37708.583333333336"/>
    <n v="0"/>
    <n v="37708.583333333336"/>
    <n v="0"/>
    <n v="0"/>
  </r>
  <r>
    <s v="Туровой"/>
    <x v="3"/>
    <s v="ЦПЗ"/>
    <s v="ОПЗ"/>
    <m/>
    <s v="Б.Л."/>
    <s v="Б.Л."/>
    <s v="Б.Л."/>
    <x v="13"/>
    <s v="Эвон"/>
    <m/>
    <n v="48.714285714285715"/>
    <n v="20"/>
    <n v="50"/>
    <n v="60"/>
    <n v="55"/>
    <n v="59"/>
    <n v="66"/>
    <n v="31"/>
    <n v="0"/>
    <n v="75260"/>
    <n v="6271.666666666667"/>
    <n v="0"/>
    <n v="6271.666666666667"/>
    <n v="0"/>
    <n v="0"/>
  </r>
  <r>
    <s v="Черокуш Элд"/>
    <x v="4"/>
    <s v="Т"/>
    <m/>
    <m/>
    <m/>
    <s v="Б.Л."/>
    <s v="Б.Л."/>
    <x v="13"/>
    <s v="Эвон"/>
    <m/>
    <n v="51.285714285714285"/>
    <n v="9"/>
    <n v="65"/>
    <n v="57"/>
    <n v="64"/>
    <n v="66"/>
    <n v="68"/>
    <n v="30"/>
    <n v="0"/>
    <n v="125883"/>
    <n v="10490.25"/>
    <n v="0"/>
    <n v="10490.25"/>
    <n v="0"/>
    <n v="0"/>
  </r>
  <r>
    <s v="Бронн Каспар"/>
    <x v="0"/>
    <s v="В"/>
    <m/>
    <m/>
    <m/>
    <s v="Нал"/>
    <s v="Нал"/>
    <x v="14"/>
    <s v="Эвон"/>
    <m/>
    <n v="55"/>
    <n v="28"/>
    <n v="52"/>
    <n v="48"/>
    <n v="61"/>
    <n v="64"/>
    <n v="78"/>
    <n v="54"/>
    <n v="0"/>
    <n v="253296"/>
    <n v="21108"/>
    <n v="0"/>
    <n v="21108"/>
    <n v="0"/>
    <n v="0"/>
  </r>
  <r>
    <s v="Илион (В)"/>
    <x v="0"/>
    <s v="В"/>
    <m/>
    <m/>
    <s v="Нал"/>
    <s v="Нал"/>
    <s v="Нал"/>
    <x v="14"/>
    <s v="Эвон"/>
    <m/>
    <n v="80.285714285714292"/>
    <n v="70"/>
    <n v="76"/>
    <n v="82"/>
    <n v="81"/>
    <n v="94"/>
    <n v="80"/>
    <n v="79"/>
    <n v="30"/>
    <n v="16690680"/>
    <n v="1390890"/>
    <n v="0"/>
    <n v="1390890"/>
    <n v="0"/>
    <n v="0"/>
  </r>
  <r>
    <s v="Вовон"/>
    <x v="1"/>
    <s v="ЦЗ"/>
    <s v="ПЗ"/>
    <m/>
    <s v="Нал"/>
    <s v="Нал"/>
    <s v="Нал"/>
    <x v="14"/>
    <s v="Эвон"/>
    <m/>
    <n v="68.142857142857139"/>
    <n v="45"/>
    <n v="55"/>
    <n v="83"/>
    <n v="71"/>
    <n v="76"/>
    <n v="95"/>
    <n v="52"/>
    <n v="0"/>
    <n v="2158756"/>
    <n v="179896.33333333334"/>
    <n v="0"/>
    <n v="179896.33333333334"/>
    <n v="0"/>
    <n v="0"/>
  </r>
  <r>
    <s v="Ворн Стефан"/>
    <x v="1"/>
    <s v="ЦЗ"/>
    <s v="ОПЗ"/>
    <m/>
    <m/>
    <s v="Нал"/>
    <s v="Нал"/>
    <x v="14"/>
    <s v="Эвон"/>
    <m/>
    <n v="58.428571428571431"/>
    <n v="37"/>
    <n v="61"/>
    <n v="52"/>
    <n v="58"/>
    <n v="86"/>
    <n v="74"/>
    <n v="41"/>
    <n v="0"/>
    <n v="463717"/>
    <n v="38643.083333333336"/>
    <n v="0"/>
    <n v="38643.083333333336"/>
    <n v="0"/>
    <n v="0"/>
  </r>
  <r>
    <s v="Гасьте"/>
    <x v="1"/>
    <s v="ЦЗ"/>
    <s v="ОПЗ"/>
    <m/>
    <s v="Нал"/>
    <s v="Нал"/>
    <s v="Нал"/>
    <x v="14"/>
    <s v="Эвон"/>
    <m/>
    <n v="71"/>
    <n v="52"/>
    <n v="65"/>
    <n v="75"/>
    <n v="82"/>
    <n v="80"/>
    <n v="83"/>
    <n v="60"/>
    <n v="0"/>
    <n v="3255244"/>
    <n v="271270.33333333331"/>
    <n v="0"/>
    <n v="271270.33333333331"/>
    <n v="0"/>
    <n v="0"/>
  </r>
  <r>
    <s v="Лунд Эйнар"/>
    <x v="1"/>
    <s v="ПЗ"/>
    <s v="ЦЗ"/>
    <m/>
    <m/>
    <s v="Нал"/>
    <s v="Нал"/>
    <x v="14"/>
    <s v="Эвон"/>
    <m/>
    <n v="57.857142857142854"/>
    <n v="32"/>
    <n v="88"/>
    <n v="44"/>
    <n v="63"/>
    <n v="71"/>
    <n v="62"/>
    <n v="45"/>
    <n v="0"/>
    <n v="420311"/>
    <n v="35025.916666666664"/>
    <n v="0"/>
    <n v="35025.916666666664"/>
    <n v="0"/>
    <n v="0"/>
  </r>
  <r>
    <s v="Тарвел Йонас"/>
    <x v="1"/>
    <s v="ПЗ"/>
    <s v="ЛЗ"/>
    <m/>
    <m/>
    <s v="Нал"/>
    <s v="Нал"/>
    <x v="14"/>
    <s v="Эвон"/>
    <m/>
    <n v="54.714285714285715"/>
    <n v="21"/>
    <n v="91"/>
    <n v="36"/>
    <n v="60"/>
    <n v="68"/>
    <n v="58"/>
    <n v="49"/>
    <n v="0"/>
    <n v="240441"/>
    <n v="20036.75"/>
    <n v="0"/>
    <n v="20036.75"/>
    <n v="0"/>
    <n v="0"/>
  </r>
  <r>
    <s v="Таркино"/>
    <x v="1"/>
    <s v="ЦЗ"/>
    <m/>
    <m/>
    <s v="Нал"/>
    <s v="Нал"/>
    <s v="Нал"/>
    <x v="14"/>
    <s v="Эвон"/>
    <m/>
    <n v="71.714285714285708"/>
    <n v="59"/>
    <n v="70"/>
    <n v="72"/>
    <n v="73"/>
    <n v="89"/>
    <n v="81"/>
    <n v="58"/>
    <n v="0"/>
    <n v="3597964"/>
    <n v="299830.33333333331"/>
    <n v="0"/>
    <n v="299830.33333333331"/>
    <n v="0"/>
    <n v="0"/>
  </r>
  <r>
    <s v="Торлунд"/>
    <x v="1"/>
    <s v="ЦЗ"/>
    <s v="ЛЗ"/>
    <m/>
    <s v="Нал"/>
    <s v="Нал"/>
    <s v="Нал"/>
    <x v="14"/>
    <s v="Эвон"/>
    <m/>
    <n v="75.714285714285708"/>
    <n v="65"/>
    <n v="70"/>
    <n v="80"/>
    <n v="79"/>
    <n v="83"/>
    <n v="88"/>
    <n v="65"/>
    <n v="0"/>
    <n v="6191250"/>
    <n v="515937.5"/>
    <n v="0"/>
    <n v="515937.5"/>
    <n v="0"/>
    <n v="0"/>
  </r>
  <r>
    <s v="Хестон Ральф"/>
    <x v="1"/>
    <s v="ЛЗ"/>
    <s v="ЦЗ"/>
    <m/>
    <m/>
    <s v="Нал"/>
    <s v="Нал"/>
    <x v="14"/>
    <s v="Эвон"/>
    <m/>
    <n v="55.571428571428569"/>
    <n v="25"/>
    <n v="57"/>
    <n v="39"/>
    <n v="74"/>
    <n v="62"/>
    <n v="80"/>
    <n v="52"/>
    <n v="0"/>
    <n v="280877"/>
    <n v="23406.416666666668"/>
    <n v="0"/>
    <n v="23406.416666666668"/>
    <n v="0"/>
    <n v="0"/>
  </r>
  <r>
    <s v="Яхе"/>
    <x v="1"/>
    <s v="ПЗ"/>
    <s v="ЦЗ"/>
    <m/>
    <s v="Нал"/>
    <s v="Нал"/>
    <s v="Нал"/>
    <x v="14"/>
    <s v="Эвон"/>
    <m/>
    <n v="76.428571428571431"/>
    <n v="70"/>
    <n v="85"/>
    <n v="71"/>
    <n v="86"/>
    <n v="73"/>
    <n v="74"/>
    <n v="76"/>
    <n v="0"/>
    <n v="6800760"/>
    <n v="545896.75"/>
    <n v="0"/>
    <n v="566730"/>
    <n v="-3.68"/>
    <n v="0"/>
  </r>
  <r>
    <s v="Акс Мелдерн"/>
    <x v="2"/>
    <s v="ЦН"/>
    <m/>
    <m/>
    <s v="Нал"/>
    <s v="Нал"/>
    <s v="Нал"/>
    <x v="14"/>
    <s v="Эвон"/>
    <m/>
    <n v="70.142857142857139"/>
    <n v="45"/>
    <n v="85"/>
    <n v="80"/>
    <n v="77"/>
    <n v="73"/>
    <n v="76"/>
    <n v="55"/>
    <n v="0"/>
    <n v="2882933"/>
    <n v="216870.83333333334"/>
    <n v="0"/>
    <n v="240244.41666666666"/>
    <n v="-9.73"/>
    <n v="0"/>
  </r>
  <r>
    <s v="Берни"/>
    <x v="2"/>
    <s v="ЦН"/>
    <s v="АПЗ"/>
    <m/>
    <s v="Нал"/>
    <s v="Нал"/>
    <s v="Нал"/>
    <x v="14"/>
    <s v="Эвон"/>
    <m/>
    <n v="69.285714285714292"/>
    <n v="44"/>
    <n v="80"/>
    <n v="80"/>
    <n v="74"/>
    <n v="71"/>
    <n v="85"/>
    <n v="51"/>
    <n v="0"/>
    <n v="2549395"/>
    <n v="183703.5"/>
    <n v="0"/>
    <n v="212449.58333333334"/>
    <n v="-13.53"/>
    <n v="0"/>
  </r>
  <r>
    <s v="Гроод"/>
    <x v="2"/>
    <s v="ЦН"/>
    <s v="АПЗ"/>
    <m/>
    <s v="Нал"/>
    <s v="Нал"/>
    <s v="Нал"/>
    <x v="14"/>
    <s v="Эвон"/>
    <m/>
    <n v="78.571428571428569"/>
    <n v="70"/>
    <n v="73"/>
    <n v="85"/>
    <n v="82"/>
    <n v="85"/>
    <n v="95"/>
    <n v="60"/>
    <n v="6"/>
    <n v="13450480"/>
    <n v="1120873.3333333333"/>
    <n v="0"/>
    <n v="1120873.3333333333"/>
    <n v="0"/>
    <n v="0"/>
  </r>
  <r>
    <s v="Мадуу"/>
    <x v="2"/>
    <s v="ЦН"/>
    <s v="АПЗ"/>
    <m/>
    <s v="Кедр"/>
    <s v="Кедр"/>
    <s v="Кедр"/>
    <x v="14"/>
    <s v="Эвон"/>
    <m/>
    <n v="80"/>
    <n v="75"/>
    <n v="80"/>
    <n v="90"/>
    <n v="71"/>
    <n v="90"/>
    <n v="94"/>
    <n v="60"/>
    <n v="6"/>
    <n v="16106128"/>
    <n v="1100659.75"/>
    <n v="0"/>
    <n v="1342177.3333333333"/>
    <n v="-17.989999999999998"/>
    <n v="0"/>
  </r>
  <r>
    <s v="Найденов (Н)"/>
    <x v="2"/>
    <s v="ОФ"/>
    <s v="АПЗ"/>
    <m/>
    <s v="Нал"/>
    <s v="Нал"/>
    <s v="Нал"/>
    <x v="14"/>
    <s v="Эвон"/>
    <m/>
    <n v="84.571428571428569"/>
    <n v="80"/>
    <n v="86"/>
    <n v="86"/>
    <n v="87"/>
    <n v="83"/>
    <n v="85"/>
    <n v="85"/>
    <n v="12"/>
    <n v="28075528"/>
    <n v="2339627.3333333335"/>
    <n v="0"/>
    <n v="2339627.3333333335"/>
    <n v="0"/>
    <n v="0"/>
  </r>
  <r>
    <s v="Бернт Хенрик"/>
    <x v="3"/>
    <s v="ЦПЗ"/>
    <s v="ОПЗ"/>
    <m/>
    <m/>
    <s v="Нал"/>
    <s v="Нал"/>
    <x v="14"/>
    <s v="Эвон"/>
    <m/>
    <n v="59.142857142857146"/>
    <n v="31"/>
    <n v="59"/>
    <n v="46"/>
    <n v="66"/>
    <n v="90"/>
    <n v="70"/>
    <n v="52"/>
    <n v="0"/>
    <n v="523629"/>
    <n v="43635.75"/>
    <n v="0"/>
    <n v="43635.75"/>
    <n v="0"/>
    <n v="0"/>
  </r>
  <r>
    <s v="Больбон"/>
    <x v="3"/>
    <s v="АПЗ"/>
    <s v="ЦН"/>
    <s v="ППЗ"/>
    <s v="Нал"/>
    <s v="Нал"/>
    <s v="Нал"/>
    <x v="14"/>
    <s v="Эвон"/>
    <m/>
    <n v="88.571428571428569"/>
    <n v="84"/>
    <n v="82"/>
    <n v="100"/>
    <n v="88"/>
    <n v="98"/>
    <n v="98"/>
    <n v="70"/>
    <n v="1"/>
    <n v="44568473"/>
    <n v="3714039.4166666665"/>
    <n v="0"/>
    <n v="3714039.4166666665"/>
    <n v="0"/>
    <n v="0"/>
  </r>
  <r>
    <s v="Гривс Эдгар"/>
    <x v="3"/>
    <s v="ОПЗ"/>
    <s v="ЦПЗ"/>
    <m/>
    <m/>
    <s v="Нал"/>
    <s v="Нал"/>
    <x v="14"/>
    <s v="Эвон"/>
    <m/>
    <n v="58.428571428571431"/>
    <n v="34"/>
    <n v="55"/>
    <n v="41"/>
    <n v="84"/>
    <n v="82"/>
    <n v="66"/>
    <n v="47"/>
    <n v="0"/>
    <n v="463717"/>
    <n v="38643.083333333336"/>
    <n v="0"/>
    <n v="38643.083333333336"/>
    <n v="0"/>
    <n v="0"/>
  </r>
  <r>
    <s v="Гулиавандент"/>
    <x v="3"/>
    <s v="ЦПЗ"/>
    <m/>
    <m/>
    <s v="Нал"/>
    <s v="Нал"/>
    <s v="Нал"/>
    <x v="14"/>
    <s v="Эвон"/>
    <m/>
    <n v="72.142857142857139"/>
    <n v="57"/>
    <n v="75"/>
    <n v="83"/>
    <n v="78"/>
    <n v="84"/>
    <n v="86"/>
    <n v="42"/>
    <n v="0"/>
    <n v="3818857"/>
    <n v="318238.08333333331"/>
    <n v="0"/>
    <n v="318238.08333333331"/>
    <n v="0"/>
    <n v="0"/>
  </r>
  <r>
    <s v="Дорнбург Феликс"/>
    <x v="3"/>
    <s v="ППЗ"/>
    <s v="АПЗ"/>
    <m/>
    <m/>
    <s v="Нал"/>
    <s v="Нал"/>
    <x v="14"/>
    <s v="Эвон"/>
    <m/>
    <n v="63.285714285714285"/>
    <n v="38"/>
    <n v="63"/>
    <n v="58"/>
    <n v="88"/>
    <n v="61"/>
    <n v="79"/>
    <n v="56"/>
    <n v="0"/>
    <n v="1030522"/>
    <n v="85876.833333333328"/>
    <n v="0"/>
    <n v="85876.833333333328"/>
    <n v="0"/>
    <n v="0"/>
  </r>
  <r>
    <s v="Клеберн"/>
    <x v="3"/>
    <s v="ЦПЗ"/>
    <s v="АПЗ"/>
    <m/>
    <s v="Нал"/>
    <s v="Нал"/>
    <s v="Нал"/>
    <x v="14"/>
    <s v="Эвон"/>
    <m/>
    <n v="73"/>
    <n v="66"/>
    <n v="70"/>
    <n v="82"/>
    <n v="80"/>
    <n v="80"/>
    <n v="88"/>
    <n v="45"/>
    <n v="0"/>
    <n v="4297626"/>
    <n v="358135.5"/>
    <n v="0"/>
    <n v="358135.5"/>
    <n v="0"/>
    <n v="0"/>
  </r>
  <r>
    <s v="Клевен Люк"/>
    <x v="3"/>
    <s v="ЛПЗ"/>
    <s v="ЦПЗ"/>
    <m/>
    <m/>
    <s v="Нал"/>
    <s v="Нал"/>
    <x v="14"/>
    <s v="Эвон"/>
    <m/>
    <n v="51.714285714285715"/>
    <n v="23"/>
    <n v="84"/>
    <n v="35"/>
    <n v="71"/>
    <n v="60"/>
    <n v="49"/>
    <n v="40"/>
    <n v="0"/>
    <n v="136807"/>
    <n v="11400.583333333334"/>
    <n v="0"/>
    <n v="11400.583333333334"/>
    <n v="0"/>
    <n v="0"/>
  </r>
  <r>
    <s v="Марлон Тибо"/>
    <x v="3"/>
    <s v="ЦПЗ"/>
    <s v="АПЗ"/>
    <m/>
    <m/>
    <s v="Нал"/>
    <s v="Нал"/>
    <x v="14"/>
    <s v="Эвон"/>
    <m/>
    <n v="53.714285714285715"/>
    <n v="29"/>
    <n v="89"/>
    <n v="38"/>
    <n v="67"/>
    <n v="58"/>
    <n v="52"/>
    <n v="43"/>
    <n v="0"/>
    <n v="199940"/>
    <n v="16661.666666666668"/>
    <n v="0"/>
    <n v="16661.666666666668"/>
    <n v="0"/>
    <n v="0"/>
  </r>
  <r>
    <s v="Неока (П)"/>
    <x v="3"/>
    <s v="ЛПЗ"/>
    <s v="ППЗ"/>
    <s v="ОПЗ"/>
    <s v="Нал"/>
    <s v="Эстл"/>
    <s v="Эстл"/>
    <x v="14"/>
    <s v="Эвон"/>
    <m/>
    <n v="86.571428571428569"/>
    <n v="83"/>
    <n v="94"/>
    <n v="84"/>
    <n v="87"/>
    <n v="86"/>
    <n v="86"/>
    <n v="86"/>
    <n v="3"/>
    <n v="35468033"/>
    <n v="2955669.4166666665"/>
    <n v="0"/>
    <n v="2955669.4166666665"/>
    <n v="0"/>
    <n v="0"/>
  </r>
  <r>
    <s v="Стабилин (П)"/>
    <x v="3"/>
    <s v="АПЗ"/>
    <s v="ЦПЗ"/>
    <m/>
    <s v="Нал"/>
    <s v="Нал"/>
    <s v="Нал"/>
    <x v="14"/>
    <s v="Эвон"/>
    <m/>
    <n v="78.714285714285708"/>
    <n v="65"/>
    <n v="86"/>
    <n v="90"/>
    <n v="82"/>
    <n v="83"/>
    <n v="90"/>
    <n v="55"/>
    <n v="18"/>
    <n v="13697044"/>
    <n v="1141420.3333333333"/>
    <n v="0"/>
    <n v="1141420.3333333333"/>
    <n v="0"/>
    <n v="0"/>
  </r>
  <r>
    <s v="И. Щитован"/>
    <x v="0"/>
    <s v="В"/>
    <m/>
    <m/>
    <s v="Кут"/>
    <s v="Кут"/>
    <s v="Кут"/>
    <x v="15"/>
    <s v="Эвон"/>
    <m/>
    <n v="87.571428571428569"/>
    <n v="93"/>
    <n v="89"/>
    <n v="88"/>
    <n v="86"/>
    <n v="90"/>
    <n v="87"/>
    <n v="80"/>
    <n v="30"/>
    <n v="39784656"/>
    <n v="3315388"/>
    <n v="0"/>
    <n v="3315388"/>
    <n v="0"/>
    <n v="0"/>
  </r>
  <r>
    <s v="Пшибыльский Казик"/>
    <x v="0"/>
    <s v="В"/>
    <m/>
    <m/>
    <m/>
    <s v="Кут"/>
    <s v="Кут"/>
    <x v="15"/>
    <s v="Эвон"/>
    <m/>
    <n v="65"/>
    <n v="27"/>
    <n v="74"/>
    <n v="72"/>
    <n v="81"/>
    <n v="83"/>
    <n v="80"/>
    <n v="38"/>
    <n v="0"/>
    <n v="1346275"/>
    <n v="112189.58333333333"/>
    <n v="0"/>
    <n v="112189.58333333333"/>
    <n v="0"/>
    <n v="0"/>
  </r>
  <r>
    <s v="Енотов"/>
    <x v="1"/>
    <s v="ЦЗ"/>
    <m/>
    <m/>
    <s v="Кут"/>
    <s v="Кут"/>
    <s v="Кут"/>
    <x v="15"/>
    <s v="Эвон"/>
    <m/>
    <n v="75.571428571428569"/>
    <n v="52"/>
    <n v="60"/>
    <n v="80"/>
    <n v="85"/>
    <n v="88"/>
    <n v="90"/>
    <n v="74"/>
    <n v="0"/>
    <n v="6075421"/>
    <n v="506285.08333333331"/>
    <n v="0"/>
    <n v="506285.08333333331"/>
    <n v="0"/>
    <n v="0"/>
  </r>
  <r>
    <s v="Жижковский Сташек"/>
    <x v="1"/>
    <s v="ЦЗ"/>
    <s v="ПЗ"/>
    <m/>
    <s v="Кут"/>
    <s v="Кут"/>
    <s v="Кут"/>
    <x v="15"/>
    <s v="Эвон"/>
    <m/>
    <n v="67.571428571428569"/>
    <n v="29"/>
    <n v="66"/>
    <n v="76"/>
    <n v="82"/>
    <n v="86"/>
    <n v="88"/>
    <n v="46"/>
    <n v="0"/>
    <n v="1984409"/>
    <n v="165367.41666666666"/>
    <n v="0"/>
    <n v="165367.41666666666"/>
    <n v="0"/>
    <n v="0"/>
  </r>
  <r>
    <s v="Жовуш"/>
    <x v="1"/>
    <s v="ЦЗ"/>
    <m/>
    <m/>
    <s v="Кут"/>
    <s v="Кут"/>
    <s v="Кут"/>
    <x v="15"/>
    <s v="Эвон"/>
    <m/>
    <n v="63.142857142857146"/>
    <n v="30"/>
    <n v="55"/>
    <n v="60"/>
    <n v="70"/>
    <n v="78"/>
    <n v="84"/>
    <n v="65"/>
    <n v="0"/>
    <n v="1007494"/>
    <n v="83957.833333333328"/>
    <n v="0"/>
    <n v="83957.833333333328"/>
    <n v="0"/>
    <n v="0"/>
  </r>
  <r>
    <s v="Кркоун Йозеф"/>
    <x v="1"/>
    <s v="ЦЗ"/>
    <s v="ЛЗ"/>
    <m/>
    <m/>
    <s v="Кут"/>
    <s v="Кут"/>
    <x v="15"/>
    <s v="Эвон"/>
    <m/>
    <n v="58.142857142857146"/>
    <n v="21"/>
    <n v="57"/>
    <n v="64"/>
    <n v="70"/>
    <n v="79"/>
    <n v="85"/>
    <n v="31"/>
    <n v="0"/>
    <n v="441534"/>
    <n v="36794.5"/>
    <n v="0"/>
    <n v="36794.5"/>
    <n v="0"/>
    <n v="0"/>
  </r>
  <r>
    <s v="Кузьман"/>
    <x v="1"/>
    <s v="ЦЗ"/>
    <s v="ПЗ"/>
    <m/>
    <s v="Кут"/>
    <s v="Кут"/>
    <s v="Кут"/>
    <x v="15"/>
    <s v="Эвон"/>
    <m/>
    <n v="76.857142857142861"/>
    <n v="55"/>
    <n v="58"/>
    <n v="81"/>
    <n v="83"/>
    <n v="90"/>
    <n v="93"/>
    <n v="78"/>
    <n v="0"/>
    <n v="7191879"/>
    <n v="599323.25"/>
    <n v="0"/>
    <n v="599323.25"/>
    <n v="0"/>
    <n v="0"/>
  </r>
  <r>
    <s v="Ползитер"/>
    <x v="1"/>
    <s v="ЦЗ"/>
    <m/>
    <m/>
    <s v="Кут"/>
    <s v="Кут"/>
    <s v="Кут"/>
    <x v="15"/>
    <s v="Эвон"/>
    <m/>
    <n v="72.857142857142861"/>
    <n v="50"/>
    <n v="65"/>
    <n v="75"/>
    <n v="80"/>
    <n v="83"/>
    <n v="87"/>
    <n v="70"/>
    <n v="0"/>
    <n v="4214261"/>
    <n v="351188.41666666669"/>
    <n v="0"/>
    <n v="351188.41666666669"/>
    <n v="0"/>
    <n v="0"/>
  </r>
  <r>
    <s v="Пупчик Милан"/>
    <x v="1"/>
    <s v="ЦЗ"/>
    <s v="ОПЗ"/>
    <m/>
    <m/>
    <s v="Кут"/>
    <s v="Кут"/>
    <x v="15"/>
    <s v="Эвон"/>
    <m/>
    <n v="59"/>
    <n v="23"/>
    <n v="61"/>
    <n v="59"/>
    <n v="73"/>
    <n v="80"/>
    <n v="82"/>
    <n v="35"/>
    <n v="0"/>
    <n v="511117"/>
    <n v="42593.083333333336"/>
    <n v="0"/>
    <n v="42593.083333333336"/>
    <n v="0"/>
    <n v="0"/>
  </r>
  <r>
    <s v="Тарни"/>
    <x v="1"/>
    <s v="ЦЗ"/>
    <s v="ОПЗ"/>
    <m/>
    <s v="Кут"/>
    <s v="Кут"/>
    <s v="Кут"/>
    <x v="15"/>
    <s v="Эвон"/>
    <m/>
    <n v="71.857142857142861"/>
    <n v="48"/>
    <n v="70"/>
    <n v="62"/>
    <n v="74"/>
    <n v="84"/>
    <n v="90"/>
    <n v="75"/>
    <n v="0"/>
    <n v="3670283"/>
    <n v="305856.91666666669"/>
    <n v="0"/>
    <n v="305856.91666666669"/>
    <n v="0"/>
    <n v="0"/>
  </r>
  <r>
    <s v="Тлустоух Янек"/>
    <x v="1"/>
    <s v="ЦЗ"/>
    <m/>
    <m/>
    <m/>
    <s v="Кут"/>
    <s v="Кут"/>
    <x v="15"/>
    <s v="Эвон"/>
    <m/>
    <n v="53"/>
    <n v="20"/>
    <n v="54"/>
    <n v="55"/>
    <n v="62"/>
    <n v="71"/>
    <n v="79"/>
    <n v="30"/>
    <n v="0"/>
    <n v="174888"/>
    <n v="14574"/>
    <n v="0"/>
    <n v="14574"/>
    <n v="0"/>
    <n v="0"/>
  </r>
  <r>
    <s v="Тунс"/>
    <x v="1"/>
    <s v="ЦЗ"/>
    <s v="ПЗ"/>
    <m/>
    <s v="Кут"/>
    <s v="Кут"/>
    <s v="Кут"/>
    <x v="15"/>
    <s v="Эвон"/>
    <m/>
    <n v="63.285714285714285"/>
    <n v="35"/>
    <n v="58"/>
    <n v="59"/>
    <n v="66"/>
    <n v="77"/>
    <n v="88"/>
    <n v="60"/>
    <n v="0"/>
    <n v="1030522"/>
    <n v="85876.833333333328"/>
    <n v="0"/>
    <n v="85876.833333333328"/>
    <n v="0"/>
    <n v="0"/>
  </r>
  <r>
    <s v="Хваталка Войтек"/>
    <x v="1"/>
    <s v="ЦЗ"/>
    <s v="ПЗ"/>
    <m/>
    <m/>
    <s v="Кут"/>
    <s v="Кут"/>
    <x v="15"/>
    <s v="Эвон"/>
    <m/>
    <n v="64.428571428571431"/>
    <n v="26"/>
    <n v="69"/>
    <n v="68"/>
    <n v="76"/>
    <n v="85"/>
    <n v="86"/>
    <n v="41"/>
    <n v="0"/>
    <n v="1232495"/>
    <n v="102707.91666666667"/>
    <n v="0"/>
    <n v="102707.91666666667"/>
    <n v="0"/>
    <n v="0"/>
  </r>
  <r>
    <s v="Жабка Ладислав"/>
    <x v="2"/>
    <s v="ЦН"/>
    <s v="ОФ"/>
    <m/>
    <s v="Кут"/>
    <s v="Кут"/>
    <s v="Кут"/>
    <x v="15"/>
    <s v="Эвон"/>
    <m/>
    <n v="68.571428571428569"/>
    <n v="28"/>
    <n v="76"/>
    <n v="83"/>
    <n v="78"/>
    <n v="82"/>
    <n v="89"/>
    <n v="44"/>
    <n v="0"/>
    <n v="2298434"/>
    <n v="191536.16666666666"/>
    <n v="0"/>
    <n v="191536.16666666666"/>
    <n v="0"/>
    <n v="0"/>
  </r>
  <r>
    <s v="Косоног (Н)"/>
    <x v="2"/>
    <s v="ЦН"/>
    <s v="ОФ"/>
    <m/>
    <s v="Кут"/>
    <s v="Кут"/>
    <s v="Кут"/>
    <x v="15"/>
    <s v="Эвон"/>
    <m/>
    <n v="81.285714285714292"/>
    <n v="74"/>
    <n v="71"/>
    <n v="95"/>
    <n v="80"/>
    <n v="85"/>
    <n v="94"/>
    <n v="70"/>
    <n v="6"/>
    <n v="18890069"/>
    <n v="1574172.4166666667"/>
    <n v="0"/>
    <n v="1574172.4166666667"/>
    <n v="0"/>
    <n v="0"/>
  </r>
  <r>
    <s v="Кукучка Богуш"/>
    <x v="2"/>
    <s v="ОФ"/>
    <m/>
    <m/>
    <m/>
    <s v="Кут"/>
    <s v="Кут"/>
    <x v="15"/>
    <s v="Эвон"/>
    <m/>
    <n v="60.857142857142854"/>
    <n v="22"/>
    <n v="80"/>
    <n v="66"/>
    <n v="74"/>
    <n v="73"/>
    <n v="78"/>
    <n v="33"/>
    <n v="0"/>
    <n v="696812"/>
    <n v="58067.666666666664"/>
    <n v="0"/>
    <n v="58067.666666666664"/>
    <n v="0"/>
    <n v="0"/>
  </r>
  <r>
    <s v="Лайлан"/>
    <x v="2"/>
    <s v="ОФ"/>
    <m/>
    <m/>
    <s v="Кут"/>
    <s v="Кут"/>
    <s v="Кут"/>
    <x v="15"/>
    <s v="Эвон"/>
    <m/>
    <n v="73.428571428571431"/>
    <n v="51"/>
    <n v="83"/>
    <n v="78"/>
    <n v="79"/>
    <n v="76"/>
    <n v="82"/>
    <n v="65"/>
    <n v="0"/>
    <n v="4556704"/>
    <n v="379725.33333333331"/>
    <n v="0"/>
    <n v="379725.33333333331"/>
    <n v="0"/>
    <n v="0"/>
  </r>
  <r>
    <s v="Ахоли (П)"/>
    <x v="3"/>
    <s v="ППЗ"/>
    <s v="ОПЗ"/>
    <m/>
    <s v="Кут"/>
    <s v="Кут"/>
    <s v="Кут"/>
    <x v="15"/>
    <s v="Эвон"/>
    <m/>
    <n v="85.571428571428569"/>
    <n v="84"/>
    <n v="92"/>
    <n v="88"/>
    <n v="89"/>
    <n v="83"/>
    <n v="80"/>
    <n v="83"/>
    <n v="22"/>
    <n v="31577598"/>
    <n v="2631466.5"/>
    <n v="0"/>
    <n v="2631466.5"/>
    <n v="0"/>
    <n v="0"/>
  </r>
  <r>
    <s v="В. Полюшко (П)"/>
    <x v="3"/>
    <s v="ЦПЗ"/>
    <s v="ЛПЗ"/>
    <s v="АПЗ"/>
    <s v="Кут"/>
    <s v="Кут"/>
    <s v="Кут"/>
    <x v="15"/>
    <s v="Эвон"/>
    <m/>
    <n v="80.714285714285708"/>
    <n v="74"/>
    <n v="85"/>
    <n v="86"/>
    <n v="84"/>
    <n v="81"/>
    <n v="83"/>
    <n v="72"/>
    <n v="22"/>
    <n v="17603351"/>
    <n v="1466945.9166666667"/>
    <n v="0"/>
    <n v="1466945.9166666667"/>
    <n v="0"/>
    <n v="0"/>
  </r>
  <r>
    <s v="Д. Полюшко (П)"/>
    <x v="3"/>
    <s v="ЦПЗ"/>
    <s v="ППЗ"/>
    <s v="АПЗ"/>
    <s v="Кут"/>
    <s v="Кут"/>
    <s v="Кут"/>
    <x v="15"/>
    <s v="Эвон"/>
    <m/>
    <n v="80.857142857142861"/>
    <n v="74"/>
    <n v="84"/>
    <n v="87"/>
    <n v="84"/>
    <n v="82"/>
    <n v="83"/>
    <n v="72"/>
    <n v="22"/>
    <n v="17917408"/>
    <n v="1493117.3333333333"/>
    <n v="0"/>
    <n v="1493117.3333333333"/>
    <n v="0"/>
    <n v="0"/>
  </r>
  <r>
    <s v="Молчко Радован"/>
    <x v="3"/>
    <s v="ЦПЗ"/>
    <s v="АПЗ"/>
    <m/>
    <m/>
    <s v="Кут"/>
    <s v="Кут"/>
    <x v="15"/>
    <s v="Эвон"/>
    <m/>
    <n v="55.428571428571431"/>
    <n v="21"/>
    <n v="63"/>
    <n v="57"/>
    <n v="71"/>
    <n v="69"/>
    <n v="75"/>
    <n v="32"/>
    <n v="0"/>
    <n v="273740"/>
    <n v="22811.666666666668"/>
    <n v="0"/>
    <n v="22811.666666666668"/>
    <n v="0"/>
    <n v="0"/>
  </r>
  <r>
    <s v="Пискляк Зденек"/>
    <x v="3"/>
    <s v="ППЗ"/>
    <s v="ОПЗ"/>
    <m/>
    <m/>
    <s v="Кут"/>
    <s v="Кут"/>
    <x v="15"/>
    <s v="Эвон"/>
    <m/>
    <n v="65"/>
    <n v="25"/>
    <n v="85"/>
    <n v="74"/>
    <n v="79"/>
    <n v="77"/>
    <n v="78"/>
    <n v="37"/>
    <n v="0"/>
    <n v="1346275"/>
    <n v="112189.58333333333"/>
    <n v="0"/>
    <n v="112189.58333333333"/>
    <n v="0"/>
    <n v="0"/>
  </r>
  <r>
    <s v="Тонтлер"/>
    <x v="3"/>
    <s v="ОПЗ"/>
    <s v="ЦЗ"/>
    <s v="ЦПЗ"/>
    <s v="Кут"/>
    <s v="Кут"/>
    <s v="Кут"/>
    <x v="15"/>
    <s v="Эвон"/>
    <m/>
    <n v="73.428571428571431"/>
    <n v="60"/>
    <n v="74"/>
    <n v="78"/>
    <n v="77"/>
    <n v="84"/>
    <n v="90"/>
    <n v="51"/>
    <n v="0"/>
    <n v="4556704"/>
    <n v="379725.33333333331"/>
    <n v="0"/>
    <n v="379725.33333333331"/>
    <n v="0"/>
    <n v="0"/>
  </r>
  <r>
    <s v="Кулзэр Рэйм"/>
    <x v="0"/>
    <s v="В"/>
    <m/>
    <m/>
    <m/>
    <s v="Турк"/>
    <s v="Турк"/>
    <x v="16"/>
    <s v="Эвон"/>
    <m/>
    <n v="31.571428571428573"/>
    <n v="8"/>
    <n v="40"/>
    <n v="34"/>
    <n v="38"/>
    <n v="40"/>
    <n v="42"/>
    <n v="19"/>
    <n v="0"/>
    <n v="984"/>
    <n v="82"/>
    <n v="0"/>
    <n v="82"/>
    <n v="0"/>
    <n v="0"/>
  </r>
  <r>
    <s v="Суржан Остак"/>
    <x v="0"/>
    <s v="В"/>
    <m/>
    <m/>
    <m/>
    <s v="Турк"/>
    <s v="Турк"/>
    <x v="16"/>
    <s v="Эвон"/>
    <m/>
    <n v="35.428571428571431"/>
    <n v="10"/>
    <n v="46"/>
    <n v="38"/>
    <n v="42"/>
    <n v="44"/>
    <n v="46"/>
    <n v="22"/>
    <n v="0"/>
    <n v="3116"/>
    <n v="259.66666666666669"/>
    <n v="0"/>
    <n v="259.66666666666669"/>
    <n v="0"/>
    <n v="0"/>
  </r>
  <r>
    <s v="Тулдэш Останис"/>
    <x v="0"/>
    <s v="В"/>
    <m/>
    <m/>
    <m/>
    <s v="Турк"/>
    <s v="Турк"/>
    <x v="16"/>
    <s v="Эвон"/>
    <m/>
    <n v="31.857142857142858"/>
    <n v="8"/>
    <n v="42"/>
    <n v="34"/>
    <n v="38"/>
    <n v="40"/>
    <n v="42"/>
    <n v="19"/>
    <n v="0"/>
    <n v="1077"/>
    <n v="89.75"/>
    <n v="0"/>
    <n v="89.75"/>
    <n v="0"/>
    <n v="0"/>
  </r>
  <r>
    <s v="Булгэр Роймунд"/>
    <x v="1"/>
    <s v="ЦЗ"/>
    <s v="ЛЗ"/>
    <m/>
    <m/>
    <s v="Турк"/>
    <s v="Турк"/>
    <x v="16"/>
    <s v="Эвон"/>
    <m/>
    <n v="39.142857142857146"/>
    <n v="12"/>
    <n v="52"/>
    <n v="42"/>
    <n v="46"/>
    <n v="48"/>
    <n v="50"/>
    <n v="24"/>
    <n v="0"/>
    <n v="8444"/>
    <n v="703.66666666666663"/>
    <n v="0"/>
    <n v="703.66666666666663"/>
    <n v="0"/>
    <n v="0"/>
  </r>
  <r>
    <s v="Дулзэр Ян"/>
    <x v="1"/>
    <s v="ПЗ"/>
    <s v="ЛЗ"/>
    <m/>
    <m/>
    <s v="Турк"/>
    <s v="Турк"/>
    <x v="16"/>
    <s v="Эвон"/>
    <m/>
    <n v="31.285714285714285"/>
    <n v="7"/>
    <n v="40"/>
    <n v="34"/>
    <n v="38"/>
    <n v="40"/>
    <n v="42"/>
    <n v="18"/>
    <n v="0"/>
    <n v="899"/>
    <n v="74.916666666666671"/>
    <n v="0"/>
    <n v="74.916666666666671"/>
    <n v="0"/>
    <n v="0"/>
  </r>
  <r>
    <s v="Сульзан"/>
    <x v="1"/>
    <s v="ЦЗ"/>
    <s v="ПЗ"/>
    <s v="ЛЗ"/>
    <m/>
    <s v="Турк"/>
    <s v="Турк"/>
    <x v="16"/>
    <s v="Эвон"/>
    <m/>
    <n v="60.142857142857146"/>
    <n v="45"/>
    <n v="65"/>
    <n v="67"/>
    <n v="60"/>
    <n v="70"/>
    <n v="74"/>
    <n v="40"/>
    <n v="0"/>
    <n v="619214"/>
    <n v="1575.5"/>
    <n v="0"/>
    <n v="51601.166666666664"/>
    <n v="-96.95"/>
    <n v="0"/>
  </r>
  <r>
    <s v="Сурхэл Люкас"/>
    <x v="1"/>
    <s v="ЦЗ"/>
    <s v="ОПЗ"/>
    <m/>
    <m/>
    <s v="Турк"/>
    <s v="Турк"/>
    <x v="16"/>
    <s v="Эвон"/>
    <m/>
    <n v="28.142857142857142"/>
    <n v="6"/>
    <n v="36"/>
    <n v="30"/>
    <n v="34"/>
    <n v="36"/>
    <n v="38"/>
    <n v="17"/>
    <n v="0"/>
    <n v="312"/>
    <n v="26"/>
    <n v="0"/>
    <n v="26"/>
    <n v="0"/>
    <n v="0"/>
  </r>
  <r>
    <s v="Тулгэн Тимон"/>
    <x v="1"/>
    <s v="ПЗ"/>
    <s v="ЦЗ"/>
    <m/>
    <m/>
    <s v="Турк"/>
    <s v="Турк"/>
    <x v="16"/>
    <s v="Эвон"/>
    <m/>
    <n v="35.142857142857146"/>
    <n v="9"/>
    <n v="46"/>
    <n v="38"/>
    <n v="42"/>
    <n v="44"/>
    <n v="46"/>
    <n v="21"/>
    <n v="0"/>
    <n v="2874"/>
    <n v="239.5"/>
    <n v="0"/>
    <n v="239.5"/>
    <n v="0"/>
    <n v="0"/>
  </r>
  <r>
    <s v="Хулдэш Торвальд"/>
    <x v="2"/>
    <s v="ОФ"/>
    <s v="ЦН"/>
    <m/>
    <m/>
    <s v="Турк"/>
    <s v="Турк"/>
    <x v="16"/>
    <s v="Эвон"/>
    <m/>
    <n v="55.428571428571431"/>
    <n v="18"/>
    <n v="70"/>
    <n v="62"/>
    <n v="64"/>
    <n v="66"/>
    <n v="68"/>
    <n v="40"/>
    <n v="0"/>
    <n v="273740"/>
    <n v="22811.666666666668"/>
    <n v="0"/>
    <n v="22811.666666666668"/>
    <n v="0"/>
    <n v="0"/>
  </r>
  <r>
    <s v="Сулдэш Ксавьер"/>
    <x v="2"/>
    <s v="ЦН"/>
    <s v="ОФ"/>
    <m/>
    <m/>
    <s v="Турк"/>
    <s v="Турк"/>
    <x v="16"/>
    <s v="Эвон"/>
    <m/>
    <n v="52.142857142857146"/>
    <n v="15"/>
    <n v="64"/>
    <n v="58"/>
    <n v="62"/>
    <n v="64"/>
    <n v="66"/>
    <n v="36"/>
    <n v="0"/>
    <n v="148576"/>
    <n v="12381.333333333334"/>
    <n v="0"/>
    <n v="12381.333333333334"/>
    <n v="0"/>
    <n v="0"/>
  </r>
  <r>
    <s v="Султэш Эрлик"/>
    <x v="2"/>
    <s v="ОФ"/>
    <s v="ЦН"/>
    <m/>
    <m/>
    <s v="Турк"/>
    <s v="Турк"/>
    <x v="16"/>
    <s v="Эвон"/>
    <m/>
    <n v="36.142857142857146"/>
    <n v="10"/>
    <n v="46"/>
    <n v="38"/>
    <n v="44"/>
    <n v="46"/>
    <n v="48"/>
    <n v="21"/>
    <n v="0"/>
    <n v="3804"/>
    <n v="317"/>
    <n v="0"/>
    <n v="317"/>
    <n v="0"/>
    <n v="0"/>
  </r>
  <r>
    <s v="Бултэк Кайус"/>
    <x v="3"/>
    <s v="ЦПЗ"/>
    <s v="ЛПЗ"/>
    <m/>
    <m/>
    <s v="Турк"/>
    <s v="Турк"/>
    <x v="16"/>
    <s v="Эвон"/>
    <m/>
    <n v="28"/>
    <n v="6"/>
    <n v="36"/>
    <n v="30"/>
    <n v="34"/>
    <n v="36"/>
    <n v="38"/>
    <n v="16"/>
    <n v="0"/>
    <n v="297"/>
    <n v="24.75"/>
    <n v="0"/>
    <n v="24.75"/>
    <n v="0"/>
    <n v="0"/>
  </r>
  <r>
    <s v="Кулмэн Кириан"/>
    <x v="3"/>
    <s v="ОПЗ"/>
    <s v="ЦПЗ"/>
    <m/>
    <m/>
    <s v="Турк"/>
    <s v="Турк"/>
    <x v="16"/>
    <s v="Эвон"/>
    <m/>
    <n v="37.428571428571431"/>
    <n v="11"/>
    <n v="50"/>
    <n v="40"/>
    <n v="44"/>
    <n v="46"/>
    <n v="48"/>
    <n v="23"/>
    <n v="0"/>
    <n v="5396"/>
    <n v="449.66666666666669"/>
    <n v="0"/>
    <n v="449.66666666666669"/>
    <n v="0"/>
    <n v="0"/>
  </r>
  <r>
    <s v="Кулпэр Иржик"/>
    <x v="3"/>
    <s v="ЛПЗ"/>
    <s v="ОПЗ"/>
    <m/>
    <m/>
    <s v="Турк"/>
    <s v="Турк"/>
    <x v="16"/>
    <s v="Эвон"/>
    <m/>
    <n v="38.285714285714285"/>
    <n v="11"/>
    <n v="50"/>
    <n v="40"/>
    <n v="46"/>
    <n v="48"/>
    <n v="50"/>
    <n v="23"/>
    <n v="0"/>
    <n v="6767"/>
    <n v="563.91666666666663"/>
    <n v="0"/>
    <n v="563.91666666666663"/>
    <n v="0"/>
    <n v="0"/>
  </r>
  <r>
    <s v="Мулпэр Даниэль"/>
    <x v="3"/>
    <s v="ППЗ"/>
    <s v="АПЗ"/>
    <m/>
    <m/>
    <s v="Турк"/>
    <s v="Турк"/>
    <x v="16"/>
    <s v="Эвон"/>
    <m/>
    <n v="42.571428571428569"/>
    <n v="14"/>
    <n v="56"/>
    <n v="46"/>
    <n v="50"/>
    <n v="52"/>
    <n v="54"/>
    <n v="26"/>
    <n v="0"/>
    <n v="19552"/>
    <n v="1629.3333333333333"/>
    <n v="0"/>
    <n v="1629.3333333333333"/>
    <n v="0"/>
    <n v="0"/>
  </r>
  <r>
    <s v="Мултэк Мэйсон"/>
    <x v="3"/>
    <s v="ЦПЗ"/>
    <s v="ОПЗ"/>
    <m/>
    <m/>
    <s v="Турк"/>
    <s v="Турк"/>
    <x v="16"/>
    <s v="Эвон"/>
    <m/>
    <n v="40.857142857142854"/>
    <n v="13"/>
    <n v="54"/>
    <n v="44"/>
    <n v="48"/>
    <n v="50"/>
    <n v="52"/>
    <n v="25"/>
    <n v="0"/>
    <n v="12963"/>
    <n v="1080.25"/>
    <n v="0"/>
    <n v="1080.25"/>
    <n v="0"/>
    <n v="0"/>
  </r>
  <r>
    <s v="Сулпэр Станис"/>
    <x v="3"/>
    <s v="АПЗ"/>
    <s v="ППЗ"/>
    <m/>
    <m/>
    <s v="Турк"/>
    <s v="Турк"/>
    <x v="16"/>
    <s v="Эвон"/>
    <m/>
    <n v="29.857142857142858"/>
    <n v="7"/>
    <n v="38"/>
    <n v="32"/>
    <n v="36"/>
    <n v="38"/>
    <n v="40"/>
    <n v="18"/>
    <n v="0"/>
    <n v="563"/>
    <n v="46.916666666666664"/>
    <n v="0"/>
    <n v="46.916666666666664"/>
    <n v="0"/>
    <n v="0"/>
  </r>
  <r>
    <s v="Султэр Дариус"/>
    <x v="3"/>
    <s v="ОПЗ"/>
    <s v="ЦЗ"/>
    <m/>
    <m/>
    <s v="Турк"/>
    <s v="Турк"/>
    <x v="16"/>
    <s v="Эвон"/>
    <m/>
    <n v="34.428571428571431"/>
    <n v="9"/>
    <n v="44"/>
    <n v="36"/>
    <n v="42"/>
    <n v="44"/>
    <n v="46"/>
    <n v="20"/>
    <n v="0"/>
    <n v="2340"/>
    <n v="195"/>
    <n v="0"/>
    <n v="195"/>
    <n v="0"/>
    <n v="0"/>
  </r>
  <r>
    <s v="Тулпэр Полус"/>
    <x v="3"/>
    <s v="АПЗ"/>
    <s v="ЦПЗ"/>
    <m/>
    <m/>
    <s v="Турк"/>
    <s v="Турк"/>
    <x v="16"/>
    <s v="Эвон"/>
    <m/>
    <n v="36.571428571428569"/>
    <n v="10"/>
    <n v="48"/>
    <n v="38"/>
    <n v="44"/>
    <n v="46"/>
    <n v="48"/>
    <n v="22"/>
    <n v="0"/>
    <n v="4280"/>
    <n v="356.66666666666669"/>
    <n v="0"/>
    <n v="356.66666666666669"/>
    <n v="0"/>
    <n v="0"/>
  </r>
  <r>
    <s v="Мулдар Элдок"/>
    <x v="4"/>
    <s v="Т"/>
    <m/>
    <m/>
    <m/>
    <s v="Турк"/>
    <s v="Турк"/>
    <x v="16"/>
    <s v="Эвон"/>
    <m/>
    <n v="33.571428571428569"/>
    <n v="9"/>
    <n v="44"/>
    <n v="36"/>
    <n v="40"/>
    <n v="42"/>
    <n v="44"/>
    <n v="20"/>
    <n v="0"/>
    <n v="1819"/>
    <n v="151.58333333333334"/>
    <n v="0"/>
    <n v="151.58333333333334"/>
    <n v="0"/>
    <n v="0"/>
  </r>
  <r>
    <s v="Ротор"/>
    <x v="0"/>
    <s v="В"/>
    <m/>
    <m/>
    <s v="С.К."/>
    <s v="С.К."/>
    <s v="С.К."/>
    <x v="17"/>
    <s v="Эвон"/>
    <m/>
    <n v="85.142857142857139"/>
    <n v="75"/>
    <n v="86"/>
    <n v="86"/>
    <n v="82"/>
    <n v="85"/>
    <n v="92"/>
    <n v="90"/>
    <n v="30"/>
    <n v="30031254"/>
    <n v="2502604.5"/>
    <n v="0"/>
    <n v="2502604.5"/>
    <n v="0"/>
    <n v="0"/>
  </r>
  <r>
    <s v="Сальпитон"/>
    <x v="0"/>
    <s v="В"/>
    <m/>
    <m/>
    <s v="Перс"/>
    <s v="Перс"/>
    <s v="Перс"/>
    <x v="17"/>
    <s v="Эвон"/>
    <m/>
    <n v="62.285714285714285"/>
    <n v="41"/>
    <n v="64"/>
    <n v="60"/>
    <n v="70"/>
    <n v="72"/>
    <n v="71"/>
    <n v="58"/>
    <n v="0"/>
    <n v="878789"/>
    <n v="73232.416666666672"/>
    <n v="0"/>
    <n v="73232.416666666672"/>
    <n v="0"/>
    <n v="0"/>
  </r>
  <r>
    <s v="Бурвес"/>
    <x v="1"/>
    <s v="ЦЗ"/>
    <s v="ПЗ"/>
    <s v="ОПЗ"/>
    <s v="С.К."/>
    <s v="С.К."/>
    <s v="С.К."/>
    <x v="17"/>
    <s v="Эвон"/>
    <m/>
    <n v="82.428571428571431"/>
    <n v="70"/>
    <n v="75"/>
    <n v="89"/>
    <n v="80"/>
    <n v="89"/>
    <n v="98"/>
    <n v="76"/>
    <n v="28"/>
    <n v="21720459"/>
    <n v="1810038.25"/>
    <n v="0"/>
    <n v="1810038.25"/>
    <n v="0"/>
    <n v="0"/>
  </r>
  <r>
    <s v="Кирми"/>
    <x v="1"/>
    <s v="ЦЗ"/>
    <m/>
    <m/>
    <s v="Мам"/>
    <s v="Мам"/>
    <s v="Мам"/>
    <x v="17"/>
    <s v="Эвон"/>
    <m/>
    <n v="51.571428571428569"/>
    <n v="30"/>
    <n v="40"/>
    <n v="50"/>
    <n v="68"/>
    <n v="73"/>
    <n v="70"/>
    <n v="30"/>
    <n v="0"/>
    <n v="133074"/>
    <n v="11089.5"/>
    <n v="0"/>
    <n v="11089.5"/>
    <n v="0"/>
    <n v="0"/>
  </r>
  <r>
    <s v="Телби"/>
    <x v="1"/>
    <s v="ЦЗ"/>
    <s v="ОПЗ"/>
    <m/>
    <s v="С.К."/>
    <s v="С.К."/>
    <s v="С.К."/>
    <x v="17"/>
    <s v="Эвон"/>
    <m/>
    <n v="86.428571428571431"/>
    <n v="80"/>
    <n v="81"/>
    <n v="90"/>
    <n v="85"/>
    <n v="90"/>
    <n v="99"/>
    <n v="80"/>
    <n v="27"/>
    <n v="34887079"/>
    <n v="2907256.5833333335"/>
    <n v="0"/>
    <n v="2907256.5833333335"/>
    <n v="0"/>
    <n v="0"/>
  </r>
  <r>
    <s v="Термич"/>
    <x v="1"/>
    <s v="ЦЗ"/>
    <s v="ПЗ"/>
    <s v="ОПЗ"/>
    <s v="Турн"/>
    <s v="Турн"/>
    <s v="Турн"/>
    <x v="17"/>
    <s v="Эвон"/>
    <m/>
    <n v="84"/>
    <n v="81"/>
    <n v="80"/>
    <n v="81"/>
    <n v="80"/>
    <n v="87"/>
    <n v="98"/>
    <n v="81"/>
    <n v="26"/>
    <n v="26235185"/>
    <n v="2186265.4166666665"/>
    <n v="0"/>
    <n v="2186265.4166666665"/>
    <n v="0"/>
    <n v="0"/>
  </r>
  <r>
    <s v="Киану"/>
    <x v="2"/>
    <s v="ОФ"/>
    <s v="ППЗ"/>
    <m/>
    <s v="С.К."/>
    <s v="С.К."/>
    <s v="С.К."/>
    <x v="17"/>
    <s v="Эвон"/>
    <m/>
    <n v="84"/>
    <n v="82"/>
    <n v="91"/>
    <n v="83"/>
    <n v="84"/>
    <n v="79"/>
    <n v="84"/>
    <n v="85"/>
    <n v="12"/>
    <n v="26235185"/>
    <n v="2186265.4166666665"/>
    <n v="0"/>
    <n v="2186265.4166666665"/>
    <n v="0"/>
    <n v="0"/>
  </r>
  <r>
    <s v="Раш"/>
    <x v="2"/>
    <s v="ЦН"/>
    <m/>
    <m/>
    <s v="С.К."/>
    <s v="С.К."/>
    <s v="С.К."/>
    <x v="17"/>
    <s v="Эвон"/>
    <m/>
    <n v="82.142857142857139"/>
    <n v="80"/>
    <n v="82"/>
    <n v="88"/>
    <n v="78"/>
    <n v="84"/>
    <n v="93"/>
    <n v="70"/>
    <n v="6"/>
    <n v="20979219"/>
    <n v="1748268.25"/>
    <n v="0"/>
    <n v="1748268.25"/>
    <n v="0"/>
    <n v="0"/>
  </r>
  <r>
    <s v="Тайлуг"/>
    <x v="2"/>
    <s v="ЦН"/>
    <s v="АПЗ"/>
    <m/>
    <s v="Хан"/>
    <s v="Хан"/>
    <s v="Хан"/>
    <x v="17"/>
    <s v="Эвон"/>
    <m/>
    <n v="68.571428571428569"/>
    <n v="41"/>
    <n v="71"/>
    <n v="80"/>
    <n v="70"/>
    <n v="80"/>
    <n v="88"/>
    <n v="50"/>
    <n v="0"/>
    <n v="2298434"/>
    <n v="191536.16666666666"/>
    <n v="0"/>
    <n v="191536.16666666666"/>
    <n v="0"/>
    <n v="0"/>
  </r>
  <r>
    <s v="Эрмунд Сэр"/>
    <x v="2"/>
    <s v="ЦН"/>
    <s v="АПЗ"/>
    <m/>
    <s v="С.К."/>
    <s v="С.К."/>
    <s v="С.К."/>
    <x v="17"/>
    <s v="Эвон"/>
    <m/>
    <n v="78.428571428571431"/>
    <n v="72"/>
    <n v="84"/>
    <n v="81"/>
    <n v="80"/>
    <n v="73"/>
    <n v="86"/>
    <n v="73"/>
    <n v="8"/>
    <n v="13207917"/>
    <n v="1100659.75"/>
    <n v="0"/>
    <n v="1100659.75"/>
    <n v="0"/>
    <n v="0"/>
  </r>
  <r>
    <s v="Барричи"/>
    <x v="3"/>
    <s v="ППЗ"/>
    <m/>
    <m/>
    <s v="С.К."/>
    <s v="С.К."/>
    <s v="С.К."/>
    <x v="17"/>
    <s v="Эвон"/>
    <m/>
    <n v="75.857142857142861"/>
    <n v="55"/>
    <n v="86"/>
    <n v="77"/>
    <n v="82"/>
    <n v="81"/>
    <n v="80"/>
    <n v="70"/>
    <n v="0"/>
    <n v="6309063"/>
    <n v="525755.25"/>
    <n v="0"/>
    <n v="525755.25"/>
    <n v="0"/>
    <n v="0"/>
  </r>
  <r>
    <s v="Бловар"/>
    <x v="3"/>
    <s v="ОПЗ"/>
    <s v="ЦПЗ"/>
    <m/>
    <s v="С.К."/>
    <s v="С.К."/>
    <s v="С.К."/>
    <x v="17"/>
    <s v="Эвон"/>
    <m/>
    <n v="77.285714285714292"/>
    <n v="55"/>
    <n v="83"/>
    <n v="82"/>
    <n v="80"/>
    <n v="77"/>
    <n v="91"/>
    <n v="73"/>
    <n v="0"/>
    <n v="7603128"/>
    <n v="633594"/>
    <n v="0"/>
    <n v="633594"/>
    <n v="0"/>
    <n v="0"/>
  </r>
  <r>
    <s v="В. Новый (П)"/>
    <x v="3"/>
    <s v="АПЗ"/>
    <s v="ЦН"/>
    <m/>
    <s v="Заг"/>
    <s v="Заг"/>
    <s v="Заг"/>
    <x v="17"/>
    <s v="Эвон"/>
    <m/>
    <n v="77.714285714285708"/>
    <n v="62"/>
    <n v="78"/>
    <n v="84"/>
    <n v="80"/>
    <n v="78"/>
    <n v="82"/>
    <n v="80"/>
    <n v="12"/>
    <n v="12053131"/>
    <n v="1004427.5833333334"/>
    <n v="0"/>
    <n v="1004427.5833333334"/>
    <n v="0"/>
    <n v="0"/>
  </r>
  <r>
    <s v="Глаузен"/>
    <x v="3"/>
    <s v="ЦПЗ"/>
    <s v="АПЗ"/>
    <m/>
    <s v="С.К."/>
    <s v="С.К."/>
    <s v="С.К."/>
    <x v="17"/>
    <s v="Эвон"/>
    <m/>
    <n v="76.428571428571431"/>
    <n v="61"/>
    <n v="81"/>
    <n v="79"/>
    <n v="82"/>
    <n v="76"/>
    <n v="85"/>
    <n v="71"/>
    <n v="0"/>
    <n v="6800760"/>
    <n v="566730"/>
    <n v="0"/>
    <n v="566730"/>
    <n v="0"/>
    <n v="0"/>
  </r>
  <r>
    <s v="Грёз"/>
    <x v="3"/>
    <s v="ОПЗ"/>
    <s v="ЦПЗ"/>
    <m/>
    <s v="С.К."/>
    <s v="С.К."/>
    <s v="С.К."/>
    <x v="17"/>
    <s v="Эвон"/>
    <m/>
    <n v="77.714285714285708"/>
    <n v="56"/>
    <n v="81"/>
    <n v="81"/>
    <n v="83"/>
    <n v="78"/>
    <n v="94"/>
    <n v="71"/>
    <n v="0"/>
    <n v="8035421"/>
    <n v="669618.41666666663"/>
    <n v="0"/>
    <n v="669618.41666666663"/>
    <n v="0"/>
    <n v="0"/>
  </r>
  <r>
    <s v="Гривион"/>
    <x v="3"/>
    <s v="ЦПЗ"/>
    <m/>
    <m/>
    <s v="С.К."/>
    <s v="С.К."/>
    <s v="С.К."/>
    <x v="17"/>
    <s v="Эвон"/>
    <m/>
    <n v="77"/>
    <n v="61"/>
    <n v="80"/>
    <n v="80"/>
    <n v="84"/>
    <n v="74"/>
    <n v="88"/>
    <n v="72"/>
    <n v="0"/>
    <n v="7326681"/>
    <n v="610556.75"/>
    <n v="0"/>
    <n v="610556.75"/>
    <n v="0"/>
    <n v="0"/>
  </r>
  <r>
    <s v="Лаг-Аци"/>
    <x v="3"/>
    <s v="ППЗ"/>
    <s v="ЛПЗ"/>
    <s v="ОПЗ"/>
    <s v="С.К."/>
    <s v="С.К."/>
    <s v="С.К."/>
    <x v="17"/>
    <s v="Эвон"/>
    <m/>
    <n v="75.285714285714292"/>
    <n v="61"/>
    <n v="89"/>
    <n v="80"/>
    <n v="84"/>
    <n v="78"/>
    <n v="69"/>
    <n v="66"/>
    <n v="0"/>
    <n v="5849595"/>
    <n v="487466.25"/>
    <n v="0"/>
    <n v="487466.25"/>
    <n v="0"/>
    <n v="0"/>
  </r>
  <r>
    <s v="Молочников (П)"/>
    <x v="3"/>
    <s v="АПЗ"/>
    <s v="ЦН"/>
    <m/>
    <s v="Заг"/>
    <s v="Заг"/>
    <s v="Заг"/>
    <x v="17"/>
    <s v="Эвон"/>
    <m/>
    <n v="79.714285714285708"/>
    <n v="68"/>
    <n v="80"/>
    <n v="86"/>
    <n v="82"/>
    <n v="77"/>
    <n v="84"/>
    <n v="81"/>
    <n v="12"/>
    <n v="15540066"/>
    <n v="1295005.5"/>
    <n v="0"/>
    <n v="1295005.5"/>
    <n v="0"/>
    <n v="0"/>
  </r>
  <r>
    <s v="Тарминг"/>
    <x v="3"/>
    <s v="ОПЗ"/>
    <s v="ЦПЗ"/>
    <s v="ЦЗ"/>
    <s v="Вар"/>
    <s v="Вар"/>
    <s v="Вар"/>
    <x v="17"/>
    <s v="Эвон"/>
    <m/>
    <n v="84.428571428571431"/>
    <n v="77"/>
    <n v="80"/>
    <n v="82"/>
    <n v="84"/>
    <n v="92"/>
    <n v="96"/>
    <n v="80"/>
    <n v="18"/>
    <n v="27604868"/>
    <n v="2300405.6666666665"/>
    <n v="0"/>
    <n v="2300405.6666666665"/>
    <n v="0"/>
    <n v="0"/>
  </r>
  <r>
    <s v="Форнет"/>
    <x v="3"/>
    <s v="ЦПЗ"/>
    <s v="ППЗ"/>
    <s v="ОПЗ"/>
    <s v="С.К."/>
    <s v="С.К."/>
    <s v="С.К."/>
    <x v="17"/>
    <s v="Эвон"/>
    <m/>
    <n v="82.285714285714292"/>
    <n v="70"/>
    <n v="85"/>
    <n v="85"/>
    <n v="85"/>
    <n v="85"/>
    <n v="91"/>
    <n v="75"/>
    <n v="9"/>
    <n v="21346944"/>
    <n v="789023.08333333337"/>
    <n v="0"/>
    <n v="1778912"/>
    <n v="-55.65"/>
    <n v="0"/>
  </r>
  <r>
    <s v="Штриман"/>
    <x v="3"/>
    <s v="ЦПЗ"/>
    <s v="ОПЗ"/>
    <m/>
    <s v="С.К."/>
    <s v="С.К."/>
    <s v="С.К."/>
    <x v="17"/>
    <s v="Эвон"/>
    <m/>
    <n v="79.714285714285708"/>
    <n v="70"/>
    <n v="84"/>
    <n v="84"/>
    <n v="81"/>
    <n v="83"/>
    <n v="93"/>
    <n v="63"/>
    <n v="0"/>
    <n v="10360044"/>
    <n v="863337"/>
    <n v="0"/>
    <n v="863337"/>
    <n v="0"/>
    <n v="0"/>
  </r>
  <r>
    <s v="Грайзенхаузер С"/>
    <x v="4"/>
    <s v="Т"/>
    <m/>
    <m/>
    <m/>
    <s v="С.К."/>
    <s v="С.К."/>
    <x v="17"/>
    <s v="Эвон"/>
    <m/>
    <n v="81.714285714285708"/>
    <n v="62"/>
    <n v="80"/>
    <n v="88"/>
    <n v="91"/>
    <n v="90"/>
    <n v="85"/>
    <n v="76"/>
    <n v="0"/>
    <n v="13273330"/>
    <n v="1106110.8333333333"/>
    <n v="0"/>
    <n v="1106110.8333333333"/>
    <n v="0"/>
    <n v="0"/>
  </r>
  <r>
    <s v="Брундыр Рэймунд"/>
    <x v="0"/>
    <s v="В"/>
    <m/>
    <m/>
    <m/>
    <s v="Ост"/>
    <s v="В.И."/>
    <x v="18"/>
    <s v="Эвон"/>
    <m/>
    <n v="50.285714285714285"/>
    <n v="8"/>
    <n v="64"/>
    <n v="56"/>
    <n v="63"/>
    <n v="65"/>
    <n v="67"/>
    <n v="29"/>
    <n v="0"/>
    <n v="103383"/>
    <n v="8615.25"/>
    <n v="0"/>
    <n v="8615.25"/>
    <n v="0"/>
    <n v="0"/>
  </r>
  <r>
    <s v="Клайсор Останис"/>
    <x v="0"/>
    <s v="В"/>
    <m/>
    <m/>
    <m/>
    <s v="Ост"/>
    <s v="В.И."/>
    <x v="18"/>
    <s v="Эвон"/>
    <m/>
    <n v="50.857142857142854"/>
    <n v="8"/>
    <n v="65"/>
    <n v="58"/>
    <n v="63"/>
    <n v="65"/>
    <n v="67"/>
    <n v="30"/>
    <n v="0"/>
    <n v="115750"/>
    <n v="9645.8333333333339"/>
    <n v="0"/>
    <n v="9645.8333333333339"/>
    <n v="0"/>
    <n v="0"/>
  </r>
  <r>
    <s v="Дундир Останис"/>
    <x v="0"/>
    <s v="В"/>
    <m/>
    <m/>
    <m/>
    <s v="Ост"/>
    <s v="В.И."/>
    <x v="18"/>
    <s v="Эвон"/>
    <m/>
    <n v="52.714285714285715"/>
    <n v="10"/>
    <n v="67"/>
    <n v="59"/>
    <n v="65"/>
    <n v="67"/>
    <n v="69"/>
    <n v="32"/>
    <n v="0"/>
    <n v="165686"/>
    <n v="13807.166666666666"/>
    <n v="0"/>
    <n v="13807.166666666666"/>
    <n v="0"/>
    <n v="0"/>
  </r>
  <r>
    <s v="Вундыр Роймунд"/>
    <x v="1"/>
    <s v="ЦЗ"/>
    <s v="ЛЗ"/>
    <m/>
    <m/>
    <s v="Ост"/>
    <s v="В.И."/>
    <x v="18"/>
    <s v="Эвон"/>
    <m/>
    <n v="55.428571428571431"/>
    <n v="12"/>
    <n v="71"/>
    <n v="63"/>
    <n v="67"/>
    <n v="69"/>
    <n v="71"/>
    <n v="35"/>
    <n v="0"/>
    <n v="273740"/>
    <n v="22811.666666666668"/>
    <n v="0"/>
    <n v="22811.666666666668"/>
    <n v="0"/>
    <n v="0"/>
  </r>
  <r>
    <s v="Грундыр Янис"/>
    <x v="1"/>
    <s v="ПЗ"/>
    <s v="ЛЗ"/>
    <m/>
    <m/>
    <s v="Ост"/>
    <s v="В.И."/>
    <x v="18"/>
    <s v="Эвон"/>
    <m/>
    <n v="50.428571428571431"/>
    <n v="7"/>
    <n v="65"/>
    <n v="58"/>
    <n v="63"/>
    <n v="65"/>
    <n v="67"/>
    <n v="28"/>
    <n v="0"/>
    <n v="106358"/>
    <n v="8863.1666666666661"/>
    <n v="0"/>
    <n v="8863.1666666666661"/>
    <n v="0"/>
    <n v="0"/>
  </r>
  <r>
    <s v="Стындыр Тимон"/>
    <x v="1"/>
    <s v="ПЗ"/>
    <s v="ЦЗ"/>
    <m/>
    <m/>
    <s v="Ост"/>
    <s v="В.И."/>
    <x v="18"/>
    <s v="Эвон"/>
    <m/>
    <n v="52.857142857142854"/>
    <n v="9"/>
    <n v="69"/>
    <n v="60"/>
    <n v="65"/>
    <n v="67"/>
    <n v="69"/>
    <n v="31"/>
    <n v="0"/>
    <n v="170231"/>
    <n v="14185.916666666666"/>
    <n v="0"/>
    <n v="14185.916666666666"/>
    <n v="0"/>
    <n v="0"/>
  </r>
  <r>
    <s v="Трундыр Люкас"/>
    <x v="1"/>
    <s v="ЦЗ"/>
    <s v="ОПЗ"/>
    <m/>
    <m/>
    <s v="Ост"/>
    <s v="В.И."/>
    <x v="18"/>
    <s v="Эвон"/>
    <m/>
    <n v="47.428571428571431"/>
    <n v="6"/>
    <n v="61"/>
    <n v="54"/>
    <n v="60"/>
    <n v="62"/>
    <n v="64"/>
    <n v="25"/>
    <n v="0"/>
    <n v="57598"/>
    <n v="4799.833333333333"/>
    <n v="0"/>
    <n v="4799.833333333333"/>
    <n v="0"/>
    <n v="0"/>
  </r>
  <r>
    <s v="Хундыр Кириан"/>
    <x v="1"/>
    <s v="ЛЗ"/>
    <s v="ЦЗ"/>
    <m/>
    <m/>
    <s v="Ост"/>
    <s v="В.И."/>
    <x v="18"/>
    <s v="Эвон"/>
    <m/>
    <n v="54.428571428571431"/>
    <n v="11"/>
    <n v="70"/>
    <n v="62"/>
    <n v="66"/>
    <n v="68"/>
    <n v="70"/>
    <n v="34"/>
    <n v="0"/>
    <n v="228176"/>
    <n v="19014.666666666668"/>
    <n v="0"/>
    <n v="19014.666666666668"/>
    <n v="0"/>
    <n v="0"/>
  </r>
  <r>
    <s v="Дондер"/>
    <x v="2"/>
    <s v="ЦН"/>
    <s v="ОФ"/>
    <m/>
    <m/>
    <s v="Ост"/>
    <s v="В.И."/>
    <x v="18"/>
    <s v="Эвон"/>
    <m/>
    <n v="62.857142857142854"/>
    <n v="40"/>
    <n v="70"/>
    <n v="70"/>
    <n v="60"/>
    <n v="75"/>
    <n v="85"/>
    <n v="40"/>
    <n v="6"/>
    <n v="1444235"/>
    <n v="1199"/>
    <n v="0"/>
    <n v="120352.91666666667"/>
    <n v="-99"/>
    <n v="0"/>
  </r>
  <r>
    <s v="Дондырун Торвальд"/>
    <x v="2"/>
    <s v="ЦН"/>
    <s v="ОФ"/>
    <m/>
    <m/>
    <s v="Ост"/>
    <s v="В.И."/>
    <x v="18"/>
    <s v="Эвон"/>
    <m/>
    <n v="63.857142857142854"/>
    <n v="15"/>
    <n v="75"/>
    <n v="80"/>
    <n v="75"/>
    <n v="77"/>
    <n v="80"/>
    <n v="45"/>
    <n v="0"/>
    <n v="1127444"/>
    <n v="93953.666666666672"/>
    <n v="0"/>
    <n v="93953.666666666672"/>
    <n v="0"/>
    <n v="0"/>
  </r>
  <r>
    <s v="Зундыр Эрлик"/>
    <x v="2"/>
    <s v="ОФ"/>
    <s v="ЦН"/>
    <m/>
    <m/>
    <s v="Ост"/>
    <s v="В.И."/>
    <x v="18"/>
    <s v="Эвон"/>
    <m/>
    <n v="55"/>
    <n v="10"/>
    <n v="70"/>
    <n v="63"/>
    <n v="68"/>
    <n v="70"/>
    <n v="72"/>
    <n v="32"/>
    <n v="0"/>
    <n v="253296"/>
    <n v="21108"/>
    <n v="0"/>
    <n v="21108"/>
    <n v="0"/>
    <n v="0"/>
  </r>
  <r>
    <s v="Кундыр Даниэль"/>
    <x v="2"/>
    <s v="ОФ"/>
    <s v="ЦН"/>
    <m/>
    <m/>
    <s v="Ост"/>
    <s v="В.И."/>
    <x v="18"/>
    <s v="Эвон"/>
    <m/>
    <n v="60"/>
    <n v="14"/>
    <n v="75"/>
    <n v="68"/>
    <n v="73"/>
    <n v="75"/>
    <n v="77"/>
    <n v="38"/>
    <n v="0"/>
    <n v="604662"/>
    <n v="50388.5"/>
    <n v="0"/>
    <n v="50388.5"/>
    <n v="0"/>
    <n v="0"/>
  </r>
  <r>
    <s v="Бундыр Иржик"/>
    <x v="3"/>
    <s v="ППЗ"/>
    <s v="ЛПЗ"/>
    <m/>
    <m/>
    <s v="Ост"/>
    <s v="В.И."/>
    <x v="18"/>
    <s v="Эвон"/>
    <m/>
    <n v="56.142857142857146"/>
    <n v="11"/>
    <n v="71"/>
    <n v="64"/>
    <n v="69"/>
    <n v="71"/>
    <n v="73"/>
    <n v="34"/>
    <n v="0"/>
    <n v="311133"/>
    <n v="25927.75"/>
    <n v="0"/>
    <n v="25927.75"/>
    <n v="0"/>
    <n v="0"/>
  </r>
  <r>
    <s v="Крындыр Ксавьер"/>
    <x v="3"/>
    <s v="ППЗ"/>
    <s v="АПЗ"/>
    <m/>
    <m/>
    <s v="Ост"/>
    <s v="В.И."/>
    <x v="18"/>
    <s v="Эвон"/>
    <m/>
    <n v="62.571428571428569"/>
    <n v="14"/>
    <n v="73"/>
    <n v="77"/>
    <n v="75"/>
    <n v="77"/>
    <n v="79"/>
    <n v="43"/>
    <n v="0"/>
    <n v="919943"/>
    <n v="76661.916666666672"/>
    <n v="0"/>
    <n v="76661.916666666672"/>
    <n v="0"/>
    <n v="0"/>
  </r>
  <r>
    <s v="Лундыр Мэйсон"/>
    <x v="3"/>
    <s v="ЦПЗ"/>
    <s v="ОПЗ"/>
    <m/>
    <m/>
    <s v="Ост"/>
    <s v="В.И."/>
    <x v="18"/>
    <s v="Эвон"/>
    <m/>
    <n v="58.285714285714285"/>
    <n v="13"/>
    <n v="73"/>
    <n v="66"/>
    <n v="71"/>
    <n v="73"/>
    <n v="75"/>
    <n v="37"/>
    <n v="0"/>
    <n v="452503"/>
    <n v="37708.583333333336"/>
    <n v="0"/>
    <n v="37708.583333333336"/>
    <n v="0"/>
    <n v="0"/>
  </r>
  <r>
    <s v="Мундыр Кайус"/>
    <x v="3"/>
    <s v="АПЗ"/>
    <s v="ЦПЗ"/>
    <m/>
    <m/>
    <s v="Ост"/>
    <s v="В.И."/>
    <x v="18"/>
    <s v="Эвон"/>
    <m/>
    <n v="48"/>
    <n v="6"/>
    <n v="60"/>
    <n v="54"/>
    <n v="62"/>
    <n v="64"/>
    <n v="66"/>
    <n v="24"/>
    <n v="0"/>
    <n v="64926"/>
    <n v="5410.5"/>
    <n v="0"/>
    <n v="5410.5"/>
    <n v="0"/>
    <n v="0"/>
  </r>
  <r>
    <s v="Рундыр Полус"/>
    <x v="3"/>
    <s v="ЛПЗ"/>
    <s v="ОПЗ"/>
    <m/>
    <m/>
    <s v="Ост"/>
    <s v="В.И."/>
    <x v="18"/>
    <s v="Эвон"/>
    <m/>
    <n v="54.428571428571431"/>
    <n v="10"/>
    <n v="69"/>
    <n v="62"/>
    <n v="67"/>
    <n v="69"/>
    <n v="71"/>
    <n v="33"/>
    <n v="0"/>
    <n v="228176"/>
    <n v="19014.666666666668"/>
    <n v="0"/>
    <n v="19014.666666666668"/>
    <n v="0"/>
    <n v="0"/>
  </r>
  <r>
    <s v="Тундыр Станис"/>
    <x v="3"/>
    <s v="ППЗ"/>
    <s v="АПЗ"/>
    <m/>
    <m/>
    <s v="Ост"/>
    <s v="В.И."/>
    <x v="18"/>
    <s v="Эвон"/>
    <m/>
    <n v="49.857142857142854"/>
    <n v="7"/>
    <n v="64"/>
    <n v="57"/>
    <n v="63"/>
    <n v="65"/>
    <n v="67"/>
    <n v="26"/>
    <n v="0"/>
    <n v="94902"/>
    <n v="7908.5"/>
    <n v="0"/>
    <n v="7908.5"/>
    <n v="0"/>
    <n v="0"/>
  </r>
  <r>
    <s v="Фундыр Дариус"/>
    <x v="3"/>
    <s v="ОПЗ"/>
    <s v="ЦПЗ"/>
    <m/>
    <m/>
    <s v="Ост"/>
    <s v="В.И."/>
    <x v="18"/>
    <s v="Эвон"/>
    <m/>
    <n v="53.428571428571431"/>
    <n v="9"/>
    <n v="68"/>
    <n v="60"/>
    <n v="67"/>
    <n v="69"/>
    <n v="71"/>
    <n v="30"/>
    <n v="0"/>
    <n v="189556"/>
    <n v="15796.333333333334"/>
    <n v="0"/>
    <n v="15796.333333333334"/>
    <n v="0"/>
    <n v="0"/>
  </r>
  <r>
    <s v="Крындыр Элдрик"/>
    <x v="4"/>
    <s v="Т"/>
    <m/>
    <m/>
    <m/>
    <s v="Ост"/>
    <s v="В.И."/>
    <x v="18"/>
    <s v="Эвон"/>
    <m/>
    <n v="51.285714285714285"/>
    <n v="9"/>
    <n v="65"/>
    <n v="57"/>
    <n v="64"/>
    <n v="66"/>
    <n v="68"/>
    <n v="30"/>
    <n v="0"/>
    <n v="125883"/>
    <n v="10490.25"/>
    <n v="0"/>
    <n v="10490.25"/>
    <n v="0"/>
    <n v="0"/>
  </r>
  <r>
    <s v="Братин Олег"/>
    <x v="0"/>
    <s v="В"/>
    <m/>
    <m/>
    <m/>
    <s v="Вор"/>
    <s v="Вор"/>
    <x v="19"/>
    <s v="Эвон"/>
    <m/>
    <n v="65"/>
    <n v="26"/>
    <n v="71"/>
    <n v="66"/>
    <n v="74"/>
    <n v="78"/>
    <n v="72"/>
    <n v="68"/>
    <n v="0"/>
    <n v="1346275"/>
    <n v="112189.58333333333"/>
    <n v="0"/>
    <n v="112189.58333333333"/>
    <n v="0"/>
    <n v="0"/>
  </r>
  <r>
    <s v="Столл (В)"/>
    <x v="0"/>
    <s v="В"/>
    <m/>
    <m/>
    <s v="Вор"/>
    <s v="Вор"/>
    <s v="Вор"/>
    <x v="19"/>
    <s v="Эвон"/>
    <m/>
    <n v="90.428571428571431"/>
    <n v="85"/>
    <n v="83"/>
    <n v="83"/>
    <n v="96"/>
    <n v="94"/>
    <n v="97"/>
    <n v="95"/>
    <n v="30"/>
    <n v="54846379"/>
    <n v="4570531.583333333"/>
    <n v="0"/>
    <n v="4570531.583333333"/>
    <n v="0"/>
    <n v="0"/>
  </r>
  <r>
    <s v="Аляпис (З)"/>
    <x v="1"/>
    <s v="ЦЗ"/>
    <s v="ЛЗ"/>
    <m/>
    <s v="Вор"/>
    <s v="Вор"/>
    <s v="Вор"/>
    <x v="19"/>
    <s v="Эвон"/>
    <m/>
    <n v="87.142857142857139"/>
    <n v="80"/>
    <n v="70"/>
    <n v="84"/>
    <n v="100"/>
    <n v="90"/>
    <n v="94"/>
    <n v="92"/>
    <n v="26"/>
    <n v="37879934"/>
    <n v="3156661.1666666665"/>
    <n v="0"/>
    <n v="3156661.1666666665"/>
    <n v="0"/>
    <n v="0"/>
  </r>
  <r>
    <s v="Бирба (З)"/>
    <x v="1"/>
    <s v="ЦЗ"/>
    <s v="ЛЗ"/>
    <s v="ОПЗ"/>
    <s v="Вор"/>
    <s v="Лиф"/>
    <s v="Лиф"/>
    <x v="19"/>
    <s v="Эвон"/>
    <m/>
    <n v="84"/>
    <n v="80"/>
    <n v="79"/>
    <n v="80"/>
    <n v="71"/>
    <n v="92"/>
    <n v="94"/>
    <n v="92"/>
    <n v="27"/>
    <n v="26235185"/>
    <n v="2186265.4166666665"/>
    <n v="0"/>
    <n v="2186265.4166666665"/>
    <n v="0"/>
    <n v="0"/>
  </r>
  <r>
    <s v="Вормин Сергей"/>
    <x v="1"/>
    <s v="ЦЗ"/>
    <s v="ОПЗ"/>
    <m/>
    <m/>
    <s v="Вор"/>
    <s v="Вор"/>
    <x v="19"/>
    <s v="Эвон"/>
    <m/>
    <n v="65.142857142857139"/>
    <n v="37"/>
    <n v="69"/>
    <n v="60"/>
    <n v="65"/>
    <n v="88"/>
    <n v="76"/>
    <n v="61"/>
    <n v="0"/>
    <n v="1376158"/>
    <n v="114679.83333333333"/>
    <n v="0"/>
    <n v="114679.83333333333"/>
    <n v="0"/>
    <n v="0"/>
  </r>
  <r>
    <s v="Кратин Илья"/>
    <x v="1"/>
    <s v="ПЗ"/>
    <s v="ЛЗ"/>
    <m/>
    <m/>
    <s v="Вор"/>
    <s v="Вор"/>
    <x v="19"/>
    <s v="Эвон"/>
    <m/>
    <n v="60.428571428571431"/>
    <n v="29"/>
    <n v="82"/>
    <n v="55"/>
    <n v="68"/>
    <n v="70"/>
    <n v="67"/>
    <n v="52"/>
    <n v="0"/>
    <n v="649267"/>
    <n v="54105.583333333336"/>
    <n v="0"/>
    <n v="54105.583333333336"/>
    <n v="0"/>
    <n v="0"/>
  </r>
  <r>
    <s v="Нука (З)"/>
    <x v="1"/>
    <s v="ЦЗ"/>
    <s v="ОПЗ"/>
    <m/>
    <s v="Вор"/>
    <s v="Вор"/>
    <s v="Вор"/>
    <x v="19"/>
    <s v="Эвон"/>
    <m/>
    <n v="84.714285714285708"/>
    <n v="77"/>
    <n v="74"/>
    <n v="84"/>
    <n v="80"/>
    <n v="98"/>
    <n v="92"/>
    <n v="88"/>
    <n v="28"/>
    <n v="28553398"/>
    <n v="2379449.8333333335"/>
    <n v="0"/>
    <n v="2379449.8333333335"/>
    <n v="0"/>
    <n v="0"/>
  </r>
  <r>
    <s v="Сурмин Вадим"/>
    <x v="1"/>
    <s v="ПЗ"/>
    <s v="ЦЗ"/>
    <m/>
    <m/>
    <s v="Вор"/>
    <s v="Вор"/>
    <x v="19"/>
    <s v="Эвон"/>
    <m/>
    <n v="65.142857142857139"/>
    <n v="34"/>
    <n v="78"/>
    <n v="62"/>
    <n v="70"/>
    <n v="80"/>
    <n v="74"/>
    <n v="58"/>
    <n v="0"/>
    <n v="1376158"/>
    <n v="114679.83333333333"/>
    <n v="0"/>
    <n v="114679.83333333333"/>
    <n v="0"/>
    <n v="0"/>
  </r>
  <r>
    <s v="Талис Дмитрий"/>
    <x v="1"/>
    <s v="ЛЗ"/>
    <s v="ЦЗ"/>
    <m/>
    <m/>
    <s v="Вор"/>
    <s v="Вор"/>
    <x v="19"/>
    <s v="Эвон"/>
    <m/>
    <n v="59.857142857142854"/>
    <n v="22"/>
    <n v="66"/>
    <n v="57"/>
    <n v="73"/>
    <n v="68"/>
    <n v="79"/>
    <n v="54"/>
    <n v="0"/>
    <n v="590419"/>
    <n v="49201.583333333336"/>
    <n v="0"/>
    <n v="49201.583333333336"/>
    <n v="0"/>
    <n v="0"/>
  </r>
  <r>
    <s v="Тригин (З)"/>
    <x v="1"/>
    <s v="ЦЗ"/>
    <s v="ОПЗ"/>
    <m/>
    <s v="Вор"/>
    <s v="Вор"/>
    <s v="Вор"/>
    <x v="19"/>
    <s v="Эвон"/>
    <m/>
    <n v="83.714285714285708"/>
    <n v="75"/>
    <n v="73"/>
    <n v="80"/>
    <n v="95"/>
    <n v="80"/>
    <n v="83"/>
    <n v="100"/>
    <n v="27"/>
    <n v="25356367"/>
    <n v="2113030.5833333335"/>
    <n v="0"/>
    <n v="2113030.5833333335"/>
    <n v="0"/>
    <n v="0"/>
  </r>
  <r>
    <s v="Турив (Н)"/>
    <x v="2"/>
    <s v="ЦН"/>
    <m/>
    <m/>
    <s v="Вор"/>
    <s v="Вор"/>
    <s v="Вор"/>
    <x v="19"/>
    <s v="Эвон"/>
    <m/>
    <n v="73"/>
    <n v="60"/>
    <n v="80"/>
    <n v="80"/>
    <n v="75"/>
    <n v="80"/>
    <n v="86"/>
    <n v="50"/>
    <n v="0"/>
    <n v="4297626"/>
    <n v="358135.5"/>
    <n v="0"/>
    <n v="358135.5"/>
    <n v="0"/>
    <n v="0"/>
  </r>
  <r>
    <s v="Туринцев Андрей"/>
    <x v="2"/>
    <s v="ЦН"/>
    <s v="ОФ"/>
    <m/>
    <m/>
    <s v="Вор"/>
    <s v="Вор"/>
    <x v="19"/>
    <s v="Эвон"/>
    <m/>
    <n v="64.285714285714292"/>
    <n v="35"/>
    <n v="77"/>
    <n v="64"/>
    <n v="69"/>
    <n v="76"/>
    <n v="70"/>
    <n v="59"/>
    <n v="0"/>
    <n v="1205438"/>
    <n v="100453.16666666667"/>
    <n v="0"/>
    <n v="100453.16666666667"/>
    <n v="0"/>
    <n v="0"/>
  </r>
  <r>
    <s v="Уренья (Н)"/>
    <x v="2"/>
    <s v="ОФ"/>
    <s v="ЦН"/>
    <m/>
    <s v="Сув"/>
    <s v="В.И."/>
    <s v="В.И."/>
    <x v="19"/>
    <s v="Эвон"/>
    <m/>
    <n v="86.142857142857139"/>
    <n v="84"/>
    <n v="93"/>
    <n v="84"/>
    <n v="89"/>
    <n v="85"/>
    <n v="83"/>
    <n v="85"/>
    <n v="3"/>
    <n v="33750793"/>
    <n v="2812566.0833333335"/>
    <n v="0"/>
    <n v="2812566.0833333335"/>
    <n v="0"/>
    <n v="0"/>
  </r>
  <r>
    <s v="Юлаев (Н)"/>
    <x v="2"/>
    <s v="ОФ"/>
    <s v="АПЗ"/>
    <s v="ЛПЗ"/>
    <s v="Вор"/>
    <s v="Вор"/>
    <s v="Вор"/>
    <x v="19"/>
    <s v="Эвон"/>
    <m/>
    <n v="84.285714285714292"/>
    <n v="83"/>
    <n v="86"/>
    <n v="85"/>
    <n v="90"/>
    <n v="86"/>
    <n v="80"/>
    <n v="80"/>
    <n v="7"/>
    <n v="27141321"/>
    <n v="2261776.75"/>
    <n v="0"/>
    <n v="2261776.75"/>
    <n v="0"/>
    <n v="0"/>
  </r>
  <r>
    <s v="Гокин (П)"/>
    <x v="3"/>
    <s v="ОПЗ"/>
    <s v="ЦЗ"/>
    <s v="ЦПЗ"/>
    <s v="Вор"/>
    <s v="Вор"/>
    <s v="Вор"/>
    <x v="19"/>
    <s v="Эвон"/>
    <m/>
    <n v="81.142857142857139"/>
    <n v="72"/>
    <n v="83"/>
    <n v="85"/>
    <n v="82"/>
    <n v="91"/>
    <n v="90"/>
    <n v="65"/>
    <n v="18"/>
    <n v="18560695"/>
    <n v="1546724.5833333333"/>
    <n v="0"/>
    <n v="1546724.5833333333"/>
    <n v="0"/>
    <n v="0"/>
  </r>
  <r>
    <s v="Голдин Артём"/>
    <x v="3"/>
    <s v="ОПЗ"/>
    <s v="ЦПЗ"/>
    <m/>
    <m/>
    <s v="Вор"/>
    <s v="Вор"/>
    <x v="19"/>
    <s v="Эвон"/>
    <m/>
    <n v="64.857142857142861"/>
    <n v="38"/>
    <n v="64"/>
    <n v="58"/>
    <n v="81"/>
    <n v="79"/>
    <n v="71"/>
    <n v="63"/>
    <n v="0"/>
    <n v="1316977"/>
    <n v="109748.08333333333"/>
    <n v="0"/>
    <n v="109748.08333333333"/>
    <n v="0"/>
    <n v="0"/>
  </r>
  <r>
    <s v="Ельцов Максим"/>
    <x v="3"/>
    <s v="ЛПЗ"/>
    <s v="ЦПЗ"/>
    <m/>
    <m/>
    <s v="Вор"/>
    <s v="Вор"/>
    <x v="19"/>
    <s v="Эвон"/>
    <m/>
    <n v="60"/>
    <n v="27"/>
    <n v="80"/>
    <n v="51"/>
    <n v="74"/>
    <n v="68"/>
    <n v="65"/>
    <n v="55"/>
    <n v="0"/>
    <n v="604662"/>
    <n v="50388.5"/>
    <n v="0"/>
    <n v="50388.5"/>
    <n v="0"/>
    <n v="0"/>
  </r>
  <r>
    <s v="Ермолаев (П)"/>
    <x v="3"/>
    <s v="ОПЗ"/>
    <s v="ЦЗ"/>
    <s v="ЦПЗ"/>
    <s v="Вор"/>
    <s v="Вор"/>
    <s v="Вор"/>
    <x v="19"/>
    <s v="Эвон"/>
    <m/>
    <n v="89.142857142857139"/>
    <n v="90"/>
    <n v="88"/>
    <n v="91"/>
    <n v="85"/>
    <n v="93"/>
    <n v="93"/>
    <n v="84"/>
    <n v="19"/>
    <n v="47528790"/>
    <n v="3960732.5"/>
    <n v="0"/>
    <n v="3960732.5"/>
    <n v="0"/>
    <n v="0"/>
  </r>
  <r>
    <s v="Кельн (П)"/>
    <x v="3"/>
    <s v="ЦПЗ"/>
    <s v="ОПЗ"/>
    <m/>
    <s v="Вор"/>
    <s v="Лион"/>
    <s v="Лион"/>
    <x v="19"/>
    <s v="Эвон"/>
    <m/>
    <n v="88.428571428571431"/>
    <n v="85"/>
    <n v="87"/>
    <n v="88"/>
    <n v="92"/>
    <n v="90"/>
    <n v="91"/>
    <n v="86"/>
    <n v="24"/>
    <n v="43854822"/>
    <n v="3654568.5"/>
    <n v="0"/>
    <n v="3654568.5"/>
    <n v="0"/>
    <n v="0"/>
  </r>
  <r>
    <s v="Миртов Кирилл"/>
    <x v="3"/>
    <s v="ЦПЗ"/>
    <s v="АПЗ"/>
    <m/>
    <m/>
    <s v="Вор"/>
    <s v="Вор"/>
    <x v="19"/>
    <s v="Эвон"/>
    <m/>
    <n v="60.571428571428569"/>
    <n v="31"/>
    <n v="72"/>
    <n v="54"/>
    <n v="76"/>
    <n v="66"/>
    <n v="68"/>
    <n v="57"/>
    <n v="0"/>
    <n v="664781"/>
    <n v="55398.416666666664"/>
    <n v="0"/>
    <n v="55398.416666666664"/>
    <n v="0"/>
    <n v="0"/>
  </r>
  <r>
    <s v="Редиган (П)"/>
    <x v="3"/>
    <s v="ЛПЗ"/>
    <s v="ЦПЗ"/>
    <m/>
    <s v="Вор"/>
    <s v="Вор"/>
    <s v="Вор"/>
    <x v="19"/>
    <s v="Эвон"/>
    <m/>
    <n v="87.142857142857139"/>
    <n v="84"/>
    <n v="95"/>
    <n v="86"/>
    <n v="90"/>
    <n v="90"/>
    <n v="85"/>
    <n v="80"/>
    <n v="23"/>
    <n v="37879934"/>
    <n v="3156661.1666666665"/>
    <n v="0"/>
    <n v="3156661.1666666665"/>
    <n v="0"/>
    <n v="0"/>
  </r>
  <r>
    <s v="Снежин Павел"/>
    <x v="3"/>
    <s v="ППЗ"/>
    <s v="АПЗ"/>
    <m/>
    <m/>
    <s v="Вор"/>
    <s v="Вор"/>
    <x v="19"/>
    <s v="Эвон"/>
    <m/>
    <n v="64.714285714285708"/>
    <n v="40"/>
    <n v="75"/>
    <n v="63"/>
    <n v="70"/>
    <n v="72"/>
    <n v="73"/>
    <n v="60"/>
    <n v="0"/>
    <n v="1288255"/>
    <n v="107354.58333333333"/>
    <n v="0"/>
    <n v="107354.58333333333"/>
    <n v="0"/>
    <n v="0"/>
  </r>
  <r>
    <s v="Снексер (П)"/>
    <x v="3"/>
    <s v="ЛПЗ"/>
    <s v="ППЗ"/>
    <m/>
    <s v="Кирп"/>
    <s v="Кирп"/>
    <s v="Кирп"/>
    <x v="19"/>
    <s v="Эвон"/>
    <m/>
    <n v="85.857142857142861"/>
    <n v="80"/>
    <n v="90"/>
    <n v="87"/>
    <n v="86"/>
    <n v="86"/>
    <n v="88"/>
    <n v="84"/>
    <n v="22"/>
    <n v="32647925"/>
    <n v="2720660.4166666665"/>
    <n v="0"/>
    <n v="2720660.4166666665"/>
    <n v="0"/>
    <n v="0"/>
  </r>
  <r>
    <s v="Юзепсен (П)"/>
    <x v="3"/>
    <s v="ЦПЗ"/>
    <s v="ОПЗ"/>
    <s v="ППЗ"/>
    <s v="Кирп"/>
    <s v="Кирп"/>
    <s v="Кирп"/>
    <x v="19"/>
    <s v="Эвон"/>
    <m/>
    <n v="95.142857142857139"/>
    <n v="97"/>
    <n v="94"/>
    <n v="98"/>
    <n v="100"/>
    <n v="90"/>
    <n v="88"/>
    <n v="99"/>
    <n v="10"/>
    <n v="91170252"/>
    <n v="7597521"/>
    <n v="0"/>
    <n v="7597521"/>
    <n v="0"/>
    <n v="0"/>
  </r>
  <r>
    <s v="Цоттов"/>
    <x v="4"/>
    <s v="Т"/>
    <m/>
    <m/>
    <m/>
    <s v="Вор"/>
    <s v="Вор"/>
    <x v="19"/>
    <s v="Эвон"/>
    <m/>
    <n v="83.857142857142861"/>
    <n v="70"/>
    <n v="85"/>
    <n v="86"/>
    <n v="94"/>
    <n v="93"/>
    <n v="90"/>
    <n v="69"/>
    <n v="0"/>
    <n v="17194938"/>
    <n v="1432911.5"/>
    <n v="0"/>
    <n v="1432911.5"/>
    <n v="0"/>
    <n v="0"/>
  </r>
  <r>
    <s v="Ваней Наком"/>
    <x v="0"/>
    <s v="В"/>
    <m/>
    <m/>
    <m/>
    <s v="Мох"/>
    <s v="Мох"/>
    <x v="20"/>
    <s v="Эвон"/>
    <m/>
    <n v="31.571428571428573"/>
    <n v="8"/>
    <n v="40"/>
    <n v="34"/>
    <n v="38"/>
    <n v="40"/>
    <n v="42"/>
    <n v="19"/>
    <n v="0"/>
    <n v="984"/>
    <n v="82"/>
    <n v="0"/>
    <n v="82"/>
    <n v="0"/>
    <n v="0"/>
  </r>
  <r>
    <s v="Морей Атанес"/>
    <x v="0"/>
    <s v="В"/>
    <m/>
    <m/>
    <m/>
    <s v="Мох"/>
    <s v="Мох"/>
    <x v="20"/>
    <s v="Эвон"/>
    <m/>
    <n v="31.857142857142858"/>
    <n v="8"/>
    <n v="42"/>
    <n v="34"/>
    <n v="38"/>
    <n v="40"/>
    <n v="42"/>
    <n v="19"/>
    <n v="0"/>
    <n v="1077"/>
    <n v="89.75"/>
    <n v="0"/>
    <n v="89.75"/>
    <n v="0"/>
    <n v="0"/>
  </r>
  <r>
    <s v="Раней Анрок"/>
    <x v="0"/>
    <s v="В"/>
    <m/>
    <m/>
    <m/>
    <s v="Мох"/>
    <s v="Мох"/>
    <x v="20"/>
    <s v="Эвон"/>
    <m/>
    <n v="35.428571428571431"/>
    <n v="10"/>
    <n v="46"/>
    <n v="38"/>
    <n v="42"/>
    <n v="44"/>
    <n v="46"/>
    <n v="22"/>
    <n v="0"/>
    <n v="3116"/>
    <n v="259.66666666666669"/>
    <n v="0"/>
    <n v="259.66666666666669"/>
    <n v="0"/>
    <n v="0"/>
  </r>
  <r>
    <s v="Гоцыйзул Ронос"/>
    <x v="1"/>
    <s v="ЦЗ"/>
    <s v="ОПЗ"/>
    <m/>
    <m/>
    <s v="Мох"/>
    <s v="Мох"/>
    <x v="20"/>
    <s v="Эвон"/>
    <m/>
    <n v="28.142857142857142"/>
    <n v="6"/>
    <n v="36"/>
    <n v="30"/>
    <n v="34"/>
    <n v="36"/>
    <n v="38"/>
    <n v="17"/>
    <n v="0"/>
    <n v="312"/>
    <n v="26"/>
    <n v="0"/>
    <n v="26"/>
    <n v="0"/>
    <n v="0"/>
  </r>
  <r>
    <s v="Моц Ар"/>
    <x v="1"/>
    <s v="ПЗ"/>
    <s v="ЛЗ"/>
    <m/>
    <m/>
    <s v="Мох"/>
    <s v="Мох"/>
    <x v="20"/>
    <s v="Эвон"/>
    <m/>
    <n v="45.571428571428569"/>
    <n v="33"/>
    <n v="45"/>
    <n v="50"/>
    <n v="50"/>
    <n v="50"/>
    <n v="55"/>
    <n v="36"/>
    <n v="0"/>
    <n v="38631"/>
    <n v="74.916666666666671"/>
    <n v="0"/>
    <n v="3219.25"/>
    <n v="-97.67"/>
    <n v="0"/>
  </r>
  <r>
    <s v="Наней Ранен"/>
    <x v="1"/>
    <s v="ПЗ"/>
    <s v="ЦЗ"/>
    <m/>
    <m/>
    <s v="Мох"/>
    <s v="Мох"/>
    <x v="20"/>
    <s v="Эвон"/>
    <m/>
    <n v="35.142857142857146"/>
    <n v="9"/>
    <n v="46"/>
    <n v="38"/>
    <n v="42"/>
    <n v="44"/>
    <n v="46"/>
    <n v="21"/>
    <n v="0"/>
    <n v="2874"/>
    <n v="239.5"/>
    <n v="0"/>
    <n v="239.5"/>
    <n v="0"/>
    <n v="0"/>
  </r>
  <r>
    <s v="Таней Ланмонд"/>
    <x v="1"/>
    <s v="ЦЗ"/>
    <s v="ЛЗ"/>
    <m/>
    <m/>
    <s v="Мох"/>
    <s v="Мох"/>
    <x v="20"/>
    <s v="Эвон"/>
    <m/>
    <n v="39.142857142857146"/>
    <n v="12"/>
    <n v="52"/>
    <n v="42"/>
    <n v="46"/>
    <n v="48"/>
    <n v="50"/>
    <n v="24"/>
    <n v="0"/>
    <n v="8444"/>
    <n v="703.66666666666663"/>
    <n v="0"/>
    <n v="703.66666666666663"/>
    <n v="0"/>
    <n v="0"/>
  </r>
  <r>
    <s v="Маней Рарнельд"/>
    <x v="2"/>
    <s v="ОФ"/>
    <s v="ЦН"/>
    <m/>
    <m/>
    <s v="Мох"/>
    <s v="Мох"/>
    <x v="20"/>
    <s v="Эвон"/>
    <m/>
    <n v="55.428571428571431"/>
    <n v="18"/>
    <n v="70"/>
    <n v="62"/>
    <n v="64"/>
    <n v="66"/>
    <n v="68"/>
    <n v="40"/>
    <n v="0"/>
    <n v="273740"/>
    <n v="22811.666666666668"/>
    <n v="0"/>
    <n v="22811.666666666668"/>
    <n v="0"/>
    <n v="0"/>
  </r>
  <r>
    <s v="Щоцыйдор Анкек"/>
    <x v="2"/>
    <s v="ОФ"/>
    <s v="ЦН"/>
    <m/>
    <m/>
    <s v="Мох"/>
    <s v="Мох"/>
    <x v="20"/>
    <s v="Эвон"/>
    <m/>
    <n v="36.142857142857146"/>
    <n v="10"/>
    <n v="46"/>
    <n v="38"/>
    <n v="44"/>
    <n v="46"/>
    <n v="48"/>
    <n v="21"/>
    <n v="0"/>
    <n v="3804"/>
    <n v="317"/>
    <n v="0"/>
    <n v="317"/>
    <n v="0"/>
    <n v="0"/>
  </r>
  <r>
    <s v="Баней Наксен"/>
    <x v="3"/>
    <s v="ЦПЗ"/>
    <s v="ОПЗ"/>
    <m/>
    <m/>
    <s v="Мох"/>
    <s v="Мох"/>
    <x v="20"/>
    <s v="Эвон"/>
    <m/>
    <n v="40.857142857142854"/>
    <n v="13"/>
    <n v="54"/>
    <n v="44"/>
    <n v="48"/>
    <n v="50"/>
    <n v="52"/>
    <n v="25"/>
    <n v="0"/>
    <n v="12963"/>
    <n v="1080.25"/>
    <n v="0"/>
    <n v="1080.25"/>
    <n v="0"/>
    <n v="0"/>
  </r>
  <r>
    <s v="Коцый"/>
    <x v="3"/>
    <s v="ЦПЗ"/>
    <s v="ОПЗ"/>
    <m/>
    <m/>
    <s v="Мох"/>
    <s v="Мох"/>
    <x v="20"/>
    <s v="Эвон"/>
    <m/>
    <n v="37.285714285714285"/>
    <n v="20"/>
    <n v="44"/>
    <n v="47"/>
    <n v="45"/>
    <n v="42"/>
    <n v="52"/>
    <n v="11"/>
    <n v="0"/>
    <n v="5194"/>
    <n v="432.83333333333331"/>
    <n v="0"/>
    <n v="432.83333333333331"/>
    <n v="0"/>
    <n v="0"/>
  </r>
  <r>
    <s v="Ланей Толеус"/>
    <x v="3"/>
    <s v="ОПЗ"/>
    <s v="ЦЗ"/>
    <m/>
    <m/>
    <s v="Мох"/>
    <s v="Мох"/>
    <x v="20"/>
    <s v="Эвон"/>
    <m/>
    <n v="34.428571428571431"/>
    <n v="9"/>
    <n v="44"/>
    <n v="36"/>
    <n v="42"/>
    <n v="44"/>
    <n v="46"/>
    <n v="20"/>
    <n v="0"/>
    <n v="2340"/>
    <n v="195"/>
    <n v="0"/>
    <n v="195"/>
    <n v="0"/>
    <n v="0"/>
  </r>
  <r>
    <s v="Лоней Гновьир"/>
    <x v="3"/>
    <s v="ППЗ"/>
    <s v="АПЗ"/>
    <m/>
    <m/>
    <s v="Мох"/>
    <s v="Мох"/>
    <x v="20"/>
    <s v="Эвон"/>
    <m/>
    <n v="52.142857142857146"/>
    <n v="15"/>
    <n v="64"/>
    <n v="58"/>
    <n v="62"/>
    <n v="64"/>
    <n v="66"/>
    <n v="36"/>
    <n v="0"/>
    <n v="148576"/>
    <n v="12381.333333333334"/>
    <n v="0"/>
    <n v="12381.333333333334"/>
    <n v="0"/>
    <n v="0"/>
  </r>
  <r>
    <s v="Нанел Тонанс"/>
    <x v="3"/>
    <s v="АПЗ"/>
    <s v="ППЗ"/>
    <m/>
    <m/>
    <s v="Мох"/>
    <s v="Мох"/>
    <x v="20"/>
    <s v="Эвон"/>
    <m/>
    <n v="29.857142857142858"/>
    <n v="7"/>
    <n v="38"/>
    <n v="32"/>
    <n v="36"/>
    <n v="38"/>
    <n v="40"/>
    <n v="18"/>
    <n v="0"/>
    <n v="563"/>
    <n v="46.916666666666664"/>
    <n v="0"/>
    <n v="46.916666666666664"/>
    <n v="0"/>
    <n v="0"/>
  </r>
  <r>
    <s v="Поцыймир Ганон"/>
    <x v="3"/>
    <s v="ОПЗ"/>
    <s v="ЦПЗ"/>
    <m/>
    <m/>
    <s v="Мох"/>
    <s v="Мох"/>
    <x v="20"/>
    <s v="Эвон"/>
    <m/>
    <n v="37.428571428571431"/>
    <n v="11"/>
    <n v="50"/>
    <n v="40"/>
    <n v="44"/>
    <n v="46"/>
    <n v="48"/>
    <n v="23"/>
    <n v="0"/>
    <n v="5396"/>
    <n v="449.66666666666669"/>
    <n v="0"/>
    <n v="449.66666666666669"/>
    <n v="0"/>
    <n v="0"/>
  </r>
  <r>
    <s v="Соц Гоенс"/>
    <x v="3"/>
    <s v="ЦПЗ"/>
    <s v="ЛПЗ"/>
    <m/>
    <m/>
    <s v="Мох"/>
    <s v="Мох"/>
    <x v="20"/>
    <s v="Эвон"/>
    <m/>
    <n v="28"/>
    <n v="6"/>
    <n v="36"/>
    <n v="30"/>
    <n v="34"/>
    <n v="36"/>
    <n v="38"/>
    <n v="16"/>
    <n v="0"/>
    <n v="297"/>
    <n v="24.75"/>
    <n v="0"/>
    <n v="24.75"/>
    <n v="0"/>
    <n v="0"/>
  </r>
  <r>
    <s v="Хоцыйбер Бансе"/>
    <x v="3"/>
    <s v="АПЗ"/>
    <s v="ЦПЗ"/>
    <m/>
    <m/>
    <s v="Мох"/>
    <s v="Мох"/>
    <x v="20"/>
    <s v="Эвон"/>
    <m/>
    <n v="36.571428571428569"/>
    <n v="10"/>
    <n v="48"/>
    <n v="38"/>
    <n v="44"/>
    <n v="46"/>
    <n v="48"/>
    <n v="22"/>
    <n v="0"/>
    <n v="4280"/>
    <n v="356.66666666666669"/>
    <n v="0"/>
    <n v="356.66666666666669"/>
    <n v="0"/>
    <n v="0"/>
  </r>
  <r>
    <s v="Шаней Алкек"/>
    <x v="3"/>
    <s v="ЛПЗ"/>
    <s v="ОПЗ"/>
    <m/>
    <m/>
    <s v="Мох"/>
    <s v="Мох"/>
    <x v="20"/>
    <s v="Эвон"/>
    <m/>
    <n v="38.285714285714285"/>
    <n v="11"/>
    <n v="50"/>
    <n v="40"/>
    <n v="46"/>
    <n v="48"/>
    <n v="50"/>
    <n v="23"/>
    <n v="0"/>
    <n v="6767"/>
    <n v="563.91666666666663"/>
    <n v="0"/>
    <n v="563.91666666666663"/>
    <n v="0"/>
    <n v="0"/>
  </r>
  <r>
    <s v="Шоц Толеэль"/>
    <x v="3"/>
    <s v="ППЗ"/>
    <s v="АПЗ"/>
    <m/>
    <m/>
    <s v="Мох"/>
    <s v="Мох"/>
    <x v="20"/>
    <s v="Эвон"/>
    <m/>
    <n v="42.571428571428569"/>
    <n v="14"/>
    <n v="56"/>
    <n v="46"/>
    <n v="50"/>
    <n v="52"/>
    <n v="54"/>
    <n v="26"/>
    <n v="0"/>
    <n v="19552"/>
    <n v="1629.3333333333333"/>
    <n v="0"/>
    <n v="1629.3333333333333"/>
    <n v="0"/>
    <n v="0"/>
  </r>
  <r>
    <s v="Тоц Аркек"/>
    <x v="4"/>
    <s v="Т"/>
    <m/>
    <m/>
    <m/>
    <s v="Мох"/>
    <s v="Мох"/>
    <x v="20"/>
    <s v="Эвон"/>
    <m/>
    <n v="33.571428571428569"/>
    <n v="9"/>
    <n v="44"/>
    <n v="36"/>
    <n v="40"/>
    <n v="42"/>
    <n v="44"/>
    <n v="20"/>
    <n v="0"/>
    <n v="1819"/>
    <n v="151.58333333333334"/>
    <n v="0"/>
    <n v="151.58333333333334"/>
    <n v="0"/>
    <n v="0"/>
  </r>
  <r>
    <s v="Велензар Добрын"/>
    <x v="0"/>
    <s v="В"/>
    <m/>
    <m/>
    <m/>
    <s v="Турн"/>
    <s v="Турн"/>
    <x v="21"/>
    <s v="Эвон"/>
    <m/>
    <n v="68.857142857142861"/>
    <n v="24"/>
    <n v="78"/>
    <n v="74"/>
    <n v="84"/>
    <n v="86"/>
    <n v="88"/>
    <n v="48"/>
    <n v="0"/>
    <n v="2396018"/>
    <n v="199668.16666666666"/>
    <n v="0"/>
    <n v="199668.16666666666"/>
    <n v="0"/>
    <n v="0"/>
  </r>
  <r>
    <s v="Роиз"/>
    <x v="0"/>
    <s v="В"/>
    <m/>
    <m/>
    <s v="Турн"/>
    <s v="Турн"/>
    <s v="Турн"/>
    <x v="21"/>
    <s v="Эвон"/>
    <m/>
    <n v="71.714285714285708"/>
    <n v="70"/>
    <n v="79"/>
    <n v="89"/>
    <n v="25"/>
    <n v="76"/>
    <n v="82"/>
    <n v="81"/>
    <n v="0"/>
    <n v="3597964"/>
    <n v="299830.33333333331"/>
    <n v="0"/>
    <n v="299830.33333333331"/>
    <n v="0"/>
    <n v="0"/>
  </r>
  <r>
    <s v="Бордез Сятогар"/>
    <x v="1"/>
    <s v="ЦЗ"/>
    <s v="ОПЗ"/>
    <m/>
    <m/>
    <s v="Турн"/>
    <s v="Турн"/>
    <x v="21"/>
    <s v="Эвон"/>
    <m/>
    <n v="65.857142857142861"/>
    <n v="21"/>
    <n v="85"/>
    <n v="73"/>
    <n v="81"/>
    <n v="83"/>
    <n v="85"/>
    <n v="33"/>
    <n v="0"/>
    <n v="1534719"/>
    <n v="127893.25"/>
    <n v="0"/>
    <n v="127893.25"/>
    <n v="0"/>
    <n v="0"/>
  </r>
  <r>
    <s v="Кудаш Сылван"/>
    <x v="1"/>
    <s v="ПЗ"/>
    <s v="ЦЗ"/>
    <m/>
    <m/>
    <s v="Турн"/>
    <s v="Турн"/>
    <x v="21"/>
    <s v="Эвон"/>
    <m/>
    <n v="63.571428571428569"/>
    <n v="21"/>
    <n v="86"/>
    <n v="71"/>
    <n v="75"/>
    <n v="77"/>
    <n v="80"/>
    <n v="35"/>
    <n v="0"/>
    <n v="1078003"/>
    <n v="89833.583333333328"/>
    <n v="0"/>
    <n v="89833.583333333328"/>
    <n v="0"/>
    <n v="0"/>
  </r>
  <r>
    <s v="Ричук (З)"/>
    <x v="1"/>
    <s v="ЦЗ"/>
    <s v="ОПЗ"/>
    <m/>
    <s v="Турн"/>
    <s v="Турн"/>
    <s v="Турн"/>
    <x v="21"/>
    <s v="Эвон"/>
    <m/>
    <n v="86.428571428571431"/>
    <n v="80"/>
    <n v="85"/>
    <n v="82"/>
    <n v="85"/>
    <n v="91"/>
    <n v="95"/>
    <n v="87"/>
    <n v="26"/>
    <n v="34887079"/>
    <n v="2907256.5833333335"/>
    <n v="0"/>
    <n v="2907256.5833333335"/>
    <n v="0"/>
    <n v="0"/>
  </r>
  <r>
    <s v="Стурлагай Олафз"/>
    <x v="1"/>
    <s v="ЛЗ"/>
    <s v="ЦЗ"/>
    <m/>
    <m/>
    <s v="Турн"/>
    <s v="Турн"/>
    <x v="21"/>
    <s v="Эвон"/>
    <m/>
    <n v="67.857142857142861"/>
    <n v="23"/>
    <n v="92"/>
    <n v="76"/>
    <n v="80"/>
    <n v="82"/>
    <n v="84"/>
    <n v="38"/>
    <n v="0"/>
    <n v="2069931"/>
    <n v="172494.25"/>
    <n v="0"/>
    <n v="172494.25"/>
    <n v="0"/>
    <n v="0"/>
  </r>
  <r>
    <s v="Супославр (З)"/>
    <x v="1"/>
    <s v="ЦЗ"/>
    <s v="ПЗ"/>
    <s v="ЛЗ"/>
    <s v="Турн"/>
    <s v="Турн"/>
    <s v="Турн"/>
    <x v="21"/>
    <s v="Эвон"/>
    <m/>
    <n v="83.571428571428569"/>
    <n v="78"/>
    <n v="82"/>
    <n v="81"/>
    <n v="81"/>
    <n v="90"/>
    <n v="93"/>
    <n v="80"/>
    <n v="26"/>
    <n v="24926972"/>
    <n v="2077247.6666666667"/>
    <n v="0"/>
    <n v="2077247.6666666667"/>
    <n v="0"/>
    <n v="0"/>
  </r>
  <r>
    <s v="Ирос Доин"/>
    <x v="2"/>
    <s v="ОФ"/>
    <s v="ЦН"/>
    <m/>
    <m/>
    <s v="Турн"/>
    <s v="Турн"/>
    <x v="21"/>
    <s v="Эвон"/>
    <m/>
    <n v="62.571428571428569"/>
    <n v="20"/>
    <n v="82"/>
    <n v="69"/>
    <n v="77"/>
    <n v="79"/>
    <n v="81"/>
    <n v="30"/>
    <n v="0"/>
    <n v="919943"/>
    <n v="76661.916666666672"/>
    <n v="0"/>
    <n v="76661.916666666672"/>
    <n v="0"/>
    <n v="0"/>
  </r>
  <r>
    <s v="Рыр Ярополз"/>
    <x v="2"/>
    <s v="ОФ"/>
    <s v="ППЗ"/>
    <m/>
    <m/>
    <s v="Турн"/>
    <s v="Турн"/>
    <x v="21"/>
    <s v="Эвон"/>
    <m/>
    <n v="78.571428571428569"/>
    <n v="28"/>
    <n v="98"/>
    <n v="92"/>
    <n v="92"/>
    <n v="94"/>
    <n v="96"/>
    <n v="50"/>
    <n v="0"/>
    <n v="8966987"/>
    <n v="747248.91666666663"/>
    <n v="0"/>
    <n v="747248.91666666663"/>
    <n v="0"/>
    <n v="0"/>
  </r>
  <r>
    <s v="Богумыл Радзко"/>
    <x v="3"/>
    <s v="ППЗ"/>
    <s v="АПЗ"/>
    <m/>
    <m/>
    <s v="Турн"/>
    <s v="Турн"/>
    <x v="21"/>
    <s v="Эвон"/>
    <m/>
    <n v="64.428571428571431"/>
    <n v="21"/>
    <n v="84"/>
    <n v="71"/>
    <n v="79"/>
    <n v="81"/>
    <n v="83"/>
    <n v="32"/>
    <n v="0"/>
    <n v="1232495"/>
    <n v="102707.91666666667"/>
    <n v="0"/>
    <n v="102707.91666666667"/>
    <n v="0"/>
    <n v="0"/>
  </r>
  <r>
    <s v="Вельтислав Красим"/>
    <x v="3"/>
    <s v="ЦПЗ"/>
    <s v="ОПЗ"/>
    <m/>
    <m/>
    <s v="Турн"/>
    <s v="Турн"/>
    <x v="21"/>
    <s v="Эвон"/>
    <m/>
    <n v="65.571428571428569"/>
    <n v="21"/>
    <n v="88"/>
    <n v="73"/>
    <n v="79"/>
    <n v="81"/>
    <n v="83"/>
    <n v="34"/>
    <n v="0"/>
    <n v="1469422"/>
    <n v="122451.83333333333"/>
    <n v="0"/>
    <n v="122451.83333333333"/>
    <n v="0"/>
    <n v="0"/>
  </r>
  <r>
    <s v="Власти Гордез"/>
    <x v="3"/>
    <s v="ЛПЗ"/>
    <s v="ОПЗ"/>
    <m/>
    <m/>
    <s v="Турн"/>
    <s v="Турн"/>
    <x v="21"/>
    <s v="Эвон"/>
    <m/>
    <n v="73.285714285714292"/>
    <n v="26"/>
    <n v="95"/>
    <n v="83"/>
    <n v="87"/>
    <n v="89"/>
    <n v="91"/>
    <n v="42"/>
    <n v="0"/>
    <n v="4468825"/>
    <n v="372402.08333333331"/>
    <n v="0"/>
    <n v="372402.08333333331"/>
    <n v="0"/>
    <n v="0"/>
  </r>
  <r>
    <s v="Кальвин Яромыз"/>
    <x v="3"/>
    <s v="ЛПЗ"/>
    <s v="ОПЗ"/>
    <m/>
    <m/>
    <s v="Турн"/>
    <s v="Турн"/>
    <x v="21"/>
    <s v="Эвон"/>
    <m/>
    <n v="66.142857142857139"/>
    <n v="21"/>
    <n v="86"/>
    <n v="73"/>
    <n v="81"/>
    <n v="83"/>
    <n v="85"/>
    <n v="34"/>
    <n v="0"/>
    <n v="1602617"/>
    <n v="133551.41666666666"/>
    <n v="0"/>
    <n v="133551.41666666666"/>
    <n v="0"/>
    <n v="0"/>
  </r>
  <r>
    <s v="Ноурен (П)"/>
    <x v="3"/>
    <s v="ОПЗ"/>
    <s v="ЦЗ"/>
    <m/>
    <s v="Турн"/>
    <s v="Турн"/>
    <s v="Турн"/>
    <x v="21"/>
    <s v="Эвон"/>
    <m/>
    <n v="89.428571428571431"/>
    <n v="81"/>
    <n v="88"/>
    <n v="90"/>
    <n v="93"/>
    <n v="94"/>
    <n v="94"/>
    <n v="86"/>
    <n v="22"/>
    <n v="49074309"/>
    <n v="4089525.75"/>
    <n v="0"/>
    <n v="4089525.75"/>
    <n v="0"/>
    <n v="0"/>
  </r>
  <r>
    <s v="Сослаз Мосл"/>
    <x v="3"/>
    <s v="АПЗ"/>
    <s v="ППЗ"/>
    <m/>
    <m/>
    <s v="Турн"/>
    <s v="Турн"/>
    <x v="21"/>
    <s v="Эвон"/>
    <m/>
    <n v="67.714285714285708"/>
    <n v="22"/>
    <n v="87"/>
    <n v="75"/>
    <n v="83"/>
    <n v="85"/>
    <n v="87"/>
    <n v="35"/>
    <n v="0"/>
    <n v="2026764"/>
    <n v="168897"/>
    <n v="0"/>
    <n v="168897"/>
    <n v="0"/>
    <n v="0"/>
  </r>
  <r>
    <s v="Тетлан Радо"/>
    <x v="3"/>
    <s v="ППЗ"/>
    <s v="ЛПЗ"/>
    <m/>
    <m/>
    <s v="Турн"/>
    <s v="Турн"/>
    <x v="21"/>
    <s v="Эвон"/>
    <m/>
    <n v="71.285714285714292"/>
    <n v="24"/>
    <n v="93"/>
    <n v="81"/>
    <n v="85"/>
    <n v="87"/>
    <n v="89"/>
    <n v="40"/>
    <n v="0"/>
    <n v="3388638"/>
    <n v="282386.5"/>
    <n v="0"/>
    <n v="282386.5"/>
    <n v="0"/>
    <n v="0"/>
  </r>
  <r>
    <s v="Торкват Люмыз"/>
    <x v="3"/>
    <s v="АПЗ"/>
    <s v="ЦПЗ"/>
    <m/>
    <m/>
    <s v="Турн"/>
    <s v="Турн"/>
    <x v="21"/>
    <s v="Эвон"/>
    <m/>
    <n v="68.571428571428569"/>
    <n v="23"/>
    <n v="90"/>
    <n v="77"/>
    <n v="85"/>
    <n v="83"/>
    <n v="85"/>
    <n v="37"/>
    <n v="0"/>
    <n v="2298434"/>
    <n v="191536.16666666666"/>
    <n v="0"/>
    <n v="191536.16666666666"/>
    <n v="0"/>
    <n v="0"/>
  </r>
  <r>
    <s v="Фифин (П)"/>
    <x v="3"/>
    <s v="ОПЗ"/>
    <s v="ЦПЗ"/>
    <s v="ЦЗ"/>
    <s v="Турн"/>
    <s v="Турн"/>
    <s v="Турн"/>
    <x v="21"/>
    <s v="Эвон"/>
    <m/>
    <n v="88"/>
    <n v="84"/>
    <n v="80"/>
    <n v="89"/>
    <n v="89"/>
    <n v="95"/>
    <n v="95"/>
    <n v="84"/>
    <n v="26"/>
    <n v="41775147"/>
    <n v="3481262.25"/>
    <n v="0"/>
    <n v="3481262.25"/>
    <n v="0"/>
    <n v="0"/>
  </r>
  <r>
    <s v="Ярооз Твердисл"/>
    <x v="3"/>
    <s v="ЦПЗ"/>
    <s v="ОПЗ"/>
    <m/>
    <m/>
    <s v="Турн"/>
    <s v="Турн"/>
    <x v="21"/>
    <s v="Эвон"/>
    <m/>
    <n v="66.428571428571431"/>
    <n v="22"/>
    <n v="89"/>
    <n v="75"/>
    <n v="83"/>
    <n v="79"/>
    <n v="81"/>
    <n v="36"/>
    <n v="0"/>
    <n v="1673205"/>
    <n v="139433.75"/>
    <n v="0"/>
    <n v="139433.75"/>
    <n v="0"/>
    <n v="0"/>
  </r>
  <r>
    <s v="Хаксли Артем"/>
    <x v="4"/>
    <s v="Т"/>
    <m/>
    <m/>
    <m/>
    <s v="Турн"/>
    <s v="Турн"/>
    <x v="21"/>
    <s v="Эвон"/>
    <m/>
    <n v="73.571428571428569"/>
    <n v="50"/>
    <n v="75"/>
    <n v="71"/>
    <n v="81"/>
    <n v="83"/>
    <n v="85"/>
    <n v="70"/>
    <n v="0"/>
    <n v="4646136"/>
    <n v="387178"/>
    <n v="0"/>
    <n v="387178"/>
    <n v="0"/>
    <n v="0"/>
  </r>
  <r>
    <s v="Уськин (В)"/>
    <x v="0"/>
    <s v="В"/>
    <m/>
    <m/>
    <s v="Мох"/>
    <s v="Мох"/>
    <s v="Мох"/>
    <x v="22"/>
    <s v="Эвон"/>
    <m/>
    <n v="67.285714285714292"/>
    <n v="60"/>
    <n v="72"/>
    <n v="39"/>
    <n v="69"/>
    <n v="81"/>
    <n v="80"/>
    <n v="70"/>
    <n v="0"/>
    <n v="1902080"/>
    <n v="158506.66666666666"/>
    <n v="0"/>
    <n v="158506.66666666666"/>
    <n v="0"/>
    <n v="0"/>
  </r>
  <r>
    <s v="Корстан (З)"/>
    <x v="1"/>
    <s v="ЦЗ"/>
    <m/>
    <m/>
    <s v="Мал"/>
    <s v="В.И."/>
    <s v="В.И."/>
    <x v="22"/>
    <s v="Эвон"/>
    <m/>
    <n v="75.714285714285708"/>
    <n v="50"/>
    <n v="80"/>
    <n v="74"/>
    <n v="83"/>
    <n v="88"/>
    <n v="90"/>
    <n v="65"/>
    <n v="26"/>
    <n v="9286875"/>
    <n v="773906.25"/>
    <n v="0"/>
    <n v="773906.25"/>
    <n v="0"/>
    <n v="0"/>
  </r>
  <r>
    <s v="Кособрюхов Егор"/>
    <x v="1"/>
    <s v="ПЗ"/>
    <s v="ЦЗ"/>
    <m/>
    <m/>
    <s v="Сув"/>
    <s v="Сув"/>
    <x v="22"/>
    <s v="Эвон"/>
    <m/>
    <n v="59.142857142857146"/>
    <n v="16"/>
    <n v="66"/>
    <n v="64"/>
    <n v="74"/>
    <n v="80"/>
    <n v="82"/>
    <n v="32"/>
    <n v="0"/>
    <n v="523629"/>
    <n v="43635.75"/>
    <n v="0"/>
    <n v="43635.75"/>
    <n v="0"/>
    <n v="0"/>
  </r>
  <r>
    <s v="Кочин (З)"/>
    <x v="1"/>
    <s v="ЦЗ"/>
    <m/>
    <m/>
    <s v="Р.Тесно"/>
    <s v="Р.Тесно"/>
    <s v="Р.Тесно"/>
    <x v="22"/>
    <s v="Эвон"/>
    <m/>
    <n v="67.571428571428569"/>
    <n v="45"/>
    <n v="66"/>
    <n v="71"/>
    <n v="71"/>
    <n v="89"/>
    <n v="81"/>
    <n v="50"/>
    <n v="0"/>
    <n v="1984409"/>
    <n v="165367.41666666666"/>
    <n v="0"/>
    <n v="165367.41666666666"/>
    <n v="0"/>
    <n v="0"/>
  </r>
  <r>
    <s v="Кривошеин Лев"/>
    <x v="1"/>
    <s v="ЦЗ"/>
    <m/>
    <m/>
    <m/>
    <s v="Сув"/>
    <s v="Сув"/>
    <x v="22"/>
    <s v="Эвон"/>
    <m/>
    <n v="56.142857142857146"/>
    <n v="18"/>
    <n v="62"/>
    <n v="62"/>
    <n v="70"/>
    <n v="74"/>
    <n v="77"/>
    <n v="30"/>
    <n v="0"/>
    <n v="311133"/>
    <n v="25927.75"/>
    <n v="0"/>
    <n v="25927.75"/>
    <n v="0"/>
    <n v="0"/>
  </r>
  <r>
    <s v="Полгент"/>
    <x v="1"/>
    <s v="ЦЗ"/>
    <s v="ЛЗ"/>
    <m/>
    <s v="Черлесск"/>
    <s v="Черлесск"/>
    <s v="Черлесск"/>
    <x v="22"/>
    <s v="Эвон"/>
    <m/>
    <n v="65.857142857142861"/>
    <n v="55"/>
    <n v="65"/>
    <n v="72"/>
    <n v="71"/>
    <n v="76"/>
    <n v="70"/>
    <n v="52"/>
    <n v="0"/>
    <n v="1534719"/>
    <n v="127893.25"/>
    <n v="0"/>
    <n v="127893.25"/>
    <n v="0"/>
    <n v="0"/>
  </r>
  <r>
    <s v="Усьминкриш (З)"/>
    <x v="1"/>
    <s v="ЦЗ"/>
    <m/>
    <m/>
    <s v="Нумб"/>
    <s v="Нумб"/>
    <s v="Нумб"/>
    <x v="22"/>
    <s v="Эвон"/>
    <m/>
    <n v="70.285714285714292"/>
    <n v="30"/>
    <n v="62"/>
    <n v="94"/>
    <n v="72"/>
    <n v="82"/>
    <n v="90"/>
    <n v="62"/>
    <n v="0"/>
    <n v="2942190"/>
    <n v="245182.5"/>
    <n v="0"/>
    <n v="245182.5"/>
    <n v="0"/>
    <n v="0"/>
  </r>
  <r>
    <s v="Черноусов Матвей"/>
    <x v="1"/>
    <s v="ЦЗ"/>
    <s v="ОПЗ"/>
    <m/>
    <m/>
    <s v="Сув"/>
    <s v="Сув"/>
    <x v="22"/>
    <s v="Эвон"/>
    <m/>
    <n v="66.285714285714292"/>
    <n v="23"/>
    <n v="76"/>
    <n v="70"/>
    <n v="82"/>
    <n v="84"/>
    <n v="86"/>
    <n v="43"/>
    <n v="0"/>
    <n v="1637569"/>
    <n v="136464.08333333334"/>
    <n v="0"/>
    <n v="136464.08333333334"/>
    <n v="0"/>
    <n v="0"/>
  </r>
  <r>
    <s v="Волков (Н)"/>
    <x v="2"/>
    <s v="ЦН"/>
    <s v="АПЗ"/>
    <m/>
    <s v="Мал"/>
    <s v="В.И."/>
    <s v="В.И."/>
    <x v="22"/>
    <s v="Эвон"/>
    <m/>
    <n v="79.571428571428569"/>
    <n v="71"/>
    <n v="82"/>
    <n v="85"/>
    <n v="80"/>
    <n v="80"/>
    <n v="85"/>
    <n v="74"/>
    <n v="0"/>
    <n v="10175871"/>
    <n v="720516.58333333337"/>
    <n v="0"/>
    <n v="847989.25"/>
    <n v="-15.03"/>
    <n v="0"/>
  </r>
  <r>
    <s v="Мертвецов Савва"/>
    <x v="2"/>
    <s v="ОФ"/>
    <s v="ЦН"/>
    <m/>
    <m/>
    <s v="Сув"/>
    <s v="Сув"/>
    <x v="22"/>
    <s v="Эвон"/>
    <m/>
    <n v="68"/>
    <n v="24"/>
    <n v="80"/>
    <n v="80"/>
    <n v="81"/>
    <n v="82"/>
    <n v="85"/>
    <n v="44"/>
    <n v="0"/>
    <n v="2113923"/>
    <n v="176160.25"/>
    <n v="0"/>
    <n v="176160.25"/>
    <n v="0"/>
    <n v="0"/>
  </r>
  <r>
    <s v="Цаораев (Н)"/>
    <x v="2"/>
    <s v="ЦН"/>
    <s v="ОФ"/>
    <m/>
    <s v="Мал"/>
    <s v="В.И."/>
    <s v="В.И."/>
    <x v="22"/>
    <s v="Эвон"/>
    <m/>
    <n v="75.857142857142861"/>
    <n v="70"/>
    <n v="82"/>
    <n v="80"/>
    <n v="76"/>
    <n v="79"/>
    <n v="80"/>
    <n v="64"/>
    <n v="0"/>
    <n v="6309063"/>
    <n v="525755.25"/>
    <n v="0"/>
    <n v="525755.25"/>
    <n v="0"/>
    <n v="0"/>
  </r>
  <r>
    <s v="Беспалов Устин"/>
    <x v="3"/>
    <s v="ЛПЗ"/>
    <s v="ОПЗ"/>
    <m/>
    <m/>
    <s v="Сув"/>
    <s v="Сув"/>
    <x v="22"/>
    <s v="Эвон"/>
    <m/>
    <n v="57.142857142857146"/>
    <n v="18"/>
    <n v="64"/>
    <n v="66"/>
    <n v="74"/>
    <n v="72"/>
    <n v="75"/>
    <n v="31"/>
    <n v="0"/>
    <n v="371210"/>
    <n v="30934.166666666668"/>
    <n v="0"/>
    <n v="30934.166666666668"/>
    <n v="0"/>
    <n v="0"/>
  </r>
  <r>
    <s v="Воевода (П)"/>
    <x v="3"/>
    <s v="ОПЗ"/>
    <s v="ЦПЗ"/>
    <s v="ЦЗ"/>
    <s v="Сув"/>
    <s v="В.И."/>
    <s v="В.И."/>
    <x v="22"/>
    <s v="Эвон"/>
    <m/>
    <n v="87.142857142857139"/>
    <n v="73"/>
    <n v="84"/>
    <n v="95"/>
    <n v="84"/>
    <n v="96"/>
    <n v="98"/>
    <n v="80"/>
    <n v="1"/>
    <n v="37879934"/>
    <n v="3156661.1666666665"/>
    <n v="0"/>
    <n v="3156661.1666666665"/>
    <n v="0"/>
    <n v="0"/>
  </r>
  <r>
    <s v="Гончаров"/>
    <x v="3"/>
    <s v="ОПЗ"/>
    <m/>
    <m/>
    <s v="Черлесск"/>
    <s v="Черлесск"/>
    <s v="Черлесск"/>
    <x v="22"/>
    <s v="Эвон"/>
    <m/>
    <n v="70.714285714285708"/>
    <n v="55"/>
    <n v="70"/>
    <n v="75"/>
    <n v="70"/>
    <n v="77"/>
    <n v="88"/>
    <n v="60"/>
    <n v="0"/>
    <n v="3126595"/>
    <n v="260549.58333333334"/>
    <n v="0"/>
    <n v="260549.58333333334"/>
    <n v="0"/>
    <n v="0"/>
  </r>
  <r>
    <s v="Дураков Аким"/>
    <x v="3"/>
    <s v="АПЗ"/>
    <s v="ЦПЗ"/>
    <m/>
    <m/>
    <s v="Сув"/>
    <s v="Сув"/>
    <x v="22"/>
    <s v="Эвон"/>
    <m/>
    <n v="61.571428571428569"/>
    <n v="21"/>
    <n v="72"/>
    <n v="68"/>
    <n v="80"/>
    <n v="76"/>
    <n v="78"/>
    <n v="36"/>
    <n v="0"/>
    <n v="783056"/>
    <n v="65254.666666666664"/>
    <n v="0"/>
    <n v="65254.666666666664"/>
    <n v="0"/>
    <n v="0"/>
  </r>
  <r>
    <s v="Ковальчук (П)"/>
    <x v="3"/>
    <s v="ЦПЗ"/>
    <s v="ППЗ"/>
    <s v="ЛПЗ"/>
    <s v="Сув"/>
    <s v="В.И."/>
    <s v="В.И."/>
    <x v="22"/>
    <s v="Эвон"/>
    <m/>
    <n v="83.571428571428569"/>
    <n v="70"/>
    <n v="81"/>
    <n v="94"/>
    <n v="83"/>
    <n v="90"/>
    <n v="94"/>
    <n v="73"/>
    <n v="1"/>
    <n v="24926972"/>
    <n v="2077247.6666666667"/>
    <n v="0"/>
    <n v="2077247.6666666667"/>
    <n v="0"/>
    <n v="0"/>
  </r>
  <r>
    <s v="Косоруков Тихон"/>
    <x v="3"/>
    <s v="ППЗ"/>
    <s v="ЛПЗ"/>
    <m/>
    <m/>
    <s v="Сув"/>
    <s v="Сув"/>
    <x v="22"/>
    <s v="Эвон"/>
    <m/>
    <n v="59.428571428571431"/>
    <n v="19"/>
    <n v="70"/>
    <n v="68"/>
    <n v="76"/>
    <n v="74"/>
    <n v="76"/>
    <n v="33"/>
    <n v="0"/>
    <n v="549482"/>
    <n v="45790.166666666664"/>
    <n v="0"/>
    <n v="45790.166666666664"/>
    <n v="0"/>
    <n v="0"/>
  </r>
  <r>
    <s v="Синебрюхов Кузьма"/>
    <x v="3"/>
    <s v="ЦПЗ"/>
    <s v="ОПЗ"/>
    <m/>
    <m/>
    <s v="Сув"/>
    <s v="Сув"/>
    <x v="22"/>
    <s v="Эвон"/>
    <m/>
    <n v="54.714285714285715"/>
    <n v="16"/>
    <n v="60"/>
    <n v="64"/>
    <n v="72"/>
    <n v="70"/>
    <n v="73"/>
    <n v="28"/>
    <n v="0"/>
    <n v="240441"/>
    <n v="20036.75"/>
    <n v="0"/>
    <n v="20036.75"/>
    <n v="0"/>
    <n v="0"/>
  </r>
  <r>
    <s v="Худяков Фома"/>
    <x v="3"/>
    <s v="ОПЗ"/>
    <s v="ЦПЗ"/>
    <m/>
    <m/>
    <s v="Сув"/>
    <s v="Сув"/>
    <x v="22"/>
    <s v="Эвон"/>
    <m/>
    <n v="65.571428571428569"/>
    <n v="24"/>
    <n v="78"/>
    <n v="74"/>
    <n v="84"/>
    <n v="78"/>
    <n v="80"/>
    <n v="41"/>
    <n v="0"/>
    <n v="1469422"/>
    <n v="122451.83333333333"/>
    <n v="0"/>
    <n v="122451.83333333333"/>
    <n v="0"/>
    <n v="0"/>
  </r>
  <r>
    <s v="Долгополов Тарас"/>
    <x v="4"/>
    <s v="Т"/>
    <m/>
    <m/>
    <m/>
    <s v="Сув"/>
    <s v="Сув"/>
    <x v="22"/>
    <s v="Эвон"/>
    <m/>
    <n v="62.285714285714285"/>
    <n v="21"/>
    <n v="74"/>
    <n v="68"/>
    <n v="78"/>
    <n v="76"/>
    <n v="79"/>
    <n v="40"/>
    <n v="0"/>
    <n v="878789"/>
    <n v="73232.416666666672"/>
    <n v="0"/>
    <n v="73232.416666666672"/>
    <n v="0"/>
    <n v="0"/>
  </r>
  <r>
    <s v="Говоротов (В)"/>
    <x v="0"/>
    <s v="В"/>
    <m/>
    <m/>
    <s v="Щеб"/>
    <s v="Щеб"/>
    <s v="Щеб"/>
    <x v="23"/>
    <s v="Эвон"/>
    <m/>
    <n v="82.571428571428569"/>
    <n v="67"/>
    <n v="84"/>
    <n v="84"/>
    <n v="85"/>
    <n v="85"/>
    <n v="93"/>
    <n v="80"/>
    <n v="29"/>
    <n v="22099846"/>
    <n v="1841653.8333333333"/>
    <n v="0"/>
    <n v="1841653.8333333333"/>
    <n v="0"/>
    <n v="0"/>
  </r>
  <r>
    <s v="Коварж Фекл"/>
    <x v="0"/>
    <s v="В"/>
    <m/>
    <m/>
    <m/>
    <s v="Щеб"/>
    <s v="Щеб"/>
    <x v="23"/>
    <s v="Эвон"/>
    <m/>
    <n v="62.285714285714285"/>
    <n v="24"/>
    <n v="71"/>
    <n v="69"/>
    <n v="76"/>
    <n v="78"/>
    <n v="77"/>
    <n v="41"/>
    <n v="0"/>
    <n v="878789"/>
    <n v="73232.416666666672"/>
    <n v="0"/>
    <n v="73232.416666666672"/>
    <n v="0"/>
    <n v="0"/>
  </r>
  <r>
    <s v="Грида Марек"/>
    <x v="1"/>
    <s v="ЦЗ"/>
    <m/>
    <m/>
    <m/>
    <s v="Щеб"/>
    <s v="Щеб"/>
    <x v="23"/>
    <s v="Эвон"/>
    <m/>
    <n v="57.142857142857146"/>
    <n v="21"/>
    <n v="62"/>
    <n v="60"/>
    <n v="70"/>
    <n v="74"/>
    <n v="80"/>
    <n v="33"/>
    <n v="0"/>
    <n v="371210"/>
    <n v="30934.166666666668"/>
    <n v="0"/>
    <n v="30934.166666666668"/>
    <n v="0"/>
    <n v="0"/>
  </r>
  <r>
    <s v="Валеский Тадеуш"/>
    <x v="1"/>
    <s v="ЦЗ"/>
    <m/>
    <m/>
    <m/>
    <s v="Щеб"/>
    <s v="Щеб"/>
    <x v="23"/>
    <s v="Эвон"/>
    <m/>
    <n v="57.142857142857146"/>
    <n v="21"/>
    <n v="62"/>
    <n v="60"/>
    <n v="70"/>
    <n v="74"/>
    <n v="80"/>
    <n v="33"/>
    <n v="0"/>
    <n v="371210"/>
    <n v="30934.166666666668"/>
    <n v="0"/>
    <n v="30934.166666666668"/>
    <n v="0"/>
    <n v="0"/>
  </r>
  <r>
    <s v="Смолич Дарко"/>
    <x v="1"/>
    <s v="ЦЗ"/>
    <s v="ЛЗ"/>
    <m/>
    <m/>
    <s v="Щеб"/>
    <s v="Щеб"/>
    <x v="23"/>
    <s v="Эвон"/>
    <m/>
    <n v="57.142857142857146"/>
    <n v="21"/>
    <n v="62"/>
    <n v="60"/>
    <n v="70"/>
    <n v="74"/>
    <n v="80"/>
    <n v="33"/>
    <n v="0"/>
    <n v="371210"/>
    <n v="30934.166666666668"/>
    <n v="0"/>
    <n v="30934.166666666668"/>
    <n v="0"/>
    <n v="0"/>
  </r>
  <r>
    <s v="Тупков"/>
    <x v="1"/>
    <s v="ЦЗ"/>
    <m/>
    <m/>
    <s v="Щеб"/>
    <s v="Щеб"/>
    <s v="Щеб"/>
    <x v="23"/>
    <s v="Эвон"/>
    <m/>
    <n v="68.142857142857139"/>
    <n v="50"/>
    <n v="71"/>
    <n v="70"/>
    <n v="65"/>
    <n v="76"/>
    <n v="85"/>
    <n v="60"/>
    <n v="0"/>
    <n v="2158756"/>
    <n v="179896.33333333334"/>
    <n v="0"/>
    <n v="179896.33333333334"/>
    <n v="0"/>
    <n v="0"/>
  </r>
  <r>
    <s v="Хорват Йосип"/>
    <x v="1"/>
    <s v="ЦЗ"/>
    <s v="ПЗ"/>
    <m/>
    <m/>
    <s v="Щеб"/>
    <s v="Щеб"/>
    <x v="23"/>
    <s v="Эвон"/>
    <m/>
    <n v="60.714285714285715"/>
    <n v="25"/>
    <n v="68"/>
    <n v="63"/>
    <n v="72"/>
    <n v="78"/>
    <n v="81"/>
    <n v="38"/>
    <n v="0"/>
    <n v="680627"/>
    <n v="56718.916666666664"/>
    <n v="0"/>
    <n v="56718.916666666664"/>
    <n v="0"/>
    <n v="0"/>
  </r>
  <r>
    <s v="Хьюбер"/>
    <x v="1"/>
    <s v="ЦЗ"/>
    <m/>
    <m/>
    <s v="Щеб"/>
    <s v="Щеб"/>
    <s v="Щеб"/>
    <x v="23"/>
    <s v="Эвон"/>
    <m/>
    <n v="68.285714285714292"/>
    <n v="51"/>
    <n v="68"/>
    <n v="71"/>
    <n v="73"/>
    <n v="73"/>
    <n v="84"/>
    <n v="58"/>
    <n v="0"/>
    <n v="2204442"/>
    <n v="183703.5"/>
    <n v="0"/>
    <n v="183703.5"/>
    <n v="0"/>
    <n v="0"/>
  </r>
  <r>
    <s v="Эбьюс"/>
    <x v="1"/>
    <s v="ЦЗ"/>
    <s v="ЛЗ"/>
    <m/>
    <s v="Щеб"/>
    <s v="Щеб"/>
    <s v="Щеб"/>
    <x v="23"/>
    <s v="Эвон"/>
    <m/>
    <n v="70.571428571428569"/>
    <n v="58"/>
    <n v="75"/>
    <n v="70"/>
    <n v="72"/>
    <n v="74"/>
    <n v="80"/>
    <n v="65"/>
    <n v="0"/>
    <n v="3064003"/>
    <n v="255333.58333333334"/>
    <n v="0"/>
    <n v="255333.58333333334"/>
    <n v="0"/>
    <n v="0"/>
  </r>
  <r>
    <s v="Эреха (З)"/>
    <x v="1"/>
    <s v="ЛЗ"/>
    <s v="ЦЗ"/>
    <m/>
    <s v="Щеб"/>
    <s v="Щеб"/>
    <s v="Щеб"/>
    <x v="23"/>
    <s v="Эвон"/>
    <m/>
    <n v="81.857142857142861"/>
    <n v="80"/>
    <n v="91"/>
    <n v="80"/>
    <n v="80"/>
    <n v="81"/>
    <n v="83"/>
    <n v="78"/>
    <n v="18"/>
    <n v="20260823"/>
    <n v="1688401.9166666667"/>
    <n v="0"/>
    <n v="1688401.9166666667"/>
    <n v="0"/>
    <n v="0"/>
  </r>
  <r>
    <s v="Бантюров"/>
    <x v="2"/>
    <s v="ЦН"/>
    <m/>
    <m/>
    <s v="Щеб"/>
    <s v="Щеб"/>
    <s v="Щеб"/>
    <x v="23"/>
    <s v="Эвон"/>
    <m/>
    <n v="72.285714285714292"/>
    <n v="41"/>
    <n v="75"/>
    <n v="80"/>
    <n v="75"/>
    <n v="80"/>
    <n v="82"/>
    <n v="73"/>
    <n v="0"/>
    <n v="3895156"/>
    <n v="324596.33333333331"/>
    <n v="0"/>
    <n v="324596.33333333331"/>
    <n v="0"/>
    <n v="0"/>
  </r>
  <r>
    <s v="Гуляш Ласло"/>
    <x v="2"/>
    <s v="ЦН"/>
    <m/>
    <m/>
    <m/>
    <s v="Щеб"/>
    <s v="Щеб"/>
    <x v="23"/>
    <s v="Эвон"/>
    <m/>
    <n v="67.285714285714292"/>
    <n v="29"/>
    <n v="77"/>
    <n v="78"/>
    <n v="75"/>
    <n v="80"/>
    <n v="85"/>
    <n v="47"/>
    <n v="0"/>
    <n v="1902080"/>
    <n v="158506.66666666666"/>
    <n v="0"/>
    <n v="158506.66666666666"/>
    <n v="0"/>
    <n v="0"/>
  </r>
  <r>
    <s v="Дундич Милош"/>
    <x v="2"/>
    <s v="ЦН"/>
    <s v="ОФ"/>
    <m/>
    <m/>
    <s v="Щеб"/>
    <s v="Щеб"/>
    <x v="23"/>
    <s v="Эвон"/>
    <m/>
    <n v="67.285714285714292"/>
    <n v="29"/>
    <n v="77"/>
    <n v="78"/>
    <n v="75"/>
    <n v="80"/>
    <n v="85"/>
    <n v="47"/>
    <n v="0"/>
    <n v="1902080"/>
    <n v="158506.66666666666"/>
    <n v="0"/>
    <n v="158506.66666666666"/>
    <n v="0"/>
    <n v="0"/>
  </r>
  <r>
    <s v="Пелька Богуслав"/>
    <x v="2"/>
    <s v="ЦН"/>
    <m/>
    <m/>
    <m/>
    <s v="Щеб"/>
    <s v="Щеб"/>
    <x v="23"/>
    <s v="Эвон"/>
    <m/>
    <n v="67.285714285714292"/>
    <n v="29"/>
    <n v="77"/>
    <n v="78"/>
    <n v="75"/>
    <n v="80"/>
    <n v="85"/>
    <n v="47"/>
    <n v="0"/>
    <n v="1902080"/>
    <n v="158506.66666666666"/>
    <n v="0"/>
    <n v="158506.66666666666"/>
    <n v="0"/>
    <n v="0"/>
  </r>
  <r>
    <s v="Столеваро"/>
    <x v="2"/>
    <s v="ЦН"/>
    <m/>
    <m/>
    <s v="Щеб"/>
    <s v="Щеб"/>
    <s v="Щеб"/>
    <x v="23"/>
    <s v="Эвон"/>
    <m/>
    <n v="75.857142857142861"/>
    <n v="45"/>
    <n v="80"/>
    <n v="83"/>
    <n v="77"/>
    <n v="82"/>
    <n v="88"/>
    <n v="76"/>
    <n v="0"/>
    <n v="6309063"/>
    <n v="525755.25"/>
    <n v="0"/>
    <n v="525755.25"/>
    <n v="0"/>
    <n v="0"/>
  </r>
  <r>
    <s v="Цуз"/>
    <x v="2"/>
    <s v="ЦН"/>
    <m/>
    <m/>
    <s v="Гид"/>
    <s v="Гид"/>
    <s v="Гид"/>
    <x v="23"/>
    <s v="Эвон"/>
    <m/>
    <n v="64.428571428571431"/>
    <n v="34"/>
    <n v="60"/>
    <n v="79"/>
    <n v="71"/>
    <n v="60"/>
    <n v="96"/>
    <n v="51"/>
    <n v="0"/>
    <n v="1232495"/>
    <n v="102707.91666666667"/>
    <n v="0"/>
    <n v="102707.91666666667"/>
    <n v="0"/>
    <n v="0"/>
  </r>
  <r>
    <s v="Архос"/>
    <x v="3"/>
    <s v="ОПЗ"/>
    <s v="ЦЗ"/>
    <m/>
    <s v="Щеб"/>
    <s v="Щеб"/>
    <s v="Щеб"/>
    <x v="23"/>
    <s v="Эвон"/>
    <m/>
    <n v="54.428571428571431"/>
    <n v="39"/>
    <n v="64"/>
    <n v="55"/>
    <n v="65"/>
    <n v="72"/>
    <n v="52"/>
    <n v="34"/>
    <n v="0"/>
    <n v="228176"/>
    <n v="19014.666666666668"/>
    <n v="0"/>
    <n v="19014.666666666668"/>
    <n v="0"/>
    <n v="0"/>
  </r>
  <r>
    <s v="Жидель"/>
    <x v="3"/>
    <s v="ЦПЗ"/>
    <s v="ОПЗ"/>
    <m/>
    <s v="Щеб"/>
    <s v="Щеб"/>
    <s v="Щеб"/>
    <x v="23"/>
    <s v="Эвон"/>
    <m/>
    <n v="59.857142857142854"/>
    <n v="35"/>
    <n v="60"/>
    <n v="70"/>
    <n v="70"/>
    <n v="70"/>
    <n v="70"/>
    <n v="44"/>
    <n v="0"/>
    <n v="590419"/>
    <n v="13437.5"/>
    <n v="0"/>
    <n v="49201.583333333336"/>
    <n v="-72.69"/>
    <n v="0"/>
  </r>
  <r>
    <s v="Клоцка"/>
    <x v="3"/>
    <s v="ЦПЗ"/>
    <s v="АПЗ"/>
    <s v="ППЗ"/>
    <s v="Н.С."/>
    <s v="Н.С."/>
    <s v="Н.С."/>
    <x v="23"/>
    <s v="Эвон"/>
    <m/>
    <n v="71.857142857142861"/>
    <n v="56"/>
    <n v="83"/>
    <n v="70"/>
    <n v="80"/>
    <n v="84"/>
    <n v="90"/>
    <n v="40"/>
    <n v="0"/>
    <n v="3670283"/>
    <n v="305856.91666666669"/>
    <n v="0"/>
    <n v="305856.91666666669"/>
    <n v="0"/>
    <n v="0"/>
  </r>
  <r>
    <s v="Лолоилов (П)"/>
    <x v="3"/>
    <s v="ППЗ"/>
    <s v="ОПЗ"/>
    <m/>
    <s v="Щеб"/>
    <s v="Щеб"/>
    <s v="Щеб"/>
    <x v="23"/>
    <s v="Эвон"/>
    <m/>
    <n v="84.142857142857139"/>
    <n v="74"/>
    <n v="90"/>
    <n v="88"/>
    <n v="84"/>
    <n v="83"/>
    <n v="90"/>
    <n v="80"/>
    <n v="12"/>
    <n v="26684792"/>
    <n v="2223732.6666666665"/>
    <n v="0"/>
    <n v="2223732.6666666665"/>
    <n v="0"/>
    <n v="0"/>
  </r>
  <r>
    <s v="Пупкова Божена"/>
    <x v="3"/>
    <s v="ЦПЗ"/>
    <s v="АПЗ"/>
    <m/>
    <m/>
    <s v="Щеб"/>
    <s v="Щеб"/>
    <x v="23"/>
    <s v="Эвон"/>
    <m/>
    <n v="63.428571428571431"/>
    <n v="26"/>
    <n v="74"/>
    <n v="69"/>
    <n v="79"/>
    <n v="76"/>
    <n v="78"/>
    <n v="42"/>
    <n v="0"/>
    <n v="1054022"/>
    <n v="87835.166666666672"/>
    <n v="0"/>
    <n v="87835.166666666672"/>
    <n v="0"/>
    <n v="0"/>
  </r>
  <r>
    <s v="Синарчук Оксано"/>
    <x v="3"/>
    <s v="ППЗ"/>
    <s v="ОПЗ"/>
    <m/>
    <m/>
    <s v="Щеб"/>
    <s v="Щеб"/>
    <x v="23"/>
    <s v="Эвон"/>
    <m/>
    <n v="53.285714285714285"/>
    <n v="20"/>
    <n v="61"/>
    <n v="57"/>
    <n v="68"/>
    <n v="66"/>
    <n v="70"/>
    <n v="31"/>
    <n v="0"/>
    <n v="184548"/>
    <n v="15379"/>
    <n v="0"/>
    <n v="15379"/>
    <n v="0"/>
    <n v="0"/>
  </r>
  <r>
    <s v="Цубер (П)"/>
    <x v="3"/>
    <s v="ППЗ"/>
    <s v="ОПЗ"/>
    <m/>
    <s v="Щеб"/>
    <s v="Щеб"/>
    <s v="Щеб"/>
    <x v="23"/>
    <s v="Эвон"/>
    <m/>
    <n v="54.857142857142854"/>
    <n v="45"/>
    <n v="73"/>
    <n v="59"/>
    <n v="73"/>
    <n v="50"/>
    <n v="53"/>
    <n v="31"/>
    <n v="0"/>
    <n v="246793"/>
    <n v="20566.083333333332"/>
    <n v="0"/>
    <n v="20566.083333333332"/>
    <n v="0"/>
    <n v="0"/>
  </r>
  <r>
    <s v="Бабитов"/>
    <x v="4"/>
    <s v="Т"/>
    <m/>
    <m/>
    <m/>
    <s v="Щеб"/>
    <s v="Щеб"/>
    <x v="23"/>
    <s v="Эвон"/>
    <m/>
    <n v="70.142857142857139"/>
    <n v="47"/>
    <n v="69"/>
    <n v="81"/>
    <n v="72"/>
    <n v="72"/>
    <n v="81"/>
    <n v="69"/>
    <n v="0"/>
    <n v="2882933"/>
    <n v="240244.41666666666"/>
    <n v="0"/>
    <n v="240244.41666666666"/>
    <n v="0"/>
    <n v="0"/>
  </r>
  <r>
    <s v="Гавайи Остин"/>
    <x v="0"/>
    <s v="В"/>
    <m/>
    <m/>
    <m/>
    <s v="К.С."/>
    <s v="К.С."/>
    <x v="24"/>
    <s v="Эвон"/>
    <m/>
    <n v="50.857142857142854"/>
    <n v="8"/>
    <n v="65"/>
    <n v="58"/>
    <n v="63"/>
    <n v="65"/>
    <n v="67"/>
    <n v="30"/>
    <n v="0"/>
    <n v="115750"/>
    <n v="9645.8333333333339"/>
    <n v="0"/>
    <n v="9645.8333333333339"/>
    <n v="0"/>
    <n v="0"/>
  </r>
  <r>
    <s v="Кириба Рэй"/>
    <x v="0"/>
    <s v="В"/>
    <m/>
    <m/>
    <m/>
    <s v="К.С."/>
    <s v="К.С."/>
    <x v="24"/>
    <s v="Эвон"/>
    <m/>
    <n v="50.285714285714285"/>
    <n v="8"/>
    <n v="64"/>
    <n v="56"/>
    <n v="63"/>
    <n v="65"/>
    <n v="67"/>
    <n v="29"/>
    <n v="0"/>
    <n v="103383"/>
    <n v="8615.25"/>
    <n v="0"/>
    <n v="8615.25"/>
    <n v="0"/>
    <n v="0"/>
  </r>
  <r>
    <s v="Танефа Остин"/>
    <x v="0"/>
    <s v="В"/>
    <m/>
    <m/>
    <m/>
    <s v="К.С."/>
    <s v="К.С."/>
    <x v="24"/>
    <s v="Эвон"/>
    <m/>
    <n v="52.714285714285715"/>
    <n v="10"/>
    <n v="67"/>
    <n v="59"/>
    <n v="65"/>
    <n v="67"/>
    <n v="69"/>
    <n v="32"/>
    <n v="0"/>
    <n v="165686"/>
    <n v="13807.166666666666"/>
    <n v="0"/>
    <n v="13807.166666666666"/>
    <n v="0"/>
    <n v="0"/>
  </r>
  <r>
    <s v="Баско Кир"/>
    <x v="1"/>
    <s v="ЛЗ"/>
    <s v="ЦЗ"/>
    <m/>
    <m/>
    <s v="К.С."/>
    <s v="К.С."/>
    <x v="24"/>
    <s v="Эвон"/>
    <m/>
    <n v="59.571428571428569"/>
    <n v="36"/>
    <n v="70"/>
    <n v="62"/>
    <n v="66"/>
    <n v="68"/>
    <n v="70"/>
    <n v="45"/>
    <n v="0"/>
    <n v="562834"/>
    <n v="19014.666666666668"/>
    <n v="0"/>
    <n v="46902.833333333336"/>
    <n v="-59.46"/>
    <n v="0"/>
  </r>
  <r>
    <s v="Вакати Тим"/>
    <x v="1"/>
    <s v="ПЗ"/>
    <s v="ЦЗ"/>
    <m/>
    <m/>
    <s v="К.С."/>
    <s v="К.С."/>
    <x v="24"/>
    <s v="Эвон"/>
    <m/>
    <n v="52.857142857142854"/>
    <n v="9"/>
    <n v="69"/>
    <n v="60"/>
    <n v="65"/>
    <n v="67"/>
    <n v="69"/>
    <n v="31"/>
    <n v="0"/>
    <n v="170231"/>
    <n v="14185.916666666666"/>
    <n v="0"/>
    <n v="14185.916666666666"/>
    <n v="0"/>
    <n v="0"/>
  </r>
  <r>
    <s v="Кечуа Рой"/>
    <x v="1"/>
    <s v="ЦЗ"/>
    <s v="ЛЗ"/>
    <m/>
    <m/>
    <s v="К.С."/>
    <s v="К.С."/>
    <x v="24"/>
    <s v="Эвон"/>
    <m/>
    <n v="55.428571428571431"/>
    <n v="12"/>
    <n v="71"/>
    <n v="63"/>
    <n v="67"/>
    <n v="69"/>
    <n v="71"/>
    <n v="35"/>
    <n v="0"/>
    <n v="273740"/>
    <n v="22811.666666666668"/>
    <n v="0"/>
    <n v="22811.666666666668"/>
    <n v="0"/>
    <n v="0"/>
  </r>
  <r>
    <s v="Мбата Люк"/>
    <x v="1"/>
    <s v="ЦЗ"/>
    <s v="ОПЗ"/>
    <m/>
    <m/>
    <s v="К.С."/>
    <s v="К.С."/>
    <x v="24"/>
    <s v="Эвон"/>
    <m/>
    <n v="69.857142857142861"/>
    <n v="45"/>
    <n v="76"/>
    <n v="67"/>
    <n v="68"/>
    <n v="85"/>
    <n v="88"/>
    <n v="60"/>
    <n v="26"/>
    <n v="4151447"/>
    <n v="140930.5"/>
    <n v="0"/>
    <n v="345953.91666666669"/>
    <n v="-59.26"/>
    <n v="0"/>
  </r>
  <r>
    <s v="Хаури Ян"/>
    <x v="1"/>
    <s v="ПЗ"/>
    <s v="ЛЗ"/>
    <m/>
    <m/>
    <s v="К.С."/>
    <s v="К.С."/>
    <x v="24"/>
    <s v="Эвон"/>
    <m/>
    <n v="50.428571428571431"/>
    <n v="7"/>
    <n v="65"/>
    <n v="58"/>
    <n v="63"/>
    <n v="65"/>
    <n v="67"/>
    <n v="28"/>
    <n v="0"/>
    <n v="106358"/>
    <n v="8863.1666666666661"/>
    <n v="0"/>
    <n v="8863.1666666666661"/>
    <n v="0"/>
    <n v="0"/>
  </r>
  <r>
    <s v="Самоа Эрл"/>
    <x v="2"/>
    <s v="ОФ"/>
    <s v="ЦН"/>
    <m/>
    <m/>
    <s v="К.С."/>
    <s v="К.С."/>
    <x v="24"/>
    <s v="Эвон"/>
    <m/>
    <n v="55"/>
    <n v="10"/>
    <n v="70"/>
    <n v="63"/>
    <n v="68"/>
    <n v="70"/>
    <n v="72"/>
    <n v="32"/>
    <n v="0"/>
    <n v="253296"/>
    <n v="21108"/>
    <n v="0"/>
    <n v="21108"/>
    <n v="0"/>
    <n v="0"/>
  </r>
  <r>
    <s v="Тонга Дан"/>
    <x v="2"/>
    <s v="ОФ"/>
    <s v="ЦН"/>
    <m/>
    <m/>
    <s v="К.С."/>
    <s v="К.С."/>
    <x v="24"/>
    <s v="Эвон"/>
    <m/>
    <n v="60"/>
    <n v="14"/>
    <n v="75"/>
    <n v="68"/>
    <n v="73"/>
    <n v="75"/>
    <n v="77"/>
    <n v="38"/>
    <n v="0"/>
    <n v="604662"/>
    <n v="50388.5"/>
    <n v="0"/>
    <n v="50388.5"/>
    <n v="0"/>
    <n v="0"/>
  </r>
  <r>
    <s v="Фиджи Торвальд"/>
    <x v="2"/>
    <s v="ЦН"/>
    <s v="ОФ"/>
    <m/>
    <m/>
    <s v="К.С."/>
    <s v="К.С."/>
    <x v="24"/>
    <s v="Эвон"/>
    <m/>
    <n v="63.857142857142854"/>
    <n v="15"/>
    <n v="75"/>
    <n v="80"/>
    <n v="75"/>
    <n v="77"/>
    <n v="80"/>
    <n v="45"/>
    <n v="0"/>
    <n v="1127444"/>
    <n v="93953.666666666672"/>
    <n v="0"/>
    <n v="93953.666666666672"/>
    <n v="0"/>
    <n v="0"/>
  </r>
  <r>
    <s v="Валлий Стан"/>
    <x v="3"/>
    <s v="ЛПЗ"/>
    <s v="ОПЗ"/>
    <m/>
    <m/>
    <s v="К.С."/>
    <s v="К.С."/>
    <x v="24"/>
    <s v="Эвон"/>
    <m/>
    <n v="49.857142857142854"/>
    <n v="7"/>
    <n v="64"/>
    <n v="57"/>
    <n v="63"/>
    <n v="65"/>
    <n v="67"/>
    <n v="26"/>
    <n v="0"/>
    <n v="94902"/>
    <n v="7908.5"/>
    <n v="0"/>
    <n v="7908.5"/>
    <n v="0"/>
    <n v="0"/>
  </r>
  <r>
    <s v="Зулу Пол"/>
    <x v="3"/>
    <s v="АПЗ"/>
    <s v="ППЗ"/>
    <m/>
    <m/>
    <s v="К.С."/>
    <s v="К.С."/>
    <x v="24"/>
    <s v="Эвон"/>
    <m/>
    <n v="54.428571428571431"/>
    <n v="10"/>
    <n v="69"/>
    <n v="62"/>
    <n v="67"/>
    <n v="69"/>
    <n v="71"/>
    <n v="33"/>
    <n v="0"/>
    <n v="228176"/>
    <n v="19014.666666666668"/>
    <n v="0"/>
    <n v="19014.666666666668"/>
    <n v="0"/>
    <n v="0"/>
  </r>
  <r>
    <s v="Исланд Ижак"/>
    <x v="3"/>
    <s v="ППЗ"/>
    <s v="АПЗ"/>
    <m/>
    <m/>
    <s v="К.С."/>
    <s v="К.С."/>
    <x v="24"/>
    <s v="Эвон"/>
    <m/>
    <n v="63.285714285714285"/>
    <n v="35"/>
    <n v="71"/>
    <n v="64"/>
    <n v="69"/>
    <n v="71"/>
    <n v="73"/>
    <n v="60"/>
    <n v="0"/>
    <n v="1030522"/>
    <n v="25927.75"/>
    <n v="0"/>
    <n v="85876.833333333328"/>
    <n v="-69.81"/>
    <n v="0"/>
  </r>
  <r>
    <s v="Кикую Кайус"/>
    <x v="3"/>
    <s v="АПЗ"/>
    <s v="ЦПЗ"/>
    <m/>
    <m/>
    <s v="К.С."/>
    <s v="К.С."/>
    <x v="24"/>
    <s v="Эвон"/>
    <m/>
    <n v="48"/>
    <n v="6"/>
    <n v="60"/>
    <n v="54"/>
    <n v="62"/>
    <n v="64"/>
    <n v="66"/>
    <n v="24"/>
    <n v="0"/>
    <n v="64926"/>
    <n v="5410.5"/>
    <n v="0"/>
    <n v="5410.5"/>
    <n v="0"/>
    <n v="0"/>
  </r>
  <r>
    <s v="Маори Мэйс"/>
    <x v="3"/>
    <s v="ЦПЗ"/>
    <s v="ОПЗ"/>
    <m/>
    <m/>
    <s v="К.С."/>
    <s v="К.С."/>
    <x v="24"/>
    <s v="Эвон"/>
    <m/>
    <n v="58.285714285714285"/>
    <n v="13"/>
    <n v="73"/>
    <n v="66"/>
    <n v="71"/>
    <n v="73"/>
    <n v="75"/>
    <n v="37"/>
    <n v="0"/>
    <n v="452503"/>
    <n v="37708.583333333336"/>
    <n v="0"/>
    <n v="37708.583333333336"/>
    <n v="0"/>
    <n v="0"/>
  </r>
  <r>
    <s v="Стамич (П)"/>
    <x v="3"/>
    <s v="ЦПЗ"/>
    <s v="ППЗ"/>
    <m/>
    <s v="Кут"/>
    <s v="Кут"/>
    <s v="Кут"/>
    <x v="24"/>
    <s v="Эвон"/>
    <m/>
    <n v="72.142857142857139"/>
    <n v="65"/>
    <n v="67"/>
    <n v="79"/>
    <n v="75"/>
    <n v="83"/>
    <n v="84"/>
    <n v="52"/>
    <n v="0"/>
    <n v="3818857"/>
    <n v="318238.08333333331"/>
    <n v="0"/>
    <n v="318238.08333333331"/>
    <n v="0"/>
    <n v="0"/>
  </r>
  <r>
    <s v="Суахил Дар"/>
    <x v="3"/>
    <s v="ОПЗ"/>
    <s v="ЦПЗ"/>
    <m/>
    <m/>
    <s v="К.С."/>
    <s v="К.С."/>
    <x v="24"/>
    <s v="Эвон"/>
    <m/>
    <n v="53.428571428571431"/>
    <n v="9"/>
    <n v="68"/>
    <n v="60"/>
    <n v="67"/>
    <n v="69"/>
    <n v="71"/>
    <n v="30"/>
    <n v="0"/>
    <n v="189556"/>
    <n v="15796.333333333334"/>
    <n v="0"/>
    <n v="15796.333333333334"/>
    <n v="0"/>
    <n v="0"/>
  </r>
  <r>
    <s v="Таити Кс"/>
    <x v="3"/>
    <s v="ППЗ"/>
    <s v="АПЗ"/>
    <m/>
    <m/>
    <s v="К.С."/>
    <s v="К.С."/>
    <x v="24"/>
    <s v="Эвон"/>
    <m/>
    <n v="62.571428571428569"/>
    <n v="14"/>
    <n v="73"/>
    <n v="77"/>
    <n v="75"/>
    <n v="77"/>
    <n v="79"/>
    <n v="43"/>
    <n v="0"/>
    <n v="919943"/>
    <n v="76661.916666666672"/>
    <n v="0"/>
    <n v="76661.916666666672"/>
    <n v="0"/>
    <n v="0"/>
  </r>
  <r>
    <s v="Ароха Элд"/>
    <x v="4"/>
    <s v="Т"/>
    <m/>
    <m/>
    <m/>
    <s v="К.С."/>
    <s v="К.С."/>
    <x v="24"/>
    <s v="Эвон"/>
    <m/>
    <n v="51.285714285714285"/>
    <n v="9"/>
    <n v="65"/>
    <n v="57"/>
    <n v="64"/>
    <n v="66"/>
    <n v="68"/>
    <n v="30"/>
    <n v="0"/>
    <n v="125883"/>
    <n v="10490.25"/>
    <n v="0"/>
    <n v="10490.25"/>
    <n v="0"/>
    <n v="0"/>
  </r>
  <r>
    <s v="Лортун"/>
    <x v="0"/>
    <s v="В"/>
    <m/>
    <m/>
    <s v="Н.С."/>
    <s v="Н.С."/>
    <s v="Н.С."/>
    <x v="25"/>
    <s v="Эвон"/>
    <m/>
    <n v="70.285714285714292"/>
    <n v="42"/>
    <n v="94"/>
    <n v="70"/>
    <n v="72"/>
    <n v="74"/>
    <n v="80"/>
    <n v="60"/>
    <n v="0"/>
    <n v="2942190"/>
    <n v="245182.5"/>
    <n v="0"/>
    <n v="245182.5"/>
    <n v="0"/>
    <n v="0"/>
  </r>
  <r>
    <s v="Армис"/>
    <x v="1"/>
    <s v="ЦЗ"/>
    <s v="ОПЗ"/>
    <m/>
    <s v="Н.С."/>
    <s v="Н.С."/>
    <s v="Н.С."/>
    <x v="25"/>
    <s v="Эвон"/>
    <m/>
    <n v="79.571428571428569"/>
    <n v="60"/>
    <n v="77"/>
    <n v="87"/>
    <n v="85"/>
    <n v="85"/>
    <n v="93"/>
    <n v="70"/>
    <n v="28"/>
    <n v="15263806"/>
    <n v="1271983.8333333333"/>
    <n v="0"/>
    <n v="1271983.8333333333"/>
    <n v="0"/>
    <n v="0"/>
  </r>
  <r>
    <s v="Барик"/>
    <x v="1"/>
    <s v="ЦЗ"/>
    <s v="ПЗ"/>
    <m/>
    <s v="Н.С."/>
    <s v="Н.С."/>
    <s v="Н.С."/>
    <x v="25"/>
    <s v="Эвон"/>
    <m/>
    <n v="75.142857142857139"/>
    <n v="50"/>
    <n v="72"/>
    <n v="80"/>
    <n v="81"/>
    <n v="88"/>
    <n v="90"/>
    <n v="65"/>
    <n v="0"/>
    <n v="5739540"/>
    <n v="478295"/>
    <n v="0"/>
    <n v="478295"/>
    <n v="0"/>
    <n v="0"/>
  </r>
  <r>
    <s v="Берторов Эик"/>
    <x v="1"/>
    <s v="ЛЗ"/>
    <s v="ЦЗ"/>
    <m/>
    <m/>
    <s v="Н.С."/>
    <s v="Н.С."/>
    <x v="25"/>
    <s v="Эвон"/>
    <m/>
    <n v="55.285714285714285"/>
    <n v="16"/>
    <n v="61"/>
    <n v="57"/>
    <n v="69"/>
    <n v="75"/>
    <n v="77"/>
    <n v="32"/>
    <n v="0"/>
    <n v="266766"/>
    <n v="22230.5"/>
    <n v="0"/>
    <n v="22230.5"/>
    <n v="0"/>
    <n v="0"/>
  </r>
  <r>
    <s v="Тавьер"/>
    <x v="1"/>
    <s v="ЦЗ"/>
    <m/>
    <m/>
    <s v="Н.С."/>
    <s v="Н.С."/>
    <s v="Н.С."/>
    <x v="25"/>
    <s v="Эвон"/>
    <m/>
    <n v="73"/>
    <n v="51"/>
    <n v="73"/>
    <n v="78"/>
    <n v="80"/>
    <n v="82"/>
    <n v="87"/>
    <n v="60"/>
    <n v="0"/>
    <n v="4297626"/>
    <n v="358135.5"/>
    <n v="0"/>
    <n v="358135.5"/>
    <n v="0"/>
    <n v="0"/>
  </r>
  <r>
    <s v="Хагмар Бранд"/>
    <x v="1"/>
    <s v="ЦЗ"/>
    <s v="ОПЗ"/>
    <m/>
    <m/>
    <s v="Н.С."/>
    <s v="Н.С."/>
    <x v="25"/>
    <s v="Эвон"/>
    <m/>
    <n v="66.285714285714292"/>
    <n v="23"/>
    <n v="76"/>
    <n v="70"/>
    <n v="82"/>
    <n v="84"/>
    <n v="86"/>
    <n v="43"/>
    <n v="0"/>
    <n v="1637569"/>
    <n v="136464.08333333334"/>
    <n v="0"/>
    <n v="136464.08333333334"/>
    <n v="0"/>
    <n v="0"/>
  </r>
  <r>
    <s v="Шьорнхард Рэнар"/>
    <x v="2"/>
    <s v="ОФ"/>
    <s v="ЦН"/>
    <m/>
    <m/>
    <s v="Н.С."/>
    <s v="Н.С."/>
    <x v="25"/>
    <s v="Эвон"/>
    <m/>
    <n v="64.428571428571431"/>
    <n v="24"/>
    <n v="75"/>
    <n v="75"/>
    <n v="76"/>
    <n v="77"/>
    <n v="80"/>
    <n v="44"/>
    <n v="0"/>
    <n v="1232495"/>
    <n v="102707.91666666667"/>
    <n v="0"/>
    <n v="102707.91666666667"/>
    <n v="0"/>
    <n v="0"/>
  </r>
  <r>
    <s v="Зейброн"/>
    <x v="2"/>
    <s v="ЦН"/>
    <m/>
    <m/>
    <s v="Н.С."/>
    <s v="Н.С."/>
    <s v="Н.С."/>
    <x v="25"/>
    <s v="Эвон"/>
    <m/>
    <n v="66.857142857142861"/>
    <n v="45"/>
    <n v="75"/>
    <n v="76"/>
    <n v="70"/>
    <n v="75"/>
    <n v="77"/>
    <n v="50"/>
    <n v="0"/>
    <n v="1784343"/>
    <n v="22811.666666666668"/>
    <n v="0"/>
    <n v="148695.25"/>
    <n v="-84.66"/>
    <n v="0"/>
  </r>
  <r>
    <s v="Клеверт"/>
    <x v="2"/>
    <s v="ОФ"/>
    <m/>
    <m/>
    <s v="Н.С."/>
    <s v="Н.С."/>
    <s v="Н.С."/>
    <x v="25"/>
    <s v="Эвон"/>
    <m/>
    <n v="63.428571428571431"/>
    <n v="45"/>
    <n v="85"/>
    <n v="61"/>
    <n v="80"/>
    <n v="61"/>
    <n v="65"/>
    <n v="47"/>
    <n v="0"/>
    <n v="1054022"/>
    <n v="24015.166666666668"/>
    <n v="0"/>
    <n v="87835.166666666672"/>
    <n v="-72.66"/>
    <n v="0"/>
  </r>
  <r>
    <s v="Молодцов (Н)"/>
    <x v="2"/>
    <s v="ЦН"/>
    <m/>
    <m/>
    <s v="Н.С."/>
    <s v="Н.С."/>
    <s v="Н.С."/>
    <x v="25"/>
    <s v="Эвон"/>
    <m/>
    <n v="82.428571428571431"/>
    <n v="70"/>
    <n v="85"/>
    <n v="88"/>
    <n v="85"/>
    <n v="80"/>
    <n v="85"/>
    <n v="84"/>
    <n v="12"/>
    <n v="21720459"/>
    <n v="1810038.25"/>
    <n v="0"/>
    <n v="1810038.25"/>
    <n v="0"/>
    <n v="0"/>
  </r>
  <r>
    <s v="Авин (П)"/>
    <x v="3"/>
    <s v="ЦПЗ"/>
    <s v="ЛПЗ"/>
    <s v="АПЗ"/>
    <s v="Н.С."/>
    <s v="Н.С."/>
    <s v="Н.С."/>
    <x v="25"/>
    <s v="Эвон"/>
    <m/>
    <n v="72.142857142857139"/>
    <n v="60"/>
    <n v="82"/>
    <n v="79"/>
    <n v="73"/>
    <n v="79"/>
    <n v="88"/>
    <n v="44"/>
    <n v="0"/>
    <n v="3818857"/>
    <n v="318238.08333333331"/>
    <n v="0"/>
    <n v="318238.08333333331"/>
    <n v="0"/>
    <n v="0"/>
  </r>
  <r>
    <s v="Вальд Торкель"/>
    <x v="3"/>
    <s v="ЦПЗ"/>
    <s v="ОПЗ"/>
    <m/>
    <m/>
    <s v="Н.С."/>
    <s v="Н.С."/>
    <x v="25"/>
    <s v="Эвон"/>
    <m/>
    <n v="62"/>
    <n v="24"/>
    <n v="73"/>
    <n v="69"/>
    <n v="79"/>
    <n v="73"/>
    <n v="75"/>
    <n v="41"/>
    <n v="0"/>
    <n v="839300"/>
    <n v="69941.666666666672"/>
    <n v="0"/>
    <n v="69941.666666666672"/>
    <n v="0"/>
    <n v="0"/>
  </r>
  <r>
    <s v="Грим Кетиль"/>
    <x v="3"/>
    <s v="АПЗ"/>
    <s v="ЦПЗ"/>
    <m/>
    <m/>
    <s v="Н.С."/>
    <s v="Н.С."/>
    <x v="25"/>
    <s v="Эвон"/>
    <m/>
    <n v="51.142857142857146"/>
    <n v="16"/>
    <n v="55"/>
    <n v="59"/>
    <n v="67"/>
    <n v="65"/>
    <n v="68"/>
    <n v="28"/>
    <n v="0"/>
    <n v="122420"/>
    <n v="10201.666666666666"/>
    <n v="0"/>
    <n v="10201.666666666666"/>
    <n v="0"/>
    <n v="0"/>
  </r>
  <r>
    <s v="Дверг Хальвар"/>
    <x v="3"/>
    <s v="ППЗ"/>
    <s v="ЛПЗ"/>
    <m/>
    <m/>
    <s v="Н.С."/>
    <s v="Н.С."/>
    <x v="25"/>
    <s v="Эвон"/>
    <m/>
    <n v="53.571428571428569"/>
    <n v="18"/>
    <n v="59"/>
    <n v="61"/>
    <n v="69"/>
    <n v="67"/>
    <n v="70"/>
    <n v="31"/>
    <n v="0"/>
    <n v="194685"/>
    <n v="16223.75"/>
    <n v="0"/>
    <n v="16223.75"/>
    <n v="0"/>
    <n v="0"/>
  </r>
  <r>
    <s v="Ормов Кетиль"/>
    <x v="3"/>
    <s v="ОПЗ"/>
    <s v="ЦПЗ"/>
    <m/>
    <m/>
    <s v="Н.С."/>
    <s v="Н.С."/>
    <x v="25"/>
    <s v="Эвон"/>
    <m/>
    <n v="56.142857142857146"/>
    <n v="18"/>
    <n v="62"/>
    <n v="62"/>
    <n v="70"/>
    <n v="74"/>
    <n v="77"/>
    <n v="30"/>
    <n v="0"/>
    <n v="311133"/>
    <n v="25927.75"/>
    <n v="0"/>
    <n v="25927.75"/>
    <n v="0"/>
    <n v="0"/>
  </r>
  <r>
    <s v="Полли Мейс"/>
    <x v="3"/>
    <s v="ЛПЗ"/>
    <s v="ЦПЗ"/>
    <m/>
    <s v="Н.С."/>
    <s v="Н.С."/>
    <s v="Н.С."/>
    <x v="25"/>
    <s v="Эвон"/>
    <m/>
    <n v="76.142857142857139"/>
    <n v="61"/>
    <n v="93"/>
    <n v="84"/>
    <n v="82"/>
    <n v="79"/>
    <n v="75"/>
    <n v="59"/>
    <n v="0"/>
    <n v="6550761"/>
    <n v="545896.75"/>
    <n v="0"/>
    <n v="545896.75"/>
    <n v="0"/>
    <n v="0"/>
  </r>
  <r>
    <s v="Скегги Олаф"/>
    <x v="3"/>
    <s v="ЛПЗ"/>
    <s v="ОПЗ"/>
    <m/>
    <m/>
    <s v="Н.С."/>
    <s v="Н.С."/>
    <x v="25"/>
    <s v="Эвон"/>
    <m/>
    <n v="61.571428571428569"/>
    <n v="21"/>
    <n v="72"/>
    <n v="68"/>
    <n v="80"/>
    <n v="76"/>
    <n v="78"/>
    <n v="36"/>
    <n v="0"/>
    <n v="783056"/>
    <n v="65254.666666666664"/>
    <n v="0"/>
    <n v="65254.666666666664"/>
    <n v="0"/>
    <n v="0"/>
  </r>
  <r>
    <s v="Толтер"/>
    <x v="3"/>
    <s v="ОПЗ"/>
    <s v="ЦЗ"/>
    <m/>
    <s v="Н.С."/>
    <s v="Н.С."/>
    <s v="Н.С."/>
    <x v="25"/>
    <s v="Эвон"/>
    <m/>
    <n v="69.428571428571431"/>
    <n v="50"/>
    <n v="76"/>
    <n v="80"/>
    <n v="78"/>
    <n v="85"/>
    <n v="76"/>
    <n v="41"/>
    <n v="0"/>
    <n v="2602450"/>
    <n v="216870.83333333334"/>
    <n v="0"/>
    <n v="216870.83333333334"/>
    <n v="0"/>
    <n v="0"/>
  </r>
  <r>
    <s v="Тролль Звен"/>
    <x v="3"/>
    <s v="ППЗ"/>
    <s v="АПЗ"/>
    <m/>
    <m/>
    <s v="Н.С."/>
    <s v="Н.С."/>
    <x v="25"/>
    <s v="Эвон"/>
    <m/>
    <n v="59.428571428571431"/>
    <n v="19"/>
    <n v="70"/>
    <n v="68"/>
    <n v="76"/>
    <n v="74"/>
    <n v="76"/>
    <n v="33"/>
    <n v="0"/>
    <n v="549482"/>
    <n v="45790.166666666664"/>
    <n v="0"/>
    <n v="45790.166666666664"/>
    <n v="0"/>
    <n v="0"/>
  </r>
  <r>
    <s v="Актукае Борис"/>
    <x v="4"/>
    <s v="Т"/>
    <m/>
    <m/>
    <m/>
    <s v="Н.С."/>
    <s v="Н.С."/>
    <x v="25"/>
    <s v="Эвон"/>
    <m/>
    <n v="61.857142857142854"/>
    <n v="21"/>
    <n v="72"/>
    <n v="66"/>
    <n v="76"/>
    <n v="78"/>
    <n v="80"/>
    <n v="40"/>
    <n v="0"/>
    <n v="820160"/>
    <n v="68346.666666666672"/>
    <n v="0"/>
    <n v="68346.666666666672"/>
    <n v="0"/>
    <n v="0"/>
  </r>
  <r>
    <s v="Гриллис Олаф"/>
    <x v="0"/>
    <s v="В"/>
    <m/>
    <m/>
    <m/>
    <s v="Б.Л."/>
    <s v="Б.Л."/>
    <x v="26"/>
    <s v="Эвон"/>
    <m/>
    <n v="60.428571428571431"/>
    <n v="22"/>
    <n v="63"/>
    <n v="68"/>
    <n v="72"/>
    <n v="73"/>
    <n v="74"/>
    <n v="51"/>
    <n v="0"/>
    <n v="649267"/>
    <n v="54105.583333333336"/>
    <n v="0"/>
    <n v="54105.583333333336"/>
    <n v="0"/>
    <n v="0"/>
  </r>
  <r>
    <s v="Кулистис"/>
    <x v="0"/>
    <s v="В"/>
    <m/>
    <m/>
    <s v="Б.Л."/>
    <s v="Б.Л."/>
    <s v="Б.Л."/>
    <x v="26"/>
    <s v="Эвон"/>
    <m/>
    <n v="60.142857142857146"/>
    <n v="31"/>
    <n v="60"/>
    <n v="70"/>
    <n v="70"/>
    <n v="70"/>
    <n v="70"/>
    <n v="50"/>
    <n v="0"/>
    <n v="619214"/>
    <n v="51601.166666666664"/>
    <n v="0"/>
    <n v="51601.166666666664"/>
    <n v="0"/>
    <n v="0"/>
  </r>
  <r>
    <s v="Жербиллон Люк"/>
    <x v="1"/>
    <s v="ПЗ"/>
    <s v="ОПЗ"/>
    <m/>
    <m/>
    <s v="Б.Л."/>
    <s v="Б.Л."/>
    <x v="26"/>
    <s v="Эвон"/>
    <m/>
    <n v="66.571428571428569"/>
    <n v="40"/>
    <n v="81"/>
    <n v="59"/>
    <n v="74"/>
    <n v="73"/>
    <n v="79"/>
    <n v="60"/>
    <n v="0"/>
    <n v="1709539"/>
    <n v="142461.58333333334"/>
    <n v="0"/>
    <n v="142461.58333333334"/>
    <n v="0"/>
    <n v="0"/>
  </r>
  <r>
    <s v="Жэбьер"/>
    <x v="1"/>
    <s v="ПЗ"/>
    <s v="ОПЗ"/>
    <m/>
    <s v="Б.Л."/>
    <s v="Б.Л."/>
    <s v="Б.Л."/>
    <x v="26"/>
    <s v="Эвон"/>
    <m/>
    <n v="72.142857142857139"/>
    <n v="59"/>
    <n v="90"/>
    <n v="60"/>
    <n v="72"/>
    <n v="70"/>
    <n v="84"/>
    <n v="70"/>
    <n v="0"/>
    <n v="3818857"/>
    <n v="318238.08333333331"/>
    <n v="0"/>
    <n v="318238.08333333331"/>
    <n v="0"/>
    <n v="0"/>
  </r>
  <r>
    <s v="Поллак Драго"/>
    <x v="1"/>
    <s v="ЦЗ"/>
    <s v="ОПЗ"/>
    <m/>
    <m/>
    <s v="Б.Л."/>
    <s v="Б.Л."/>
    <x v="26"/>
    <s v="Эвон"/>
    <m/>
    <n v="69.428571428571431"/>
    <n v="37"/>
    <n v="72"/>
    <n v="65"/>
    <n v="84"/>
    <n v="86"/>
    <n v="85"/>
    <n v="57"/>
    <n v="0"/>
    <n v="2602450"/>
    <n v="216870.83333333334"/>
    <n v="0"/>
    <n v="216870.83333333334"/>
    <n v="0"/>
    <n v="0"/>
  </r>
  <r>
    <s v="Поллони"/>
    <x v="1"/>
    <s v="ЦЗ"/>
    <m/>
    <m/>
    <s v="Б.Л."/>
    <s v="Б.Л."/>
    <s v="Б.Л."/>
    <x v="26"/>
    <s v="Эвон"/>
    <m/>
    <n v="78.142857142857139"/>
    <n v="65"/>
    <n v="70"/>
    <n v="67"/>
    <n v="87"/>
    <n v="90"/>
    <n v="90"/>
    <n v="78"/>
    <n v="0"/>
    <n v="8489711"/>
    <n v="707475.91666666663"/>
    <n v="0"/>
    <n v="707475.91666666663"/>
    <n v="0"/>
    <n v="0"/>
  </r>
  <r>
    <s v="Трумм"/>
    <x v="1"/>
    <s v="ЦЗ"/>
    <m/>
    <m/>
    <s v="Б.Л."/>
    <s v="Б.Л."/>
    <s v="Б.Л."/>
    <x v="26"/>
    <s v="Эвон"/>
    <m/>
    <n v="64.714285714285708"/>
    <n v="51"/>
    <n v="65"/>
    <n v="65"/>
    <n v="68"/>
    <n v="63"/>
    <n v="78"/>
    <n v="63"/>
    <n v="0"/>
    <n v="1288255"/>
    <n v="107354.58333333333"/>
    <n v="0"/>
    <n v="107354.58333333333"/>
    <n v="0"/>
    <n v="0"/>
  </r>
  <r>
    <s v="Труммер Йенс"/>
    <x v="1"/>
    <s v="ЦЗ"/>
    <m/>
    <m/>
    <m/>
    <s v="Б.Л."/>
    <s v="Б.Л."/>
    <x v="26"/>
    <s v="Эвон"/>
    <m/>
    <n v="66.571428571428569"/>
    <n v="40"/>
    <n v="81"/>
    <n v="59"/>
    <n v="74"/>
    <n v="73"/>
    <n v="79"/>
    <n v="60"/>
    <n v="0"/>
    <n v="1709539"/>
    <n v="142461.58333333334"/>
    <n v="0"/>
    <n v="142461.58333333334"/>
    <n v="0"/>
    <n v="0"/>
  </r>
  <r>
    <s v="Чаплин Матс"/>
    <x v="1"/>
    <s v="ЦЗ"/>
    <s v="ЛЗ"/>
    <m/>
    <m/>
    <s v="Б.Л."/>
    <s v="Б.Л."/>
    <x v="26"/>
    <s v="Эвон"/>
    <m/>
    <n v="64.428571428571431"/>
    <n v="26"/>
    <n v="77"/>
    <n v="61"/>
    <n v="79"/>
    <n v="74"/>
    <n v="80"/>
    <n v="54"/>
    <n v="0"/>
    <n v="1232495"/>
    <n v="102707.91666666667"/>
    <n v="0"/>
    <n v="102707.91666666667"/>
    <n v="0"/>
    <n v="0"/>
  </r>
  <r>
    <s v="Чаптец"/>
    <x v="1"/>
    <s v="ЦЗ"/>
    <m/>
    <m/>
    <s v="Б.Л."/>
    <s v="Б.Л."/>
    <s v="Б.Л."/>
    <x v="26"/>
    <s v="Эвон"/>
    <m/>
    <n v="72.571428571428569"/>
    <n v="45"/>
    <n v="74"/>
    <n v="74"/>
    <n v="93"/>
    <n v="66"/>
    <n v="84"/>
    <n v="72"/>
    <n v="0"/>
    <n v="4051882"/>
    <n v="337656.83333333331"/>
    <n v="0"/>
    <n v="337656.83333333331"/>
    <n v="0"/>
    <n v="0"/>
  </r>
  <r>
    <s v="Игла (Н)"/>
    <x v="2"/>
    <s v="ЦН"/>
    <s v="ОФ"/>
    <m/>
    <s v="Б.Л."/>
    <s v="Б.Л."/>
    <s v="Б.Л."/>
    <x v="26"/>
    <s v="Эвон"/>
    <m/>
    <n v="80.142857142857139"/>
    <n v="65"/>
    <n v="91"/>
    <n v="85"/>
    <n v="80"/>
    <n v="80"/>
    <n v="80"/>
    <n v="80"/>
    <n v="3"/>
    <n v="16396059"/>
    <n v="1366338.25"/>
    <n v="0"/>
    <n v="1366338.25"/>
    <n v="0"/>
    <n v="0"/>
  </r>
  <r>
    <s v="Иглесиас Марк"/>
    <x v="2"/>
    <s v="ЦН"/>
    <s v="ОФ"/>
    <m/>
    <m/>
    <s v="Б.Л."/>
    <s v="Б.Л."/>
    <x v="26"/>
    <s v="Эвон"/>
    <m/>
    <n v="68.714285714285708"/>
    <n v="33"/>
    <n v="83"/>
    <n v="72"/>
    <n v="77"/>
    <n v="76"/>
    <n v="78"/>
    <n v="62"/>
    <n v="0"/>
    <n v="2346770"/>
    <n v="195564.16666666666"/>
    <n v="0"/>
    <n v="195564.16666666666"/>
    <n v="0"/>
    <n v="0"/>
  </r>
  <r>
    <s v="Тавош (Н)"/>
    <x v="2"/>
    <s v="ЦН"/>
    <s v="АПЗ"/>
    <m/>
    <s v="Б.Л."/>
    <s v="Б.Л."/>
    <s v="Б.Л."/>
    <x v="26"/>
    <s v="Эвон"/>
    <m/>
    <n v="78"/>
    <n v="60"/>
    <n v="78"/>
    <n v="92"/>
    <n v="75"/>
    <n v="86"/>
    <n v="95"/>
    <n v="60"/>
    <n v="0"/>
    <n v="8335776"/>
    <n v="694648"/>
    <n v="0"/>
    <n v="694648"/>
    <n v="0"/>
    <n v="0"/>
  </r>
  <r>
    <s v="Таврин Рауль"/>
    <x v="2"/>
    <s v="ЦН"/>
    <s v="АПЗ"/>
    <m/>
    <m/>
    <s v="Б.Л."/>
    <s v="Б.Л."/>
    <x v="26"/>
    <s v="Эвон"/>
    <m/>
    <n v="66.428571428571431"/>
    <n v="28"/>
    <n v="70"/>
    <n v="78"/>
    <n v="73"/>
    <n v="79"/>
    <n v="82"/>
    <n v="55"/>
    <n v="0"/>
    <n v="1673205"/>
    <n v="139433.75"/>
    <n v="0"/>
    <n v="139433.75"/>
    <n v="0"/>
    <n v="0"/>
  </r>
  <r>
    <s v="Шуббер"/>
    <x v="2"/>
    <s v="ЦН"/>
    <s v="АПЗ"/>
    <m/>
    <s v="Р.Тесно"/>
    <s v="Р.Тесно"/>
    <s v="Р.Тесно"/>
    <x v="26"/>
    <s v="Эвон"/>
    <m/>
    <n v="54.857142857142854"/>
    <n v="15"/>
    <n v="58"/>
    <n v="68"/>
    <n v="66"/>
    <n v="71"/>
    <n v="76"/>
    <n v="30"/>
    <n v="0"/>
    <n v="246793"/>
    <n v="20566.083333333332"/>
    <n v="0"/>
    <n v="20566.083333333332"/>
    <n v="0"/>
    <n v="0"/>
  </r>
  <r>
    <s v="Шуберт Дитер"/>
    <x v="2"/>
    <s v="ЦН"/>
    <m/>
    <m/>
    <m/>
    <s v="Б.Л."/>
    <s v="Б.Л."/>
    <x v="26"/>
    <s v="Эвон"/>
    <m/>
    <n v="65.857142857142861"/>
    <n v="31"/>
    <n v="74"/>
    <n v="76"/>
    <n v="75"/>
    <n v="72"/>
    <n v="80"/>
    <n v="53"/>
    <n v="0"/>
    <n v="1534719"/>
    <n v="127893.25"/>
    <n v="0"/>
    <n v="127893.25"/>
    <n v="0"/>
    <n v="0"/>
  </r>
  <r>
    <s v="Горшеба"/>
    <x v="3"/>
    <s v="ЦПЗ"/>
    <m/>
    <m/>
    <s v="Генуа"/>
    <s v="Генуа"/>
    <s v="Генуа"/>
    <x v="26"/>
    <s v="Эвон"/>
    <m/>
    <n v="61.428571428571431"/>
    <n v="30"/>
    <n v="63"/>
    <n v="68"/>
    <n v="70"/>
    <n v="72"/>
    <n v="76"/>
    <n v="51"/>
    <n v="0"/>
    <n v="765076"/>
    <n v="63756.333333333336"/>
    <n v="0"/>
    <n v="63756.333333333336"/>
    <n v="0"/>
    <n v="0"/>
  </r>
  <r>
    <s v="Крамму"/>
    <x v="3"/>
    <s v="ОПЗ"/>
    <s v="ЦЗ"/>
    <m/>
    <s v="Туркан"/>
    <s v="Туркан"/>
    <s v="Туркан"/>
    <x v="26"/>
    <s v="Эвон"/>
    <m/>
    <n v="54.428571428571431"/>
    <n v="61"/>
    <n v="52"/>
    <n v="60"/>
    <n v="56"/>
    <n v="62"/>
    <n v="52"/>
    <n v="38"/>
    <n v="0"/>
    <n v="228176"/>
    <n v="19014.666666666668"/>
    <n v="0"/>
    <n v="19014.666666666668"/>
    <n v="0"/>
    <n v="0"/>
  </r>
  <r>
    <s v="Маковец (П)"/>
    <x v="3"/>
    <s v="ЦПЗ"/>
    <s v="ППЗ"/>
    <s v="АПЗ"/>
    <s v="Б.Л."/>
    <s v="Б.Л."/>
    <s v="Б.Л."/>
    <x v="26"/>
    <s v="Эвон"/>
    <m/>
    <n v="73.428571428571431"/>
    <n v="50"/>
    <n v="77"/>
    <n v="83"/>
    <n v="77"/>
    <n v="75"/>
    <n v="87"/>
    <n v="65"/>
    <n v="0"/>
    <n v="4556704"/>
    <n v="379725.33333333331"/>
    <n v="0"/>
    <n v="379725.33333333331"/>
    <n v="0"/>
    <n v="0"/>
  </r>
  <r>
    <s v="Макович Станко"/>
    <x v="3"/>
    <s v="ЦПЗ"/>
    <s v="ППЗ"/>
    <m/>
    <m/>
    <s v="Б.Л."/>
    <s v="Б.Л."/>
    <x v="26"/>
    <s v="Эвон"/>
    <m/>
    <n v="65.857142857142861"/>
    <n v="31"/>
    <n v="74"/>
    <n v="76"/>
    <n v="75"/>
    <n v="72"/>
    <n v="80"/>
    <n v="53"/>
    <n v="0"/>
    <n v="1534719"/>
    <n v="127893.25"/>
    <n v="0"/>
    <n v="127893.25"/>
    <n v="0"/>
    <n v="0"/>
  </r>
  <r>
    <s v="Тисс"/>
    <x v="3"/>
    <s v="ОПЗ"/>
    <m/>
    <m/>
    <s v="Турк"/>
    <s v="Турк"/>
    <s v="Турк"/>
    <x v="26"/>
    <s v="Эвон"/>
    <m/>
    <n v="69.142857142857139"/>
    <n v="59"/>
    <n v="70"/>
    <n v="70"/>
    <n v="70"/>
    <n v="80"/>
    <n v="80"/>
    <n v="55"/>
    <n v="0"/>
    <n v="2497315"/>
    <n v="42593.083333333336"/>
    <n v="0"/>
    <n v="208109.58333333334"/>
    <n v="-79.53"/>
    <n v="0"/>
  </r>
  <r>
    <s v="Хак (П)"/>
    <x v="3"/>
    <s v="ППЗ"/>
    <s v="ЦПЗ"/>
    <m/>
    <s v="Б.Л."/>
    <s v="Б.Л."/>
    <s v="Б.Л."/>
    <x v="26"/>
    <s v="Эвон"/>
    <m/>
    <n v="74.857142857142861"/>
    <n v="51"/>
    <n v="86"/>
    <n v="80"/>
    <n v="84"/>
    <n v="73"/>
    <n v="84"/>
    <n v="66"/>
    <n v="3"/>
    <n v="8287504"/>
    <n v="615498.83333333337"/>
    <n v="0"/>
    <n v="690625.33333333337"/>
    <n v="-10.88"/>
    <n v="0"/>
  </r>
  <r>
    <s v="Хаккель Вим"/>
    <x v="3"/>
    <s v="ППЗ"/>
    <s v="ЛПЗ"/>
    <s v="ЦПЗ"/>
    <m/>
    <s v="Б.Л."/>
    <s v="Б.Л."/>
    <x v="26"/>
    <s v="Эвон"/>
    <m/>
    <n v="70.714285714285708"/>
    <n v="40"/>
    <n v="86"/>
    <n v="72"/>
    <n v="80"/>
    <n v="70"/>
    <n v="77"/>
    <n v="70"/>
    <n v="23"/>
    <n v="4689893"/>
    <n v="390824.41666666669"/>
    <n v="0"/>
    <n v="390824.41666666669"/>
    <n v="0"/>
    <n v="0"/>
  </r>
  <r>
    <s v="Эж Рейт"/>
    <x v="3"/>
    <s v="ЛПЗ"/>
    <s v="ЦПЗ"/>
    <m/>
    <s v="Биссий"/>
    <s v="Биссий"/>
    <s v="Биссий"/>
    <x v="26"/>
    <s v="Эвон"/>
    <m/>
    <n v="54.142857142857146"/>
    <n v="18"/>
    <n v="80"/>
    <n v="60"/>
    <n v="63"/>
    <n v="68"/>
    <n v="62"/>
    <n v="28"/>
    <n v="0"/>
    <n v="216477"/>
    <n v="18039.75"/>
    <n v="0"/>
    <n v="18039.75"/>
    <n v="0"/>
    <n v="0"/>
  </r>
  <r>
    <s v="Дустер"/>
    <x v="4"/>
    <s v="Т"/>
    <m/>
    <m/>
    <m/>
    <s v="Б.Л."/>
    <s v="Б.Л."/>
    <x v="26"/>
    <s v="Эвон"/>
    <m/>
    <n v="69.714285714285708"/>
    <n v="68"/>
    <n v="81"/>
    <n v="73"/>
    <n v="79"/>
    <n v="79"/>
    <n v="65"/>
    <n v="43"/>
    <n v="0"/>
    <n v="2711552"/>
    <n v="225962.66666666666"/>
    <n v="0"/>
    <n v="225962.66666666666"/>
    <n v="0"/>
    <n v="0"/>
  </r>
  <r>
    <s v="Орнвикус Торстейн"/>
    <x v="0"/>
    <s v="В"/>
    <m/>
    <m/>
    <m/>
    <s v="Кирп"/>
    <s v="Кирп"/>
    <x v="27"/>
    <s v="Эвон"/>
    <m/>
    <n v="56.285714285714285"/>
    <n v="10"/>
    <n v="72"/>
    <n v="64"/>
    <n v="70"/>
    <n v="72"/>
    <n v="74"/>
    <n v="32"/>
    <n v="0"/>
    <n v="319141"/>
    <n v="26595.083333333332"/>
    <n v="0"/>
    <n v="26595.083333333332"/>
    <n v="0"/>
    <n v="0"/>
  </r>
  <r>
    <s v="Хальвардус Сигурд"/>
    <x v="0"/>
    <s v="В"/>
    <m/>
    <m/>
    <m/>
    <s v="Кирп"/>
    <s v="Кирп"/>
    <x v="27"/>
    <s v="Эвон"/>
    <m/>
    <n v="53.857142857142854"/>
    <n v="8"/>
    <n v="69"/>
    <n v="61"/>
    <n v="68"/>
    <n v="70"/>
    <n v="72"/>
    <n v="29"/>
    <n v="0"/>
    <n v="205321"/>
    <n v="17110.083333333332"/>
    <n v="0"/>
    <n v="17110.083333333332"/>
    <n v="0"/>
    <n v="0"/>
  </r>
  <r>
    <s v="Гуннила Лонс"/>
    <x v="1"/>
    <s v="ЦЗ"/>
    <s v="ЛЗ"/>
    <m/>
    <m/>
    <s v="Кирп"/>
    <s v="Кирп"/>
    <x v="27"/>
    <s v="Эвон"/>
    <m/>
    <n v="63"/>
    <n v="33"/>
    <n v="76"/>
    <n v="75"/>
    <n v="72"/>
    <n v="74"/>
    <n v="76"/>
    <n v="35"/>
    <n v="16"/>
    <n v="1477396"/>
    <n v="42593.083333333336"/>
    <n v="0"/>
    <n v="123116.33333333333"/>
    <n v="-65.400000000000006"/>
    <n v="0"/>
  </r>
  <r>
    <s v="Трюггвиус Свейн"/>
    <x v="1"/>
    <s v="ПЗ"/>
    <s v="ЛЗ"/>
    <m/>
    <m/>
    <s v="Кирп"/>
    <s v="Кирп"/>
    <x v="27"/>
    <s v="Эвон"/>
    <m/>
    <n v="54"/>
    <n v="7"/>
    <n v="70"/>
    <n v="63"/>
    <n v="68"/>
    <n v="70"/>
    <n v="72"/>
    <n v="28"/>
    <n v="0"/>
    <n v="210833"/>
    <n v="17569.416666666668"/>
    <n v="0"/>
    <n v="17569.416666666668"/>
    <n v="0"/>
    <n v="0"/>
  </r>
  <r>
    <s v="Хаконус Магнус"/>
    <x v="1"/>
    <s v="ЛЗ"/>
    <s v="ЦЗ"/>
    <m/>
    <m/>
    <s v="Кирп"/>
    <s v="Кирп"/>
    <x v="27"/>
    <s v="Эвон"/>
    <m/>
    <n v="58"/>
    <n v="11"/>
    <n v="75"/>
    <n v="67"/>
    <n v="71"/>
    <n v="73"/>
    <n v="75"/>
    <n v="34"/>
    <n v="0"/>
    <n v="430805"/>
    <n v="35900.416666666664"/>
    <n v="0"/>
    <n v="35900.416666666664"/>
    <n v="0"/>
    <n v="0"/>
  </r>
  <r>
    <s v="Харальдус Снорри"/>
    <x v="1"/>
    <s v="ЦЗ"/>
    <s v="ОПЗ"/>
    <m/>
    <m/>
    <s v="Кирп"/>
    <s v="Кирп"/>
    <x v="27"/>
    <s v="Эвон"/>
    <m/>
    <n v="51"/>
    <n v="6"/>
    <n v="66"/>
    <n v="59"/>
    <n v="65"/>
    <n v="67"/>
    <n v="69"/>
    <n v="25"/>
    <n v="0"/>
    <n v="119043"/>
    <n v="9920.25"/>
    <n v="0"/>
    <n v="9920.25"/>
    <n v="0"/>
    <n v="0"/>
  </r>
  <r>
    <s v="Хрольфус Эйнар"/>
    <x v="1"/>
    <s v="ПЗ"/>
    <s v="ЦЗ"/>
    <m/>
    <m/>
    <s v="Кирп"/>
    <s v="Кирп"/>
    <x v="27"/>
    <s v="Эвон"/>
    <m/>
    <n v="56.428571428571431"/>
    <n v="9"/>
    <n v="74"/>
    <n v="65"/>
    <n v="70"/>
    <n v="72"/>
    <n v="74"/>
    <n v="31"/>
    <n v="0"/>
    <n v="327334"/>
    <n v="27277.833333333332"/>
    <n v="0"/>
    <n v="27277.833333333332"/>
    <n v="0"/>
    <n v="0"/>
  </r>
  <r>
    <s v="Магнусус Фритьоф"/>
    <x v="2"/>
    <s v="ЦН"/>
    <s v="ОФ"/>
    <m/>
    <m/>
    <s v="Кирп"/>
    <s v="Кирп"/>
    <x v="27"/>
    <s v="Эвон"/>
    <m/>
    <n v="73"/>
    <n v="25"/>
    <n v="90"/>
    <n v="84"/>
    <n v="86"/>
    <n v="88"/>
    <n v="90"/>
    <n v="48"/>
    <n v="0"/>
    <n v="4297626"/>
    <n v="358135.5"/>
    <n v="0"/>
    <n v="358135.5"/>
    <n v="0"/>
    <n v="0"/>
  </r>
  <r>
    <s v="Свейнус Хакон"/>
    <x v="2"/>
    <s v="ОФ"/>
    <s v="ЦН"/>
    <m/>
    <m/>
    <s v="Кирп"/>
    <s v="Кирп"/>
    <x v="27"/>
    <s v="Эвон"/>
    <m/>
    <n v="58.571428571428569"/>
    <n v="10"/>
    <n v="75"/>
    <n v="68"/>
    <n v="73"/>
    <n v="75"/>
    <n v="77"/>
    <n v="32"/>
    <n v="0"/>
    <n v="475181"/>
    <n v="39598.416666666664"/>
    <n v="0"/>
    <n v="39598.416666666664"/>
    <n v="0"/>
    <n v="0"/>
  </r>
  <r>
    <s v="Баал Торвик"/>
    <x v="3"/>
    <s v="ЛПЗ"/>
    <s v="ОПЗ"/>
    <m/>
    <m/>
    <s v="Кирп"/>
    <s v="Кирп"/>
    <x v="27"/>
    <s v="Эвон"/>
    <m/>
    <n v="68.857142857142861"/>
    <n v="45"/>
    <n v="80"/>
    <n v="73"/>
    <n v="78"/>
    <n v="80"/>
    <n v="82"/>
    <n v="44"/>
    <n v="0"/>
    <n v="2396018"/>
    <n v="199668.16666666666"/>
    <n v="0"/>
    <n v="199668.16666666666"/>
    <n v="0"/>
    <n v="0"/>
  </r>
  <r>
    <s v="Визонус Аслак"/>
    <x v="3"/>
    <s v="ОПЗ"/>
    <s v="ЦЗ"/>
    <m/>
    <m/>
    <s v="Кирп"/>
    <s v="Кирп"/>
    <x v="27"/>
    <s v="Эвон"/>
    <m/>
    <n v="61.857142857142854"/>
    <n v="13"/>
    <n v="78"/>
    <n v="71"/>
    <n v="76"/>
    <n v="78"/>
    <n v="80"/>
    <n v="37"/>
    <n v="0"/>
    <n v="820160"/>
    <n v="68346.666666666672"/>
    <n v="0"/>
    <n v="68346.666666666672"/>
    <n v="0"/>
    <n v="0"/>
  </r>
  <r>
    <s v="Гермодус Витто"/>
    <x v="3"/>
    <s v="ППЗ"/>
    <s v="АПЗ"/>
    <m/>
    <m/>
    <s v="Кирп"/>
    <s v="Кирп"/>
    <x v="27"/>
    <s v="Эвон"/>
    <m/>
    <n v="76.571428571428569"/>
    <n v="28"/>
    <n v="92"/>
    <n v="88"/>
    <n v="90"/>
    <n v="92"/>
    <n v="94"/>
    <n v="52"/>
    <n v="0"/>
    <n v="6928952"/>
    <n v="577412.66666666663"/>
    <n v="0"/>
    <n v="577412.66666666663"/>
    <n v="0"/>
    <n v="0"/>
  </r>
  <r>
    <s v="Гузи (П)"/>
    <x v="3"/>
    <s v="ППЗ"/>
    <m/>
    <m/>
    <s v="Зар"/>
    <s v="Зар"/>
    <s v="Зар"/>
    <x v="27"/>
    <s v="Эвон"/>
    <m/>
    <n v="61.714285714285715"/>
    <n v="40"/>
    <n v="74"/>
    <n v="71"/>
    <n v="65"/>
    <n v="60"/>
    <n v="72"/>
    <n v="50"/>
    <n v="0"/>
    <n v="801415"/>
    <n v="66784.583333333328"/>
    <n v="0"/>
    <n v="66784.583333333328"/>
    <n v="0"/>
    <n v="0"/>
  </r>
  <r>
    <s v="Ингварус Кетиль"/>
    <x v="3"/>
    <s v="АПЗ"/>
    <s v="ЦПЗ"/>
    <m/>
    <m/>
    <s v="Кирп"/>
    <s v="Кирп"/>
    <x v="27"/>
    <s v="Эвон"/>
    <m/>
    <n v="53.428571428571431"/>
    <n v="7"/>
    <n v="69"/>
    <n v="62"/>
    <n v="68"/>
    <n v="70"/>
    <n v="72"/>
    <n v="26"/>
    <n v="0"/>
    <n v="189556"/>
    <n v="15796.333333333334"/>
    <n v="0"/>
    <n v="15796.333333333334"/>
    <n v="0"/>
    <n v="0"/>
  </r>
  <r>
    <s v="Сигвальдус Хрольф"/>
    <x v="3"/>
    <s v="ЦПЗ"/>
    <s v="ОПЗ"/>
    <m/>
    <m/>
    <s v="Кирп"/>
    <s v="Кирп"/>
    <x v="27"/>
    <s v="Эвон"/>
    <m/>
    <n v="51.571428571428569"/>
    <n v="6"/>
    <n v="65"/>
    <n v="59"/>
    <n v="67"/>
    <n v="69"/>
    <n v="71"/>
    <n v="24"/>
    <n v="0"/>
    <n v="133074"/>
    <n v="11089.5"/>
    <n v="0"/>
    <n v="11089.5"/>
    <n v="0"/>
    <n v="0"/>
  </r>
  <r>
    <s v="Снорриус Хальвар"/>
    <x v="3"/>
    <s v="АПЗ"/>
    <s v="ППЗ"/>
    <m/>
    <m/>
    <s v="Кирп"/>
    <s v="Кирп"/>
    <x v="27"/>
    <s v="Эвон"/>
    <m/>
    <n v="59.714285714285715"/>
    <n v="11"/>
    <n v="76"/>
    <n v="69"/>
    <n v="74"/>
    <n v="76"/>
    <n v="78"/>
    <n v="34"/>
    <n v="0"/>
    <n v="576478"/>
    <n v="48039.833333333336"/>
    <n v="0"/>
    <n v="48039.833333333336"/>
    <n v="0"/>
    <n v="0"/>
  </r>
  <r>
    <s v="Торлейфус Бьорн"/>
    <x v="3"/>
    <s v="ЦПЗ"/>
    <s v="ЛПЗ"/>
    <m/>
    <m/>
    <s v="Кирп"/>
    <s v="Кирп"/>
    <x v="27"/>
    <s v="Эвон"/>
    <m/>
    <n v="58"/>
    <n v="10"/>
    <n v="74"/>
    <n v="67"/>
    <n v="72"/>
    <n v="74"/>
    <n v="76"/>
    <n v="33"/>
    <n v="0"/>
    <n v="430805"/>
    <n v="35900.416666666664"/>
    <n v="0"/>
    <n v="35900.416666666664"/>
    <n v="0"/>
    <n v="0"/>
  </r>
  <r>
    <s v="Фритьофус Хермод"/>
    <x v="3"/>
    <s v="ОПЗ"/>
    <s v="ЦПЗ"/>
    <m/>
    <m/>
    <s v="Кирп"/>
    <s v="Кирп"/>
    <x v="27"/>
    <s v="Эвон"/>
    <m/>
    <n v="57"/>
    <n v="9"/>
    <n v="73"/>
    <n v="65"/>
    <n v="72"/>
    <n v="74"/>
    <n v="76"/>
    <n v="30"/>
    <n v="0"/>
    <n v="362034"/>
    <n v="30169.5"/>
    <n v="0"/>
    <n v="30169.5"/>
    <n v="0"/>
    <n v="0"/>
  </r>
  <r>
    <s v="Эйнарус Сигурд"/>
    <x v="3"/>
    <s v="ППЗ"/>
    <s v="ЛПЗ"/>
    <m/>
    <m/>
    <s v="Кирп"/>
    <s v="Кирп"/>
    <x v="27"/>
    <s v="Эвон"/>
    <m/>
    <n v="55.142857142857146"/>
    <n v="8"/>
    <n v="70"/>
    <n v="64"/>
    <n v="70"/>
    <n v="72"/>
    <n v="74"/>
    <n v="28"/>
    <n v="0"/>
    <n v="259952"/>
    <n v="21662.666666666668"/>
    <n v="0"/>
    <n v="21662.666666666668"/>
    <n v="0"/>
    <n v="0"/>
  </r>
  <r>
    <s v="Рагнвальдус Ингвар"/>
    <x v="4"/>
    <s v="Т"/>
    <m/>
    <m/>
    <m/>
    <s v="Кирп"/>
    <s v="Кирп"/>
    <x v="27"/>
    <s v="Эвон"/>
    <m/>
    <n v="54.857142857142854"/>
    <n v="9"/>
    <n v="70"/>
    <n v="62"/>
    <n v="69"/>
    <n v="71"/>
    <n v="73"/>
    <n v="30"/>
    <n v="0"/>
    <n v="246793"/>
    <n v="20566.083333333332"/>
    <n v="0"/>
    <n v="20566.083333333332"/>
    <n v="0"/>
    <n v="0"/>
  </r>
  <r>
    <s v="Бруно Тадек"/>
    <x v="0"/>
    <s v="В"/>
    <m/>
    <m/>
    <m/>
    <s v="Сар"/>
    <s v="Сар"/>
    <x v="28"/>
    <s v="Эвон"/>
    <m/>
    <n v="69.857142857142861"/>
    <n v="40"/>
    <n v="75"/>
    <n v="75"/>
    <n v="78"/>
    <n v="80"/>
    <n v="81"/>
    <n v="60"/>
    <n v="0"/>
    <n v="2767632"/>
    <n v="117219.66666666667"/>
    <n v="0"/>
    <n v="230636"/>
    <n v="-49.18"/>
    <n v="0"/>
  </r>
  <r>
    <s v="Гага (В)"/>
    <x v="0"/>
    <s v="В"/>
    <m/>
    <m/>
    <s v="Сар"/>
    <s v="Мель"/>
    <s v="Мель"/>
    <x v="28"/>
    <s v="Эвон"/>
    <m/>
    <n v="82.857142857142861"/>
    <n v="70"/>
    <n v="93"/>
    <n v="90"/>
    <n v="85"/>
    <n v="80"/>
    <n v="92"/>
    <n v="70"/>
    <n v="31"/>
    <n v="22876564"/>
    <n v="1441188.0833333333"/>
    <n v="0"/>
    <n v="1906380.3333333333"/>
    <n v="-24.4"/>
    <n v="0"/>
  </r>
  <r>
    <s v="Вергас Илия"/>
    <x v="1"/>
    <s v="ЦЗ"/>
    <s v="ОПЗ"/>
    <m/>
    <s v="Сар"/>
    <s v="Сар"/>
    <s v="Сар"/>
    <x v="28"/>
    <s v="Эвон"/>
    <m/>
    <n v="70.857142857142861"/>
    <n v="36"/>
    <n v="74"/>
    <n v="68"/>
    <n v="86"/>
    <n v="88"/>
    <n v="86"/>
    <n v="58"/>
    <n v="0"/>
    <n v="3190336"/>
    <n v="265861.33333333331"/>
    <n v="0"/>
    <n v="265861.33333333331"/>
    <n v="0"/>
    <n v="0"/>
  </r>
  <r>
    <s v="Гранеро (З)"/>
    <x v="1"/>
    <s v="ЦЗ"/>
    <s v="ПЗ"/>
    <s v="ОПЗ"/>
    <s v="Павс"/>
    <s v="Павс"/>
    <s v="Павс"/>
    <x v="28"/>
    <s v="Эвон"/>
    <m/>
    <n v="92.571428571428569"/>
    <n v="84"/>
    <n v="86"/>
    <n v="90"/>
    <n v="99"/>
    <n v="95"/>
    <n v="98"/>
    <n v="96"/>
    <n v="27"/>
    <n v="69320378"/>
    <n v="5776698.166666667"/>
    <n v="0"/>
    <n v="5776698.166666667"/>
    <n v="0"/>
    <n v="0"/>
  </r>
  <r>
    <s v="Дошкетов"/>
    <x v="1"/>
    <s v="ЦЗ"/>
    <m/>
    <m/>
    <s v="Сар"/>
    <s v="Сар"/>
    <s v="Сар"/>
    <x v="28"/>
    <s v="Эвон"/>
    <m/>
    <n v="78.142857142857139"/>
    <n v="61"/>
    <n v="75"/>
    <n v="85"/>
    <n v="80"/>
    <n v="81"/>
    <n v="95"/>
    <n v="70"/>
    <n v="27"/>
    <n v="12734566"/>
    <n v="1061213.8333333333"/>
    <n v="0"/>
    <n v="1061213.8333333333"/>
    <n v="0"/>
    <n v="0"/>
  </r>
  <r>
    <s v="Кальво Реми"/>
    <x v="1"/>
    <s v="ЦЗ"/>
    <s v="ЛЗ"/>
    <m/>
    <m/>
    <s v="Сар"/>
    <s v="Сар"/>
    <x v="28"/>
    <s v="Эвон"/>
    <m/>
    <n v="60.285714285714285"/>
    <n v="19"/>
    <n v="79"/>
    <n v="50"/>
    <n v="72"/>
    <n v="74"/>
    <n v="77"/>
    <n v="51"/>
    <n v="0"/>
    <n v="634081"/>
    <n v="52840.083333333336"/>
    <n v="0"/>
    <n v="52840.083333333336"/>
    <n v="0"/>
    <n v="0"/>
  </r>
  <r>
    <s v="Мортез Оскар"/>
    <x v="1"/>
    <s v="ПЗ"/>
    <s v="ЛЗ"/>
    <m/>
    <m/>
    <s v="Сар"/>
    <s v="Сар"/>
    <x v="28"/>
    <s v="Эвон"/>
    <m/>
    <n v="65.857142857142861"/>
    <n v="38"/>
    <n v="66"/>
    <n v="63"/>
    <n v="80"/>
    <n v="76"/>
    <n v="82"/>
    <n v="56"/>
    <n v="0"/>
    <n v="1534719"/>
    <n v="127893.25"/>
    <n v="0"/>
    <n v="127893.25"/>
    <n v="0"/>
    <n v="0"/>
  </r>
  <r>
    <s v="Сеулла (З)"/>
    <x v="1"/>
    <s v="ЦЗ"/>
    <s v="ПЗ"/>
    <m/>
    <s v="Сар"/>
    <s v="Сар"/>
    <s v="Сар"/>
    <x v="28"/>
    <s v="Эвон"/>
    <m/>
    <n v="84.142857142857139"/>
    <n v="77"/>
    <n v="80"/>
    <n v="90"/>
    <n v="87"/>
    <n v="88"/>
    <n v="89"/>
    <n v="78"/>
    <n v="26"/>
    <n v="26684792"/>
    <n v="2223732.6666666665"/>
    <n v="0"/>
    <n v="2223732.6666666665"/>
    <n v="0"/>
    <n v="0"/>
  </r>
  <r>
    <s v="Тарквин Жан"/>
    <x v="1"/>
    <s v="ЦЗ"/>
    <s v="ПЗ"/>
    <m/>
    <m/>
    <s v="Сар"/>
    <s v="Сар"/>
    <x v="28"/>
    <s v="Эвон"/>
    <m/>
    <n v="63.571428571428569"/>
    <n v="21"/>
    <n v="82"/>
    <n v="57"/>
    <n v="75"/>
    <n v="78"/>
    <n v="80"/>
    <n v="52"/>
    <n v="0"/>
    <n v="1078003"/>
    <n v="89833.583333333328"/>
    <n v="0"/>
    <n v="89833.583333333328"/>
    <n v="0"/>
    <n v="0"/>
  </r>
  <r>
    <s v="Щедрюк (З)"/>
    <x v="1"/>
    <s v="ЦЗ"/>
    <s v="ПЗ"/>
    <m/>
    <s v="Сар"/>
    <s v="Сар"/>
    <s v="Сар"/>
    <x v="28"/>
    <s v="Эвон"/>
    <m/>
    <n v="83.428571428571431"/>
    <n v="75"/>
    <n v="76"/>
    <n v="93"/>
    <n v="85"/>
    <n v="86"/>
    <n v="89"/>
    <n v="80"/>
    <n v="26"/>
    <n v="24504133"/>
    <n v="2042011.0833333333"/>
    <n v="0"/>
    <n v="2042011.0833333333"/>
    <n v="0"/>
    <n v="0"/>
  </r>
  <r>
    <s v="Айкин (Н)"/>
    <x v="2"/>
    <s v="ЦН"/>
    <s v="ОФ"/>
    <m/>
    <s v="Сар"/>
    <s v="Сар"/>
    <s v="Сар"/>
    <x v="28"/>
    <s v="Эвон"/>
    <m/>
    <n v="77.571428571428569"/>
    <n v="62"/>
    <n v="80"/>
    <n v="85"/>
    <n v="81"/>
    <n v="80"/>
    <n v="85"/>
    <n v="70"/>
    <n v="16"/>
    <n v="11833390"/>
    <n v="986115.83333333337"/>
    <n v="0"/>
    <n v="986115.83333333337"/>
    <n v="0"/>
    <n v="0"/>
  </r>
  <r>
    <s v="Головняк (Н)"/>
    <x v="2"/>
    <s v="ЦН"/>
    <s v="ОФ"/>
    <m/>
    <s v="Сар"/>
    <s v="Сар"/>
    <s v="Сар"/>
    <x v="28"/>
    <s v="Эвон"/>
    <m/>
    <n v="91.142857142857139"/>
    <n v="86"/>
    <n v="86"/>
    <n v="97"/>
    <n v="86"/>
    <n v="91"/>
    <n v="98"/>
    <n v="94"/>
    <n v="7"/>
    <n v="59335916"/>
    <n v="4944659.666666667"/>
    <n v="0"/>
    <n v="4944659.666666667"/>
    <n v="0"/>
    <n v="0"/>
  </r>
  <r>
    <s v="Данило Кепе"/>
    <x v="2"/>
    <s v="ЦН"/>
    <s v="ОФ"/>
    <m/>
    <m/>
    <s v="Сар"/>
    <s v="Сар"/>
    <x v="28"/>
    <s v="Эвон"/>
    <m/>
    <n v="69.714285714285708"/>
    <n v="45"/>
    <n v="78"/>
    <n v="70"/>
    <n v="77"/>
    <n v="84"/>
    <n v="79"/>
    <n v="55"/>
    <n v="0"/>
    <n v="2711552"/>
    <n v="172494.25"/>
    <n v="0"/>
    <n v="225962.66666666666"/>
    <n v="-23.66"/>
    <n v="0"/>
  </r>
  <r>
    <s v="Ройчев"/>
    <x v="2"/>
    <s v="ЦН"/>
    <s v="АПЗ"/>
    <m/>
    <s v="Сар"/>
    <s v="Сар"/>
    <s v="Сар"/>
    <x v="28"/>
    <s v="Эвон"/>
    <m/>
    <n v="65.857142857142861"/>
    <n v="45"/>
    <n v="72"/>
    <n v="73"/>
    <n v="70"/>
    <n v="70"/>
    <n v="79"/>
    <n v="52"/>
    <n v="0"/>
    <n v="1534719"/>
    <n v="127893.25"/>
    <n v="0"/>
    <n v="127893.25"/>
    <n v="0"/>
    <n v="0"/>
  </r>
  <r>
    <s v="Ферран Уго"/>
    <x v="2"/>
    <s v="ЦН"/>
    <s v="АПЗ"/>
    <m/>
    <s v="Сар"/>
    <s v="Сар"/>
    <s v="Сар"/>
    <x v="28"/>
    <s v="Эвон"/>
    <m/>
    <n v="74.714285714285708"/>
    <n v="45"/>
    <n v="80"/>
    <n v="85"/>
    <n v="80"/>
    <n v="83"/>
    <n v="90"/>
    <n v="60"/>
    <n v="7"/>
    <n v="8130697"/>
    <n v="677558.08333333337"/>
    <n v="0"/>
    <n v="677558.08333333337"/>
    <n v="0"/>
    <n v="0"/>
  </r>
  <r>
    <s v="Брито Санто"/>
    <x v="3"/>
    <s v="ЦПЗ"/>
    <s v="АПЗ"/>
    <m/>
    <m/>
    <s v="Сар"/>
    <s v="Сар"/>
    <x v="28"/>
    <s v="Эвон"/>
    <m/>
    <n v="68.428571428571431"/>
    <n v="35"/>
    <n v="78"/>
    <n v="71"/>
    <n v="82"/>
    <n v="79"/>
    <n v="77"/>
    <n v="57"/>
    <n v="0"/>
    <n v="2250997"/>
    <n v="187583.08333333334"/>
    <n v="0"/>
    <n v="187583.08333333334"/>
    <n v="0"/>
    <n v="0"/>
  </r>
  <r>
    <s v="В.Умный (П)"/>
    <x v="3"/>
    <s v="АПЗ"/>
    <s v="ППЗ"/>
    <s v="ЛПЗ"/>
    <s v="Сар"/>
    <s v="Сар"/>
    <s v="Сар"/>
    <x v="28"/>
    <s v="Эвон"/>
    <m/>
    <n v="89.857142857142861"/>
    <n v="90"/>
    <n v="83"/>
    <n v="95"/>
    <n v="93"/>
    <n v="89"/>
    <n v="88"/>
    <n v="91"/>
    <n v="24"/>
    <n v="51477485"/>
    <n v="4289790.416666667"/>
    <n v="0"/>
    <n v="4289790.416666667"/>
    <n v="0"/>
    <n v="0"/>
  </r>
  <r>
    <s v="Главин (П)"/>
    <x v="3"/>
    <s v="ЦПЗ"/>
    <s v="АПЗ"/>
    <m/>
    <s v="Сар"/>
    <s v="Сар"/>
    <s v="Сар"/>
    <x v="28"/>
    <s v="Эвон"/>
    <m/>
    <n v="87.428571428571431"/>
    <n v="88"/>
    <n v="85"/>
    <n v="92"/>
    <n v="85"/>
    <n v="90"/>
    <n v="92"/>
    <n v="80"/>
    <n v="26"/>
    <n v="39140384"/>
    <n v="3261698.6666666665"/>
    <n v="0"/>
    <n v="3261698.6666666665"/>
    <n v="0"/>
    <n v="0"/>
  </r>
  <r>
    <s v="Локомотивов"/>
    <x v="3"/>
    <s v="ОПЗ"/>
    <s v="ЦПЗ"/>
    <s v="ЦЗ"/>
    <s v="Сар"/>
    <s v="Сар"/>
    <s v="Сар"/>
    <x v="28"/>
    <s v="Эвон"/>
    <m/>
    <n v="88.285714285714292"/>
    <n v="84"/>
    <n v="80"/>
    <n v="92"/>
    <n v="84"/>
    <n v="98"/>
    <n v="97"/>
    <n v="83"/>
    <n v="18"/>
    <n v="43151472"/>
    <n v="3595956"/>
    <n v="0"/>
    <n v="3595956"/>
    <n v="0"/>
    <n v="0"/>
  </r>
  <r>
    <s v="Мануэль Тито"/>
    <x v="3"/>
    <s v="ЦПЗ"/>
    <s v="ОПЗ"/>
    <m/>
    <m/>
    <s v="Сар"/>
    <s v="Сар"/>
    <x v="28"/>
    <s v="Эвон"/>
    <m/>
    <n v="63.714285714285715"/>
    <n v="28"/>
    <n v="73"/>
    <n v="64"/>
    <n v="76"/>
    <n v="77"/>
    <n v="75"/>
    <n v="53"/>
    <n v="0"/>
    <n v="1102474"/>
    <n v="91872.833333333328"/>
    <n v="0"/>
    <n v="91872.833333333328"/>
    <n v="0"/>
    <n v="0"/>
  </r>
  <r>
    <s v="Рока Бенито"/>
    <x v="3"/>
    <s v="ОПЗ"/>
    <s v="ЦЗ"/>
    <m/>
    <m/>
    <s v="Сар"/>
    <s v="Сар"/>
    <x v="28"/>
    <s v="Эвон"/>
    <m/>
    <n v="67.142857142857139"/>
    <n v="32"/>
    <n v="69"/>
    <n v="67"/>
    <n v="78"/>
    <n v="85"/>
    <n v="80"/>
    <n v="59"/>
    <n v="0"/>
    <n v="1862080"/>
    <n v="155173.33333333334"/>
    <n v="0"/>
    <n v="155173.33333333334"/>
    <n v="0"/>
    <n v="0"/>
  </r>
  <r>
    <s v="Сторен (П)"/>
    <x v="3"/>
    <s v="ЦПЗ"/>
    <s v="АПЗ"/>
    <m/>
    <s v="Сар"/>
    <s v="Сар"/>
    <s v="Сар"/>
    <x v="28"/>
    <s v="Эвон"/>
    <m/>
    <n v="85.571428571428569"/>
    <n v="83"/>
    <n v="82"/>
    <n v="84"/>
    <n v="85"/>
    <n v="91"/>
    <n v="93"/>
    <n v="81"/>
    <n v="18"/>
    <n v="31577598"/>
    <n v="2631466.5"/>
    <n v="0"/>
    <n v="2631466.5"/>
    <n v="0"/>
    <n v="0"/>
  </r>
  <r>
    <s v="Бристон Рэй"/>
    <x v="0"/>
    <s v="В"/>
    <m/>
    <m/>
    <m/>
    <s v="Бел"/>
    <s v="Бел"/>
    <x v="29"/>
    <s v="Эвон"/>
    <m/>
    <n v="64"/>
    <n v="20"/>
    <n v="77"/>
    <n v="73"/>
    <n v="77"/>
    <n v="79"/>
    <n v="81"/>
    <n v="41"/>
    <n v="0"/>
    <n v="1152922"/>
    <n v="96076.833333333328"/>
    <n v="0"/>
    <n v="96076.833333333328"/>
    <n v="0"/>
    <n v="0"/>
  </r>
  <r>
    <s v="Вентворт-Клаус Остин"/>
    <x v="0"/>
    <s v="В"/>
    <m/>
    <m/>
    <m/>
    <s v="Бел"/>
    <s v="Бел"/>
    <x v="29"/>
    <s v="Эвон"/>
    <m/>
    <n v="66.428571428571431"/>
    <n v="22"/>
    <n v="81"/>
    <n v="75"/>
    <n v="79"/>
    <n v="81"/>
    <n v="83"/>
    <n v="44"/>
    <n v="0"/>
    <n v="1673205"/>
    <n v="139433.75"/>
    <n v="0"/>
    <n v="139433.75"/>
    <n v="0"/>
    <n v="0"/>
  </r>
  <r>
    <s v="Грейвз Люк"/>
    <x v="1"/>
    <s v="ЦЗ"/>
    <s v="ОПЗ"/>
    <m/>
    <m/>
    <s v="Бел"/>
    <s v="Бел"/>
    <x v="29"/>
    <s v="Эвон"/>
    <m/>
    <n v="63"/>
    <n v="20"/>
    <n v="80"/>
    <n v="71"/>
    <n v="75"/>
    <n v="77"/>
    <n v="79"/>
    <n v="39"/>
    <n v="0"/>
    <n v="984931"/>
    <n v="82077.583333333328"/>
    <n v="0"/>
    <n v="82077.583333333328"/>
    <n v="0"/>
    <n v="0"/>
  </r>
  <r>
    <s v="Пендлтон Рой"/>
    <x v="1"/>
    <s v="ЦЗ"/>
    <s v="ЛЗ"/>
    <m/>
    <m/>
    <s v="Бел"/>
    <s v="Бел"/>
    <x v="29"/>
    <s v="Эвон"/>
    <m/>
    <n v="69.571428571428569"/>
    <n v="25"/>
    <n v="87"/>
    <n v="79"/>
    <n v="81"/>
    <n v="83"/>
    <n v="85"/>
    <n v="47"/>
    <n v="0"/>
    <n v="2656497"/>
    <n v="221374.75"/>
    <n v="0"/>
    <n v="221374.75"/>
    <n v="0"/>
    <n v="0"/>
  </r>
  <r>
    <s v="Стоктон Кир"/>
    <x v="1"/>
    <s v="ЛЗ"/>
    <s v="ЦЗ"/>
    <m/>
    <m/>
    <s v="Бел"/>
    <s v="Бел"/>
    <x v="29"/>
    <s v="Эвон"/>
    <m/>
    <n v="69.142857142857139"/>
    <n v="24"/>
    <n v="86"/>
    <n v="79"/>
    <n v="81"/>
    <n v="83"/>
    <n v="85"/>
    <n v="46"/>
    <n v="0"/>
    <n v="2497315"/>
    <n v="208109.58333333334"/>
    <n v="0"/>
    <n v="208109.58333333334"/>
    <n v="0"/>
    <n v="0"/>
  </r>
  <r>
    <s v="Уэнсбери Ян"/>
    <x v="1"/>
    <s v="ПЗ"/>
    <s v="ЛЗ"/>
    <m/>
    <m/>
    <s v="Бел"/>
    <s v="Бел"/>
    <x v="29"/>
    <s v="Эвон"/>
    <m/>
    <n v="64.142857142857139"/>
    <n v="20"/>
    <n v="79"/>
    <n v="73"/>
    <n v="77"/>
    <n v="79"/>
    <n v="81"/>
    <n v="40"/>
    <n v="0"/>
    <n v="1178917"/>
    <n v="98243.083333333328"/>
    <n v="0"/>
    <n v="98243.083333333328"/>
    <n v="0"/>
    <n v="0"/>
  </r>
  <r>
    <s v="Эшфорд Тим"/>
    <x v="1"/>
    <s v="ПЗ"/>
    <s v="ЦЗ"/>
    <m/>
    <m/>
    <s v="Бел"/>
    <s v="Бел"/>
    <x v="29"/>
    <s v="Эвон"/>
    <m/>
    <n v="67.428571428571431"/>
    <n v="23"/>
    <n v="85"/>
    <n v="77"/>
    <n v="79"/>
    <n v="81"/>
    <n v="83"/>
    <n v="44"/>
    <n v="0"/>
    <n v="1942852"/>
    <n v="161904.33333333334"/>
    <n v="0"/>
    <n v="161904.33333333334"/>
    <n v="0"/>
    <n v="0"/>
  </r>
  <r>
    <s v="Фрэдшоу Торвальд"/>
    <x v="2"/>
    <s v="ЦН"/>
    <s v="ОФ"/>
    <m/>
    <m/>
    <s v="Бел"/>
    <s v="Бел"/>
    <x v="29"/>
    <s v="Эвон"/>
    <m/>
    <n v="75.571428571428569"/>
    <n v="29"/>
    <n v="92"/>
    <n v="87"/>
    <n v="87"/>
    <n v="89"/>
    <n v="91"/>
    <n v="54"/>
    <n v="0"/>
    <n v="6075421"/>
    <n v="506285.08333333331"/>
    <n v="0"/>
    <n v="506285.08333333331"/>
    <n v="0"/>
    <n v="0"/>
  </r>
  <r>
    <s v="Пэнкрофт Эрл"/>
    <x v="2"/>
    <s v="ОФ"/>
    <s v="ЦН"/>
    <m/>
    <m/>
    <s v="Бел"/>
    <s v="Бел"/>
    <x v="29"/>
    <s v="Эвон"/>
    <m/>
    <n v="65.142857142857139"/>
    <n v="21"/>
    <n v="82"/>
    <n v="74"/>
    <n v="77"/>
    <n v="79"/>
    <n v="81"/>
    <n v="42"/>
    <n v="0"/>
    <n v="1376158"/>
    <n v="114679.83333333333"/>
    <n v="0"/>
    <n v="114679.83333333333"/>
    <n v="0"/>
    <n v="0"/>
  </r>
  <r>
    <s v="Уинтерборн Дан"/>
    <x v="2"/>
    <s v="ОФ"/>
    <s v="ЦН"/>
    <m/>
    <m/>
    <s v="Бел"/>
    <s v="Бел"/>
    <x v="29"/>
    <s v="Эвон"/>
    <m/>
    <n v="70.571428571428569"/>
    <n v="45"/>
    <n v="85"/>
    <n v="77"/>
    <n v="79"/>
    <n v="81"/>
    <n v="83"/>
    <n v="44"/>
    <n v="0"/>
    <n v="3064003"/>
    <n v="161904.33333333334"/>
    <n v="0"/>
    <n v="255333.58333333334"/>
    <n v="-36.590000000000003"/>
    <n v="0"/>
  </r>
  <r>
    <s v="Блэквуд Кайус"/>
    <x v="3"/>
    <s v="АПЗ"/>
    <s v="ЦПЗ"/>
    <m/>
    <m/>
    <s v="Бел"/>
    <s v="Бел"/>
    <x v="29"/>
    <s v="Эвон"/>
    <m/>
    <n v="64.714285714285708"/>
    <n v="21"/>
    <n v="81"/>
    <n v="73"/>
    <n v="77"/>
    <n v="79"/>
    <n v="81"/>
    <n v="41"/>
    <n v="0"/>
    <n v="1288255"/>
    <n v="107354.58333333333"/>
    <n v="0"/>
    <n v="107354.58333333333"/>
    <n v="0"/>
    <n v="0"/>
  </r>
  <r>
    <s v="Гетафе (П)"/>
    <x v="3"/>
    <s v="ОПЗ"/>
    <s v="ЦПЗ"/>
    <s v="ЦЗ"/>
    <s v="Бел"/>
    <s v="Бел"/>
    <s v="Бел"/>
    <x v="29"/>
    <s v="Эвон"/>
    <m/>
    <n v="87"/>
    <n v="84"/>
    <n v="85"/>
    <n v="88"/>
    <n v="92"/>
    <n v="90"/>
    <n v="90"/>
    <n v="80"/>
    <n v="24"/>
    <n v="37263513"/>
    <n v="1659166.25"/>
    <n v="0"/>
    <n v="3105292.75"/>
    <n v="-46.57"/>
    <n v="0"/>
  </r>
  <r>
    <s v="Госридж Кс"/>
    <x v="3"/>
    <s v="ППЗ"/>
    <s v="АПЗ"/>
    <m/>
    <m/>
    <s v="Бел"/>
    <s v="Бел"/>
    <x v="29"/>
    <s v="Эвон"/>
    <m/>
    <n v="73.142857142857139"/>
    <n v="28"/>
    <n v="90"/>
    <n v="83"/>
    <n v="85"/>
    <n v="87"/>
    <n v="89"/>
    <n v="50"/>
    <n v="0"/>
    <n v="4382473"/>
    <n v="365206.08333333331"/>
    <n v="0"/>
    <n v="365206.08333333331"/>
    <n v="0"/>
    <n v="0"/>
  </r>
  <r>
    <s v="Дэшвуд Пол"/>
    <x v="3"/>
    <s v="АПЗ"/>
    <s v="ППЗ"/>
    <m/>
    <m/>
    <s v="Бел"/>
    <s v="Бел"/>
    <x v="29"/>
    <s v="Эвон"/>
    <m/>
    <n v="69.285714285714292"/>
    <n v="24"/>
    <n v="87"/>
    <n v="79"/>
    <n v="81"/>
    <n v="83"/>
    <n v="85"/>
    <n v="46"/>
    <n v="0"/>
    <n v="2549395"/>
    <n v="212449.58333333334"/>
    <n v="0"/>
    <n v="212449.58333333334"/>
    <n v="0"/>
    <n v="0"/>
  </r>
  <r>
    <s v="Кроуфорд Дар"/>
    <x v="3"/>
    <s v="ОПЗ"/>
    <s v="ЦПЗ"/>
    <m/>
    <m/>
    <s v="Бел"/>
    <s v="Бел"/>
    <x v="29"/>
    <s v="Эвон"/>
    <m/>
    <n v="66.428571428571431"/>
    <n v="22"/>
    <n v="83"/>
    <n v="75"/>
    <n v="79"/>
    <n v="81"/>
    <n v="83"/>
    <n v="42"/>
    <n v="0"/>
    <n v="1673205"/>
    <n v="139433.75"/>
    <n v="0"/>
    <n v="139433.75"/>
    <n v="0"/>
    <n v="0"/>
  </r>
  <r>
    <s v="Ёрвовис Бузин"/>
    <x v="3"/>
    <s v="ЦПЗ"/>
    <s v="ОПЗ"/>
    <m/>
    <m/>
    <s v="Бел"/>
    <s v="Бел"/>
    <x v="29"/>
    <s v="Эвон"/>
    <m/>
    <n v="73.142857142857139"/>
    <n v="26"/>
    <n v="91"/>
    <n v="83"/>
    <n v="85"/>
    <n v="87"/>
    <n v="89"/>
    <n v="51"/>
    <n v="0"/>
    <n v="4382473"/>
    <n v="365206.08333333331"/>
    <n v="0"/>
    <n v="365206.08333333331"/>
    <n v="0"/>
    <n v="0"/>
  </r>
  <r>
    <s v="Нельсон (П)"/>
    <x v="3"/>
    <s v="ЦПЗ"/>
    <s v="ЛПЗ"/>
    <s v="ППЗ"/>
    <s v="Бел"/>
    <s v="Бел"/>
    <s v="Бел"/>
    <x v="29"/>
    <s v="Эвон"/>
    <m/>
    <n v="86.142857142857139"/>
    <n v="88"/>
    <n v="88"/>
    <n v="85"/>
    <n v="89"/>
    <n v="80"/>
    <n v="83"/>
    <n v="90"/>
    <n v="22"/>
    <n v="33750793"/>
    <n v="2812566.0833333335"/>
    <n v="0"/>
    <n v="2812566.0833333335"/>
    <n v="0"/>
    <n v="0"/>
  </r>
  <r>
    <s v="Рэдвей Ирж"/>
    <x v="3"/>
    <s v="ППЗ"/>
    <s v="АПЗ"/>
    <m/>
    <m/>
    <s v="Бел"/>
    <s v="Бел"/>
    <x v="29"/>
    <s v="Эвон"/>
    <m/>
    <n v="67.142857142857139"/>
    <n v="23"/>
    <n v="84"/>
    <n v="77"/>
    <n v="79"/>
    <n v="81"/>
    <n v="83"/>
    <n v="43"/>
    <n v="0"/>
    <n v="1862080"/>
    <n v="155173.33333333334"/>
    <n v="0"/>
    <n v="155173.33333333334"/>
    <n v="0"/>
    <n v="0"/>
  </r>
  <r>
    <s v="Холбрук Стан"/>
    <x v="3"/>
    <s v="ЛПЗ"/>
    <s v="ОПЗ"/>
    <m/>
    <m/>
    <s v="Бел"/>
    <s v="Бел"/>
    <x v="29"/>
    <s v="Эвон"/>
    <m/>
    <n v="62.428571428571431"/>
    <n v="20"/>
    <n v="77"/>
    <n v="71"/>
    <n v="75"/>
    <n v="77"/>
    <n v="79"/>
    <n v="38"/>
    <n v="0"/>
    <n v="899154"/>
    <n v="74929.5"/>
    <n v="0"/>
    <n v="74929.5"/>
    <n v="0"/>
    <n v="0"/>
  </r>
  <r>
    <s v="Хартвелл Элд"/>
    <x v="4"/>
    <s v="Т"/>
    <m/>
    <m/>
    <m/>
    <s v="Бел"/>
    <s v="Бел"/>
    <x v="29"/>
    <s v="Эвон"/>
    <m/>
    <n v="65.142857142857139"/>
    <n v="21"/>
    <n v="79"/>
    <n v="74"/>
    <n v="78"/>
    <n v="80"/>
    <n v="82"/>
    <n v="42"/>
    <n v="0"/>
    <n v="1376158"/>
    <n v="114679.83333333333"/>
    <n v="0"/>
    <n v="114679.83333333333"/>
    <n v="0"/>
    <n v="0"/>
  </r>
  <r>
    <s v="Морковский"/>
    <x v="0"/>
    <s v="В"/>
    <m/>
    <m/>
    <s v="Зол.Хол"/>
    <s v="Зол.Хол"/>
    <s v="Зол.Хол"/>
    <x v="30"/>
    <s v="Эвон"/>
    <m/>
    <n v="59"/>
    <n v="46"/>
    <n v="60"/>
    <n v="52"/>
    <n v="55"/>
    <n v="77"/>
    <n v="78"/>
    <n v="45"/>
    <n v="0"/>
    <n v="511117"/>
    <n v="42593.083333333336"/>
    <n v="0"/>
    <n v="42593.083333333336"/>
    <n v="0"/>
    <n v="0"/>
  </r>
  <r>
    <s v="Вольсич"/>
    <x v="1"/>
    <s v="ПЗ"/>
    <m/>
    <m/>
    <s v="Зол.Хол"/>
    <s v="Зол.Хол"/>
    <s v="Зол.Хол"/>
    <x v="30"/>
    <s v="Эвон"/>
    <m/>
    <n v="65.285714285714292"/>
    <n v="60"/>
    <n v="77"/>
    <n v="46"/>
    <n v="65"/>
    <n v="61"/>
    <n v="66"/>
    <n v="82"/>
    <n v="0"/>
    <n v="1406636"/>
    <n v="117219.66666666667"/>
    <n v="0"/>
    <n v="117219.66666666667"/>
    <n v="0"/>
    <n v="0"/>
  </r>
  <r>
    <s v="Кальпурний Гай"/>
    <x v="1"/>
    <s v="ЦЗ"/>
    <s v="ОПЗ"/>
    <m/>
    <m/>
    <s v="Зол.Хол"/>
    <s v="Зол.Хол"/>
    <x v="30"/>
    <s v="Эвон"/>
    <m/>
    <n v="58.857142857142854"/>
    <n v="16"/>
    <n v="66"/>
    <n v="62"/>
    <n v="74"/>
    <n v="80"/>
    <n v="82"/>
    <n v="32"/>
    <n v="0"/>
    <n v="498876"/>
    <n v="41573"/>
    <n v="0"/>
    <n v="41573"/>
    <n v="0"/>
    <n v="0"/>
  </r>
  <r>
    <s v="Квинтилий Тит"/>
    <x v="1"/>
    <s v="ПЗ"/>
    <s v="ЦЗ"/>
    <m/>
    <m/>
    <s v="Зол.Хол"/>
    <s v="Зол.Хол"/>
    <x v="30"/>
    <s v="Эвон"/>
    <m/>
    <n v="66.285714285714292"/>
    <n v="23"/>
    <n v="76"/>
    <n v="70"/>
    <n v="82"/>
    <n v="84"/>
    <n v="86"/>
    <n v="43"/>
    <n v="0"/>
    <n v="1637569"/>
    <n v="136464.08333333334"/>
    <n v="0"/>
    <n v="136464.08333333334"/>
    <n v="0"/>
    <n v="0"/>
  </r>
  <r>
    <s v="Пельменнов"/>
    <x v="1"/>
    <s v="ЦЗ"/>
    <s v="ОПЗ"/>
    <m/>
    <s v="Зол.Хол"/>
    <s v="Зол.Хол"/>
    <s v="Зол.Хол"/>
    <x v="30"/>
    <s v="Эвон"/>
    <m/>
    <n v="67.857142857142861"/>
    <n v="55"/>
    <n v="74"/>
    <n v="53"/>
    <n v="65"/>
    <n v="82"/>
    <n v="81"/>
    <n v="65"/>
    <n v="0"/>
    <n v="2069931"/>
    <n v="172494.25"/>
    <n v="0"/>
    <n v="172494.25"/>
    <n v="0"/>
    <n v="0"/>
  </r>
  <r>
    <s v="Тлинди"/>
    <x v="1"/>
    <s v="ЛЗ"/>
    <m/>
    <m/>
    <s v="Зол.Хол"/>
    <s v="Зол.Хол"/>
    <s v="Зол.Хол"/>
    <x v="30"/>
    <s v="Эвон"/>
    <m/>
    <n v="60.428571428571431"/>
    <n v="51"/>
    <n v="73"/>
    <n v="52"/>
    <n v="55"/>
    <n v="61"/>
    <n v="69"/>
    <n v="62"/>
    <n v="0"/>
    <n v="649267"/>
    <n v="54105.583333333336"/>
    <n v="0"/>
    <n v="54105.583333333336"/>
    <n v="0"/>
    <n v="0"/>
  </r>
  <r>
    <s v="Цайкаров"/>
    <x v="1"/>
    <s v="ПЗ"/>
    <m/>
    <m/>
    <s v="Зол.Хол"/>
    <s v="Зол.Хол"/>
    <s v="Зол.Хол"/>
    <x v="30"/>
    <s v="Эвон"/>
    <m/>
    <n v="61.571428571428569"/>
    <n v="52"/>
    <n v="72"/>
    <n v="51"/>
    <n v="80"/>
    <n v="52"/>
    <n v="63"/>
    <n v="61"/>
    <n v="0"/>
    <n v="783056"/>
    <n v="65254.666666666664"/>
    <n v="0"/>
    <n v="65254.666666666664"/>
    <n v="0"/>
    <n v="0"/>
  </r>
  <r>
    <s v="Дормент"/>
    <x v="2"/>
    <s v="ЦН"/>
    <m/>
    <m/>
    <s v="Зол.Хол"/>
    <s v="Зол.Хол"/>
    <s v="Зол.Хол"/>
    <x v="30"/>
    <s v="Эвон"/>
    <m/>
    <n v="68.857142857142861"/>
    <n v="46"/>
    <n v="74"/>
    <n v="77"/>
    <n v="74"/>
    <n v="70"/>
    <n v="80"/>
    <n v="61"/>
    <n v="0"/>
    <n v="2396018"/>
    <n v="199668.16666666666"/>
    <n v="0"/>
    <n v="199668.16666666666"/>
    <n v="0"/>
    <n v="0"/>
  </r>
  <r>
    <s v="Тиберий Квинт"/>
    <x v="2"/>
    <s v="ОФ"/>
    <s v="ЦН"/>
    <m/>
    <m/>
    <s v="Зол.Хол"/>
    <s v="Зол.Хол"/>
    <x v="30"/>
    <s v="Эвон"/>
    <m/>
    <n v="68"/>
    <n v="24"/>
    <n v="80"/>
    <n v="80"/>
    <n v="81"/>
    <n v="82"/>
    <n v="85"/>
    <n v="44"/>
    <n v="0"/>
    <n v="2113923"/>
    <n v="176160.25"/>
    <n v="0"/>
    <n v="176160.25"/>
    <n v="0"/>
    <n v="0"/>
  </r>
  <r>
    <s v="Якив Пол"/>
    <x v="2"/>
    <s v="ЦН"/>
    <m/>
    <m/>
    <s v="Зол.Хол"/>
    <s v="Зол.Хол"/>
    <s v="Зол.Хол"/>
    <x v="30"/>
    <s v="Эвон"/>
    <m/>
    <n v="70"/>
    <n v="53"/>
    <n v="80"/>
    <n v="76"/>
    <n v="71"/>
    <n v="69"/>
    <n v="78"/>
    <n v="63"/>
    <n v="0"/>
    <n v="2824753"/>
    <n v="235396.08333333334"/>
    <n v="0"/>
    <n v="235396.08333333334"/>
    <n v="0"/>
    <n v="0"/>
  </r>
  <r>
    <s v="Алерий Марк"/>
    <x v="3"/>
    <s v="ОПЗ"/>
    <s v="ЦПЗ"/>
    <m/>
    <m/>
    <s v="Зол.Хол"/>
    <s v="Зол.Хол"/>
    <x v="30"/>
    <s v="Эвон"/>
    <m/>
    <n v="56.142857142857146"/>
    <n v="18"/>
    <n v="62"/>
    <n v="62"/>
    <n v="70"/>
    <n v="74"/>
    <n v="77"/>
    <n v="30"/>
    <n v="0"/>
    <n v="311133"/>
    <n v="25927.75"/>
    <n v="0"/>
    <n v="25927.75"/>
    <n v="0"/>
    <n v="0"/>
  </r>
  <r>
    <s v="Гракх Авл"/>
    <x v="3"/>
    <s v="ППЗ"/>
    <s v="АПЗ"/>
    <m/>
    <m/>
    <s v="Зол.Хол"/>
    <s v="Зол.Хол"/>
    <x v="30"/>
    <s v="Эвон"/>
    <m/>
    <n v="59.428571428571431"/>
    <n v="19"/>
    <n v="70"/>
    <n v="68"/>
    <n v="76"/>
    <n v="74"/>
    <n v="76"/>
    <n v="33"/>
    <n v="0"/>
    <n v="549482"/>
    <n v="45790.166666666664"/>
    <n v="0"/>
    <n v="45790.166666666664"/>
    <n v="0"/>
    <n v="0"/>
  </r>
  <r>
    <s v="Деций Секст"/>
    <x v="3"/>
    <s v="ЦПЗ"/>
    <s v="ОПЗ"/>
    <m/>
    <m/>
    <s v="Зол.Хол"/>
    <s v="Зол.Хол"/>
    <x v="30"/>
    <s v="Эвон"/>
    <m/>
    <n v="65.571428571428569"/>
    <n v="24"/>
    <n v="78"/>
    <n v="74"/>
    <n v="84"/>
    <n v="78"/>
    <n v="80"/>
    <n v="41"/>
    <n v="0"/>
    <n v="1469422"/>
    <n v="122451.83333333333"/>
    <n v="0"/>
    <n v="122451.83333333333"/>
    <n v="0"/>
    <n v="0"/>
  </r>
  <r>
    <s v="Керсар"/>
    <x v="3"/>
    <s v="ЦПЗ"/>
    <s v="ППЗ"/>
    <m/>
    <s v="Зол.Хол"/>
    <s v="Зол.Хол"/>
    <s v="Зол.Хол"/>
    <x v="30"/>
    <s v="Эвон"/>
    <m/>
    <n v="64.142857142857139"/>
    <n v="44"/>
    <n v="68"/>
    <n v="63"/>
    <n v="67"/>
    <n v="70"/>
    <n v="71"/>
    <n v="66"/>
    <n v="0"/>
    <n v="1178917"/>
    <n v="62289"/>
    <n v="0"/>
    <n v="98243.083333333328"/>
    <n v="-36.6"/>
    <n v="0"/>
  </r>
  <r>
    <s v="Кластен Пуби"/>
    <x v="3"/>
    <s v="ППЗ"/>
    <s v="ЛПЗ"/>
    <m/>
    <m/>
    <s v="Зол.Хол"/>
    <s v="Зол.Хол"/>
    <x v="30"/>
    <s v="Эвон"/>
    <m/>
    <n v="57.142857142857146"/>
    <n v="18"/>
    <n v="64"/>
    <n v="66"/>
    <n v="74"/>
    <n v="72"/>
    <n v="75"/>
    <n v="31"/>
    <n v="0"/>
    <n v="371210"/>
    <n v="30934.166666666668"/>
    <n v="0"/>
    <n v="30934.166666666668"/>
    <n v="0"/>
    <n v="0"/>
  </r>
  <r>
    <s v="Ловстин"/>
    <x v="3"/>
    <s v="ЦПЗ"/>
    <m/>
    <m/>
    <s v="Зол.Хол"/>
    <s v="Зол.Хол"/>
    <s v="Зол.Хол"/>
    <x v="30"/>
    <s v="Эвон"/>
    <m/>
    <n v="64.142857142857139"/>
    <n v="45"/>
    <n v="77"/>
    <n v="66"/>
    <n v="68"/>
    <n v="72"/>
    <n v="77"/>
    <n v="44"/>
    <n v="0"/>
    <n v="1178917"/>
    <n v="12381.333333333334"/>
    <n v="0"/>
    <n v="98243.083333333328"/>
    <n v="-87.4"/>
    <n v="0"/>
  </r>
  <r>
    <s v="Маленко"/>
    <x v="3"/>
    <s v="ОПЗ"/>
    <m/>
    <m/>
    <s v="Зол.Хол"/>
    <s v="Зол.Хол"/>
    <s v="Зол.Хол"/>
    <x v="30"/>
    <s v="Эвон"/>
    <m/>
    <n v="63.714285714285715"/>
    <n v="41"/>
    <n v="70"/>
    <n v="65"/>
    <n v="69"/>
    <n v="69"/>
    <n v="72"/>
    <n v="60"/>
    <n v="0"/>
    <n v="1102474"/>
    <n v="68346.666666666672"/>
    <n v="0"/>
    <n v="91872.833333333328"/>
    <n v="-25.61"/>
    <n v="0"/>
  </r>
  <r>
    <s v="Сервилий Гней"/>
    <x v="3"/>
    <s v="АПЗ"/>
    <s v="ЦПЗ"/>
    <m/>
    <m/>
    <s v="Зол.Хол"/>
    <s v="Зол.Хол"/>
    <x v="30"/>
    <s v="Эвон"/>
    <m/>
    <n v="54.714285714285715"/>
    <n v="16"/>
    <n v="60"/>
    <n v="64"/>
    <n v="72"/>
    <n v="70"/>
    <n v="73"/>
    <n v="28"/>
    <n v="0"/>
    <n v="240441"/>
    <n v="20036.75"/>
    <n v="0"/>
    <n v="20036.75"/>
    <n v="0"/>
    <n v="0"/>
  </r>
  <r>
    <s v="Фабий Луций"/>
    <x v="3"/>
    <s v="ЛПЗ"/>
    <s v="ОПЗ"/>
    <m/>
    <m/>
    <s v="Зол.Хол"/>
    <s v="Зол.Хол"/>
    <x v="30"/>
    <s v="Эвон"/>
    <m/>
    <n v="61.571428571428569"/>
    <n v="21"/>
    <n v="72"/>
    <n v="68"/>
    <n v="80"/>
    <n v="76"/>
    <n v="78"/>
    <n v="36"/>
    <n v="0"/>
    <n v="783056"/>
    <n v="65254.666666666664"/>
    <n v="0"/>
    <n v="65254.666666666664"/>
    <n v="0"/>
    <n v="0"/>
  </r>
  <r>
    <s v="Феллингтон"/>
    <x v="3"/>
    <s v="ОПЗ"/>
    <s v="ЦЗ"/>
    <m/>
    <s v="Зол.Хол"/>
    <s v="Зол.Хол"/>
    <s v="Зол.Хол"/>
    <x v="30"/>
    <s v="Эвон"/>
    <m/>
    <n v="69.714285714285708"/>
    <n v="50"/>
    <n v="69"/>
    <n v="72"/>
    <n v="73"/>
    <n v="72"/>
    <n v="80"/>
    <n v="72"/>
    <n v="12"/>
    <n v="4067327"/>
    <n v="338943.91666666669"/>
    <n v="0"/>
    <n v="338943.91666666669"/>
    <n v="0"/>
    <n v="0"/>
  </r>
  <r>
    <s v="Флавиан Люций"/>
    <x v="4"/>
    <s v="Т"/>
    <m/>
    <m/>
    <m/>
    <s v="Зол.Хол"/>
    <s v="Зол.Хол"/>
    <x v="30"/>
    <s v="Эвон"/>
    <m/>
    <n v="61.857142857142854"/>
    <n v="21"/>
    <n v="72"/>
    <n v="66"/>
    <n v="76"/>
    <n v="78"/>
    <n v="80"/>
    <n v="40"/>
    <n v="0"/>
    <n v="820160"/>
    <n v="68346.666666666672"/>
    <n v="0"/>
    <n v="68346.666666666672"/>
    <n v="0"/>
    <n v="0"/>
  </r>
  <r>
    <s v="Рябка (В)"/>
    <x v="0"/>
    <s v="В"/>
    <m/>
    <m/>
    <s v="Над"/>
    <s v="Над"/>
    <s v="Над"/>
    <x v="31"/>
    <s v="Эвон"/>
    <m/>
    <n v="90"/>
    <n v="90"/>
    <n v="88"/>
    <n v="85"/>
    <n v="94"/>
    <n v="92"/>
    <n v="91"/>
    <n v="90"/>
    <n v="31"/>
    <n v="52301767"/>
    <n v="4358480.583333333"/>
    <n v="0"/>
    <n v="4358480.583333333"/>
    <n v="0"/>
    <n v="0"/>
  </r>
  <r>
    <s v="Виль (З)"/>
    <x v="1"/>
    <s v="ЦЗ"/>
    <s v="ОПЗ"/>
    <m/>
    <s v="Бел"/>
    <s v="Бел"/>
    <s v="Бел"/>
    <x v="31"/>
    <s v="Эвон"/>
    <m/>
    <n v="87"/>
    <n v="80"/>
    <n v="78"/>
    <n v="85"/>
    <n v="86"/>
    <n v="93"/>
    <n v="95"/>
    <n v="92"/>
    <n v="26"/>
    <n v="37263513"/>
    <n v="3105292.75"/>
    <n v="0"/>
    <n v="3105292.75"/>
    <n v="0"/>
    <n v="0"/>
  </r>
  <r>
    <s v="Вульн (З)"/>
    <x v="1"/>
    <s v="ЦЗ"/>
    <s v="ПЗ"/>
    <m/>
    <s v="Бел"/>
    <s v="Бел"/>
    <s v="Бел"/>
    <x v="31"/>
    <s v="Эвон"/>
    <m/>
    <n v="85.714285714285708"/>
    <n v="77"/>
    <n v="75"/>
    <n v="80"/>
    <n v="88"/>
    <n v="95"/>
    <n v="91"/>
    <n v="94"/>
    <n v="26"/>
    <n v="32108748"/>
    <n v="2675729"/>
    <n v="0"/>
    <n v="2675729"/>
    <n v="0"/>
    <n v="0"/>
  </r>
  <r>
    <s v="Дорбинс Ун"/>
    <x v="1"/>
    <s v="ПЗ"/>
    <s v="ЛЗ"/>
    <m/>
    <m/>
    <s v="Над"/>
    <s v="Над"/>
    <x v="31"/>
    <s v="Эвон"/>
    <m/>
    <n v="69.571428571428569"/>
    <n v="35"/>
    <n v="85"/>
    <n v="71"/>
    <n v="77"/>
    <n v="80"/>
    <n v="84"/>
    <n v="55"/>
    <n v="23"/>
    <n v="3984745"/>
    <n v="332062.08333333331"/>
    <n v="0"/>
    <n v="332062.08333333331"/>
    <n v="0"/>
    <n v="0"/>
  </r>
  <r>
    <s v="Зярупка"/>
    <x v="1"/>
    <s v="ЛЗ"/>
    <s v="ПЗ"/>
    <m/>
    <s v="Над"/>
    <s v="Над"/>
    <s v="Над"/>
    <x v="31"/>
    <s v="Эвон"/>
    <m/>
    <n v="82.857142857142861"/>
    <n v="74"/>
    <n v="90"/>
    <n v="81"/>
    <n v="85"/>
    <n v="84"/>
    <n v="86"/>
    <n v="80"/>
    <n v="26"/>
    <n v="22876564"/>
    <n v="1906380.3333333333"/>
    <n v="0"/>
    <n v="1906380.3333333333"/>
    <n v="0"/>
    <n v="0"/>
  </r>
  <r>
    <s v="Идер (З)"/>
    <x v="1"/>
    <s v="ЦЗ"/>
    <s v="ПЗ"/>
    <m/>
    <s v="Над"/>
    <s v="Над"/>
    <s v="Над"/>
    <x v="31"/>
    <s v="Эвон"/>
    <m/>
    <n v="86.571428571428569"/>
    <n v="82"/>
    <n v="83"/>
    <n v="88"/>
    <n v="90"/>
    <n v="89"/>
    <n v="94"/>
    <n v="80"/>
    <n v="26"/>
    <n v="35468033"/>
    <n v="2955669.4166666665"/>
    <n v="0"/>
    <n v="2955669.4166666665"/>
    <n v="0"/>
    <n v="0"/>
  </r>
  <r>
    <s v="Кляус Торби"/>
    <x v="1"/>
    <s v="ПЗ"/>
    <s v="ЛЗ"/>
    <m/>
    <m/>
    <s v="Над"/>
    <s v="Над"/>
    <x v="31"/>
    <s v="Эвон"/>
    <m/>
    <n v="70.142857142857139"/>
    <n v="36"/>
    <n v="87"/>
    <n v="70"/>
    <n v="78"/>
    <n v="80"/>
    <n v="85"/>
    <n v="55"/>
    <n v="23"/>
    <n v="4324400"/>
    <n v="360366.66666666669"/>
    <n v="0"/>
    <n v="360366.66666666669"/>
    <n v="0"/>
    <n v="0"/>
  </r>
  <r>
    <s v="Ляупяка (З)"/>
    <x v="1"/>
    <s v="ЦЗ"/>
    <s v="ЛЗ"/>
    <s v="ПЗ"/>
    <s v="Над"/>
    <s v="Над"/>
    <s v="Над"/>
    <x v="31"/>
    <s v="Эвон"/>
    <m/>
    <n v="92.285714285714292"/>
    <n v="93"/>
    <n v="86"/>
    <n v="100"/>
    <n v="92"/>
    <n v="95"/>
    <n v="93"/>
    <n v="87"/>
    <n v="1"/>
    <n v="67210332"/>
    <n v="5600861"/>
    <n v="0"/>
    <n v="5600861"/>
    <n v="0"/>
    <n v="0"/>
  </r>
  <r>
    <s v="Эхонтис"/>
    <x v="1"/>
    <s v="ЦЗ"/>
    <s v="ПЗ"/>
    <s v="ЛЗ"/>
    <s v="Над"/>
    <s v="Над"/>
    <s v="Над"/>
    <x v="31"/>
    <s v="Эвон"/>
    <m/>
    <n v="83.714285714285708"/>
    <n v="78"/>
    <n v="80"/>
    <n v="84"/>
    <n v="87"/>
    <n v="91"/>
    <n v="90"/>
    <n v="76"/>
    <n v="26"/>
    <n v="25356367"/>
    <n v="2113030.5833333335"/>
    <n v="0"/>
    <n v="2113030.5833333335"/>
    <n v="0"/>
    <n v="0"/>
  </r>
  <r>
    <s v="Азар (Н)"/>
    <x v="2"/>
    <s v="ОФ"/>
    <s v="ППЗ"/>
    <s v="АПЗ"/>
    <s v="Ард"/>
    <s v="Ард"/>
    <s v="Ард"/>
    <x v="31"/>
    <s v="Эвон"/>
    <m/>
    <n v="88"/>
    <n v="82"/>
    <n v="95"/>
    <n v="90"/>
    <n v="95"/>
    <n v="80"/>
    <n v="82"/>
    <n v="92"/>
    <n v="8"/>
    <n v="41775147"/>
    <n v="3481262.25"/>
    <n v="0"/>
    <n v="3481262.25"/>
    <n v="0"/>
    <n v="0"/>
  </r>
  <r>
    <s v="Габыш Олег"/>
    <x v="2"/>
    <s v="ЦН"/>
    <m/>
    <m/>
    <m/>
    <s v="Над"/>
    <s v="Над"/>
    <x v="31"/>
    <s v="Эвон"/>
    <m/>
    <n v="69.285714285714292"/>
    <n v="40"/>
    <n v="80"/>
    <n v="85"/>
    <n v="70"/>
    <n v="78"/>
    <n v="92"/>
    <n v="40"/>
    <n v="6"/>
    <n v="3824092"/>
    <n v="318674.33333333331"/>
    <n v="0"/>
    <n v="318674.33333333331"/>
    <n v="0"/>
    <n v="0"/>
  </r>
  <r>
    <s v="Дудер (Н)"/>
    <x v="2"/>
    <s v="ОФ"/>
    <m/>
    <m/>
    <s v="Кирп"/>
    <s v="Кирп"/>
    <s v="Кирп"/>
    <x v="31"/>
    <s v="Эвон"/>
    <m/>
    <n v="93.285714285714292"/>
    <n v="94"/>
    <n v="96"/>
    <n v="95"/>
    <n v="97"/>
    <n v="86"/>
    <n v="87"/>
    <n v="98"/>
    <n v="8"/>
    <n v="74858768"/>
    <n v="6238230.666666667"/>
    <n v="0"/>
    <n v="6238230.666666667"/>
    <n v="0"/>
    <n v="0"/>
  </r>
  <r>
    <s v="Рябов (Н)"/>
    <x v="2"/>
    <s v="ЦН"/>
    <s v="ОФ"/>
    <m/>
    <s v="Над"/>
    <s v="Над"/>
    <s v="Над"/>
    <x v="31"/>
    <s v="Эвон"/>
    <m/>
    <n v="78"/>
    <n v="70"/>
    <n v="80"/>
    <n v="84"/>
    <n v="85"/>
    <n v="80"/>
    <n v="87"/>
    <n v="60"/>
    <n v="25"/>
    <n v="12503664"/>
    <n v="1041972"/>
    <n v="0"/>
    <n v="1041972"/>
    <n v="0"/>
    <n v="0"/>
  </r>
  <r>
    <s v="Б.Оял"/>
    <x v="3"/>
    <s v="ППЗ"/>
    <s v="ОПЗ"/>
    <s v="АПЗ"/>
    <s v="Кирп"/>
    <s v="Кирп"/>
    <s v="Кирп"/>
    <x v="31"/>
    <s v="Эвон"/>
    <m/>
    <n v="93"/>
    <n v="93"/>
    <n v="95"/>
    <n v="93"/>
    <n v="94"/>
    <n v="91"/>
    <n v="90"/>
    <n v="95"/>
    <n v="19"/>
    <n v="72597347"/>
    <n v="6049778.916666667"/>
    <n v="0"/>
    <n v="6049778.916666667"/>
    <n v="0"/>
    <n v="0"/>
  </r>
  <r>
    <s v="Базиль (П)"/>
    <x v="3"/>
    <s v="ЛПЗ"/>
    <s v="ППЗ"/>
    <s v="ЦПЗ"/>
    <s v="Над"/>
    <s v="Лион"/>
    <s v="Лион"/>
    <x v="31"/>
    <s v="Эвон"/>
    <m/>
    <n v="83.142857142857139"/>
    <n v="80"/>
    <n v="86"/>
    <n v="86"/>
    <n v="85"/>
    <n v="80"/>
    <n v="85"/>
    <n v="80"/>
    <n v="22"/>
    <n v="23677765"/>
    <n v="1973147.0833333333"/>
    <n v="0"/>
    <n v="1973147.0833333333"/>
    <n v="0"/>
    <n v="0"/>
  </r>
  <r>
    <s v="Глэй"/>
    <x v="3"/>
    <s v="ОПЗ"/>
    <s v="ЦЗ"/>
    <s v="ЦПЗ"/>
    <s v="Над"/>
    <s v="Над"/>
    <s v="Над"/>
    <x v="31"/>
    <s v="Эвон"/>
    <m/>
    <n v="73.142857142857139"/>
    <n v="63"/>
    <n v="82"/>
    <n v="79"/>
    <n v="83"/>
    <n v="80"/>
    <n v="85"/>
    <n v="40"/>
    <n v="0"/>
    <n v="4382473"/>
    <n v="365206.08333333331"/>
    <n v="0"/>
    <n v="365206.08333333331"/>
    <n v="0"/>
    <n v="0"/>
  </r>
  <r>
    <s v="Клэйрон Харье"/>
    <x v="3"/>
    <s v="ЦПЗ"/>
    <s v="ОПЗ"/>
    <m/>
    <m/>
    <s v="Над"/>
    <s v="Над"/>
    <x v="31"/>
    <s v="Эвон"/>
    <m/>
    <n v="70.857142857142861"/>
    <n v="38"/>
    <n v="82"/>
    <n v="78"/>
    <n v="80"/>
    <n v="83"/>
    <n v="85"/>
    <n v="50"/>
    <n v="18"/>
    <n v="4785504"/>
    <n v="398792"/>
    <n v="0"/>
    <n v="398792"/>
    <n v="0"/>
    <n v="0"/>
  </r>
  <r>
    <s v="Ромуло (П)"/>
    <x v="3"/>
    <s v="ППЗ"/>
    <s v="АПЗ"/>
    <s v="ЦПЗ"/>
    <s v="Над"/>
    <s v="Над"/>
    <s v="Над"/>
    <x v="31"/>
    <s v="Эвон"/>
    <m/>
    <n v="87.142857142857139"/>
    <n v="85"/>
    <n v="92"/>
    <n v="85"/>
    <n v="88"/>
    <n v="88"/>
    <n v="87"/>
    <n v="85"/>
    <n v="3"/>
    <n v="37879934"/>
    <n v="3156661.1666666665"/>
    <n v="0"/>
    <n v="3156661.1666666665"/>
    <n v="0"/>
    <n v="0"/>
  </r>
  <r>
    <s v="Скерт (П)"/>
    <x v="3"/>
    <s v="ППЗ"/>
    <s v="ЛПЗ"/>
    <s v="ОПЗ"/>
    <s v="Б.Л."/>
    <s v="Б.Л."/>
    <s v="Б.Л."/>
    <x v="31"/>
    <s v="Эвон"/>
    <m/>
    <n v="86"/>
    <n v="80"/>
    <n v="96"/>
    <n v="85"/>
    <n v="88"/>
    <n v="83"/>
    <n v="84"/>
    <n v="86"/>
    <n v="3"/>
    <n v="33195237"/>
    <n v="2766269.75"/>
    <n v="0"/>
    <n v="2766269.75"/>
    <n v="0"/>
    <n v="0"/>
  </r>
  <r>
    <s v="Тихошин (П)"/>
    <x v="3"/>
    <s v="АПЗ"/>
    <s v="ЦН"/>
    <m/>
    <s v="Нал"/>
    <s v="Нал"/>
    <s v="Нал"/>
    <x v="31"/>
    <s v="Эвон"/>
    <m/>
    <n v="88.571428571428569"/>
    <n v="88"/>
    <n v="87"/>
    <n v="92"/>
    <n v="88"/>
    <n v="88"/>
    <n v="90"/>
    <n v="87"/>
    <n v="17"/>
    <n v="44568473"/>
    <n v="3714039.4166666665"/>
    <n v="0"/>
    <n v="3714039.4166666665"/>
    <n v="0"/>
    <n v="0"/>
  </r>
  <r>
    <s v="Эха (П)"/>
    <x v="3"/>
    <s v="ППЗ"/>
    <s v="ОПЗ"/>
    <m/>
    <s v="Над"/>
    <s v="Над"/>
    <s v="Над"/>
    <x v="31"/>
    <s v="Эвон"/>
    <m/>
    <n v="87.285714285714292"/>
    <n v="88"/>
    <n v="96"/>
    <n v="87"/>
    <n v="88"/>
    <n v="83"/>
    <n v="83"/>
    <n v="86"/>
    <n v="3"/>
    <n v="38505518"/>
    <n v="3208793.1666666665"/>
    <n v="0"/>
    <n v="3208793.1666666665"/>
    <n v="0"/>
    <n v="0"/>
  </r>
  <r>
    <s v="Крабитор"/>
    <x v="4"/>
    <s v="Т"/>
    <m/>
    <m/>
    <m/>
    <s v="Над"/>
    <s v="Над"/>
    <x v="31"/>
    <s v="Эвон"/>
    <m/>
    <n v="81.428571428571431"/>
    <n v="66"/>
    <n v="93"/>
    <n v="88"/>
    <n v="85"/>
    <n v="82"/>
    <n v="83"/>
    <n v="73"/>
    <n v="0"/>
    <n v="12816463"/>
    <n v="1068038.5833333333"/>
    <n v="0"/>
    <n v="1068038.5833333333"/>
    <n v="0"/>
    <n v="0"/>
  </r>
  <r>
    <s v="Горчинский"/>
    <x v="0"/>
    <s v="В"/>
    <m/>
    <m/>
    <s v="Заг"/>
    <s v="Заг"/>
    <s v="Заг"/>
    <x v="32"/>
    <s v="Эвон"/>
    <m/>
    <n v="71"/>
    <n v="44"/>
    <n v="80"/>
    <n v="75"/>
    <n v="90"/>
    <n v="75"/>
    <n v="73"/>
    <n v="60"/>
    <n v="0"/>
    <n v="3255244"/>
    <n v="66784.583333333328"/>
    <n v="0"/>
    <n v="271270.33333333331"/>
    <n v="-75.38"/>
    <n v="0"/>
  </r>
  <r>
    <s v="Гронский Эрик"/>
    <x v="0"/>
    <s v="В"/>
    <m/>
    <m/>
    <m/>
    <s v="Заг"/>
    <s v="Заг"/>
    <x v="32"/>
    <s v="Эвон"/>
    <m/>
    <n v="57.285714285714285"/>
    <n v="25"/>
    <n v="59"/>
    <n v="36"/>
    <n v="83"/>
    <n v="72"/>
    <n v="68"/>
    <n v="58"/>
    <n v="0"/>
    <n v="380596"/>
    <n v="31716.333333333332"/>
    <n v="0"/>
    <n v="31716.333333333332"/>
    <n v="0"/>
    <n v="0"/>
  </r>
  <r>
    <s v="Алианс"/>
    <x v="1"/>
    <s v="ПЗ"/>
    <s v="ЦЗ"/>
    <m/>
    <s v="Заг"/>
    <s v="Заг"/>
    <s v="Заг"/>
    <x v="32"/>
    <s v="Эвон"/>
    <m/>
    <n v="66.428571428571431"/>
    <n v="51"/>
    <n v="72"/>
    <n v="85"/>
    <n v="57"/>
    <n v="60"/>
    <n v="65"/>
    <n v="75"/>
    <n v="0"/>
    <n v="1673205"/>
    <n v="139433.75"/>
    <n v="0"/>
    <n v="139433.75"/>
    <n v="0"/>
    <n v="0"/>
  </r>
  <r>
    <s v="Балтин Марк"/>
    <x v="1"/>
    <s v="ЦЗ"/>
    <s v="ЛЗ"/>
    <m/>
    <m/>
    <s v="Заг"/>
    <s v="Заг"/>
    <x v="32"/>
    <s v="Эвон"/>
    <m/>
    <n v="61.285714285714285"/>
    <n v="33"/>
    <n v="71"/>
    <n v="47"/>
    <n v="79"/>
    <n v="68"/>
    <n v="70"/>
    <n v="61"/>
    <n v="0"/>
    <n v="747468"/>
    <n v="62289"/>
    <n v="0"/>
    <n v="62289"/>
    <n v="0"/>
    <n v="0"/>
  </r>
  <r>
    <s v="Бартон"/>
    <x v="1"/>
    <s v="ЦЗ"/>
    <s v="ЛЗ"/>
    <m/>
    <s v="Заг"/>
    <s v="Заг"/>
    <s v="Заг"/>
    <x v="32"/>
    <s v="Эвон"/>
    <m/>
    <n v="66.142857142857139"/>
    <n v="50"/>
    <n v="70"/>
    <n v="44"/>
    <n v="84"/>
    <n v="70"/>
    <n v="72"/>
    <n v="73"/>
    <n v="0"/>
    <n v="1602617"/>
    <n v="133551.41666666666"/>
    <n v="0"/>
    <n v="133551.41666666666"/>
    <n v="0"/>
    <n v="0"/>
  </r>
  <r>
    <s v="Бомбич"/>
    <x v="1"/>
    <s v="ПЗ"/>
    <s v="ОПЗ"/>
    <m/>
    <s v="Заг"/>
    <s v="Заг"/>
    <s v="Заг"/>
    <x v="32"/>
    <s v="Эвон"/>
    <m/>
    <n v="66.857142857142861"/>
    <n v="38"/>
    <n v="75"/>
    <n v="77"/>
    <n v="63"/>
    <n v="82"/>
    <n v="67"/>
    <n v="66"/>
    <n v="0"/>
    <n v="1784343"/>
    <n v="148695.25"/>
    <n v="0"/>
    <n v="148695.25"/>
    <n v="0"/>
    <n v="0"/>
  </r>
  <r>
    <s v="Вангут"/>
    <x v="1"/>
    <s v="ЦЗ"/>
    <m/>
    <m/>
    <s v="Заг"/>
    <s v="Заг"/>
    <s v="Заг"/>
    <x v="32"/>
    <s v="Эвон"/>
    <m/>
    <n v="69.428571428571431"/>
    <n v="50"/>
    <n v="70"/>
    <n v="52"/>
    <n v="80"/>
    <n v="74"/>
    <n v="80"/>
    <n v="80"/>
    <n v="0"/>
    <n v="2602450"/>
    <n v="23406.416666666668"/>
    <n v="0"/>
    <n v="216870.83333333334"/>
    <n v="-89.21"/>
    <n v="0"/>
  </r>
  <r>
    <s v="Гордин Лука"/>
    <x v="1"/>
    <s v="ЦЗ"/>
    <s v="ОПЗ"/>
    <m/>
    <m/>
    <s v="Заг"/>
    <s v="Заг"/>
    <x v="32"/>
    <s v="Эвон"/>
    <m/>
    <n v="61"/>
    <n v="38"/>
    <n v="56"/>
    <n v="52"/>
    <n v="75"/>
    <n v="74"/>
    <n v="73"/>
    <n v="59"/>
    <n v="0"/>
    <n v="713343"/>
    <n v="59445.25"/>
    <n v="0"/>
    <n v="59445.25"/>
    <n v="0"/>
    <n v="0"/>
  </r>
  <r>
    <s v="Долговой"/>
    <x v="1"/>
    <s v="ЦЗ"/>
    <s v="ОПЗ"/>
    <m/>
    <s v="Заг"/>
    <s v="Заг"/>
    <s v="Заг"/>
    <x v="32"/>
    <s v="Эвон"/>
    <m/>
    <n v="68.285714285714292"/>
    <n v="52"/>
    <n v="53"/>
    <n v="50"/>
    <n v="83"/>
    <n v="81"/>
    <n v="78"/>
    <n v="81"/>
    <n v="0"/>
    <n v="2204442"/>
    <n v="183703.5"/>
    <n v="0"/>
    <n v="183703.5"/>
    <n v="0"/>
    <n v="0"/>
  </r>
  <r>
    <s v="Жортан"/>
    <x v="1"/>
    <s v="ЦЗ"/>
    <m/>
    <m/>
    <s v="Заг"/>
    <s v="Заг"/>
    <s v="Заг"/>
    <x v="32"/>
    <s v="Эвон"/>
    <m/>
    <n v="67.857142857142861"/>
    <n v="61"/>
    <n v="60"/>
    <n v="73"/>
    <n v="60"/>
    <n v="73"/>
    <n v="75"/>
    <n v="73"/>
    <n v="0"/>
    <n v="2069931"/>
    <n v="172494.25"/>
    <n v="0"/>
    <n v="172494.25"/>
    <n v="0"/>
    <n v="0"/>
  </r>
  <r>
    <s v="Турбин Яков"/>
    <x v="1"/>
    <s v="ПЗ"/>
    <s v="ЛЗ"/>
    <m/>
    <m/>
    <s v="Заг"/>
    <s v="Заг"/>
    <x v="32"/>
    <s v="Эвон"/>
    <m/>
    <n v="53"/>
    <n v="21"/>
    <n v="67"/>
    <n v="43"/>
    <n v="61"/>
    <n v="65"/>
    <n v="64"/>
    <n v="50"/>
    <n v="0"/>
    <n v="174888"/>
    <n v="14574"/>
    <n v="0"/>
    <n v="14574"/>
    <n v="0"/>
    <n v="0"/>
  </r>
  <r>
    <s v="Турмук"/>
    <x v="1"/>
    <s v="ЦЗ"/>
    <s v="ОПЗ"/>
    <m/>
    <s v="Заг"/>
    <s v="Заг"/>
    <s v="Заг"/>
    <x v="32"/>
    <s v="Эвон"/>
    <m/>
    <n v="53.142857142857146"/>
    <n v="38"/>
    <n v="61"/>
    <n v="51"/>
    <n v="36"/>
    <n v="56"/>
    <n v="63"/>
    <n v="67"/>
    <n v="0"/>
    <n v="179660"/>
    <n v="14971.666666666666"/>
    <n v="0"/>
    <n v="14971.666666666666"/>
    <n v="0"/>
    <n v="0"/>
  </r>
  <r>
    <s v="Штернберг Пол"/>
    <x v="1"/>
    <s v="ПЗ"/>
    <s v="ЦЗ"/>
    <m/>
    <m/>
    <s v="Заг"/>
    <s v="Заг"/>
    <x v="32"/>
    <s v="Эвон"/>
    <m/>
    <n v="59.285714285714285"/>
    <n v="29"/>
    <n v="63"/>
    <n v="58"/>
    <n v="65"/>
    <n v="76"/>
    <n v="69"/>
    <n v="55"/>
    <n v="0"/>
    <n v="536415"/>
    <n v="44701.25"/>
    <n v="0"/>
    <n v="44701.25"/>
    <n v="0"/>
    <n v="0"/>
  </r>
  <r>
    <s v="Гартвиг Нильс"/>
    <x v="2"/>
    <s v="ЦН"/>
    <s v="ОФ"/>
    <m/>
    <m/>
    <s v="Заг"/>
    <s v="Заг"/>
    <x v="32"/>
    <s v="Эвон"/>
    <m/>
    <n v="59"/>
    <n v="31"/>
    <n v="68"/>
    <n v="57"/>
    <n v="64"/>
    <n v="73"/>
    <n v="67"/>
    <n v="53"/>
    <n v="0"/>
    <n v="511117"/>
    <n v="42593.083333333336"/>
    <n v="0"/>
    <n v="42593.083333333336"/>
    <n v="0"/>
    <n v="0"/>
  </r>
  <r>
    <s v="Манконов"/>
    <x v="2"/>
    <s v="ОФ"/>
    <s v="ЦН"/>
    <m/>
    <s v="Заг"/>
    <s v="Заг"/>
    <s v="Заг"/>
    <x v="32"/>
    <s v="Эвон"/>
    <m/>
    <n v="54.857142857142854"/>
    <n v="20"/>
    <n v="60"/>
    <n v="61"/>
    <n v="63"/>
    <n v="65"/>
    <n v="75"/>
    <n v="40"/>
    <n v="0"/>
    <n v="246793"/>
    <n v="20566.083333333332"/>
    <n v="0"/>
    <n v="20566.083333333332"/>
    <n v="0"/>
    <n v="0"/>
  </r>
  <r>
    <s v="Торчинский"/>
    <x v="2"/>
    <s v="ЦН"/>
    <s v="ОФ"/>
    <m/>
    <s v="Заг"/>
    <s v="Заг"/>
    <s v="Заг"/>
    <x v="32"/>
    <s v="Эвон"/>
    <m/>
    <n v="69.714285714285708"/>
    <n v="50"/>
    <n v="70"/>
    <n v="75"/>
    <n v="73"/>
    <n v="77"/>
    <n v="80"/>
    <n v="63"/>
    <n v="0"/>
    <n v="2711552"/>
    <n v="225962.66666666666"/>
    <n v="0"/>
    <n v="225962.66666666666"/>
    <n v="0"/>
    <n v="0"/>
  </r>
  <r>
    <s v="Эх Вайсти"/>
    <x v="2"/>
    <s v="ОФ"/>
    <s v="АПЗ"/>
    <m/>
    <s v="Заг"/>
    <s v="Заг"/>
    <s v="Заг"/>
    <x v="32"/>
    <s v="Эвон"/>
    <m/>
    <n v="58.142857142857146"/>
    <n v="30"/>
    <n v="72"/>
    <n v="60"/>
    <n v="65"/>
    <n v="66"/>
    <n v="63"/>
    <n v="51"/>
    <n v="0"/>
    <n v="441534"/>
    <n v="36794.5"/>
    <n v="0"/>
    <n v="36794.5"/>
    <n v="0"/>
    <n v="0"/>
  </r>
  <r>
    <s v="Вортан Тим"/>
    <x v="3"/>
    <s v="ППЗ"/>
    <s v="АПЗ"/>
    <m/>
    <m/>
    <s v="Заг"/>
    <s v="Заг"/>
    <x v="32"/>
    <s v="Эвон"/>
    <m/>
    <n v="55.142857142857146"/>
    <n v="27"/>
    <n v="69"/>
    <n v="48"/>
    <n v="63"/>
    <n v="61"/>
    <n v="66"/>
    <n v="52"/>
    <n v="0"/>
    <n v="259952"/>
    <n v="21662.666666666668"/>
    <n v="0"/>
    <n v="21662.666666666668"/>
    <n v="0"/>
    <n v="0"/>
  </r>
  <r>
    <s v="Горвунов"/>
    <x v="3"/>
    <s v="ЦПЗ"/>
    <s v="ОПЗ"/>
    <m/>
    <s v="Заг"/>
    <s v="Заг"/>
    <s v="Заг"/>
    <x v="32"/>
    <s v="Эвон"/>
    <m/>
    <n v="60.142857142857146"/>
    <n v="44"/>
    <n v="63"/>
    <n v="67"/>
    <n v="59"/>
    <n v="63"/>
    <n v="77"/>
    <n v="48"/>
    <n v="0"/>
    <n v="619214"/>
    <n v="51601.166666666664"/>
    <n v="0"/>
    <n v="51601.166666666664"/>
    <n v="0"/>
    <n v="0"/>
  </r>
  <r>
    <s v="Зборовский Ян"/>
    <x v="3"/>
    <s v="ЛПЗ"/>
    <s v="ЦПЗ"/>
    <m/>
    <m/>
    <s v="Заг"/>
    <s v="Заг"/>
    <x v="32"/>
    <s v="Эвон"/>
    <m/>
    <n v="58.571428571428569"/>
    <n v="36"/>
    <n v="65"/>
    <n v="54"/>
    <n v="67"/>
    <n v="69"/>
    <n v="63"/>
    <n v="56"/>
    <n v="0"/>
    <n v="475181"/>
    <n v="39598.416666666664"/>
    <n v="0"/>
    <n v="39598.416666666664"/>
    <n v="0"/>
    <n v="0"/>
  </r>
  <r>
    <s v="Йормент"/>
    <x v="3"/>
    <s v="ЦПЗ"/>
    <s v="ОПЗ"/>
    <s v="АПЗ"/>
    <s v="Заг"/>
    <s v="Заг"/>
    <s v="Заг"/>
    <x v="32"/>
    <s v="Эвон"/>
    <m/>
    <n v="61.714285714285715"/>
    <n v="50"/>
    <n v="65"/>
    <n v="70"/>
    <n v="56"/>
    <n v="68"/>
    <n v="83"/>
    <n v="40"/>
    <n v="0"/>
    <n v="801415"/>
    <n v="66784.583333333328"/>
    <n v="0"/>
    <n v="66784.583333333328"/>
    <n v="0"/>
    <n v="0"/>
  </r>
  <r>
    <s v="Мельтер"/>
    <x v="3"/>
    <s v="ЦПЗ"/>
    <s v="ЛПЗ"/>
    <m/>
    <s v="Заг"/>
    <s v="Заг"/>
    <s v="Заг"/>
    <x v="32"/>
    <s v="Эвон"/>
    <m/>
    <n v="59.428571428571431"/>
    <n v="46"/>
    <n v="60"/>
    <n v="69"/>
    <n v="58"/>
    <n v="60"/>
    <n v="72"/>
    <n v="51"/>
    <n v="0"/>
    <n v="549482"/>
    <n v="45790.166666666664"/>
    <n v="0"/>
    <n v="45790.166666666664"/>
    <n v="0"/>
    <n v="0"/>
  </r>
  <r>
    <s v="Миртович Иван"/>
    <x v="3"/>
    <s v="ЦПЗ"/>
    <s v="АПЗ"/>
    <m/>
    <m/>
    <s v="Заг"/>
    <s v="Заг"/>
    <x v="32"/>
    <s v="Эвон"/>
    <m/>
    <n v="58.857142857142854"/>
    <n v="35"/>
    <n v="62"/>
    <n v="55"/>
    <n v="74"/>
    <n v="67"/>
    <n v="65"/>
    <n v="54"/>
    <n v="0"/>
    <n v="498876"/>
    <n v="41573"/>
    <n v="0"/>
    <n v="41573"/>
    <n v="0"/>
    <n v="0"/>
  </r>
  <r>
    <s v="Норшев"/>
    <x v="3"/>
    <s v="АПЗ"/>
    <s v="ППЗ"/>
    <m/>
    <s v="Заг"/>
    <s v="Заг"/>
    <s v="Заг"/>
    <x v="32"/>
    <s v="Эвон"/>
    <m/>
    <n v="62.428571428571431"/>
    <n v="51"/>
    <n v="65"/>
    <n v="71"/>
    <n v="61"/>
    <n v="65"/>
    <n v="71"/>
    <n v="53"/>
    <n v="0"/>
    <n v="899154"/>
    <n v="74929.5"/>
    <n v="0"/>
    <n v="74929.5"/>
    <n v="0"/>
    <n v="0"/>
  </r>
  <r>
    <s v="Порщевски"/>
    <x v="3"/>
    <s v="ЦПЗ"/>
    <s v="ППЗ"/>
    <m/>
    <s v="Заг"/>
    <s v="Заг"/>
    <s v="Заг"/>
    <x v="32"/>
    <s v="Эвон"/>
    <m/>
    <n v="71.285714285714292"/>
    <n v="60"/>
    <n v="72"/>
    <n v="80"/>
    <n v="68"/>
    <n v="75"/>
    <n v="76"/>
    <n v="68"/>
    <n v="0"/>
    <n v="3388638"/>
    <n v="282386.5"/>
    <n v="0"/>
    <n v="282386.5"/>
    <n v="0"/>
    <n v="0"/>
  </r>
  <r>
    <s v="Словин Павел"/>
    <x v="3"/>
    <s v="ОПЗ"/>
    <s v="ЦПЗ"/>
    <m/>
    <m/>
    <s v="Заг"/>
    <s v="Заг"/>
    <x v="32"/>
    <s v="Эвон"/>
    <m/>
    <n v="61.857142857142854"/>
    <n v="40"/>
    <n v="58"/>
    <n v="60"/>
    <n v="69"/>
    <n v="78"/>
    <n v="71"/>
    <n v="57"/>
    <n v="0"/>
    <n v="820160"/>
    <n v="68346.666666666672"/>
    <n v="0"/>
    <n v="68346.666666666672"/>
    <n v="0"/>
    <n v="0"/>
  </r>
  <r>
    <s v="Кецаль Рэй"/>
    <x v="0"/>
    <s v="В"/>
    <m/>
    <m/>
    <m/>
    <s v="Генуа"/>
    <s v="Генуа"/>
    <x v="33"/>
    <s v="Эвон"/>
    <m/>
    <n v="50.285714285714285"/>
    <n v="8"/>
    <n v="64"/>
    <n v="56"/>
    <n v="63"/>
    <n v="65"/>
    <n v="67"/>
    <n v="29"/>
    <n v="0"/>
    <n v="103383"/>
    <n v="8615.25"/>
    <n v="0"/>
    <n v="8615.25"/>
    <n v="0"/>
    <n v="0"/>
  </r>
  <r>
    <s v="Ньяме Остин"/>
    <x v="0"/>
    <s v="В"/>
    <m/>
    <m/>
    <m/>
    <s v="Генуа"/>
    <s v="Генуа"/>
    <x v="33"/>
    <s v="Эвон"/>
    <m/>
    <n v="50.857142857142854"/>
    <n v="8"/>
    <n v="65"/>
    <n v="58"/>
    <n v="63"/>
    <n v="65"/>
    <n v="67"/>
    <n v="30"/>
    <n v="0"/>
    <n v="115750"/>
    <n v="9645.8333333333339"/>
    <n v="0"/>
    <n v="9645.8333333333339"/>
    <n v="0"/>
    <n v="0"/>
  </r>
  <r>
    <s v="Тлалокун Остин"/>
    <x v="0"/>
    <s v="В"/>
    <m/>
    <m/>
    <m/>
    <s v="Генуа"/>
    <s v="Генуа"/>
    <x v="33"/>
    <s v="Эвон"/>
    <m/>
    <n v="52.714285714285715"/>
    <n v="10"/>
    <n v="67"/>
    <n v="59"/>
    <n v="65"/>
    <n v="67"/>
    <n v="69"/>
    <n v="32"/>
    <n v="0"/>
    <n v="165686"/>
    <n v="13807.166666666666"/>
    <n v="0"/>
    <n v="13807.166666666666"/>
    <n v="0"/>
    <n v="0"/>
  </r>
  <r>
    <s v="Кукулькан Люк"/>
    <x v="1"/>
    <s v="ЦЗ"/>
    <s v="ОПЗ"/>
    <m/>
    <m/>
    <s v="Генуа"/>
    <s v="Генуа"/>
    <x v="33"/>
    <s v="Эвон"/>
    <m/>
    <n v="47.428571428571431"/>
    <n v="6"/>
    <n v="61"/>
    <n v="54"/>
    <n v="60"/>
    <n v="62"/>
    <n v="64"/>
    <n v="25"/>
    <n v="0"/>
    <n v="57598"/>
    <n v="4799.833333333333"/>
    <n v="0"/>
    <n v="4799.833333333333"/>
    <n v="0"/>
    <n v="0"/>
  </r>
  <r>
    <s v="Тескатлипок Тим"/>
    <x v="1"/>
    <s v="ПЗ"/>
    <s v="ЦЗ"/>
    <m/>
    <m/>
    <s v="Генуа"/>
    <s v="Генуа"/>
    <x v="33"/>
    <s v="Эвон"/>
    <m/>
    <n v="52.857142857142854"/>
    <n v="9"/>
    <n v="69"/>
    <n v="60"/>
    <n v="65"/>
    <n v="67"/>
    <n v="69"/>
    <n v="31"/>
    <n v="0"/>
    <n v="170231"/>
    <n v="14185.916666666666"/>
    <n v="0"/>
    <n v="14185.916666666666"/>
    <n v="0"/>
    <n v="0"/>
  </r>
  <r>
    <s v="Тлауикаль Кир"/>
    <x v="1"/>
    <s v="ЛЗ"/>
    <s v="ЦЗ"/>
    <m/>
    <m/>
    <s v="Генуа"/>
    <s v="Генуа"/>
    <x v="33"/>
    <s v="Эвон"/>
    <m/>
    <n v="54.428571428571431"/>
    <n v="11"/>
    <n v="70"/>
    <n v="62"/>
    <n v="66"/>
    <n v="68"/>
    <n v="70"/>
    <n v="34"/>
    <n v="0"/>
    <n v="228176"/>
    <n v="19014.666666666668"/>
    <n v="0"/>
    <n v="19014.666666666668"/>
    <n v="0"/>
    <n v="0"/>
  </r>
  <r>
    <s v="Уицилопочтли Ян"/>
    <x v="1"/>
    <s v="ПЗ"/>
    <s v="ЛЗ"/>
    <m/>
    <m/>
    <s v="Генуа"/>
    <s v="Генуа"/>
    <x v="33"/>
    <s v="Эвон"/>
    <m/>
    <n v="50.428571428571431"/>
    <n v="7"/>
    <n v="65"/>
    <n v="58"/>
    <n v="63"/>
    <n v="65"/>
    <n v="67"/>
    <n v="28"/>
    <n v="0"/>
    <n v="106358"/>
    <n v="8863.1666666666661"/>
    <n v="0"/>
    <n v="8863.1666666666661"/>
    <n v="0"/>
    <n v="0"/>
  </r>
  <r>
    <s v="ШипеТотек Рой"/>
    <x v="1"/>
    <s v="ЦЗ"/>
    <s v="ЛЗ"/>
    <m/>
    <m/>
    <s v="Генуа"/>
    <s v="Генуа"/>
    <x v="33"/>
    <s v="Эвон"/>
    <m/>
    <n v="55.428571428571431"/>
    <n v="12"/>
    <n v="71"/>
    <n v="63"/>
    <n v="67"/>
    <n v="69"/>
    <n v="71"/>
    <n v="35"/>
    <n v="0"/>
    <n v="273740"/>
    <n v="22811.666666666668"/>
    <n v="0"/>
    <n v="22811.666666666668"/>
    <n v="0"/>
    <n v="0"/>
  </r>
  <r>
    <s v="Ананси Торвальд"/>
    <x v="2"/>
    <s v="ЦН"/>
    <s v="ОФ"/>
    <m/>
    <m/>
    <s v="Генуа"/>
    <s v="Генуа"/>
    <x v="33"/>
    <s v="Эвон"/>
    <m/>
    <n v="63.857142857142854"/>
    <n v="15"/>
    <n v="75"/>
    <n v="80"/>
    <n v="75"/>
    <n v="77"/>
    <n v="80"/>
    <n v="45"/>
    <n v="0"/>
    <n v="1127444"/>
    <n v="93953.666666666672"/>
    <n v="0"/>
    <n v="93953.666666666672"/>
    <n v="0"/>
    <n v="0"/>
  </r>
  <r>
    <s v="Огун Эрл"/>
    <x v="2"/>
    <s v="ОФ"/>
    <s v="ЦН"/>
    <m/>
    <m/>
    <s v="Генуа"/>
    <s v="Генуа"/>
    <x v="33"/>
    <s v="Эвон"/>
    <m/>
    <n v="70.285714285714292"/>
    <n v="52"/>
    <n v="90"/>
    <n v="75"/>
    <n v="83"/>
    <n v="70"/>
    <n v="72"/>
    <n v="50"/>
    <n v="19"/>
    <n v="4413285"/>
    <n v="21108"/>
    <n v="0"/>
    <n v="367773.75"/>
    <n v="-94.26"/>
    <n v="0"/>
  </r>
  <r>
    <s v="Шанго Дан"/>
    <x v="2"/>
    <s v="ОФ"/>
    <s v="ЦН"/>
    <m/>
    <m/>
    <s v="Генуа"/>
    <s v="Генуа"/>
    <x v="33"/>
    <s v="Эвон"/>
    <m/>
    <n v="60"/>
    <n v="14"/>
    <n v="75"/>
    <n v="68"/>
    <n v="73"/>
    <n v="75"/>
    <n v="77"/>
    <n v="38"/>
    <n v="0"/>
    <n v="604662"/>
    <n v="50388.5"/>
    <n v="0"/>
    <n v="50388.5"/>
    <n v="0"/>
    <n v="0"/>
  </r>
  <r>
    <s v="АхауКан Кайус"/>
    <x v="3"/>
    <s v="АПЗ"/>
    <s v="ЦПЗ"/>
    <m/>
    <m/>
    <s v="Генуа"/>
    <s v="Генуа"/>
    <x v="33"/>
    <s v="Эвон"/>
    <m/>
    <n v="48"/>
    <n v="6"/>
    <n v="60"/>
    <n v="54"/>
    <n v="62"/>
    <n v="64"/>
    <n v="66"/>
    <n v="24"/>
    <n v="0"/>
    <n v="64926"/>
    <n v="5410.5"/>
    <n v="0"/>
    <n v="5410.5"/>
    <n v="0"/>
    <n v="0"/>
  </r>
  <r>
    <s v="БаламКу Стан"/>
    <x v="3"/>
    <s v="ППЗ"/>
    <s v="АПЗ"/>
    <m/>
    <m/>
    <s v="Генуа"/>
    <s v="Генуа"/>
    <x v="33"/>
    <s v="Эвон"/>
    <m/>
    <n v="49.857142857142854"/>
    <n v="7"/>
    <n v="64"/>
    <n v="57"/>
    <n v="63"/>
    <n v="65"/>
    <n v="67"/>
    <n v="26"/>
    <n v="0"/>
    <n v="94902"/>
    <n v="7908.5"/>
    <n v="0"/>
    <n v="7908.5"/>
    <n v="0"/>
    <n v="0"/>
  </r>
  <r>
    <s v="Вормс Адон"/>
    <x v="3"/>
    <s v="АПЗ"/>
    <s v="ЛПЗ"/>
    <s v="ППЗ"/>
    <s v="Генуа"/>
    <s v="Генуа"/>
    <s v="В.И."/>
    <x v="33"/>
    <s v="Эвон"/>
    <m/>
    <n v="51.142857142857146"/>
    <n v="20"/>
    <n v="69"/>
    <n v="60"/>
    <n v="57"/>
    <n v="59"/>
    <n v="61"/>
    <n v="32"/>
    <n v="0"/>
    <n v="122420"/>
    <n v="10201.666666666666"/>
    <n v="0"/>
    <n v="10201.666666666666"/>
    <n v="0"/>
    <n v="0"/>
  </r>
  <r>
    <s v="ИшЧель Пол"/>
    <x v="3"/>
    <s v="ЛПЗ"/>
    <s v="ОПЗ"/>
    <m/>
    <m/>
    <s v="Генуа"/>
    <s v="Генуа"/>
    <x v="33"/>
    <s v="Эвон"/>
    <m/>
    <n v="54.428571428571431"/>
    <n v="10"/>
    <n v="69"/>
    <n v="62"/>
    <n v="67"/>
    <n v="69"/>
    <n v="71"/>
    <n v="33"/>
    <n v="0"/>
    <n v="228176"/>
    <n v="19014.666666666668"/>
    <n v="0"/>
    <n v="19014.666666666668"/>
    <n v="0"/>
    <n v="0"/>
  </r>
  <r>
    <s v="Кетцалькоатль Ирж"/>
    <x v="3"/>
    <s v="ППЗ"/>
    <s v="ЛПЗ"/>
    <m/>
    <m/>
    <s v="Генуа"/>
    <s v="Генуа"/>
    <x v="33"/>
    <s v="Эвон"/>
    <m/>
    <n v="56.142857142857146"/>
    <n v="11"/>
    <n v="71"/>
    <n v="64"/>
    <n v="69"/>
    <n v="71"/>
    <n v="73"/>
    <n v="34"/>
    <n v="0"/>
    <n v="311133"/>
    <n v="25927.75"/>
    <n v="0"/>
    <n v="25927.75"/>
    <n v="0"/>
    <n v="0"/>
  </r>
  <r>
    <s v="КиничАхау Дар"/>
    <x v="3"/>
    <s v="ОПЗ"/>
    <s v="ЦПЗ"/>
    <m/>
    <m/>
    <s v="Генуа"/>
    <s v="Генуа"/>
    <x v="33"/>
    <s v="Эвон"/>
    <m/>
    <n v="53.428571428571431"/>
    <n v="9"/>
    <n v="68"/>
    <n v="60"/>
    <n v="67"/>
    <n v="69"/>
    <n v="71"/>
    <n v="30"/>
    <n v="0"/>
    <n v="189556"/>
    <n v="15796.333333333334"/>
    <n v="0"/>
    <n v="15796.333333333334"/>
    <n v="0"/>
    <n v="0"/>
  </r>
  <r>
    <s v="Мбомо Кс"/>
    <x v="3"/>
    <s v="ППЗ"/>
    <s v="АПЗ"/>
    <m/>
    <m/>
    <s v="Генуа"/>
    <s v="Генуа"/>
    <x v="33"/>
    <s v="Эвон"/>
    <m/>
    <n v="62.571428571428569"/>
    <n v="14"/>
    <n v="73"/>
    <n v="77"/>
    <n v="75"/>
    <n v="77"/>
    <n v="79"/>
    <n v="43"/>
    <n v="0"/>
    <n v="919943"/>
    <n v="76661.916666666672"/>
    <n v="0"/>
    <n v="76661.916666666672"/>
    <n v="0"/>
    <n v="0"/>
  </r>
  <r>
    <s v="ЧакМоол Мэйс"/>
    <x v="3"/>
    <s v="ЦПЗ"/>
    <s v="ОПЗ"/>
    <m/>
    <m/>
    <s v="Генуа"/>
    <s v="Генуа"/>
    <x v="33"/>
    <s v="Эвон"/>
    <m/>
    <n v="58.285714285714285"/>
    <n v="13"/>
    <n v="73"/>
    <n v="66"/>
    <n v="71"/>
    <n v="73"/>
    <n v="75"/>
    <n v="37"/>
    <n v="0"/>
    <n v="452503"/>
    <n v="37708.583333333336"/>
    <n v="0"/>
    <n v="37708.583333333336"/>
    <n v="0"/>
    <n v="0"/>
  </r>
  <r>
    <s v="Ицамна Элд"/>
    <x v="4"/>
    <s v="Т"/>
    <m/>
    <m/>
    <m/>
    <s v="Генуа"/>
    <s v="Генуа"/>
    <x v="33"/>
    <s v="Эвон"/>
    <m/>
    <n v="51.285714285714285"/>
    <n v="9"/>
    <n v="65"/>
    <n v="57"/>
    <n v="64"/>
    <n v="66"/>
    <n v="68"/>
    <n v="30"/>
    <n v="0"/>
    <n v="125883"/>
    <n v="10490.25"/>
    <n v="0"/>
    <n v="10490.25"/>
    <n v="0"/>
    <n v="0"/>
  </r>
  <r>
    <s v="Вегарин Дарво"/>
    <x v="0"/>
    <s v="В"/>
    <m/>
    <m/>
    <m/>
    <s v="Сул"/>
    <s v="Сул"/>
    <x v="34"/>
    <s v="Эвон"/>
    <m/>
    <n v="60.714285714285715"/>
    <n v="22"/>
    <n v="78"/>
    <n v="64"/>
    <n v="74"/>
    <n v="76"/>
    <n v="78"/>
    <n v="33"/>
    <n v="0"/>
    <n v="680627"/>
    <n v="56718.916666666664"/>
    <n v="0"/>
    <n v="56718.916666666664"/>
    <n v="0"/>
    <n v="0"/>
  </r>
  <r>
    <s v="Хага (В)"/>
    <x v="0"/>
    <s v="В"/>
    <m/>
    <m/>
    <s v="Сул"/>
    <s v="Сул"/>
    <s v="Сул"/>
    <x v="34"/>
    <s v="Эвон"/>
    <m/>
    <n v="79.571428571428569"/>
    <n v="70"/>
    <n v="76"/>
    <n v="74"/>
    <n v="80"/>
    <n v="80"/>
    <n v="97"/>
    <n v="80"/>
    <n v="29"/>
    <n v="15263806"/>
    <n v="1271983.8333333333"/>
    <n v="0"/>
    <n v="1271983.8333333333"/>
    <n v="0"/>
    <n v="0"/>
  </r>
  <r>
    <s v="Градаль (З)"/>
    <x v="1"/>
    <s v="ЦЗ"/>
    <s v="ПЗ"/>
    <m/>
    <s v="Сул"/>
    <s v="Сул"/>
    <s v="Сул"/>
    <x v="34"/>
    <s v="Эвон"/>
    <m/>
    <n v="86.285714285714292"/>
    <n v="70"/>
    <n v="90"/>
    <n v="85"/>
    <n v="88"/>
    <n v="93"/>
    <n v="90"/>
    <n v="88"/>
    <n v="28"/>
    <n v="34314704"/>
    <n v="2859558.6666666665"/>
    <n v="0"/>
    <n v="2859558.6666666665"/>
    <n v="0"/>
    <n v="0"/>
  </r>
  <r>
    <s v="Моралего Диэво"/>
    <x v="1"/>
    <s v="ЦЗ"/>
    <s v="ПЗ"/>
    <m/>
    <m/>
    <s v="Сул"/>
    <s v="Сул"/>
    <x v="34"/>
    <s v="Эвон"/>
    <m/>
    <n v="57.857142857142854"/>
    <n v="22"/>
    <n v="79"/>
    <n v="65"/>
    <n v="73"/>
    <n v="69"/>
    <n v="71"/>
    <n v="26"/>
    <n v="0"/>
    <n v="420311"/>
    <n v="35025.916666666664"/>
    <n v="0"/>
    <n v="35025.916666666664"/>
    <n v="0"/>
    <n v="0"/>
  </r>
  <r>
    <s v="Ортеган Тьявэ"/>
    <x v="1"/>
    <s v="ПЗ"/>
    <s v="ЦЗ"/>
    <m/>
    <m/>
    <s v="Сул"/>
    <s v="Сул"/>
    <x v="34"/>
    <s v="Эвон"/>
    <m/>
    <n v="57"/>
    <n v="21"/>
    <n v="78"/>
    <n v="63"/>
    <n v="69"/>
    <n v="71"/>
    <n v="73"/>
    <n v="24"/>
    <n v="0"/>
    <n v="362034"/>
    <n v="30169.5"/>
    <n v="0"/>
    <n v="30169.5"/>
    <n v="0"/>
    <n v="0"/>
  </r>
  <r>
    <s v="Пеньяно Брувэ"/>
    <x v="1"/>
    <s v="ЛЗ"/>
    <s v="ЦЗ"/>
    <m/>
    <m/>
    <s v="Сул"/>
    <s v="Сул"/>
    <x v="34"/>
    <s v="Эвон"/>
    <m/>
    <n v="56.857142857142854"/>
    <n v="34"/>
    <n v="76"/>
    <n v="61"/>
    <n v="65"/>
    <n v="67"/>
    <n v="70"/>
    <n v="25"/>
    <n v="0"/>
    <n v="353062"/>
    <n v="29421.833333333332"/>
    <n v="0"/>
    <n v="29421.833333333332"/>
    <n v="0"/>
    <n v="0"/>
  </r>
  <r>
    <s v="Риосте Лукан"/>
    <x v="1"/>
    <s v="ЛЗ"/>
    <s v="ЦЗ"/>
    <m/>
    <m/>
    <s v="Сул"/>
    <s v="Сул"/>
    <x v="34"/>
    <s v="Эвон"/>
    <m/>
    <n v="60.571428571428569"/>
    <n v="32"/>
    <n v="82"/>
    <n v="66"/>
    <n v="70"/>
    <n v="72"/>
    <n v="74"/>
    <n v="28"/>
    <n v="0"/>
    <n v="664781"/>
    <n v="55398.416666666664"/>
    <n v="0"/>
    <n v="55398.416666666664"/>
    <n v="0"/>
    <n v="0"/>
  </r>
  <r>
    <s v="Льюис Рикардзото"/>
    <x v="2"/>
    <s v="ЦН"/>
    <s v="ОФ"/>
    <s v="АПЗ"/>
    <s v="Сул"/>
    <s v="Сул"/>
    <s v="Сул"/>
    <x v="34"/>
    <s v="Эвон"/>
    <m/>
    <n v="87.857142857142861"/>
    <n v="72"/>
    <n v="98"/>
    <n v="93"/>
    <n v="87"/>
    <n v="85"/>
    <n v="90"/>
    <n v="90"/>
    <n v="7"/>
    <n v="41101912"/>
    <n v="3425159.3333333335"/>
    <n v="0"/>
    <n v="3425159.3333333335"/>
    <n v="0"/>
    <n v="0"/>
  </r>
  <r>
    <s v="Ромеров Марко"/>
    <x v="2"/>
    <s v="ОФ"/>
    <s v="ЦН"/>
    <m/>
    <m/>
    <s v="Сул"/>
    <s v="Сул"/>
    <x v="34"/>
    <s v="Эвон"/>
    <m/>
    <n v="56.428571428571431"/>
    <n v="33"/>
    <n v="74"/>
    <n v="59"/>
    <n v="67"/>
    <n v="69"/>
    <n v="71"/>
    <n v="22"/>
    <n v="0"/>
    <n v="327334"/>
    <n v="27277.833333333332"/>
    <n v="0"/>
    <n v="27277.833333333332"/>
    <n v="0"/>
    <n v="0"/>
  </r>
  <r>
    <s v="Фиано Кари"/>
    <x v="2"/>
    <s v="ЦН"/>
    <s v="ОФ"/>
    <m/>
    <m/>
    <s v="Сул"/>
    <s v="Сул"/>
    <x v="34"/>
    <s v="Эвон"/>
    <m/>
    <n v="67"/>
    <n v="32"/>
    <n v="87"/>
    <n v="75"/>
    <n v="79"/>
    <n v="81"/>
    <n v="84"/>
    <n v="31"/>
    <n v="0"/>
    <n v="1822838"/>
    <n v="151903.16666666666"/>
    <n v="0"/>
    <n v="151903.16666666666"/>
    <n v="0"/>
    <n v="0"/>
  </r>
  <r>
    <s v="Гусмарин Энривэ"/>
    <x v="3"/>
    <s v="АПЗ"/>
    <s v="ЦПЗ"/>
    <m/>
    <m/>
    <s v="Сул"/>
    <s v="Сул"/>
    <x v="34"/>
    <s v="Эвон"/>
    <m/>
    <n v="64.285714285714292"/>
    <n v="23"/>
    <n v="85"/>
    <n v="73"/>
    <n v="77"/>
    <n v="79"/>
    <n v="81"/>
    <n v="32"/>
    <n v="0"/>
    <n v="1205438"/>
    <n v="100453.16666666667"/>
    <n v="0"/>
    <n v="100453.16666666667"/>
    <n v="0"/>
    <n v="0"/>
  </r>
  <r>
    <s v="Дазар"/>
    <x v="3"/>
    <s v="АПЗ"/>
    <s v="ЦН"/>
    <s v="ППЗ"/>
    <s v="Сул"/>
    <s v="Сул"/>
    <s v="Сул"/>
    <x v="34"/>
    <s v="Эвон"/>
    <m/>
    <n v="85.857142857142861"/>
    <n v="79"/>
    <n v="83"/>
    <n v="92"/>
    <n v="90"/>
    <n v="90"/>
    <n v="92"/>
    <n v="75"/>
    <n v="18"/>
    <n v="32647925"/>
    <n v="2720660.4166666665"/>
    <n v="0"/>
    <n v="2720660.4166666665"/>
    <n v="0"/>
    <n v="0"/>
  </r>
  <r>
    <s v="Джангер (П)"/>
    <x v="3"/>
    <s v="ЦПЗ"/>
    <s v="ОПЗ"/>
    <s v="АПЗ"/>
    <s v="Сул"/>
    <s v="Сул"/>
    <s v="Сул"/>
    <x v="34"/>
    <s v="Эвон"/>
    <m/>
    <n v="80.571428571428569"/>
    <n v="78"/>
    <n v="85"/>
    <n v="83"/>
    <n v="82"/>
    <n v="85"/>
    <n v="87"/>
    <n v="64"/>
    <n v="0"/>
    <n v="11529505"/>
    <n v="960792.08333333337"/>
    <n v="0"/>
    <n v="960792.08333333337"/>
    <n v="0"/>
    <n v="0"/>
  </r>
  <r>
    <s v="Куэвано Раув"/>
    <x v="3"/>
    <s v="ОПЗ"/>
    <s v="ЦПЗ"/>
    <m/>
    <m/>
    <s v="Сул"/>
    <s v="Сул"/>
    <x v="34"/>
    <s v="Эвон"/>
    <m/>
    <n v="61.571428571428569"/>
    <n v="34"/>
    <n v="80"/>
    <n v="67"/>
    <n v="75"/>
    <n v="73"/>
    <n v="75"/>
    <n v="27"/>
    <n v="0"/>
    <n v="783056"/>
    <n v="65254.666666666664"/>
    <n v="0"/>
    <n v="65254.666666666664"/>
    <n v="0"/>
    <n v="0"/>
  </r>
  <r>
    <s v="Пертеро Родривэ"/>
    <x v="3"/>
    <s v="ЛПЗ"/>
    <s v="ОПЗ"/>
    <m/>
    <m/>
    <s v="Сул"/>
    <s v="Сул"/>
    <x v="34"/>
    <s v="Эвон"/>
    <m/>
    <n v="70.571428571428569"/>
    <n v="42"/>
    <n v="88"/>
    <n v="76"/>
    <n v="82"/>
    <n v="85"/>
    <n v="87"/>
    <n v="34"/>
    <n v="0"/>
    <n v="3064003"/>
    <n v="255333.58333333334"/>
    <n v="0"/>
    <n v="255333.58333333334"/>
    <n v="0"/>
    <n v="0"/>
  </r>
  <r>
    <s v="Растроно Пабвэ"/>
    <x v="3"/>
    <s v="ЦПЗ"/>
    <s v="ЛПЗ"/>
    <m/>
    <m/>
    <s v="Сул"/>
    <s v="Сул"/>
    <x v="34"/>
    <s v="Эвон"/>
    <m/>
    <n v="59.142857142857146"/>
    <n v="32"/>
    <n v="76"/>
    <n v="63"/>
    <n v="71"/>
    <n v="73"/>
    <n v="75"/>
    <n v="24"/>
    <n v="0"/>
    <n v="523629"/>
    <n v="43635.75"/>
    <n v="0"/>
    <n v="43635.75"/>
    <n v="0"/>
    <n v="0"/>
  </r>
  <r>
    <s v="С.Марчиньо (П)"/>
    <x v="3"/>
    <s v="ЛПЗ"/>
    <s v="АПЗ"/>
    <m/>
    <s v="Сул"/>
    <s v="Сул"/>
    <s v="Сул"/>
    <x v="34"/>
    <s v="Эвон"/>
    <m/>
    <n v="82.142857142857139"/>
    <n v="80"/>
    <n v="90"/>
    <n v="85"/>
    <n v="84"/>
    <n v="84"/>
    <n v="88"/>
    <n v="64"/>
    <n v="12"/>
    <n v="20979219"/>
    <n v="1748268.25"/>
    <n v="0"/>
    <n v="1748268.25"/>
    <n v="0"/>
    <n v="0"/>
  </r>
  <r>
    <s v="Садильо Анрэв"/>
    <x v="3"/>
    <s v="ППЗ"/>
    <s v="АПЗ"/>
    <m/>
    <m/>
    <s v="Сул"/>
    <s v="Сул"/>
    <x v="34"/>
    <s v="Эвон"/>
    <m/>
    <n v="58.285714285714285"/>
    <n v="32"/>
    <n v="79"/>
    <n v="63"/>
    <n v="71"/>
    <n v="69"/>
    <n v="71"/>
    <n v="23"/>
    <n v="0"/>
    <n v="452503"/>
    <n v="37708.583333333336"/>
    <n v="0"/>
    <n v="37708.583333333336"/>
    <n v="0"/>
    <n v="0"/>
  </r>
  <r>
    <s v="Санчестер Матэв"/>
    <x v="3"/>
    <s v="ЦПЗ"/>
    <s v="ОПЗ"/>
    <m/>
    <m/>
    <s v="Сул"/>
    <s v="Сул"/>
    <x v="34"/>
    <s v="Эвон"/>
    <m/>
    <n v="62.428571428571431"/>
    <n v="45"/>
    <n v="77"/>
    <n v="65"/>
    <n v="73"/>
    <n v="75"/>
    <n v="77"/>
    <n v="25"/>
    <n v="0"/>
    <n v="899154"/>
    <n v="74929.5"/>
    <n v="0"/>
    <n v="74929.5"/>
    <n v="0"/>
    <n v="0"/>
  </r>
  <r>
    <s v="Сальмор Матэв"/>
    <x v="4"/>
    <s v="Т"/>
    <m/>
    <m/>
    <m/>
    <s v="Сул"/>
    <s v="Сул"/>
    <x v="34"/>
    <s v="Эвон"/>
    <m/>
    <n v="58.285714285714285"/>
    <n v="23"/>
    <n v="75"/>
    <n v="61"/>
    <n v="71"/>
    <n v="73"/>
    <n v="75"/>
    <n v="30"/>
    <n v="0"/>
    <n v="452503"/>
    <n v="37708.583333333336"/>
    <n v="0"/>
    <n v="37708.583333333336"/>
    <n v="0"/>
    <n v="0"/>
  </r>
  <r>
    <s v="Донтор (В)"/>
    <x v="0"/>
    <s v="В"/>
    <m/>
    <m/>
    <s v="Бел"/>
    <s v="Бел"/>
    <s v="Бел"/>
    <x v="35"/>
    <s v="Эвон"/>
    <m/>
    <n v="87.571428571428569"/>
    <n v="85"/>
    <n v="85"/>
    <n v="80"/>
    <n v="90"/>
    <n v="93"/>
    <n v="92"/>
    <n v="88"/>
    <n v="31"/>
    <n v="39784656"/>
    <n v="3315388"/>
    <n v="0"/>
    <n v="3315388"/>
    <n v="0"/>
    <n v="0"/>
  </r>
  <r>
    <s v="Крондельт Ханс"/>
    <x v="0"/>
    <s v="В"/>
    <m/>
    <m/>
    <m/>
    <s v="Бел"/>
    <s v="Бел"/>
    <x v="35"/>
    <s v="Эвон"/>
    <m/>
    <n v="58.428571428571431"/>
    <n v="14"/>
    <n v="70"/>
    <n v="64"/>
    <n v="74"/>
    <n v="76"/>
    <n v="78"/>
    <n v="33"/>
    <n v="0"/>
    <n v="463717"/>
    <n v="38643.083333333336"/>
    <n v="0"/>
    <n v="38643.083333333336"/>
    <n v="0"/>
    <n v="0"/>
  </r>
  <r>
    <s v="Вальдкрон Эрик"/>
    <x v="1"/>
    <s v="ЦЗ"/>
    <m/>
    <m/>
    <m/>
    <s v="Бел"/>
    <s v="Бел"/>
    <x v="35"/>
    <s v="Эвон"/>
    <m/>
    <n v="51.714285714285715"/>
    <n v="11"/>
    <n v="63"/>
    <n v="61"/>
    <n v="65"/>
    <n v="67"/>
    <n v="70"/>
    <n v="25"/>
    <n v="0"/>
    <n v="136807"/>
    <n v="11400.583333333334"/>
    <n v="0"/>
    <n v="11400.583333333334"/>
    <n v="0"/>
    <n v="0"/>
  </r>
  <r>
    <s v="Линдштром Аксель"/>
    <x v="1"/>
    <s v="ЛЗ"/>
    <s v="ЦЗ"/>
    <m/>
    <m/>
    <s v="Бел"/>
    <s v="Бел"/>
    <x v="35"/>
    <s v="Эвон"/>
    <m/>
    <n v="59"/>
    <n v="16"/>
    <n v="75"/>
    <n v="69"/>
    <n v="73"/>
    <n v="75"/>
    <n v="77"/>
    <n v="28"/>
    <n v="0"/>
    <n v="511117"/>
    <n v="42593.083333333336"/>
    <n v="0"/>
    <n v="42593.083333333336"/>
    <n v="0"/>
    <n v="0"/>
  </r>
  <r>
    <s v="Пфайльманн Дитер"/>
    <x v="1"/>
    <s v="ПЗ"/>
    <s v="ЦЗ"/>
    <m/>
    <m/>
    <s v="Бел"/>
    <s v="Бел"/>
    <x v="35"/>
    <s v="Эвон"/>
    <m/>
    <n v="53.857142857142854"/>
    <n v="12"/>
    <n v="71"/>
    <n v="59"/>
    <n v="71"/>
    <n v="69"/>
    <n v="71"/>
    <n v="24"/>
    <n v="0"/>
    <n v="205321"/>
    <n v="17110.083333333332"/>
    <n v="0"/>
    <n v="17110.083333333332"/>
    <n v="0"/>
    <n v="0"/>
  </r>
  <r>
    <s v="Штернблюм Курт"/>
    <x v="1"/>
    <s v="ЦЗ"/>
    <s v="ОПЗ"/>
    <m/>
    <m/>
    <s v="Бел"/>
    <s v="Бел"/>
    <x v="35"/>
    <s v="Эвон"/>
    <m/>
    <n v="73.142857142857139"/>
    <n v="20"/>
    <n v="88"/>
    <n v="80"/>
    <n v="92"/>
    <n v="95"/>
    <n v="97"/>
    <n v="40"/>
    <n v="0"/>
    <n v="4382473"/>
    <n v="365206.08333333331"/>
    <n v="0"/>
    <n v="365206.08333333331"/>
    <n v="0"/>
    <n v="0"/>
  </r>
  <r>
    <s v="Альбрехт Фриц"/>
    <x v="2"/>
    <s v="ОФ"/>
    <s v="ЦН"/>
    <m/>
    <m/>
    <s v="Бел"/>
    <s v="Бел"/>
    <x v="35"/>
    <s v="Эвон"/>
    <m/>
    <n v="50.142857142857146"/>
    <n v="11"/>
    <n v="55"/>
    <n v="59"/>
    <n v="67"/>
    <n v="65"/>
    <n v="68"/>
    <n v="26"/>
    <n v="0"/>
    <n v="100483"/>
    <n v="8373.5833333333339"/>
    <n v="0"/>
    <n v="8373.5833333333339"/>
    <n v="0"/>
    <n v="0"/>
  </r>
  <r>
    <s v="Назар (Н)"/>
    <x v="2"/>
    <s v="ЦН"/>
    <s v="ОФ"/>
    <s v="АПЗ"/>
    <s v="Ард"/>
    <s v="Ард"/>
    <s v="Ард"/>
    <x v="35"/>
    <s v="Эвон"/>
    <m/>
    <n v="81.571428571428569"/>
    <n v="70"/>
    <n v="87"/>
    <n v="86"/>
    <n v="84"/>
    <n v="86"/>
    <n v="88"/>
    <n v="70"/>
    <n v="7"/>
    <n v="19564644"/>
    <n v="1630387"/>
    <n v="0"/>
    <n v="1630387"/>
    <n v="0"/>
    <n v="0"/>
  </r>
  <r>
    <s v="Хольмквист Свен"/>
    <x v="2"/>
    <s v="ЦН"/>
    <s v="ОФ"/>
    <m/>
    <m/>
    <s v="Бел"/>
    <s v="Бел"/>
    <x v="35"/>
    <s v="Эвон"/>
    <m/>
    <n v="68.428571428571431"/>
    <n v="19"/>
    <n v="85"/>
    <n v="79"/>
    <n v="83"/>
    <n v="87"/>
    <n v="90"/>
    <n v="36"/>
    <n v="0"/>
    <n v="2250997"/>
    <n v="187583.08333333334"/>
    <n v="0"/>
    <n v="187583.08333333334"/>
    <n v="0"/>
    <n v="0"/>
  </r>
  <r>
    <s v="Бергфальк Нильс"/>
    <x v="3"/>
    <s v="ОПЗ"/>
    <s v="ЦПЗ"/>
    <m/>
    <m/>
    <s v="Бел"/>
    <s v="Бел"/>
    <x v="35"/>
    <s v="Эвон"/>
    <m/>
    <n v="50.571428571428569"/>
    <n v="11"/>
    <n v="57"/>
    <n v="57"/>
    <n v="65"/>
    <n v="69"/>
    <n v="72"/>
    <n v="23"/>
    <n v="0"/>
    <n v="109409"/>
    <n v="9117.4166666666661"/>
    <n v="0"/>
    <n v="9117.4166666666661"/>
    <n v="0"/>
    <n v="0"/>
  </r>
  <r>
    <s v="Вайсхаупт Отто"/>
    <x v="3"/>
    <s v="АПЗ"/>
    <s v="ЦПЗ"/>
    <m/>
    <m/>
    <s v="Бел"/>
    <s v="Бел"/>
    <x v="35"/>
    <s v="Эвон"/>
    <m/>
    <n v="59.571428571428569"/>
    <n v="14"/>
    <n v="72"/>
    <n v="66"/>
    <n v="76"/>
    <n v="78"/>
    <n v="80"/>
    <n v="31"/>
    <n v="0"/>
    <n v="562834"/>
    <n v="46902.833333333336"/>
    <n v="0"/>
    <n v="46902.833333333336"/>
    <n v="0"/>
    <n v="0"/>
  </r>
  <r>
    <s v="Годин (П)"/>
    <x v="3"/>
    <s v="АПЗ"/>
    <s v="ЛПЗ"/>
    <s v="ЦН"/>
    <s v="Вод"/>
    <s v="Вод"/>
    <s v="Вод"/>
    <x v="35"/>
    <s v="Эвон"/>
    <m/>
    <n v="81.142857142857139"/>
    <n v="80"/>
    <n v="80"/>
    <n v="89"/>
    <n v="82"/>
    <n v="81"/>
    <n v="85"/>
    <n v="71"/>
    <n v="2"/>
    <n v="18560695"/>
    <n v="1546724.5833333333"/>
    <n v="0"/>
    <n v="1546724.5833333333"/>
    <n v="0"/>
    <n v="0"/>
  </r>
  <r>
    <s v="Гроссманн Пауль"/>
    <x v="3"/>
    <s v="ППЗ"/>
    <s v="АПЗ"/>
    <m/>
    <m/>
    <s v="Бел"/>
    <s v="Бел"/>
    <x v="35"/>
    <s v="Эвон"/>
    <m/>
    <n v="55.428571428571431"/>
    <n v="13"/>
    <n v="69"/>
    <n v="63"/>
    <n v="73"/>
    <n v="71"/>
    <n v="73"/>
    <n v="26"/>
    <n v="0"/>
    <n v="273740"/>
    <n v="22811.666666666668"/>
    <n v="0"/>
    <n v="22811.666666666668"/>
    <n v="0"/>
    <n v="0"/>
  </r>
  <r>
    <s v="Джефер (П)"/>
    <x v="3"/>
    <s v="ЛПЗ"/>
    <s v="ОПЗ"/>
    <m/>
    <s v="Бел"/>
    <s v="Бел"/>
    <s v="Бел"/>
    <x v="35"/>
    <s v="Эвон"/>
    <m/>
    <n v="82.857142857142861"/>
    <n v="82"/>
    <n v="90"/>
    <n v="83"/>
    <n v="85"/>
    <n v="90"/>
    <n v="82"/>
    <n v="68"/>
    <n v="23"/>
    <n v="22876564"/>
    <n v="1906380.3333333333"/>
    <n v="0"/>
    <n v="1906380.3333333333"/>
    <n v="0"/>
    <n v="0"/>
  </r>
  <r>
    <s v="Джозер (П)"/>
    <x v="3"/>
    <s v="ЛПЗ"/>
    <m/>
    <m/>
    <s v="Шах"/>
    <s v="Бел"/>
    <s v="Бел"/>
    <x v="35"/>
    <s v="Эвон"/>
    <m/>
    <n v="55.714285714285715"/>
    <n v="48"/>
    <n v="67"/>
    <n v="64"/>
    <n v="67"/>
    <n v="61"/>
    <n v="58"/>
    <n v="25"/>
    <n v="0"/>
    <n v="288182"/>
    <n v="24015.166666666668"/>
    <n v="0"/>
    <n v="24015.166666666668"/>
    <n v="0"/>
    <n v="0"/>
  </r>
  <r>
    <s v="Кирхенвальд Люк"/>
    <x v="3"/>
    <s v="ЦПЗ"/>
    <s v="ОПЗ"/>
    <m/>
    <m/>
    <s v="Бел"/>
    <s v="Бел"/>
    <x v="35"/>
    <s v="Эвон"/>
    <m/>
    <n v="55.428571428571431"/>
    <n v="11"/>
    <n v="68"/>
    <n v="62"/>
    <n v="72"/>
    <n v="74"/>
    <n v="76"/>
    <n v="25"/>
    <n v="16"/>
    <n v="410609"/>
    <n v="22811.666666666668"/>
    <n v="0"/>
    <n v="34217.416666666664"/>
    <n v="-33.33"/>
    <n v="0"/>
  </r>
  <r>
    <s v="Моргенштерн Ян"/>
    <x v="3"/>
    <s v="ЛПЗ"/>
    <s v="ОПЗ"/>
    <m/>
    <m/>
    <s v="Бел"/>
    <s v="Бел"/>
    <x v="35"/>
    <s v="Эвон"/>
    <m/>
    <n v="53.857142857142854"/>
    <n v="11"/>
    <n v="66"/>
    <n v="60"/>
    <n v="70"/>
    <n v="72"/>
    <n v="74"/>
    <n v="24"/>
    <n v="16"/>
    <n v="307982"/>
    <n v="17110.083333333332"/>
    <n v="0"/>
    <n v="25665.166666666668"/>
    <n v="-33.33"/>
    <n v="0"/>
  </r>
  <r>
    <s v="Порти"/>
    <x v="3"/>
    <s v="ЦПЗ"/>
    <m/>
    <m/>
    <s v="Шах"/>
    <s v="Шах"/>
    <s v="Шах"/>
    <x v="35"/>
    <s v="Эвон"/>
    <m/>
    <n v="58.285714285714285"/>
    <n v="30"/>
    <n v="59"/>
    <n v="66"/>
    <n v="73"/>
    <n v="66"/>
    <n v="68"/>
    <n v="46"/>
    <n v="0"/>
    <n v="452503"/>
    <n v="37708.583333333336"/>
    <n v="0"/>
    <n v="37708.583333333336"/>
    <n v="0"/>
    <n v="0"/>
  </r>
  <r>
    <s v="Радригес(П)"/>
    <x v="3"/>
    <s v="ЛПЗ"/>
    <s v="ОПЗ"/>
    <m/>
    <s v="Клю"/>
    <s v="Лион"/>
    <s v="Лион"/>
    <x v="35"/>
    <s v="Эвон"/>
    <m/>
    <n v="78.428571428571431"/>
    <n v="70"/>
    <n v="90"/>
    <n v="78"/>
    <n v="83"/>
    <n v="77"/>
    <n v="78"/>
    <n v="73"/>
    <n v="23"/>
    <n v="13207917"/>
    <n v="1100659.75"/>
    <n v="0"/>
    <n v="1100659.75"/>
    <n v="0"/>
    <n v="0"/>
  </r>
  <r>
    <s v="Мартельсон Олаф"/>
    <x v="4"/>
    <s v="Т"/>
    <m/>
    <m/>
    <m/>
    <s v="Бел"/>
    <s v="Бел"/>
    <x v="35"/>
    <s v="Эвон"/>
    <m/>
    <n v="55.571428571428569"/>
    <n v="12"/>
    <n v="67"/>
    <n v="61"/>
    <n v="71"/>
    <n v="73"/>
    <n v="75"/>
    <n v="30"/>
    <n v="0"/>
    <n v="280877"/>
    <n v="23406.416666666668"/>
    <n v="0"/>
    <n v="23406.416666666668"/>
    <n v="0"/>
    <n v="0"/>
  </r>
  <r>
    <s v="Арутн"/>
    <x v="0"/>
    <s v="В"/>
    <m/>
    <m/>
    <s v="Ард"/>
    <s v="Ард"/>
    <s v="Ард"/>
    <x v="36"/>
    <s v="Эвон"/>
    <m/>
    <n v="69.428571428571431"/>
    <n v="30"/>
    <n v="70"/>
    <n v="80"/>
    <n v="80"/>
    <n v="81"/>
    <n v="80"/>
    <n v="65"/>
    <n v="0"/>
    <n v="2602450"/>
    <n v="216870.83333333334"/>
    <n v="0"/>
    <n v="216870.83333333334"/>
    <n v="0"/>
    <n v="0"/>
  </r>
  <r>
    <s v="Куатро Рико"/>
    <x v="0"/>
    <s v="В"/>
    <m/>
    <m/>
    <s v="Ард"/>
    <s v="Ард"/>
    <s v="Ард"/>
    <x v="36"/>
    <s v="Эвон"/>
    <m/>
    <n v="60.571428571428569"/>
    <n v="17"/>
    <n v="82"/>
    <n v="68"/>
    <n v="70"/>
    <n v="75"/>
    <n v="74"/>
    <n v="38"/>
    <n v="0"/>
    <n v="664781"/>
    <n v="55398.416666666664"/>
    <n v="0"/>
    <n v="55398.416666666664"/>
    <n v="0"/>
    <n v="0"/>
  </r>
  <r>
    <s v="Вазар"/>
    <x v="1"/>
    <s v="ЦЗ"/>
    <m/>
    <m/>
    <s v="Ард"/>
    <s v="Ард"/>
    <s v="Ард"/>
    <x v="36"/>
    <s v="Эвон"/>
    <m/>
    <n v="71.142857142857139"/>
    <n v="57"/>
    <n v="57"/>
    <n v="64"/>
    <n v="72"/>
    <n v="72"/>
    <n v="95"/>
    <n v="81"/>
    <n v="0"/>
    <n v="3321338"/>
    <n v="276778.16666666669"/>
    <n v="0"/>
    <n v="276778.16666666669"/>
    <n v="0"/>
    <n v="0"/>
  </r>
  <r>
    <s v="Визарно (З)"/>
    <x v="1"/>
    <s v="ЦЗ"/>
    <m/>
    <m/>
    <s v="Ард"/>
    <s v="Ард"/>
    <s v="Ард"/>
    <x v="36"/>
    <s v="Эвон"/>
    <m/>
    <n v="66.285714285714292"/>
    <n v="56"/>
    <n v="54"/>
    <n v="62"/>
    <n v="77"/>
    <n v="70"/>
    <n v="75"/>
    <n v="70"/>
    <n v="0"/>
    <n v="1637569"/>
    <n v="136464.08333333334"/>
    <n v="0"/>
    <n v="136464.08333333334"/>
    <n v="0"/>
    <n v="0"/>
  </r>
  <r>
    <s v="Гроззи"/>
    <x v="1"/>
    <s v="ЦЗ"/>
    <m/>
    <m/>
    <s v="Ард"/>
    <s v="Ард"/>
    <s v="Ард"/>
    <x v="36"/>
    <s v="Эвон"/>
    <m/>
    <n v="67.285714285714292"/>
    <n v="40"/>
    <n v="55"/>
    <n v="70"/>
    <n v="75"/>
    <n v="74"/>
    <n v="80"/>
    <n v="77"/>
    <n v="0"/>
    <n v="1902080"/>
    <n v="158506.66666666666"/>
    <n v="0"/>
    <n v="158506.66666666666"/>
    <n v="0"/>
    <n v="0"/>
  </r>
  <r>
    <s v="Занзибар Оби"/>
    <x v="1"/>
    <s v="ЦЗ"/>
    <s v="ОПЗ"/>
    <m/>
    <m/>
    <s v="Ард"/>
    <s v="Ард"/>
    <x v="36"/>
    <s v="Эвон"/>
    <m/>
    <n v="60.285714285714285"/>
    <n v="15"/>
    <n v="86"/>
    <n v="62"/>
    <n v="74"/>
    <n v="77"/>
    <n v="78"/>
    <n v="30"/>
    <n v="0"/>
    <n v="634081"/>
    <n v="52840.083333333336"/>
    <n v="0"/>
    <n v="52840.083333333336"/>
    <n v="0"/>
    <n v="0"/>
  </r>
  <r>
    <s v="Ксанаду Тибо"/>
    <x v="1"/>
    <s v="ЦЗ"/>
    <m/>
    <m/>
    <m/>
    <s v="Ард"/>
    <s v="Ард"/>
    <x v="36"/>
    <s v="Эвон"/>
    <m/>
    <n v="53.285714285714285"/>
    <n v="15"/>
    <n v="83"/>
    <n v="58"/>
    <n v="60"/>
    <n v="64"/>
    <n v="67"/>
    <n v="26"/>
    <n v="0"/>
    <n v="184548"/>
    <n v="15379"/>
    <n v="0"/>
    <n v="15379"/>
    <n v="0"/>
    <n v="0"/>
  </r>
  <r>
    <s v="Лайсут"/>
    <x v="1"/>
    <s v="ЦЗ"/>
    <m/>
    <m/>
    <s v="Ард"/>
    <s v="Ард"/>
    <s v="Ард"/>
    <x v="36"/>
    <s v="Эвон"/>
    <m/>
    <n v="64.571428571428569"/>
    <n v="39"/>
    <n v="50"/>
    <n v="59"/>
    <n v="76"/>
    <n v="80"/>
    <n v="68"/>
    <n v="80"/>
    <n v="0"/>
    <n v="1260097"/>
    <n v="105008.08333333333"/>
    <n v="0"/>
    <n v="105008.08333333333"/>
    <n v="0"/>
    <n v="0"/>
  </r>
  <r>
    <s v="Мамбаса Дарко"/>
    <x v="1"/>
    <s v="ЦЗ"/>
    <s v="ЛЗ"/>
    <m/>
    <s v="Ард"/>
    <s v="Ард"/>
    <s v="Ард"/>
    <x v="36"/>
    <s v="Эвон"/>
    <m/>
    <n v="67"/>
    <n v="21"/>
    <n v="90"/>
    <n v="66"/>
    <n v="82"/>
    <n v="84"/>
    <n v="85"/>
    <n v="41"/>
    <n v="0"/>
    <n v="1822838"/>
    <n v="151903.16666666666"/>
    <n v="0"/>
    <n v="151903.16666666666"/>
    <n v="0"/>
    <n v="0"/>
  </r>
  <r>
    <s v="Тимбукту Ян"/>
    <x v="1"/>
    <s v="ЦЗ"/>
    <m/>
    <m/>
    <m/>
    <s v="Ард"/>
    <s v="Ард"/>
    <x v="36"/>
    <s v="Эвон"/>
    <m/>
    <n v="58.142857142857146"/>
    <n v="18"/>
    <n v="84"/>
    <n v="60"/>
    <n v="68"/>
    <n v="73"/>
    <n v="75"/>
    <n v="29"/>
    <n v="0"/>
    <n v="441534"/>
    <n v="36794.5"/>
    <n v="0"/>
    <n v="36794.5"/>
    <n v="0"/>
    <n v="0"/>
  </r>
  <r>
    <s v="Каракас Диего"/>
    <x v="2"/>
    <s v="ЦН"/>
    <s v="ОФ"/>
    <m/>
    <s v="Ард"/>
    <s v="Ард"/>
    <s v="Ард"/>
    <x v="36"/>
    <s v="Эвон"/>
    <m/>
    <n v="67.857142857142861"/>
    <n v="24"/>
    <n v="94"/>
    <n v="72"/>
    <n v="78"/>
    <n v="81"/>
    <n v="84"/>
    <n v="42"/>
    <n v="7"/>
    <n v="3104896"/>
    <n v="258741.33333333334"/>
    <n v="0"/>
    <n v="258741.33333333334"/>
    <n v="0"/>
    <n v="0"/>
  </r>
  <r>
    <s v="Нагазар (Н)"/>
    <x v="2"/>
    <s v="ЦН"/>
    <m/>
    <m/>
    <s v="Ард"/>
    <s v="Ард"/>
    <s v="Ард"/>
    <x v="36"/>
    <s v="Эвон"/>
    <m/>
    <n v="74.142857142857139"/>
    <n v="60"/>
    <n v="83"/>
    <n v="80"/>
    <n v="77"/>
    <n v="80"/>
    <n v="89"/>
    <n v="50"/>
    <n v="0"/>
    <n v="5019879"/>
    <n v="418323.25"/>
    <n v="0"/>
    <n v="418323.25"/>
    <n v="0"/>
    <n v="0"/>
  </r>
  <r>
    <s v="Ют-Аюр"/>
    <x v="2"/>
    <s v="ОФ"/>
    <s v="ЦН"/>
    <m/>
    <s v="Ард"/>
    <s v="Ард"/>
    <s v="Ард"/>
    <x v="36"/>
    <s v="Эвон"/>
    <m/>
    <n v="72.285714285714292"/>
    <n v="50"/>
    <n v="93"/>
    <n v="75"/>
    <n v="80"/>
    <n v="73"/>
    <n v="80"/>
    <n v="55"/>
    <n v="0"/>
    <n v="3895156"/>
    <n v="324596.33333333331"/>
    <n v="0"/>
    <n v="324596.33333333331"/>
    <n v="0"/>
    <n v="0"/>
  </r>
  <r>
    <s v="Вазарио"/>
    <x v="3"/>
    <s v="ЦПЗ"/>
    <s v="АПЗ"/>
    <s v="ЛПЗ"/>
    <s v="Ард"/>
    <s v="Ард"/>
    <s v="Ард"/>
    <x v="36"/>
    <s v="Эвон"/>
    <m/>
    <n v="73"/>
    <n v="45"/>
    <n v="84"/>
    <n v="79"/>
    <n v="80"/>
    <n v="77"/>
    <n v="86"/>
    <n v="60"/>
    <n v="0"/>
    <n v="4297626"/>
    <n v="358135.5"/>
    <n v="0"/>
    <n v="358135.5"/>
    <n v="0"/>
    <n v="0"/>
  </r>
  <r>
    <s v="Газар"/>
    <x v="3"/>
    <s v="ЛПЗ"/>
    <s v="ППЗ"/>
    <m/>
    <s v="Ард"/>
    <s v="Ард"/>
    <s v="Ард"/>
    <x v="36"/>
    <s v="Эвон"/>
    <m/>
    <n v="70.428571428571431"/>
    <n v="40"/>
    <n v="87"/>
    <n v="78"/>
    <n v="77"/>
    <n v="74"/>
    <n v="81"/>
    <n v="56"/>
    <n v="0"/>
    <n v="3002540"/>
    <n v="250211.66666666666"/>
    <n v="0"/>
    <n v="250211.66666666666"/>
    <n v="0"/>
    <n v="0"/>
  </r>
  <r>
    <s v="Глебстер"/>
    <x v="3"/>
    <s v="ЛПЗ"/>
    <s v="ППЗ"/>
    <m/>
    <s v="Юл"/>
    <s v="Юл"/>
    <s v="Юл"/>
    <x v="36"/>
    <s v="Эвон"/>
    <m/>
    <n v="77.714285714285708"/>
    <n v="69"/>
    <n v="89"/>
    <n v="82"/>
    <n v="76"/>
    <n v="78"/>
    <n v="80"/>
    <n v="70"/>
    <n v="23"/>
    <n v="12053131"/>
    <n v="1004427.5833333334"/>
    <n v="0"/>
    <n v="1004427.5833333334"/>
    <n v="0"/>
    <n v="0"/>
  </r>
  <r>
    <s v="Зимбабве Лука"/>
    <x v="3"/>
    <s v="ЦПЗ"/>
    <s v="ОПЗ"/>
    <m/>
    <m/>
    <s v="Ард"/>
    <s v="Ард"/>
    <x v="36"/>
    <s v="Эвон"/>
    <m/>
    <n v="55.571428571428569"/>
    <n v="16"/>
    <n v="85"/>
    <n v="56"/>
    <n v="66"/>
    <n v="68"/>
    <n v="71"/>
    <n v="27"/>
    <n v="0"/>
    <n v="280877"/>
    <n v="23406.416666666668"/>
    <n v="0"/>
    <n v="23406.416666666668"/>
    <n v="0"/>
    <n v="0"/>
  </r>
  <r>
    <s v="Йокогама Рауль"/>
    <x v="3"/>
    <s v="ОПЗ"/>
    <s v="ЦЗ"/>
    <m/>
    <m/>
    <s v="Ард"/>
    <s v="Ард"/>
    <x v="36"/>
    <s v="Эвон"/>
    <m/>
    <n v="64"/>
    <n v="23"/>
    <n v="88"/>
    <n v="64"/>
    <n v="80"/>
    <n v="76"/>
    <n v="78"/>
    <n v="39"/>
    <n v="0"/>
    <n v="1152922"/>
    <n v="96076.833333333328"/>
    <n v="0"/>
    <n v="96076.833333333328"/>
    <n v="0"/>
    <n v="0"/>
  </r>
  <r>
    <s v="Калькутта Пьер"/>
    <x v="3"/>
    <s v="ЛПЗ"/>
    <s v="ОПЗ"/>
    <m/>
    <m/>
    <s v="Ард"/>
    <s v="Ард"/>
    <x v="36"/>
    <s v="Эвон"/>
    <m/>
    <n v="57.142857142857146"/>
    <n v="17"/>
    <n v="89"/>
    <n v="58"/>
    <n v="70"/>
    <n v="66"/>
    <n v="70"/>
    <n v="30"/>
    <n v="0"/>
    <n v="371210"/>
    <n v="30934.166666666668"/>
    <n v="0"/>
    <n v="30934.166666666668"/>
    <n v="0"/>
    <n v="0"/>
  </r>
  <r>
    <s v="Лезвут"/>
    <x v="3"/>
    <s v="ЦПЗ"/>
    <s v="ППЗ"/>
    <m/>
    <s v="Тел"/>
    <s v="Тел"/>
    <s v="Тел"/>
    <x v="36"/>
    <s v="Эвон"/>
    <m/>
    <n v="59.857142857142854"/>
    <n v="45"/>
    <n v="74"/>
    <n v="54"/>
    <n v="75"/>
    <n v="62"/>
    <n v="67"/>
    <n v="42"/>
    <n v="0"/>
    <n v="590419"/>
    <n v="49201.583333333336"/>
    <n v="0"/>
    <n v="49201.583333333336"/>
    <n v="0"/>
    <n v="0"/>
  </r>
  <r>
    <s v="Могадишо Эрик"/>
    <x v="3"/>
    <s v="ППЗ"/>
    <s v="АПЗ"/>
    <m/>
    <m/>
    <s v="Ард"/>
    <s v="Ард"/>
    <x v="36"/>
    <s v="Эвон"/>
    <m/>
    <n v="60.714285714285715"/>
    <n v="20"/>
    <n v="92"/>
    <n v="60"/>
    <n v="72"/>
    <n v="74"/>
    <n v="73"/>
    <n v="34"/>
    <n v="0"/>
    <n v="680627"/>
    <n v="56718.916666666664"/>
    <n v="0"/>
    <n v="56718.916666666664"/>
    <n v="0"/>
    <n v="0"/>
  </r>
  <r>
    <s v="Кашерти"/>
    <x v="4"/>
    <s v="Т"/>
    <m/>
    <m/>
    <m/>
    <s v="Ард"/>
    <s v="Ард"/>
    <x v="36"/>
    <s v="Эвон"/>
    <m/>
    <n v="68"/>
    <n v="55"/>
    <n v="77"/>
    <n v="68"/>
    <n v="84"/>
    <n v="70"/>
    <n v="69"/>
    <n v="53"/>
    <n v="0"/>
    <n v="2113923"/>
    <n v="176160.25"/>
    <n v="0"/>
    <n v="176160.25"/>
    <n v="0"/>
    <n v="0"/>
  </r>
  <r>
    <s v="Афьорд Остин"/>
    <x v="0"/>
    <s v="В"/>
    <m/>
    <m/>
    <m/>
    <s v="Кирп"/>
    <s v="Кирп"/>
    <x v="37"/>
    <s v="Эвон"/>
    <m/>
    <n v="63.857142857142854"/>
    <n v="18"/>
    <n v="79"/>
    <n v="73"/>
    <n v="77"/>
    <n v="79"/>
    <n v="81"/>
    <n v="40"/>
    <n v="0"/>
    <n v="1127444"/>
    <n v="93953.666666666672"/>
    <n v="0"/>
    <n v="93953.666666666672"/>
    <n v="0"/>
    <n v="0"/>
  </r>
  <r>
    <s v="Маорвик Остин"/>
    <x v="0"/>
    <s v="В"/>
    <m/>
    <m/>
    <m/>
    <s v="Кирп"/>
    <s v="Кирп"/>
    <x v="37"/>
    <s v="Эвон"/>
    <m/>
    <n v="57.857142857142854"/>
    <n v="14"/>
    <n v="73"/>
    <n v="67"/>
    <n v="71"/>
    <n v="73"/>
    <n v="75"/>
    <n v="32"/>
    <n v="0"/>
    <n v="420311"/>
    <n v="35025.916666666664"/>
    <n v="0"/>
    <n v="35025.916666666664"/>
    <n v="0"/>
    <n v="0"/>
  </r>
  <r>
    <s v="Наовик Рэй"/>
    <x v="0"/>
    <s v="В"/>
    <m/>
    <m/>
    <m/>
    <s v="Кирп"/>
    <s v="Кирп"/>
    <x v="37"/>
    <s v="Эвон"/>
    <m/>
    <n v="61.857142857142854"/>
    <n v="16"/>
    <n v="77"/>
    <n v="71"/>
    <n v="75"/>
    <n v="77"/>
    <n v="79"/>
    <n v="38"/>
    <n v="0"/>
    <n v="820160"/>
    <n v="68346.666666666672"/>
    <n v="0"/>
    <n v="68346.666666666672"/>
    <n v="0"/>
    <n v="0"/>
  </r>
  <r>
    <s v="Зулушер Кир"/>
    <x v="1"/>
    <s v="ЛЗ"/>
    <s v="ЦЗ"/>
    <m/>
    <m/>
    <s v="Кирп"/>
    <s v="Кирп"/>
    <x v="37"/>
    <s v="Эвон"/>
    <m/>
    <n v="66.428571428571431"/>
    <n v="20"/>
    <n v="83"/>
    <n v="75"/>
    <n v="79"/>
    <n v="81"/>
    <n v="83"/>
    <n v="44"/>
    <n v="0"/>
    <n v="1673205"/>
    <n v="139433.75"/>
    <n v="0"/>
    <n v="139433.75"/>
    <n v="0"/>
    <n v="0"/>
  </r>
  <r>
    <s v="Инкулунд Люк"/>
    <x v="1"/>
    <s v="ЦЗ"/>
    <s v="ОПЗ"/>
    <m/>
    <m/>
    <s v="Кирп"/>
    <s v="Кирп"/>
    <x v="37"/>
    <s v="Эвон"/>
    <m/>
    <n v="59.857142857142854"/>
    <n v="15"/>
    <n v="75"/>
    <n v="69"/>
    <n v="73"/>
    <n v="75"/>
    <n v="77"/>
    <n v="35"/>
    <n v="0"/>
    <n v="590419"/>
    <n v="49201.583333333336"/>
    <n v="0"/>
    <n v="49201.583333333336"/>
    <n v="0"/>
    <n v="0"/>
  </r>
  <r>
    <s v="Кайлонсен"/>
    <x v="1"/>
    <s v="ЛЗ"/>
    <s v="ПЗ"/>
    <s v="ЦЗ"/>
    <s v="Кирп"/>
    <s v="Кирп"/>
    <s v="Кирп"/>
    <x v="37"/>
    <s v="Эвон"/>
    <m/>
    <n v="44.571428571428569"/>
    <n v="23"/>
    <n v="40"/>
    <n v="47"/>
    <n v="56"/>
    <n v="60"/>
    <n v="65"/>
    <n v="21"/>
    <n v="0"/>
    <n v="30944"/>
    <n v="2578.6666666666665"/>
    <n v="0"/>
    <n v="2578.6666666666665"/>
    <n v="0"/>
    <n v="0"/>
  </r>
  <r>
    <s v="Кечудал Тим"/>
    <x v="1"/>
    <s v="ПЗ"/>
    <s v="ЦЗ"/>
    <m/>
    <m/>
    <s v="Кирп"/>
    <s v="Кирп"/>
    <x v="37"/>
    <s v="Эвон"/>
    <m/>
    <n v="61.714285714285715"/>
    <n v="16"/>
    <n v="77"/>
    <n v="71"/>
    <n v="75"/>
    <n v="77"/>
    <n v="79"/>
    <n v="37"/>
    <n v="0"/>
    <n v="801415"/>
    <n v="66784.583333333328"/>
    <n v="0"/>
    <n v="66784.583333333328"/>
    <n v="0"/>
    <n v="0"/>
  </r>
  <r>
    <s v="Маорберг Рой"/>
    <x v="1"/>
    <s v="ЦЗ"/>
    <s v="ЛЗ"/>
    <m/>
    <m/>
    <s v="Кирп"/>
    <s v="Кирп"/>
    <x v="37"/>
    <s v="Эвон"/>
    <m/>
    <n v="68.285714285714292"/>
    <n v="21"/>
    <n v="85"/>
    <n v="77"/>
    <n v="81"/>
    <n v="83"/>
    <n v="85"/>
    <n v="46"/>
    <n v="0"/>
    <n v="2204442"/>
    <n v="183703.5"/>
    <n v="0"/>
    <n v="183703.5"/>
    <n v="0"/>
    <n v="0"/>
  </r>
  <r>
    <s v="Суахистрём Ян"/>
    <x v="1"/>
    <s v="ПЗ"/>
    <s v="ЛЗ"/>
    <m/>
    <m/>
    <s v="Кирп"/>
    <s v="Кирп"/>
    <x v="37"/>
    <s v="Эвон"/>
    <m/>
    <n v="58.571428571428569"/>
    <n v="14"/>
    <n v="73"/>
    <n v="68"/>
    <n v="72"/>
    <n v="74"/>
    <n v="76"/>
    <n v="33"/>
    <n v="0"/>
    <n v="475181"/>
    <n v="39598.416666666664"/>
    <n v="0"/>
    <n v="39598.416666666664"/>
    <n v="0"/>
    <n v="0"/>
  </r>
  <r>
    <s v="Ительбю Доллен"/>
    <x v="2"/>
    <s v="ОФ"/>
    <s v="ЦН"/>
    <m/>
    <m/>
    <s v="Кирп"/>
    <s v="Кирп"/>
    <x v="37"/>
    <s v="Эвон"/>
    <m/>
    <n v="73.285714285714292"/>
    <n v="26"/>
    <n v="91"/>
    <n v="83"/>
    <n v="85"/>
    <n v="87"/>
    <n v="89"/>
    <n v="52"/>
    <n v="0"/>
    <n v="4468825"/>
    <n v="372402.08333333331"/>
    <n v="0"/>
    <n v="372402.08333333331"/>
    <n v="0"/>
    <n v="0"/>
  </r>
  <r>
    <s v="Корятторп Кс"/>
    <x v="2"/>
    <s v="ЦН"/>
    <s v="ОФ"/>
    <m/>
    <m/>
    <s v="Кирп"/>
    <s v="Кирп"/>
    <x v="37"/>
    <s v="Эвон"/>
    <m/>
    <n v="69.714285714285708"/>
    <n v="24"/>
    <n v="88"/>
    <n v="79"/>
    <n v="81"/>
    <n v="83"/>
    <n v="85"/>
    <n v="48"/>
    <n v="0"/>
    <n v="2711552"/>
    <n v="225962.66666666666"/>
    <n v="0"/>
    <n v="225962.66666666666"/>
    <n v="0"/>
    <n v="0"/>
  </r>
  <r>
    <s v="Андамквист Ирж"/>
    <x v="3"/>
    <s v="АПЗ"/>
    <s v="ППЗ"/>
    <m/>
    <m/>
    <s v="Кирп"/>
    <s v="Кирп"/>
    <x v="37"/>
    <s v="Эвон"/>
    <m/>
    <n v="56.857142857142854"/>
    <n v="13"/>
    <n v="72"/>
    <n v="66"/>
    <n v="70"/>
    <n v="72"/>
    <n v="74"/>
    <n v="31"/>
    <n v="0"/>
    <n v="353062"/>
    <n v="29421.833333333332"/>
    <n v="0"/>
    <n v="29421.833333333332"/>
    <n v="0"/>
    <n v="0"/>
  </r>
  <r>
    <s v="Меланебак Стан"/>
    <x v="3"/>
    <s v="АПЗ"/>
    <s v="ЦПЗ"/>
    <m/>
    <m/>
    <s v="Кирп"/>
    <s v="Кирп"/>
    <x v="37"/>
    <s v="Эвон"/>
    <m/>
    <n v="65.714285714285708"/>
    <n v="19"/>
    <n v="81"/>
    <n v="75"/>
    <n v="79"/>
    <n v="81"/>
    <n v="83"/>
    <n v="42"/>
    <n v="0"/>
    <n v="1501751"/>
    <n v="125145.91666666667"/>
    <n v="0"/>
    <n v="125145.91666666667"/>
    <n v="0"/>
    <n v="0"/>
  </r>
  <r>
    <s v="Негард Кайус"/>
    <x v="3"/>
    <s v="ЦПЗ"/>
    <s v="ОПЗ"/>
    <m/>
    <m/>
    <s v="Кирп"/>
    <s v="Кирп"/>
    <x v="37"/>
    <s v="Эвон"/>
    <m/>
    <n v="62.857142857142854"/>
    <n v="17"/>
    <n v="78"/>
    <n v="72"/>
    <n v="76"/>
    <n v="78"/>
    <n v="80"/>
    <n v="39"/>
    <n v="0"/>
    <n v="962823"/>
    <n v="80235.25"/>
    <n v="0"/>
    <n v="80235.25"/>
    <n v="0"/>
    <n v="0"/>
  </r>
  <r>
    <s v="Нивхгард Эрл"/>
    <x v="3"/>
    <s v="ППЗ"/>
    <s v="АПЗ"/>
    <m/>
    <m/>
    <s v="Кирп"/>
    <s v="Кирп"/>
    <x v="37"/>
    <s v="Эвон"/>
    <m/>
    <n v="65.857142857142861"/>
    <n v="19"/>
    <n v="81"/>
    <n v="75"/>
    <n v="79"/>
    <n v="81"/>
    <n v="83"/>
    <n v="43"/>
    <n v="0"/>
    <n v="1534719"/>
    <n v="127893.25"/>
    <n v="0"/>
    <n v="127893.25"/>
    <n v="0"/>
    <n v="0"/>
  </r>
  <r>
    <s v="Папуанес Дар"/>
    <x v="3"/>
    <s v="ОПЗ"/>
    <s v="ЦПЗ"/>
    <m/>
    <m/>
    <s v="Кирп"/>
    <s v="Кирп"/>
    <x v="37"/>
    <s v="Эвон"/>
    <m/>
    <n v="60.714285714285715"/>
    <n v="15"/>
    <n v="76"/>
    <n v="70"/>
    <n v="74"/>
    <n v="76"/>
    <n v="78"/>
    <n v="36"/>
    <n v="0"/>
    <n v="680627"/>
    <n v="56718.916666666664"/>
    <n v="0"/>
    <n v="56718.916666666664"/>
    <n v="0"/>
    <n v="0"/>
  </r>
  <r>
    <s v="Ристад Мэйс"/>
    <x v="3"/>
    <s v="ОПЗ"/>
    <s v="ЦЗ"/>
    <m/>
    <m/>
    <s v="Кирп"/>
    <s v="Кирп"/>
    <x v="37"/>
    <s v="Эвон"/>
    <m/>
    <n v="70.571428571428569"/>
    <n v="23"/>
    <n v="89"/>
    <n v="79"/>
    <n v="83"/>
    <n v="85"/>
    <n v="87"/>
    <n v="48"/>
    <n v="0"/>
    <n v="3064003"/>
    <n v="255333.58333333334"/>
    <n v="0"/>
    <n v="255333.58333333334"/>
    <n v="0"/>
    <n v="0"/>
  </r>
  <r>
    <s v="Семанвольд Дан"/>
    <x v="3"/>
    <s v="ЛПЗ"/>
    <s v="ОПЗ"/>
    <m/>
    <m/>
    <s v="Кирп"/>
    <s v="Кирп"/>
    <x v="37"/>
    <s v="Эвон"/>
    <m/>
    <n v="61.714285714285715"/>
    <n v="16"/>
    <n v="77"/>
    <n v="71"/>
    <n v="75"/>
    <n v="77"/>
    <n v="79"/>
    <n v="37"/>
    <n v="0"/>
    <n v="801415"/>
    <n v="66784.583333333328"/>
    <n v="0"/>
    <n v="66784.583333333328"/>
    <n v="0"/>
    <n v="0"/>
  </r>
  <r>
    <s v="Хронехейм Пол"/>
    <x v="3"/>
    <s v="ЦПЗ"/>
    <s v="ЛПЗ"/>
    <m/>
    <m/>
    <s v="Кирп"/>
    <s v="Кирп"/>
    <x v="37"/>
    <s v="Эвон"/>
    <m/>
    <n v="58.857142857142854"/>
    <n v="14"/>
    <n v="74"/>
    <n v="68"/>
    <n v="72"/>
    <n v="74"/>
    <n v="76"/>
    <n v="34"/>
    <n v="0"/>
    <n v="498876"/>
    <n v="41573"/>
    <n v="0"/>
    <n v="41573"/>
    <n v="0"/>
    <n v="0"/>
  </r>
  <r>
    <s v="Чехольм Элд"/>
    <x v="4"/>
    <s v="Т"/>
    <m/>
    <m/>
    <m/>
    <s v="Кирп"/>
    <s v="Кирп"/>
    <x v="37"/>
    <s v="Эвон"/>
    <m/>
    <n v="62.857142857142854"/>
    <n v="17"/>
    <n v="78"/>
    <n v="72"/>
    <n v="76"/>
    <n v="78"/>
    <n v="80"/>
    <n v="39"/>
    <n v="0"/>
    <n v="962823"/>
    <n v="80235.25"/>
    <n v="0"/>
    <n v="80235.25"/>
    <n v="0"/>
    <n v="0"/>
  </r>
  <r>
    <s v="Бультер"/>
    <x v="1"/>
    <s v="ЛЗ"/>
    <s v="ПЗ"/>
    <m/>
    <s v="Вал"/>
    <s v="Вал"/>
    <s v="Вал"/>
    <x v="38"/>
    <s v="Эвон"/>
    <m/>
    <n v="76.571428571428569"/>
    <n v="61"/>
    <n v="84"/>
    <n v="75"/>
    <n v="76"/>
    <n v="80"/>
    <n v="82"/>
    <n v="78"/>
    <n v="0"/>
    <n v="6928952"/>
    <n v="577412.66666666663"/>
    <n v="0"/>
    <n v="577412.66666666663"/>
    <n v="0"/>
    <n v="0"/>
  </r>
  <r>
    <s v="Бурдак Марсель"/>
    <x v="1"/>
    <s v="ПЗ"/>
    <s v="ОПЗ"/>
    <m/>
    <m/>
    <s v="Вал"/>
    <s v="Вал"/>
    <x v="38"/>
    <s v="Эвон"/>
    <m/>
    <n v="60.428571428571431"/>
    <n v="31"/>
    <n v="88"/>
    <n v="55"/>
    <n v="69"/>
    <n v="74"/>
    <n v="64"/>
    <n v="42"/>
    <n v="0"/>
    <n v="649267"/>
    <n v="54105.583333333336"/>
    <n v="0"/>
    <n v="54105.583333333336"/>
    <n v="0"/>
    <n v="0"/>
  </r>
  <r>
    <s v="Вальт Люж"/>
    <x v="1"/>
    <s v="ЛЗ"/>
    <s v="ПЗ"/>
    <m/>
    <m/>
    <s v="Вал"/>
    <s v="Вал"/>
    <x v="38"/>
    <s v="Эвон"/>
    <m/>
    <n v="59.142857142857146"/>
    <n v="24"/>
    <n v="87"/>
    <n v="41"/>
    <n v="73"/>
    <n v="68"/>
    <n v="70"/>
    <n v="51"/>
    <n v="0"/>
    <n v="523629"/>
    <n v="43635.75"/>
    <n v="0"/>
    <n v="43635.75"/>
    <n v="0"/>
    <n v="0"/>
  </r>
  <r>
    <s v="Граккет Пьер"/>
    <x v="1"/>
    <s v="ПЗ"/>
    <s v="ЦЗ"/>
    <m/>
    <m/>
    <s v="Вал"/>
    <s v="Вал"/>
    <x v="38"/>
    <s v="Эвон"/>
    <m/>
    <n v="59.857142857142854"/>
    <n v="29"/>
    <n v="91"/>
    <n v="52"/>
    <n v="70"/>
    <n v="66"/>
    <n v="63"/>
    <n v="48"/>
    <n v="0"/>
    <n v="590419"/>
    <n v="49201.583333333336"/>
    <n v="0"/>
    <n v="49201.583333333336"/>
    <n v="0"/>
    <n v="0"/>
  </r>
  <r>
    <s v="Джажак (З)"/>
    <x v="1"/>
    <s v="ПЗ"/>
    <m/>
    <m/>
    <s v="Вал"/>
    <s v="Вал"/>
    <s v="Вал"/>
    <x v="38"/>
    <s v="Эвон"/>
    <m/>
    <n v="72.714285714285708"/>
    <n v="57"/>
    <n v="85"/>
    <n v="70"/>
    <n v="81"/>
    <n v="72"/>
    <n v="74"/>
    <n v="70"/>
    <n v="0"/>
    <n v="4132354"/>
    <n v="344362.83333333331"/>
    <n v="0"/>
    <n v="344362.83333333331"/>
    <n v="0"/>
    <n v="0"/>
  </r>
  <r>
    <s v="Джустас"/>
    <x v="1"/>
    <s v="ПЗ"/>
    <s v="ЛЗ"/>
    <m/>
    <s v="Вал"/>
    <s v="Вал"/>
    <s v="Вал"/>
    <x v="38"/>
    <s v="Эвон"/>
    <m/>
    <n v="79.142857142857139"/>
    <n v="70"/>
    <n v="94"/>
    <n v="80"/>
    <n v="82"/>
    <n v="74"/>
    <n v="74"/>
    <n v="80"/>
    <n v="23"/>
    <n v="14461339"/>
    <n v="1205111.5833333333"/>
    <n v="0"/>
    <n v="1205111.5833333333"/>
    <n v="0"/>
    <n v="0"/>
  </r>
  <r>
    <s v="Дюпонте Реми"/>
    <x v="1"/>
    <s v="ЦЗ"/>
    <s v="ОПЗ"/>
    <m/>
    <m/>
    <s v="Вал"/>
    <s v="Вал"/>
    <x v="38"/>
    <s v="Эвон"/>
    <m/>
    <n v="61"/>
    <n v="35"/>
    <n v="84"/>
    <n v="47"/>
    <n v="62"/>
    <n v="83"/>
    <n v="72"/>
    <n v="44"/>
    <n v="0"/>
    <n v="713343"/>
    <n v="59445.25"/>
    <n v="0"/>
    <n v="59445.25"/>
    <n v="0"/>
    <n v="0"/>
  </r>
  <r>
    <s v="Клариссон Тьерри"/>
    <x v="1"/>
    <s v="ПЗ"/>
    <s v="ЛЗ"/>
    <m/>
    <m/>
    <s v="Вал"/>
    <s v="Вал"/>
    <x v="38"/>
    <s v="Эвон"/>
    <m/>
    <n v="54.857142857142854"/>
    <n v="21"/>
    <n v="94"/>
    <n v="38"/>
    <n v="66"/>
    <n v="61"/>
    <n v="58"/>
    <n v="46"/>
    <n v="0"/>
    <n v="246793"/>
    <n v="20566.083333333332"/>
    <n v="0"/>
    <n v="20566.083333333332"/>
    <n v="0"/>
    <n v="0"/>
  </r>
  <r>
    <s v="Пробис"/>
    <x v="1"/>
    <s v="ПЗ"/>
    <s v="ОПЗ"/>
    <m/>
    <s v="Вал"/>
    <s v="Вал"/>
    <s v="Вал"/>
    <x v="38"/>
    <s v="Эвон"/>
    <m/>
    <n v="77.285714285714292"/>
    <n v="66"/>
    <n v="88"/>
    <n v="69"/>
    <n v="76"/>
    <n v="89"/>
    <n v="77"/>
    <n v="76"/>
    <n v="16"/>
    <n v="11404691"/>
    <n v="633594"/>
    <n v="0"/>
    <n v="950390.91666666663"/>
    <n v="-33.33"/>
    <n v="0"/>
  </r>
  <r>
    <s v="Путисон"/>
    <x v="1"/>
    <s v="ПЗ"/>
    <s v="ЛЗ"/>
    <m/>
    <s v="Вал"/>
    <s v="Вал"/>
    <s v="Вал"/>
    <x v="38"/>
    <s v="Эвон"/>
    <m/>
    <n v="69.571428571428569"/>
    <n v="39"/>
    <n v="93"/>
    <n v="66"/>
    <n v="87"/>
    <n v="72"/>
    <n v="74"/>
    <n v="56"/>
    <n v="23"/>
    <n v="3984745"/>
    <n v="332062.08333333331"/>
    <n v="0"/>
    <n v="332062.08333333331"/>
    <n v="0"/>
    <n v="0"/>
  </r>
  <r>
    <s v="Турнат"/>
    <x v="1"/>
    <s v="ЦЗ"/>
    <m/>
    <m/>
    <s v="Турн"/>
    <s v="Турн"/>
    <s v="Турн"/>
    <x v="38"/>
    <s v="Эвон"/>
    <m/>
    <n v="79.571428571428569"/>
    <n v="75"/>
    <n v="82"/>
    <n v="83"/>
    <n v="78"/>
    <n v="79"/>
    <n v="90"/>
    <n v="70"/>
    <n v="27"/>
    <n v="15263806"/>
    <n v="1271983.8333333333"/>
    <n v="0"/>
    <n v="1271983.8333333333"/>
    <n v="0"/>
    <n v="0"/>
  </r>
  <r>
    <s v="Фердиган (З)"/>
    <x v="1"/>
    <s v="ЦЗ"/>
    <s v="ОПЗ"/>
    <m/>
    <s v="Вар"/>
    <s v="Вар"/>
    <s v="Вар"/>
    <x v="38"/>
    <s v="Эвон"/>
    <m/>
    <n v="86.714285714285708"/>
    <n v="80"/>
    <n v="84"/>
    <n v="91"/>
    <n v="83"/>
    <n v="92"/>
    <n v="93"/>
    <n v="84"/>
    <n v="26"/>
    <n v="36057680"/>
    <n v="3004806.6666666665"/>
    <n v="0"/>
    <n v="3004806.6666666665"/>
    <n v="0"/>
    <n v="0"/>
  </r>
  <r>
    <s v="Ячкимов"/>
    <x v="1"/>
    <s v="ПЗ"/>
    <s v="ОПЗ"/>
    <m/>
    <s v="Турн"/>
    <s v="Турн"/>
    <s v="Турн"/>
    <x v="38"/>
    <s v="Эвон"/>
    <m/>
    <n v="84.571428571428569"/>
    <n v="79"/>
    <n v="90"/>
    <n v="84"/>
    <n v="88"/>
    <n v="84"/>
    <n v="89"/>
    <n v="78"/>
    <n v="28"/>
    <n v="28075528"/>
    <n v="2339627.3333333335"/>
    <n v="0"/>
    <n v="2339627.3333333335"/>
    <n v="0"/>
    <n v="0"/>
  </r>
  <r>
    <s v="Каррель Антуан"/>
    <x v="2"/>
    <s v="ЦН"/>
    <s v="ОФ"/>
    <m/>
    <m/>
    <s v="Вал"/>
    <s v="Вал"/>
    <x v="38"/>
    <s v="Эвон"/>
    <m/>
    <n v="62.571428571428569"/>
    <n v="30"/>
    <n v="89"/>
    <n v="59"/>
    <n v="71"/>
    <n v="73"/>
    <n v="67"/>
    <n v="49"/>
    <n v="0"/>
    <n v="919943"/>
    <n v="76661.916666666672"/>
    <n v="0"/>
    <n v="76661.916666666672"/>
    <n v="0"/>
    <n v="0"/>
  </r>
  <r>
    <s v="Кер-Хер Нойз"/>
    <x v="2"/>
    <s v="ЦН"/>
    <s v="ОФ"/>
    <m/>
    <s v="Мам"/>
    <s v="Мам"/>
    <s v="Мам"/>
    <x v="38"/>
    <s v="Эвон"/>
    <m/>
    <n v="67"/>
    <n v="52"/>
    <n v="76"/>
    <n v="74"/>
    <n v="68"/>
    <n v="71"/>
    <n v="78"/>
    <n v="50"/>
    <n v="0"/>
    <n v="1822838"/>
    <n v="151903.16666666666"/>
    <n v="0"/>
    <n v="151903.16666666666"/>
    <n v="0"/>
    <n v="0"/>
  </r>
  <r>
    <s v="Парма Ормалини"/>
    <x v="2"/>
    <s v="ЦН"/>
    <m/>
    <m/>
    <s v="Вал"/>
    <s v="Вал"/>
    <s v="Вал"/>
    <x v="38"/>
    <s v="Эвон"/>
    <m/>
    <n v="75.571428571428569"/>
    <n v="65"/>
    <n v="92"/>
    <n v="78"/>
    <n v="76"/>
    <n v="70"/>
    <n v="80"/>
    <n v="68"/>
    <n v="0"/>
    <n v="6075421"/>
    <n v="506285.08333333331"/>
    <n v="0"/>
    <n v="506285.08333333331"/>
    <n v="0"/>
    <n v="0"/>
  </r>
  <r>
    <s v="Беллиба"/>
    <x v="3"/>
    <s v="ППЗ"/>
    <s v="ЦПЗ"/>
    <m/>
    <s v="Ард"/>
    <s v="Ард"/>
    <s v="Ард"/>
    <x v="38"/>
    <s v="Эвон"/>
    <m/>
    <n v="75.285714285714292"/>
    <n v="47"/>
    <n v="91"/>
    <n v="80"/>
    <n v="82"/>
    <n v="79"/>
    <n v="80"/>
    <n v="68"/>
    <n v="23"/>
    <n v="8774392"/>
    <n v="731199.33333333337"/>
    <n v="0"/>
    <n v="731199.33333333337"/>
    <n v="0"/>
    <n v="0"/>
  </r>
  <r>
    <s v="Вернье Сирил"/>
    <x v="3"/>
    <s v="ЛПЗ"/>
    <s v="АПЗ"/>
    <m/>
    <m/>
    <s v="Вал"/>
    <s v="Вал"/>
    <x v="38"/>
    <s v="Эвон"/>
    <m/>
    <n v="61.857142857142854"/>
    <n v="38"/>
    <n v="92"/>
    <n v="51"/>
    <n v="74"/>
    <n v="64"/>
    <n v="61"/>
    <n v="53"/>
    <n v="0"/>
    <n v="820160"/>
    <n v="68346.666666666672"/>
    <n v="0"/>
    <n v="68346.666666666672"/>
    <n v="0"/>
    <n v="0"/>
  </r>
  <r>
    <s v="Дюрси Матье"/>
    <x v="3"/>
    <s v="ЦПЗ"/>
    <s v="ОПЗ"/>
    <m/>
    <m/>
    <s v="Вал"/>
    <s v="Вал"/>
    <x v="38"/>
    <s v="Эвон"/>
    <m/>
    <n v="56.285714285714285"/>
    <n v="22"/>
    <n v="83"/>
    <n v="36"/>
    <n v="86"/>
    <n v="67"/>
    <n v="59"/>
    <n v="41"/>
    <n v="0"/>
    <n v="319141"/>
    <n v="26595.083333333332"/>
    <n v="0"/>
    <n v="26595.083333333332"/>
    <n v="0"/>
    <n v="0"/>
  </r>
  <r>
    <s v="Микса"/>
    <x v="3"/>
    <s v="ППЗ"/>
    <s v="ОПЗ"/>
    <s v="АПЗ"/>
    <s v="Вал"/>
    <s v="Вал"/>
    <s v="Вал"/>
    <x v="38"/>
    <s v="Эвон"/>
    <m/>
    <n v="84.285714285714292"/>
    <n v="83"/>
    <n v="99"/>
    <n v="81"/>
    <n v="86"/>
    <n v="83"/>
    <n v="78"/>
    <n v="80"/>
    <n v="3"/>
    <n v="27141321"/>
    <n v="2261776.75"/>
    <n v="0"/>
    <n v="2261776.75"/>
    <n v="0"/>
    <n v="0"/>
  </r>
  <r>
    <s v="Орбаис (П)"/>
    <x v="3"/>
    <s v="ЛПЗ"/>
    <s v="АПЗ"/>
    <m/>
    <s v="Вал"/>
    <s v="Вал"/>
    <s v="Вал"/>
    <x v="38"/>
    <s v="Эвон"/>
    <m/>
    <n v="86.285714285714292"/>
    <n v="83"/>
    <n v="94"/>
    <n v="87"/>
    <n v="89"/>
    <n v="87"/>
    <n v="83"/>
    <n v="81"/>
    <n v="22"/>
    <n v="34314704"/>
    <n v="2859558.6666666665"/>
    <n v="0"/>
    <n v="2859558.6666666665"/>
    <n v="0"/>
    <n v="0"/>
  </r>
  <r>
    <s v="Рошар Луи"/>
    <x v="3"/>
    <s v="ОПЗ"/>
    <s v="ППЗ"/>
    <m/>
    <m/>
    <s v="Вал"/>
    <s v="Вал"/>
    <x v="38"/>
    <s v="Эвон"/>
    <m/>
    <n v="60.714285714285715"/>
    <n v="26"/>
    <n v="85"/>
    <n v="39"/>
    <n v="78"/>
    <n v="81"/>
    <n v="69"/>
    <n v="47"/>
    <n v="0"/>
    <n v="680627"/>
    <n v="56718.916666666664"/>
    <n v="0"/>
    <n v="56718.916666666664"/>
    <n v="0"/>
    <n v="0"/>
  </r>
  <r>
    <s v="Рульно (П)"/>
    <x v="3"/>
    <s v="ППЗ"/>
    <s v="ОПЗ"/>
    <m/>
    <s v="Вал"/>
    <s v="Вал"/>
    <s v="Вал"/>
    <x v="38"/>
    <s v="Эвон"/>
    <m/>
    <n v="85.857142857142861"/>
    <n v="83"/>
    <n v="95"/>
    <n v="85"/>
    <n v="88"/>
    <n v="86"/>
    <n v="84"/>
    <n v="80"/>
    <n v="22"/>
    <n v="32647925"/>
    <n v="2720660.4166666665"/>
    <n v="0"/>
    <n v="2720660.4166666665"/>
    <n v="0"/>
    <n v="0"/>
  </r>
  <r>
    <s v="Фортель Ноэль"/>
    <x v="3"/>
    <s v="ППЗ"/>
    <s v="ЦПЗ"/>
    <m/>
    <m/>
    <s v="Вал"/>
    <s v="Вал"/>
    <x v="38"/>
    <s v="Эвон"/>
    <m/>
    <n v="61.714285714285715"/>
    <n v="33"/>
    <n v="90"/>
    <n v="43"/>
    <n v="80"/>
    <n v="70"/>
    <n v="66"/>
    <n v="50"/>
    <n v="0"/>
    <n v="801415"/>
    <n v="66784.583333333328"/>
    <n v="0"/>
    <n v="66784.583333333328"/>
    <n v="0"/>
    <n v="0"/>
  </r>
  <r>
    <s v="Грувих"/>
    <x v="4"/>
    <s v="Т"/>
    <m/>
    <m/>
    <m/>
    <s v="Турн"/>
    <s v="Турн"/>
    <x v="38"/>
    <s v="Эвон"/>
    <m/>
    <n v="71.285714285714292"/>
    <n v="52"/>
    <n v="93"/>
    <n v="68"/>
    <n v="82"/>
    <n v="80"/>
    <n v="69"/>
    <n v="55"/>
    <n v="0"/>
    <n v="3388638"/>
    <n v="282386.5"/>
    <n v="0"/>
    <n v="282386.5"/>
    <n v="0"/>
    <n v="0"/>
  </r>
  <r>
    <s v="Ветрад Остром"/>
    <x v="0"/>
    <s v="В"/>
    <m/>
    <m/>
    <m/>
    <s v="Лищ"/>
    <s v="Лищ"/>
    <x v="39"/>
    <s v="Эвон"/>
    <m/>
    <n v="63"/>
    <n v="24"/>
    <n v="73"/>
    <n v="67"/>
    <n v="75"/>
    <n v="77"/>
    <n v="79"/>
    <n v="46"/>
    <n v="0"/>
    <n v="984931"/>
    <n v="82077.583333333328"/>
    <n v="0"/>
    <n v="82077.583333333328"/>
    <n v="0"/>
    <n v="0"/>
  </r>
  <r>
    <s v="Утёслав Яп"/>
    <x v="1"/>
    <s v="ПЗ"/>
    <s v="ЦЗ"/>
    <m/>
    <m/>
    <s v="Лищ"/>
    <s v="Лищ"/>
    <x v="39"/>
    <s v="Эвон"/>
    <m/>
    <n v="58.428571428571431"/>
    <n v="21"/>
    <n v="73"/>
    <n v="64"/>
    <n v="69"/>
    <n v="71"/>
    <n v="73"/>
    <n v="38"/>
    <n v="0"/>
    <n v="463717"/>
    <n v="38643.083333333336"/>
    <n v="0"/>
    <n v="38643.083333333336"/>
    <n v="0"/>
    <n v="0"/>
  </r>
  <r>
    <s v="Дуброс Ставр"/>
    <x v="1"/>
    <s v="ПЗ"/>
    <s v="ЦЗ"/>
    <m/>
    <m/>
    <s v="Лищ"/>
    <s v="Лищ"/>
    <x v="39"/>
    <s v="Эвон"/>
    <m/>
    <n v="61.714285714285715"/>
    <n v="23"/>
    <n v="75"/>
    <n v="68"/>
    <n v="73"/>
    <n v="75"/>
    <n v="77"/>
    <n v="41"/>
    <n v="0"/>
    <n v="801415"/>
    <n v="66784.583333333328"/>
    <n v="0"/>
    <n v="66784.583333333328"/>
    <n v="0"/>
    <n v="0"/>
  </r>
  <r>
    <s v="Среброгор Ратиб"/>
    <x v="1"/>
    <s v="ЛЗ"/>
    <s v="ЦЗ"/>
    <m/>
    <m/>
    <s v="Лищ"/>
    <s v="Лищ"/>
    <x v="39"/>
    <s v="Эвон"/>
    <m/>
    <n v="59.714285714285715"/>
    <n v="22"/>
    <n v="72"/>
    <n v="66"/>
    <n v="71"/>
    <n v="73"/>
    <n v="75"/>
    <n v="39"/>
    <n v="0"/>
    <n v="576478"/>
    <n v="48039.833333333336"/>
    <n v="0"/>
    <n v="48039.833333333336"/>
    <n v="0"/>
    <n v="0"/>
  </r>
  <r>
    <s v="Ветробор Сято"/>
    <x v="2"/>
    <s v="ОФ"/>
    <s v="ЦН"/>
    <m/>
    <m/>
    <s v="Лищ"/>
    <s v="Лищ"/>
    <x v="39"/>
    <s v="Эвон"/>
    <m/>
    <n v="66.285714285714292"/>
    <n v="24"/>
    <n v="78"/>
    <n v="74"/>
    <n v="79"/>
    <n v="81"/>
    <n v="83"/>
    <n v="45"/>
    <n v="0"/>
    <n v="1637569"/>
    <n v="136464.08333333334"/>
    <n v="0"/>
    <n v="136464.08333333334"/>
    <n v="0"/>
    <n v="0"/>
  </r>
  <r>
    <s v="Камгор Ратм"/>
    <x v="2"/>
    <s v="ЦН"/>
    <s v="ОФ"/>
    <m/>
    <m/>
    <s v="Лищ"/>
    <s v="Лищ"/>
    <x v="39"/>
    <s v="Эвон"/>
    <m/>
    <n v="62.142857142857146"/>
    <n v="22"/>
    <n v="74"/>
    <n v="68"/>
    <n v="75"/>
    <n v="77"/>
    <n v="79"/>
    <n v="40"/>
    <n v="0"/>
    <n v="858840"/>
    <n v="71570"/>
    <n v="0"/>
    <n v="71570"/>
    <n v="0"/>
    <n v="0"/>
  </r>
  <r>
    <s v="Рогозов (Н)"/>
    <x v="2"/>
    <s v="ЦН"/>
    <s v="ОФ"/>
    <m/>
    <s v="Лищ"/>
    <s v="Лищ"/>
    <s v="Лищ"/>
    <x v="39"/>
    <s v="Эвон"/>
    <m/>
    <n v="80.285714285714292"/>
    <n v="81"/>
    <n v="76"/>
    <n v="80"/>
    <n v="76"/>
    <n v="83"/>
    <n v="90"/>
    <n v="76"/>
    <n v="16"/>
    <n v="16690680"/>
    <n v="1390890"/>
    <n v="0"/>
    <n v="1390890"/>
    <n v="0"/>
    <n v="0"/>
  </r>
  <r>
    <s v="Сребровод Дорн"/>
    <x v="2"/>
    <s v="ЦН"/>
    <s v="ОФ"/>
    <m/>
    <m/>
    <s v="Лищ"/>
    <s v="Лищ"/>
    <x v="39"/>
    <s v="Эвон"/>
    <m/>
    <n v="74.428571428571431"/>
    <n v="32"/>
    <n v="81"/>
    <n v="87"/>
    <n v="87"/>
    <n v="89"/>
    <n v="91"/>
    <n v="54"/>
    <n v="0"/>
    <n v="5216712"/>
    <n v="434726"/>
    <n v="0"/>
    <n v="434726"/>
    <n v="0"/>
    <n v="0"/>
  </r>
  <r>
    <s v="Водограй Светоз"/>
    <x v="3"/>
    <s v="АПЗ"/>
    <s v="ЦПЗ"/>
    <m/>
    <m/>
    <s v="Лищ"/>
    <s v="Лищ"/>
    <x v="39"/>
    <s v="Эвон"/>
    <m/>
    <n v="62.285714285714285"/>
    <n v="22"/>
    <n v="74"/>
    <n v="68"/>
    <n v="78"/>
    <n v="76"/>
    <n v="78"/>
    <n v="40"/>
    <n v="0"/>
    <n v="878789"/>
    <n v="73232.416666666672"/>
    <n v="0"/>
    <n v="73232.416666666672"/>
    <n v="0"/>
    <n v="0"/>
  </r>
  <r>
    <s v="Волгон Радосл"/>
    <x v="3"/>
    <s v="ЛПЗ"/>
    <s v="ЦПЗ"/>
    <m/>
    <m/>
    <s v="Лищ"/>
    <s v="Лищ"/>
    <x v="39"/>
    <s v="Эвон"/>
    <m/>
    <n v="64.285714285714292"/>
    <n v="23"/>
    <n v="75"/>
    <n v="70"/>
    <n v="78"/>
    <n v="80"/>
    <n v="82"/>
    <n v="42"/>
    <n v="0"/>
    <n v="1205438"/>
    <n v="100453.16666666667"/>
    <n v="0"/>
    <n v="100453.16666666667"/>
    <n v="0"/>
    <n v="0"/>
  </r>
  <r>
    <s v="Гаскров (П)"/>
    <x v="3"/>
    <s v="ОПЗ"/>
    <s v="ЦЗ"/>
    <m/>
    <s v="Лищ"/>
    <s v="Лищ"/>
    <s v="Лищ"/>
    <x v="39"/>
    <s v="Эвон"/>
    <m/>
    <n v="82.142857142857139"/>
    <n v="80"/>
    <n v="77"/>
    <n v="80"/>
    <n v="84"/>
    <n v="86"/>
    <n v="87"/>
    <n v="81"/>
    <n v="18"/>
    <n v="20979219"/>
    <n v="1748268.25"/>
    <n v="0"/>
    <n v="1748268.25"/>
    <n v="0"/>
    <n v="0"/>
  </r>
  <r>
    <s v="Желзор Браним"/>
    <x v="3"/>
    <s v="ЦПЗ"/>
    <s v="ОПЗ"/>
    <m/>
    <m/>
    <s v="Лищ"/>
    <s v="Лищ"/>
    <x v="39"/>
    <s v="Эвон"/>
    <m/>
    <n v="59"/>
    <n v="21"/>
    <n v="69"/>
    <n v="62"/>
    <n v="73"/>
    <n v="75"/>
    <n v="77"/>
    <n v="36"/>
    <n v="0"/>
    <n v="511117"/>
    <n v="42593.083333333336"/>
    <n v="0"/>
    <n v="42593.083333333336"/>
    <n v="0"/>
    <n v="0"/>
  </r>
  <r>
    <s v="Желновод Яромир"/>
    <x v="3"/>
    <s v="ППЗ"/>
    <s v="АПЗ"/>
    <m/>
    <m/>
    <s v="Лищ"/>
    <s v="Лищ"/>
    <x v="39"/>
    <s v="Эвон"/>
    <m/>
    <n v="67.285714285714292"/>
    <n v="25"/>
    <n v="79"/>
    <n v="76"/>
    <n v="82"/>
    <n v="80"/>
    <n v="82"/>
    <n v="47"/>
    <n v="0"/>
    <n v="1902080"/>
    <n v="158506.66666666666"/>
    <n v="0"/>
    <n v="158506.66666666666"/>
    <n v="0"/>
    <n v="0"/>
  </r>
  <r>
    <s v="Зебровски"/>
    <x v="3"/>
    <s v="ОПЗ"/>
    <s v="ЦПЗ"/>
    <m/>
    <s v="Лищ"/>
    <s v="Лищ"/>
    <s v="Лищ"/>
    <x v="39"/>
    <s v="Эвон"/>
    <m/>
    <n v="74"/>
    <n v="52"/>
    <n v="73"/>
    <n v="77"/>
    <n v="77"/>
    <n v="80"/>
    <n v="83"/>
    <n v="76"/>
    <n v="18"/>
    <n v="7385986"/>
    <n v="615498.83333333337"/>
    <n v="0"/>
    <n v="615498.83333333337"/>
    <n v="0"/>
    <n v="0"/>
  </r>
  <r>
    <s v="Камбор Велиз"/>
    <x v="3"/>
    <s v="АПЗ"/>
    <s v="ППЗ"/>
    <m/>
    <m/>
    <s v="Лищ"/>
    <s v="Лищ"/>
    <x v="39"/>
    <s v="Эвон"/>
    <m/>
    <n v="65.142857142857139"/>
    <n v="24"/>
    <n v="77"/>
    <n v="74"/>
    <n v="80"/>
    <n v="78"/>
    <n v="80"/>
    <n v="43"/>
    <n v="0"/>
    <n v="1376158"/>
    <n v="114679.83333333333"/>
    <n v="0"/>
    <n v="114679.83333333333"/>
    <n v="0"/>
    <n v="0"/>
  </r>
  <r>
    <s v="Огнебор Горд"/>
    <x v="3"/>
    <s v="ППЗ"/>
    <s v="ЛПЗ"/>
    <m/>
    <m/>
    <s v="Лищ"/>
    <s v="Лищ"/>
    <x v="39"/>
    <s v="Эвон"/>
    <m/>
    <n v="62.142857142857146"/>
    <n v="22"/>
    <n v="72"/>
    <n v="68"/>
    <n v="76"/>
    <n v="78"/>
    <n v="80"/>
    <n v="39"/>
    <n v="0"/>
    <n v="858840"/>
    <n v="71570"/>
    <n v="0"/>
    <n v="71570"/>
    <n v="0"/>
    <n v="0"/>
  </r>
  <r>
    <s v="Остапов (П)"/>
    <x v="3"/>
    <s v="ОПЗ"/>
    <s v="ЦПЗ"/>
    <m/>
    <s v="Лищ"/>
    <s v="Лищ"/>
    <s v="Лищ"/>
    <x v="39"/>
    <s v="Эвон"/>
    <m/>
    <n v="83.142857142857139"/>
    <n v="77"/>
    <n v="79"/>
    <n v="83"/>
    <n v="85"/>
    <n v="85"/>
    <n v="89"/>
    <n v="84"/>
    <n v="18"/>
    <n v="23677765"/>
    <n v="1973147.0833333333"/>
    <n v="0"/>
    <n v="1973147.0833333333"/>
    <n v="0"/>
    <n v="0"/>
  </r>
  <r>
    <s v="Пепелгор Мирол"/>
    <x v="3"/>
    <s v="ОПЗ"/>
    <s v="ЦПЗ"/>
    <m/>
    <m/>
    <s v="Лищ"/>
    <s v="Лищ"/>
    <x v="39"/>
    <s v="Эвон"/>
    <m/>
    <n v="65.428571428571431"/>
    <n v="24"/>
    <n v="77"/>
    <n v="72"/>
    <n v="81"/>
    <n v="79"/>
    <n v="81"/>
    <n v="44"/>
    <n v="0"/>
    <n v="1437721"/>
    <n v="119810.08333333333"/>
    <n v="0"/>
    <n v="119810.08333333333"/>
    <n v="0"/>
    <n v="0"/>
  </r>
  <r>
    <s v="Сребролист Люом"/>
    <x v="3"/>
    <s v="ЛПЗ"/>
    <s v="ОПЗ"/>
    <m/>
    <m/>
    <s v="Лищ"/>
    <s v="Лищ"/>
    <x v="39"/>
    <s v="Эвон"/>
    <m/>
    <n v="60.428571428571431"/>
    <n v="21"/>
    <n v="70"/>
    <n v="64"/>
    <n v="75"/>
    <n v="77"/>
    <n v="79"/>
    <n v="37"/>
    <n v="0"/>
    <n v="649267"/>
    <n v="54105.583333333336"/>
    <n v="0"/>
    <n v="54105.583333333336"/>
    <n v="0"/>
    <n v="0"/>
  </r>
  <r>
    <s v="Камзор Доброгн"/>
    <x v="4"/>
    <s v="Т"/>
    <m/>
    <m/>
    <m/>
    <s v="Лищ"/>
    <s v="Лищ"/>
    <x v="39"/>
    <s v="Эвон"/>
    <m/>
    <n v="60.714285714285715"/>
    <n v="22"/>
    <n v="71"/>
    <n v="64"/>
    <n v="73"/>
    <n v="75"/>
    <n v="77"/>
    <n v="43"/>
    <n v="0"/>
    <n v="680627"/>
    <n v="56718.916666666664"/>
    <n v="0"/>
    <n v="56718.916666666664"/>
    <n v="0"/>
    <n v="0"/>
  </r>
  <r>
    <s v="Биатрикс"/>
    <x v="1"/>
    <s v="ЦЗ"/>
    <s v="ПЗ"/>
    <s v="ЛЗ"/>
    <s v="Ост"/>
    <s v="Ост"/>
    <s v="Ост"/>
    <x v="40"/>
    <s v="Мель"/>
    <m/>
    <n v="86.428571428571431"/>
    <n v="83"/>
    <n v="88"/>
    <n v="94"/>
    <n v="84"/>
    <n v="90"/>
    <n v="88"/>
    <n v="78"/>
    <n v="18"/>
    <n v="34887079"/>
    <n v="2907256.5833333335"/>
    <n v="0"/>
    <n v="2907256.5833333335"/>
    <n v="0"/>
    <n v="0"/>
  </r>
  <r>
    <s v="Айдын Кемаль"/>
    <x v="0"/>
    <s v="В"/>
    <m/>
    <m/>
    <m/>
    <s v="Тел"/>
    <s v="Тел"/>
    <x v="41"/>
    <s v="Эвон"/>
    <m/>
    <n v="59.857142857142854"/>
    <n v="27"/>
    <n v="65"/>
    <n v="61"/>
    <n v="70"/>
    <n v="77"/>
    <n v="75"/>
    <n v="44"/>
    <n v="0"/>
    <n v="590419"/>
    <n v="49201.583333333336"/>
    <n v="0"/>
    <n v="49201.583333333336"/>
    <n v="0"/>
    <n v="0"/>
  </r>
  <r>
    <s v="Валеник"/>
    <x v="0"/>
    <s v="В"/>
    <m/>
    <m/>
    <s v="Гид"/>
    <s v="Гид"/>
    <s v="Гид"/>
    <x v="41"/>
    <s v="Эвон"/>
    <m/>
    <n v="60.857142857142854"/>
    <n v="29"/>
    <n v="60"/>
    <n v="56"/>
    <n v="65"/>
    <n v="76"/>
    <n v="74"/>
    <n v="66"/>
    <n v="0"/>
    <n v="696812"/>
    <n v="58067.666666666664"/>
    <n v="0"/>
    <n v="58067.666666666664"/>
    <n v="0"/>
    <n v="0"/>
  </r>
  <r>
    <s v="Кавальени"/>
    <x v="0"/>
    <s v="В"/>
    <m/>
    <m/>
    <s v="Тел"/>
    <s v="Тел"/>
    <s v="Тел"/>
    <x v="41"/>
    <s v="Эвон"/>
    <m/>
    <n v="63.428571428571431"/>
    <n v="30"/>
    <n v="70"/>
    <n v="85"/>
    <n v="65"/>
    <n v="70"/>
    <n v="80"/>
    <n v="44"/>
    <n v="0"/>
    <n v="1054022"/>
    <n v="87835.166666666672"/>
    <n v="0"/>
    <n v="87835.166666666672"/>
    <n v="0"/>
    <n v="0"/>
  </r>
  <r>
    <s v="Бозкурт Эрол"/>
    <x v="1"/>
    <s v="ЦЗ"/>
    <s v="ОПЗ"/>
    <m/>
    <m/>
    <s v="Тел"/>
    <s v="Тел"/>
    <x v="41"/>
    <s v="Эвон"/>
    <m/>
    <n v="58.428571428571431"/>
    <n v="21"/>
    <n v="61"/>
    <n v="67"/>
    <n v="73"/>
    <n v="75"/>
    <n v="77"/>
    <n v="35"/>
    <n v="0"/>
    <n v="463717"/>
    <n v="38643.083333333336"/>
    <n v="0"/>
    <n v="38643.083333333336"/>
    <n v="0"/>
    <n v="0"/>
  </r>
  <r>
    <s v="Бульвари"/>
    <x v="1"/>
    <s v="ЦЗ"/>
    <s v="ОПЗ"/>
    <m/>
    <s v="Тел"/>
    <s v="Тел"/>
    <s v="Тел"/>
    <x v="41"/>
    <s v="Эвон"/>
    <m/>
    <n v="59"/>
    <n v="23"/>
    <n v="55"/>
    <n v="73"/>
    <n v="67"/>
    <n v="74"/>
    <n v="76"/>
    <n v="45"/>
    <n v="0"/>
    <n v="511117"/>
    <n v="42593.083333333336"/>
    <n v="0"/>
    <n v="42593.083333333336"/>
    <n v="0"/>
    <n v="0"/>
  </r>
  <r>
    <s v="Демирташ Озан"/>
    <x v="1"/>
    <s v="ЦЗ"/>
    <s v="ЛЗ"/>
    <m/>
    <m/>
    <s v="Тел"/>
    <s v="Тел"/>
    <x v="41"/>
    <s v="Эвон"/>
    <m/>
    <n v="66"/>
    <n v="29"/>
    <n v="71"/>
    <n v="73"/>
    <n v="79"/>
    <n v="81"/>
    <n v="83"/>
    <n v="46"/>
    <n v="0"/>
    <n v="1568337"/>
    <n v="130694.75"/>
    <n v="0"/>
    <n v="130694.75"/>
    <n v="0"/>
    <n v="0"/>
  </r>
  <r>
    <s v="Кылыч Мерхат"/>
    <x v="1"/>
    <s v="ЦЗ"/>
    <m/>
    <m/>
    <m/>
    <s v="Тел"/>
    <s v="Тел"/>
    <x v="41"/>
    <s v="Эвон"/>
    <m/>
    <n v="48.428571428571431"/>
    <n v="19"/>
    <n v="43"/>
    <n v="63"/>
    <n v="57"/>
    <n v="61"/>
    <n v="66"/>
    <n v="30"/>
    <n v="0"/>
    <n v="70961"/>
    <n v="5913.416666666667"/>
    <n v="0"/>
    <n v="5913.416666666667"/>
    <n v="0"/>
    <n v="0"/>
  </r>
  <r>
    <s v="Лапшер"/>
    <x v="1"/>
    <s v="ЦЗ"/>
    <m/>
    <m/>
    <s v="Тел"/>
    <s v="Тел"/>
    <s v="Тел"/>
    <x v="41"/>
    <s v="Эвон"/>
    <m/>
    <n v="62.571428571428569"/>
    <n v="40"/>
    <n v="59"/>
    <n v="70"/>
    <n v="66"/>
    <n v="73"/>
    <n v="79"/>
    <n v="51"/>
    <n v="0"/>
    <n v="919943"/>
    <n v="76661.916666666672"/>
    <n v="0"/>
    <n v="76661.916666666672"/>
    <n v="0"/>
    <n v="0"/>
  </r>
  <r>
    <s v="Халлал"/>
    <x v="1"/>
    <s v="ЦЗ"/>
    <m/>
    <m/>
    <s v="Мам"/>
    <s v="Мам"/>
    <s v="Мам"/>
    <x v="41"/>
    <s v="Эвон"/>
    <m/>
    <n v="43.857142857142854"/>
    <n v="10"/>
    <n v="40"/>
    <n v="43"/>
    <n v="58"/>
    <n v="60"/>
    <n v="67"/>
    <n v="29"/>
    <n v="0"/>
    <n v="26328"/>
    <n v="2194"/>
    <n v="0"/>
    <n v="2194"/>
    <n v="0"/>
    <n v="0"/>
  </r>
  <r>
    <s v="Ютур"/>
    <x v="1"/>
    <s v="ЦЗ"/>
    <m/>
    <m/>
    <s v="Тел"/>
    <s v="Тел"/>
    <s v="Тел"/>
    <x v="41"/>
    <s v="Эвон"/>
    <m/>
    <n v="56.428571428571431"/>
    <n v="21"/>
    <n v="50"/>
    <n v="72"/>
    <n v="66"/>
    <n v="69"/>
    <n v="77"/>
    <n v="40"/>
    <n v="0"/>
    <n v="327334"/>
    <n v="27277.833333333332"/>
    <n v="0"/>
    <n v="27277.833333333332"/>
    <n v="0"/>
    <n v="0"/>
  </r>
  <r>
    <s v="Ялчин Сердар"/>
    <x v="1"/>
    <s v="ЦЗ"/>
    <m/>
    <m/>
    <m/>
    <s v="Тел"/>
    <s v="Тел"/>
    <x v="41"/>
    <s v="Эвон"/>
    <m/>
    <n v="54.571428571428569"/>
    <n v="22"/>
    <n v="53"/>
    <n v="65"/>
    <n v="64"/>
    <n v="71"/>
    <n v="74"/>
    <n v="33"/>
    <n v="0"/>
    <n v="234236"/>
    <n v="19519.666666666668"/>
    <n v="0"/>
    <n v="19519.666666666668"/>
    <n v="0"/>
    <n v="0"/>
  </r>
  <r>
    <s v="Гьювью"/>
    <x v="2"/>
    <s v="ЦН"/>
    <s v="АПЗ"/>
    <m/>
    <s v="Тел"/>
    <s v="Тел"/>
    <s v="Тел"/>
    <x v="41"/>
    <s v="Эвон"/>
    <m/>
    <n v="52.428571428571431"/>
    <n v="28"/>
    <n v="50"/>
    <n v="79"/>
    <n v="55"/>
    <n v="56"/>
    <n v="65"/>
    <n v="34"/>
    <n v="0"/>
    <n v="156921"/>
    <n v="13076.75"/>
    <n v="0"/>
    <n v="13076.75"/>
    <n v="0"/>
    <n v="0"/>
  </r>
  <r>
    <s v="Текке Бурак"/>
    <x v="2"/>
    <s v="ЦН"/>
    <s v="ОФ"/>
    <m/>
    <s v="Тел"/>
    <s v="Тел"/>
    <s v="Тел"/>
    <x v="41"/>
    <s v="Эвон"/>
    <m/>
    <n v="67.142857142857139"/>
    <n v="30"/>
    <n v="75"/>
    <n v="83"/>
    <n v="74"/>
    <n v="79"/>
    <n v="82"/>
    <n v="47"/>
    <n v="7"/>
    <n v="2793119"/>
    <n v="232759.91666666666"/>
    <n v="0"/>
    <n v="232759.91666666666"/>
    <n v="0"/>
    <n v="0"/>
  </r>
  <r>
    <s v="Цури"/>
    <x v="2"/>
    <s v="ЦН"/>
    <m/>
    <m/>
    <s v="Тел"/>
    <s v="Тел"/>
    <s v="Тел"/>
    <x v="41"/>
    <s v="Эвон"/>
    <m/>
    <n v="52.714285714285715"/>
    <n v="31"/>
    <n v="47"/>
    <n v="80"/>
    <n v="57"/>
    <n v="55"/>
    <n v="67"/>
    <n v="32"/>
    <n v="0"/>
    <n v="165686"/>
    <n v="13807.166666666666"/>
    <n v="0"/>
    <n v="13807.166666666666"/>
    <n v="0"/>
    <n v="0"/>
  </r>
  <r>
    <s v="Чайсар"/>
    <x v="2"/>
    <s v="ЦН"/>
    <m/>
    <m/>
    <s v="Тел"/>
    <s v="Тел"/>
    <s v="Тел"/>
    <x v="41"/>
    <s v="Эвон"/>
    <m/>
    <n v="59"/>
    <n v="34"/>
    <n v="55"/>
    <n v="83"/>
    <n v="61"/>
    <n v="60"/>
    <n v="75"/>
    <n v="45"/>
    <n v="0"/>
    <n v="511117"/>
    <n v="42593.083333333336"/>
    <n v="0"/>
    <n v="42593.083333333336"/>
    <n v="0"/>
    <n v="0"/>
  </r>
  <r>
    <s v="Бухлер"/>
    <x v="3"/>
    <s v="ППЗ"/>
    <s v="АПЗ"/>
    <m/>
    <s v="Хан"/>
    <s v="Хан"/>
    <s v="Хан"/>
    <x v="41"/>
    <s v="Эвон"/>
    <m/>
    <n v="46.285714285714285"/>
    <n v="25"/>
    <n v="68"/>
    <n v="48"/>
    <n v="50"/>
    <n v="54"/>
    <n v="50"/>
    <n v="29"/>
    <n v="0"/>
    <n v="45131"/>
    <n v="3760.9166666666665"/>
    <n v="0"/>
    <n v="3760.9166666666665"/>
    <n v="0"/>
    <n v="0"/>
  </r>
  <r>
    <s v="Дарманган"/>
    <x v="3"/>
    <s v="ОПЗ"/>
    <m/>
    <m/>
    <s v="Тел"/>
    <s v="Тел"/>
    <s v="Тел"/>
    <x v="41"/>
    <s v="Эвон"/>
    <m/>
    <n v="57.142857142857146"/>
    <n v="53"/>
    <n v="61"/>
    <n v="47"/>
    <n v="56"/>
    <n v="59"/>
    <n v="65"/>
    <n v="59"/>
    <n v="0"/>
    <n v="371210"/>
    <n v="30934.166666666668"/>
    <n v="0"/>
    <n v="30934.166666666668"/>
    <n v="0"/>
    <n v="0"/>
  </r>
  <r>
    <s v="Караджа Ильхан"/>
    <x v="3"/>
    <s v="ЦПЗ"/>
    <s v="ОПЗ"/>
    <m/>
    <m/>
    <s v="Тел"/>
    <s v="Тел"/>
    <x v="41"/>
    <s v="Эвон"/>
    <m/>
    <n v="52"/>
    <n v="20"/>
    <n v="55"/>
    <n v="61"/>
    <n v="63"/>
    <n v="65"/>
    <n v="69"/>
    <n v="31"/>
    <n v="0"/>
    <n v="144556"/>
    <n v="12046.333333333334"/>
    <n v="0"/>
    <n v="12046.333333333334"/>
    <n v="0"/>
    <n v="0"/>
  </r>
  <r>
    <s v="Озтюрк Барыш"/>
    <x v="3"/>
    <s v="ППЗ"/>
    <s v="АПЗ"/>
    <m/>
    <m/>
    <s v="Тел"/>
    <s v="Тел"/>
    <x v="41"/>
    <s v="Эвон"/>
    <m/>
    <n v="59.285714285714285"/>
    <n v="24"/>
    <n v="73"/>
    <n v="69"/>
    <n v="68"/>
    <n v="72"/>
    <n v="71"/>
    <n v="38"/>
    <n v="0"/>
    <n v="536415"/>
    <n v="44701.25"/>
    <n v="0"/>
    <n v="44701.25"/>
    <n v="0"/>
    <n v="0"/>
  </r>
  <r>
    <s v="Сумм"/>
    <x v="3"/>
    <s v="ЦПЗ"/>
    <s v="АПЗ"/>
    <m/>
    <s v="Тел"/>
    <s v="Тел"/>
    <s v="Тел"/>
    <x v="41"/>
    <s v="Эвон"/>
    <m/>
    <n v="51.857142857142854"/>
    <n v="38"/>
    <n v="49"/>
    <n v="54"/>
    <n v="50"/>
    <n v="54"/>
    <n v="67"/>
    <n v="51"/>
    <n v="0"/>
    <n v="140633"/>
    <n v="11719.416666666666"/>
    <n v="0"/>
    <n v="11719.416666666666"/>
    <n v="0"/>
    <n v="0"/>
  </r>
  <r>
    <s v="Шахин Эмре"/>
    <x v="3"/>
    <s v="ЛПЗ"/>
    <s v="ОПЗ"/>
    <m/>
    <m/>
    <s v="Тел"/>
    <s v="Тел"/>
    <x v="41"/>
    <s v="Эвон"/>
    <m/>
    <n v="54.142857142857146"/>
    <n v="21"/>
    <n v="67"/>
    <n v="59"/>
    <n v="66"/>
    <n v="64"/>
    <n v="68"/>
    <n v="34"/>
    <n v="0"/>
    <n v="216477"/>
    <n v="18039.75"/>
    <n v="0"/>
    <n v="18039.75"/>
    <n v="0"/>
    <n v="0"/>
  </r>
  <r>
    <s v="Шерью (П)"/>
    <x v="3"/>
    <s v="ЛПЗ"/>
    <s v="ЦПЗ"/>
    <m/>
    <s v="Тел"/>
    <s v="Тел"/>
    <s v="Тел"/>
    <x v="41"/>
    <s v="Эвон"/>
    <m/>
    <n v="54"/>
    <n v="59"/>
    <n v="58"/>
    <n v="56"/>
    <n v="56"/>
    <n v="58"/>
    <n v="46"/>
    <n v="45"/>
    <n v="0"/>
    <n v="210833"/>
    <n v="17569.416666666668"/>
    <n v="0"/>
    <n v="17569.416666666668"/>
    <n v="0"/>
    <n v="0"/>
  </r>
  <r>
    <s v="Эрдоган Мурат"/>
    <x v="3"/>
    <s v="ОПЗ"/>
    <s v="ЦЗ"/>
    <m/>
    <m/>
    <s v="Тел"/>
    <s v="Тел"/>
    <x v="41"/>
    <s v="Эвон"/>
    <m/>
    <n v="62.857142857142854"/>
    <n v="26"/>
    <n v="69"/>
    <n v="75"/>
    <n v="77"/>
    <n v="74"/>
    <n v="76"/>
    <n v="43"/>
    <n v="0"/>
    <n v="962823"/>
    <n v="80235.25"/>
    <n v="0"/>
    <n v="80235.25"/>
    <n v="0"/>
    <n v="0"/>
  </r>
  <r>
    <s v="Гаречо"/>
    <x v="4"/>
    <s v="Т"/>
    <m/>
    <m/>
    <m/>
    <s v="Тел"/>
    <s v="Тел"/>
    <x v="41"/>
    <s v="Эвон"/>
    <m/>
    <n v="67.428571428571431"/>
    <n v="60"/>
    <n v="68"/>
    <n v="83"/>
    <n v="80"/>
    <n v="74"/>
    <n v="67"/>
    <n v="40"/>
    <n v="0"/>
    <n v="1942852"/>
    <n v="161904.33333333334"/>
    <n v="0"/>
    <n v="161904.33333333334"/>
    <n v="0"/>
    <n v="0"/>
  </r>
  <r>
    <s v="Хоршей"/>
    <x v="0"/>
    <s v="В"/>
    <m/>
    <m/>
    <s v="Кол"/>
    <s v="Кол"/>
    <s v="Кол"/>
    <x v="42"/>
    <s v="Эвон"/>
    <m/>
    <n v="49.285714285714285"/>
    <n v="34"/>
    <n v="38"/>
    <n v="49"/>
    <n v="22"/>
    <n v="57"/>
    <n v="79"/>
    <n v="66"/>
    <n v="0"/>
    <n v="84569"/>
    <n v="7047.416666666667"/>
    <n v="0"/>
    <n v="7047.416666666667"/>
    <n v="0"/>
    <n v="0"/>
  </r>
  <r>
    <s v="Алиев (З)"/>
    <x v="1"/>
    <s v="ЦЗ"/>
    <m/>
    <m/>
    <s v="Кол"/>
    <s v="Кол"/>
    <s v="Кол"/>
    <x v="42"/>
    <s v="Эвон"/>
    <m/>
    <n v="63.285714285714285"/>
    <n v="40"/>
    <n v="60"/>
    <n v="71"/>
    <n v="66"/>
    <n v="71"/>
    <n v="66"/>
    <n v="69"/>
    <n v="0"/>
    <n v="1030522"/>
    <n v="85876.833333333328"/>
    <n v="0"/>
    <n v="85876.833333333328"/>
    <n v="0"/>
    <n v="0"/>
  </r>
  <r>
    <s v="Батбаяр Тэмур"/>
    <x v="1"/>
    <s v="ПЗ"/>
    <s v="ЦЗ"/>
    <m/>
    <s v="Кол"/>
    <s v="Кол"/>
    <s v="Кол"/>
    <x v="42"/>
    <s v="Эвон"/>
    <m/>
    <n v="52.571428571428569"/>
    <n v="15"/>
    <n v="67"/>
    <n v="53"/>
    <n v="65"/>
    <n v="69"/>
    <n v="71"/>
    <n v="28"/>
    <n v="0"/>
    <n v="161250"/>
    <n v="13437.5"/>
    <n v="0"/>
    <n v="13437.5"/>
    <n v="0"/>
    <n v="0"/>
  </r>
  <r>
    <s v="Игонти"/>
    <x v="1"/>
    <s v="ЦЗ"/>
    <m/>
    <m/>
    <s v="Кол"/>
    <s v="Кол"/>
    <s v="Кол"/>
    <x v="42"/>
    <s v="Эвон"/>
    <m/>
    <n v="43.285714285714285"/>
    <n v="17"/>
    <n v="37"/>
    <n v="47"/>
    <n v="50"/>
    <n v="61"/>
    <n v="65"/>
    <n v="26"/>
    <n v="0"/>
    <n v="23092"/>
    <n v="1924.3333333333333"/>
    <n v="0"/>
    <n v="1924.3333333333333"/>
    <n v="0"/>
    <n v="0"/>
  </r>
  <r>
    <s v="Йурта"/>
    <x v="1"/>
    <s v="ЦЗ"/>
    <s v="ОПЗ"/>
    <m/>
    <s v="Кол"/>
    <s v="Кол"/>
    <s v="Кол"/>
    <x v="42"/>
    <s v="Эвон"/>
    <m/>
    <n v="48.428571428571431"/>
    <n v="21"/>
    <n v="41"/>
    <n v="50"/>
    <n v="57"/>
    <n v="67"/>
    <n v="67"/>
    <n v="36"/>
    <n v="0"/>
    <n v="70961"/>
    <n v="5913.416666666667"/>
    <n v="0"/>
    <n v="5913.416666666667"/>
    <n v="0"/>
    <n v="0"/>
  </r>
  <r>
    <s v="Ночник"/>
    <x v="1"/>
    <s v="ЦЗ"/>
    <m/>
    <m/>
    <s v="Кол"/>
    <s v="Кол"/>
    <s v="Кол"/>
    <x v="42"/>
    <s v="Эвон"/>
    <m/>
    <n v="56.428571428571431"/>
    <n v="35"/>
    <n v="48"/>
    <n v="56"/>
    <n v="58"/>
    <n v="75"/>
    <n v="77"/>
    <n v="46"/>
    <n v="0"/>
    <n v="327334"/>
    <n v="27277.833333333332"/>
    <n v="0"/>
    <n v="27277.833333333332"/>
    <n v="0"/>
    <n v="0"/>
  </r>
  <r>
    <s v="Понти"/>
    <x v="1"/>
    <s v="ЦЗ"/>
    <m/>
    <m/>
    <s v="Переп"/>
    <s v="Переп"/>
    <s v="Переп"/>
    <x v="42"/>
    <s v="Эвон"/>
    <m/>
    <n v="50.142857142857146"/>
    <n v="31"/>
    <n v="45"/>
    <n v="55"/>
    <n v="50"/>
    <n v="66"/>
    <n v="69"/>
    <n v="35"/>
    <n v="0"/>
    <n v="100483"/>
    <n v="8373.5833333333339"/>
    <n v="0"/>
    <n v="8373.5833333333339"/>
    <n v="0"/>
    <n v="0"/>
  </r>
  <r>
    <s v="Чулуунбат Алтан"/>
    <x v="1"/>
    <s v="ЛЗ"/>
    <s v="ЦЗ"/>
    <m/>
    <s v="Кол"/>
    <s v="Кол"/>
    <s v="Кол"/>
    <x v="42"/>
    <s v="Эвон"/>
    <m/>
    <n v="46.428571428571431"/>
    <n v="15"/>
    <n v="61"/>
    <n v="45"/>
    <n v="57"/>
    <n v="61"/>
    <n v="64"/>
    <n v="22"/>
    <n v="0"/>
    <n v="46543"/>
    <n v="3878.5833333333335"/>
    <n v="0"/>
    <n v="3878.5833333333335"/>
    <n v="0"/>
    <n v="0"/>
  </r>
  <r>
    <s v="Чурмах"/>
    <x v="1"/>
    <s v="ЦЗ"/>
    <m/>
    <m/>
    <s v="Кол"/>
    <s v="Кол"/>
    <s v="Кол"/>
    <x v="42"/>
    <s v="Эвон"/>
    <m/>
    <n v="45.714285714285715"/>
    <n v="15"/>
    <n v="42"/>
    <n v="46"/>
    <n v="53"/>
    <n v="59"/>
    <n v="63"/>
    <n v="42"/>
    <n v="0"/>
    <n v="39859"/>
    <n v="3321.5833333333335"/>
    <n v="0"/>
    <n v="3321.5833333333335"/>
    <n v="0"/>
    <n v="0"/>
  </r>
  <r>
    <s v="Батчулуун Тэмур"/>
    <x v="2"/>
    <s v="ОФ"/>
    <s v="ППЗ"/>
    <m/>
    <s v="Кол"/>
    <s v="Кол"/>
    <s v="Кол"/>
    <x v="42"/>
    <s v="Эвон"/>
    <m/>
    <n v="62.142857142857146"/>
    <n v="24"/>
    <n v="77"/>
    <n v="67"/>
    <n v="71"/>
    <n v="75"/>
    <n v="78"/>
    <n v="43"/>
    <n v="0"/>
    <n v="858840"/>
    <n v="71570"/>
    <n v="0"/>
    <n v="71570"/>
    <n v="0"/>
    <n v="0"/>
  </r>
  <r>
    <s v="Ганбаяр Алтан"/>
    <x v="2"/>
    <s v="ЦН"/>
    <s v="ОФ"/>
    <m/>
    <s v="Кол"/>
    <s v="Кол"/>
    <s v="Кол"/>
    <x v="42"/>
    <s v="Эвон"/>
    <m/>
    <n v="48.857142857142854"/>
    <n v="15"/>
    <n v="59"/>
    <n v="53"/>
    <n v="61"/>
    <n v="63"/>
    <n v="66"/>
    <n v="25"/>
    <n v="0"/>
    <n v="77497"/>
    <n v="6458.083333333333"/>
    <n v="0"/>
    <n v="6458.083333333333"/>
    <n v="0"/>
    <n v="0"/>
  </r>
  <r>
    <s v="Стиллантор"/>
    <x v="2"/>
    <s v="ЦН"/>
    <m/>
    <m/>
    <s v="Кол"/>
    <s v="Кол"/>
    <s v="Кол"/>
    <x v="42"/>
    <s v="Эвон"/>
    <m/>
    <n v="50.857142857142854"/>
    <n v="28"/>
    <n v="53"/>
    <n v="59"/>
    <n v="56"/>
    <n v="61"/>
    <n v="64"/>
    <n v="35"/>
    <n v="0"/>
    <n v="115750"/>
    <n v="9645.8333333333339"/>
    <n v="0"/>
    <n v="9645.8333333333339"/>
    <n v="0"/>
    <n v="0"/>
  </r>
  <r>
    <s v="Шайпер"/>
    <x v="2"/>
    <s v="ЦН"/>
    <s v="ОФ"/>
    <m/>
    <s v="Кол"/>
    <s v="Кол"/>
    <s v="Кол"/>
    <x v="42"/>
    <s v="Эвон"/>
    <m/>
    <n v="49.714285714285715"/>
    <n v="22"/>
    <n v="56"/>
    <n v="55"/>
    <n v="55"/>
    <n v="59"/>
    <n v="63"/>
    <n v="38"/>
    <n v="0"/>
    <n v="92218"/>
    <n v="7684.833333333333"/>
    <n v="0"/>
    <n v="7684.833333333333"/>
    <n v="0"/>
    <n v="0"/>
  </r>
  <r>
    <s v="Векенд"/>
    <x v="3"/>
    <s v="АПЗ"/>
    <s v="ППЗ"/>
    <m/>
    <s v="Кол"/>
    <s v="Кол"/>
    <s v="Кол"/>
    <x v="42"/>
    <s v="Эвон"/>
    <m/>
    <n v="46.571428571428569"/>
    <n v="41"/>
    <n v="54"/>
    <n v="59"/>
    <n v="50"/>
    <n v="55"/>
    <n v="48"/>
    <n v="19"/>
    <n v="0"/>
    <n v="47995"/>
    <n v="3999.5833333333335"/>
    <n v="0"/>
    <n v="3999.5833333333335"/>
    <n v="0"/>
    <n v="0"/>
  </r>
  <r>
    <s v="Гантуя Энх"/>
    <x v="3"/>
    <s v="ОПЗ"/>
    <s v="ЦЗ"/>
    <m/>
    <s v="Кол"/>
    <s v="Кол"/>
    <s v="Кол"/>
    <x v="42"/>
    <s v="Эвон"/>
    <m/>
    <n v="59"/>
    <n v="22"/>
    <n v="71"/>
    <n v="59"/>
    <n v="75"/>
    <n v="73"/>
    <n v="75"/>
    <n v="38"/>
    <n v="0"/>
    <n v="511117"/>
    <n v="42593.083333333336"/>
    <n v="0"/>
    <n v="42593.083333333336"/>
    <n v="0"/>
    <n v="0"/>
  </r>
  <r>
    <s v="Джеб Бьюенс"/>
    <x v="3"/>
    <s v="ЦПЗ"/>
    <m/>
    <m/>
    <s v="Кол"/>
    <s v="Кол"/>
    <s v="Кол"/>
    <x v="42"/>
    <s v="Эвон"/>
    <m/>
    <n v="49.714285714285715"/>
    <n v="43"/>
    <n v="63"/>
    <n v="47"/>
    <n v="70"/>
    <n v="56"/>
    <n v="45"/>
    <n v="24"/>
    <n v="0"/>
    <n v="92218"/>
    <n v="7684.833333333333"/>
    <n v="0"/>
    <n v="7684.833333333333"/>
    <n v="0"/>
    <n v="0"/>
  </r>
  <r>
    <s v="Доржбаяр Бат"/>
    <x v="3"/>
    <s v="ЦПЗ"/>
    <s v="ОПЗ"/>
    <m/>
    <s v="Кол"/>
    <s v="Кол"/>
    <s v="Кол"/>
    <x v="42"/>
    <s v="Эвон"/>
    <m/>
    <n v="48.857142857142854"/>
    <n v="16"/>
    <n v="53"/>
    <n v="51"/>
    <n v="63"/>
    <n v="65"/>
    <n v="68"/>
    <n v="26"/>
    <n v="0"/>
    <n v="77497"/>
    <n v="6458.083333333333"/>
    <n v="0"/>
    <n v="6458.083333333333"/>
    <n v="0"/>
    <n v="0"/>
  </r>
  <r>
    <s v="Лона (П)"/>
    <x v="3"/>
    <s v="ППЗ"/>
    <s v="ОПЗ"/>
    <m/>
    <s v="Переп"/>
    <s v="Переп"/>
    <s v="Переп"/>
    <x v="42"/>
    <s v="Эвон"/>
    <m/>
    <n v="69.714285714285708"/>
    <n v="70"/>
    <n v="85"/>
    <n v="68"/>
    <n v="67"/>
    <n v="68"/>
    <n v="60"/>
    <n v="70"/>
    <n v="23"/>
    <n v="4067327"/>
    <n v="338943.91666666669"/>
    <n v="0"/>
    <n v="338943.91666666669"/>
    <n v="0"/>
    <n v="0"/>
  </r>
  <r>
    <s v="Сурэнбат Ганзориг"/>
    <x v="3"/>
    <s v="АПЗ"/>
    <s v="ЦПЗ"/>
    <m/>
    <s v="Кол"/>
    <s v="Кол"/>
    <s v="Кол"/>
    <x v="42"/>
    <s v="Эвон"/>
    <m/>
    <n v="58.285714285714285"/>
    <n v="44"/>
    <n v="65"/>
    <n v="55"/>
    <n v="71"/>
    <n v="69"/>
    <n v="71"/>
    <n v="33"/>
    <n v="0"/>
    <n v="452503"/>
    <n v="20036.75"/>
    <n v="0"/>
    <n v="37708.583333333336"/>
    <n v="-46.86"/>
    <n v="0"/>
  </r>
  <r>
    <s v="Туябаяр Мөнх"/>
    <x v="3"/>
    <s v="ЛПЗ"/>
    <s v="ППЗ"/>
    <m/>
    <s v="Кол"/>
    <s v="Кол"/>
    <s v="Кол"/>
    <x v="42"/>
    <s v="Эвон"/>
    <m/>
    <n v="51.285714285714285"/>
    <n v="17"/>
    <n v="69"/>
    <n v="49"/>
    <n v="65"/>
    <n v="63"/>
    <n v="66"/>
    <n v="30"/>
    <n v="0"/>
    <n v="125883"/>
    <n v="10490.25"/>
    <n v="0"/>
    <n v="10490.25"/>
    <n v="0"/>
    <n v="0"/>
  </r>
  <r>
    <s v="Шотти"/>
    <x v="3"/>
    <s v="ЛПЗ"/>
    <s v="ОПЗ"/>
    <m/>
    <s v="Кол"/>
    <s v="Кол"/>
    <s v="Кол"/>
    <x v="42"/>
    <s v="Эвон"/>
    <m/>
    <n v="50.428571428571431"/>
    <n v="40"/>
    <n v="58"/>
    <n v="46"/>
    <n v="54"/>
    <n v="58"/>
    <n v="51"/>
    <n v="46"/>
    <n v="0"/>
    <n v="106358"/>
    <n v="8863.1666666666661"/>
    <n v="0"/>
    <n v="8863.1666666666661"/>
    <n v="0"/>
    <n v="0"/>
  </r>
  <r>
    <s v="Ынник"/>
    <x v="3"/>
    <s v="ЦПЗ"/>
    <s v="ППЗ"/>
    <m/>
    <s v="Кол"/>
    <s v="Кол"/>
    <s v="Кол"/>
    <x v="42"/>
    <s v="Эвон"/>
    <m/>
    <n v="62.285714285714285"/>
    <n v="40"/>
    <n v="70"/>
    <n v="65"/>
    <n v="65"/>
    <n v="71"/>
    <n v="65"/>
    <n v="60"/>
    <n v="17"/>
    <n v="1318184"/>
    <n v="4251.916666666667"/>
    <n v="0"/>
    <n v="109848.66666666667"/>
    <n v="-96.13"/>
    <n v="0"/>
  </r>
  <r>
    <s v="Эрдэнэтуя Батбаяр"/>
    <x v="3"/>
    <s v="ППЗ"/>
    <s v="ЛПЗ"/>
    <m/>
    <s v="Кол"/>
    <s v="Кол"/>
    <s v="Кол"/>
    <x v="42"/>
    <s v="Эвон"/>
    <m/>
    <n v="56.714285714285715"/>
    <n v="21"/>
    <n v="73"/>
    <n v="57"/>
    <n v="69"/>
    <n v="71"/>
    <n v="70"/>
    <n v="36"/>
    <n v="0"/>
    <n v="344291"/>
    <n v="28690.916666666668"/>
    <n v="0"/>
    <n v="28690.916666666668"/>
    <n v="0"/>
    <n v="0"/>
  </r>
  <r>
    <s v="Эрдэнэбат Ганбат"/>
    <x v="4"/>
    <s v="Т"/>
    <m/>
    <m/>
    <m/>
    <s v="Кол"/>
    <s v="Кол"/>
    <x v="42"/>
    <s v="Эвон"/>
    <m/>
    <n v="52.857142857142854"/>
    <n v="17"/>
    <n v="63"/>
    <n v="57"/>
    <n v="69"/>
    <n v="65"/>
    <n v="67"/>
    <n v="32"/>
    <n v="0"/>
    <n v="170231"/>
    <n v="14185.916666666666"/>
    <n v="0"/>
    <n v="14185.916666666666"/>
    <n v="0"/>
    <n v="0"/>
  </r>
  <r>
    <s v="Тексер"/>
    <x v="0"/>
    <s v="В"/>
    <m/>
    <m/>
    <s v="Нумб"/>
    <s v="Нумб"/>
    <s v="Нумб"/>
    <x v="43"/>
    <s v="Эвон"/>
    <m/>
    <n v="70.142857142857139"/>
    <n v="51"/>
    <n v="75"/>
    <n v="72"/>
    <n v="77"/>
    <n v="77"/>
    <n v="79"/>
    <n v="60"/>
    <n v="29"/>
    <n v="4324400"/>
    <n v="168284.33333333334"/>
    <n v="0"/>
    <n v="360366.66666666669"/>
    <n v="-53.3"/>
    <n v="0"/>
  </r>
  <r>
    <s v="Войлов"/>
    <x v="1"/>
    <s v="ЦЗ"/>
    <m/>
    <m/>
    <s v="Генуа"/>
    <s v="Генуа"/>
    <s v="Генуа"/>
    <x v="43"/>
    <s v="Эвон"/>
    <m/>
    <n v="67"/>
    <n v="50"/>
    <n v="70"/>
    <n v="52"/>
    <n v="70"/>
    <n v="80"/>
    <n v="86"/>
    <n v="61"/>
    <n v="0"/>
    <n v="1822838"/>
    <n v="151903.16666666666"/>
    <n v="0"/>
    <n v="151903.16666666666"/>
    <n v="0"/>
    <n v="0"/>
  </r>
  <r>
    <s v="Газан Андрей"/>
    <x v="1"/>
    <s v="ПЗ"/>
    <s v="ЦЗ"/>
    <m/>
    <m/>
    <s v="Черлесск"/>
    <s v="Черлесск"/>
    <x v="43"/>
    <s v="Эвон"/>
    <m/>
    <n v="51.857142857142854"/>
    <n v="12"/>
    <n v="61"/>
    <n v="55"/>
    <n v="67"/>
    <n v="69"/>
    <n v="71"/>
    <n v="28"/>
    <n v="0"/>
    <n v="140633"/>
    <n v="11719.416666666666"/>
    <n v="0"/>
    <n v="11719.416666666666"/>
    <n v="0"/>
    <n v="0"/>
  </r>
  <r>
    <s v="Курман"/>
    <x v="1"/>
    <s v="ЦЗ"/>
    <m/>
    <m/>
    <s v="Биссий"/>
    <s v="Биссий"/>
    <s v="Биссий"/>
    <x v="43"/>
    <s v="Эвон"/>
    <m/>
    <n v="59.285714285714285"/>
    <n v="48"/>
    <n v="68"/>
    <n v="60"/>
    <n v="62"/>
    <n v="74"/>
    <n v="83"/>
    <n v="20"/>
    <n v="0"/>
    <n v="536415"/>
    <n v="44701.25"/>
    <n v="0"/>
    <n v="44701.25"/>
    <n v="0"/>
    <n v="0"/>
  </r>
  <r>
    <s v="Отлома"/>
    <x v="1"/>
    <s v="ЦЗ"/>
    <s v="ПЗ"/>
    <m/>
    <s v="Мал"/>
    <s v="В.И."/>
    <s v="В.И."/>
    <x v="43"/>
    <s v="Эвон"/>
    <m/>
    <n v="67.428571428571431"/>
    <n v="44"/>
    <n v="62"/>
    <n v="70"/>
    <n v="70"/>
    <n v="81"/>
    <n v="79"/>
    <n v="66"/>
    <n v="0"/>
    <n v="1942852"/>
    <n v="161904.33333333334"/>
    <n v="0"/>
    <n v="161904.33333333334"/>
    <n v="0"/>
    <n v="0"/>
  </r>
  <r>
    <s v="Перлим Пётр"/>
    <x v="1"/>
    <s v="ЦЗ"/>
    <s v="ОПЗ"/>
    <m/>
    <m/>
    <s v="Черлесск"/>
    <s v="Черлесск"/>
    <x v="43"/>
    <s v="Эвон"/>
    <m/>
    <n v="43.285714285714285"/>
    <n v="10"/>
    <n v="48"/>
    <n v="47"/>
    <n v="55"/>
    <n v="59"/>
    <n v="62"/>
    <n v="22"/>
    <n v="0"/>
    <n v="23092"/>
    <n v="1924.3333333333333"/>
    <n v="0"/>
    <n v="1924.3333333333333"/>
    <n v="0"/>
    <n v="0"/>
  </r>
  <r>
    <s v="Сторвус"/>
    <x v="1"/>
    <s v="ЦЗ"/>
    <s v="ЛЗ"/>
    <m/>
    <s v="Переп"/>
    <s v="Переп"/>
    <s v="Переп"/>
    <x v="43"/>
    <s v="Эвон"/>
    <m/>
    <n v="53.428571428571431"/>
    <n v="22"/>
    <n v="51"/>
    <n v="58"/>
    <n v="51"/>
    <n v="75"/>
    <n v="77"/>
    <n v="40"/>
    <n v="0"/>
    <n v="189556"/>
    <n v="15796.333333333334"/>
    <n v="0"/>
    <n v="15796.333333333334"/>
    <n v="0"/>
    <n v="0"/>
  </r>
  <r>
    <s v="Мисиклетин Аркадий"/>
    <x v="2"/>
    <s v="ЦН"/>
    <s v="ОФ"/>
    <m/>
    <m/>
    <s v="Черлесск"/>
    <s v="Черлесск"/>
    <x v="43"/>
    <s v="Эвон"/>
    <m/>
    <n v="50.857142857142854"/>
    <n v="14"/>
    <n v="65"/>
    <n v="59"/>
    <n v="63"/>
    <n v="65"/>
    <n v="67"/>
    <n v="23"/>
    <n v="0"/>
    <n v="115750"/>
    <n v="9645.8333333333339"/>
    <n v="0"/>
    <n v="9645.8333333333339"/>
    <n v="0"/>
    <n v="0"/>
  </r>
  <r>
    <s v="Партоффель Савва"/>
    <x v="2"/>
    <s v="ОФ"/>
    <s v="ЦН"/>
    <m/>
    <m/>
    <s v="Черлесск"/>
    <s v="Черлесск"/>
    <x v="43"/>
    <s v="Эвон"/>
    <m/>
    <n v="45.714285714285715"/>
    <n v="10"/>
    <n v="61"/>
    <n v="49"/>
    <n v="61"/>
    <n v="59"/>
    <n v="61"/>
    <n v="19"/>
    <n v="0"/>
    <n v="39859"/>
    <n v="3321.5833333333335"/>
    <n v="0"/>
    <n v="3321.5833333333335"/>
    <n v="0"/>
    <n v="0"/>
  </r>
  <r>
    <s v="Буатенг"/>
    <x v="3"/>
    <s v="ЦПЗ"/>
    <m/>
    <m/>
    <s v="Нумб"/>
    <s v="Нумб"/>
    <s v="Нумб"/>
    <x v="43"/>
    <s v="Эвон"/>
    <m/>
    <n v="53.571428571428569"/>
    <n v="15"/>
    <n v="59"/>
    <n v="55"/>
    <n v="73"/>
    <n v="51"/>
    <n v="59"/>
    <n v="63"/>
    <n v="0"/>
    <n v="194685"/>
    <n v="16223.75"/>
    <n v="0"/>
    <n v="16223.75"/>
    <n v="0"/>
    <n v="0"/>
  </r>
  <r>
    <s v="Касмант"/>
    <x v="3"/>
    <s v="ОПЗ"/>
    <s v="ЦЗ"/>
    <m/>
    <s v="Нумб"/>
    <s v="Нумб"/>
    <s v="Нумб"/>
    <x v="43"/>
    <s v="Эвон"/>
    <m/>
    <n v="53.714285714285715"/>
    <n v="36"/>
    <n v="55"/>
    <n v="67"/>
    <n v="60"/>
    <n v="73"/>
    <n v="70"/>
    <n v="15"/>
    <n v="0"/>
    <n v="199940"/>
    <n v="16661.666666666668"/>
    <n v="0"/>
    <n v="16661.666666666668"/>
    <n v="0"/>
    <n v="0"/>
  </r>
  <r>
    <s v="Паволин Олег"/>
    <x v="3"/>
    <s v="ЦПЗ"/>
    <s v="ОПЗ"/>
    <m/>
    <m/>
    <s v="Черлесск"/>
    <s v="Черлесск"/>
    <x v="43"/>
    <s v="Эвон"/>
    <m/>
    <n v="52"/>
    <n v="13"/>
    <n v="63"/>
    <n v="57"/>
    <n v="67"/>
    <n v="69"/>
    <n v="71"/>
    <n v="24"/>
    <n v="0"/>
    <n v="144556"/>
    <n v="12046.333333333334"/>
    <n v="0"/>
    <n v="12046.333333333334"/>
    <n v="0"/>
    <n v="0"/>
  </r>
  <r>
    <s v="Порски"/>
    <x v="3"/>
    <s v="ЦПЗ"/>
    <m/>
    <m/>
    <s v="Черлесск"/>
    <s v="Черлесск"/>
    <s v="Черлесск"/>
    <x v="43"/>
    <s v="Эвон"/>
    <m/>
    <n v="54.142857142857146"/>
    <n v="45"/>
    <n v="62"/>
    <n v="64"/>
    <n v="65"/>
    <n v="50"/>
    <n v="53"/>
    <n v="40"/>
    <n v="0"/>
    <n v="216477"/>
    <n v="18039.75"/>
    <n v="0"/>
    <n v="18039.75"/>
    <n v="0"/>
    <n v="0"/>
  </r>
  <r>
    <s v="Радрикс Фома"/>
    <x v="3"/>
    <s v="ЛПЗ"/>
    <s v="ОПЗ"/>
    <m/>
    <m/>
    <s v="Черлесск"/>
    <s v="Черлесск"/>
    <x v="43"/>
    <s v="Эвон"/>
    <m/>
    <n v="47.285714285714285"/>
    <n v="11"/>
    <n v="59"/>
    <n v="53"/>
    <n v="63"/>
    <n v="61"/>
    <n v="63"/>
    <n v="21"/>
    <n v="0"/>
    <n v="55886"/>
    <n v="4657.166666666667"/>
    <n v="0"/>
    <n v="4657.166666666667"/>
    <n v="0"/>
    <n v="0"/>
  </r>
  <r>
    <s v="Ренетрин Илья"/>
    <x v="3"/>
    <s v="ОПЗ"/>
    <s v="ЦПЗ"/>
    <m/>
    <s v="Черлесск"/>
    <s v="Черлесск"/>
    <s v="Черлесск"/>
    <x v="43"/>
    <s v="Эвон"/>
    <m/>
    <n v="56.714285714285715"/>
    <n v="30"/>
    <n v="60"/>
    <n v="66"/>
    <n v="70"/>
    <n v="59"/>
    <n v="62"/>
    <n v="50"/>
    <n v="0"/>
    <n v="344291"/>
    <n v="28690.916666666668"/>
    <n v="0"/>
    <n v="28690.916666666668"/>
    <n v="0"/>
    <n v="0"/>
  </r>
  <r>
    <s v="Сервезов Кузьма"/>
    <x v="3"/>
    <s v="ППЗ"/>
    <s v="АПЗ"/>
    <m/>
    <m/>
    <s v="Черлесск"/>
    <s v="Черлесск"/>
    <x v="43"/>
    <s v="Эвон"/>
    <m/>
    <n v="43.714285714285715"/>
    <n v="10"/>
    <n v="53"/>
    <n v="51"/>
    <n v="55"/>
    <n v="57"/>
    <n v="60"/>
    <n v="20"/>
    <n v="0"/>
    <n v="25483"/>
    <n v="2123.5833333333335"/>
    <n v="0"/>
    <n v="2123.5833333333335"/>
    <n v="0"/>
    <n v="0"/>
  </r>
  <r>
    <s v="Тонти"/>
    <x v="3"/>
    <s v="ЦПЗ"/>
    <m/>
    <m/>
    <s v="Нумб"/>
    <s v="Нумб"/>
    <s v="Нумб"/>
    <x v="43"/>
    <s v="Эвон"/>
    <m/>
    <n v="59.714285714285715"/>
    <n v="40"/>
    <n v="69"/>
    <n v="59"/>
    <n v="72"/>
    <n v="69"/>
    <n v="75"/>
    <n v="34"/>
    <n v="0"/>
    <n v="576478"/>
    <n v="28690.916666666668"/>
    <n v="0"/>
    <n v="48039.833333333336"/>
    <n v="-40.28"/>
    <n v="0"/>
  </r>
  <r>
    <s v="Флокхольм Семён"/>
    <x v="3"/>
    <s v="АПЗ"/>
    <s v="ЦПЗ"/>
    <m/>
    <m/>
    <s v="Черлесск"/>
    <s v="Черлесск"/>
    <x v="43"/>
    <s v="Эвон"/>
    <m/>
    <n v="42.142857142857146"/>
    <n v="10"/>
    <n v="45"/>
    <n v="49"/>
    <n v="57"/>
    <n v="55"/>
    <n v="58"/>
    <n v="21"/>
    <n v="0"/>
    <n v="17671"/>
    <n v="1472.5833333333333"/>
    <n v="0"/>
    <n v="1472.5833333333333"/>
    <n v="0"/>
    <n v="0"/>
  </r>
  <r>
    <s v="Щеглонт"/>
    <x v="3"/>
    <s v="ЦПЗ"/>
    <m/>
    <m/>
    <s v="Переп"/>
    <s v="Переп"/>
    <s v="Переп"/>
    <x v="43"/>
    <s v="Эвон"/>
    <m/>
    <n v="49.428571428571431"/>
    <n v="37"/>
    <n v="43"/>
    <n v="55"/>
    <n v="55"/>
    <n v="52"/>
    <n v="54"/>
    <n v="50"/>
    <n v="0"/>
    <n v="87053"/>
    <n v="7254.416666666667"/>
    <n v="0"/>
    <n v="7254.416666666667"/>
    <n v="0"/>
    <n v="0"/>
  </r>
  <r>
    <s v="Рондзон Тимур"/>
    <x v="4"/>
    <s v="Т"/>
    <m/>
    <m/>
    <m/>
    <s v="Черлесск"/>
    <s v="Черлесск"/>
    <x v="43"/>
    <s v="Эвон"/>
    <m/>
    <n v="47.428571428571431"/>
    <n v="10"/>
    <n v="57"/>
    <n v="51"/>
    <n v="61"/>
    <n v="63"/>
    <n v="65"/>
    <n v="25"/>
    <n v="0"/>
    <n v="57598"/>
    <n v="4799.833333333333"/>
    <n v="0"/>
    <n v="4799.833333333333"/>
    <n v="0"/>
    <n v="0"/>
  </r>
  <r>
    <s v="Войнер Наком"/>
    <x v="0"/>
    <s v="В"/>
    <m/>
    <m/>
    <m/>
    <s v="С.С."/>
    <s v="С.С."/>
    <x v="44"/>
    <s v="Эвон"/>
    <m/>
    <n v="31.571428571428573"/>
    <n v="8"/>
    <n v="40"/>
    <n v="34"/>
    <n v="38"/>
    <n v="40"/>
    <n v="42"/>
    <n v="19"/>
    <n v="0"/>
    <n v="984"/>
    <n v="82"/>
    <n v="0"/>
    <n v="82"/>
    <n v="0"/>
    <n v="0"/>
  </r>
  <r>
    <s v="Мойрер Атанес"/>
    <x v="0"/>
    <s v="В"/>
    <m/>
    <m/>
    <m/>
    <s v="С.С."/>
    <s v="С.С."/>
    <x v="44"/>
    <s v="Эвон"/>
    <m/>
    <n v="31.857142857142858"/>
    <n v="8"/>
    <n v="42"/>
    <n v="34"/>
    <n v="38"/>
    <n v="40"/>
    <n v="42"/>
    <n v="19"/>
    <n v="0"/>
    <n v="1077"/>
    <n v="89.75"/>
    <n v="0"/>
    <n v="89.75"/>
    <n v="0"/>
    <n v="0"/>
  </r>
  <r>
    <s v="Ройнер Анрок"/>
    <x v="0"/>
    <s v="В"/>
    <m/>
    <m/>
    <m/>
    <s v="С.С."/>
    <s v="С.С."/>
    <x v="44"/>
    <s v="Эвон"/>
    <m/>
    <n v="35.428571428571431"/>
    <n v="10"/>
    <n v="46"/>
    <n v="38"/>
    <n v="42"/>
    <n v="44"/>
    <n v="46"/>
    <n v="22"/>
    <n v="0"/>
    <n v="3116"/>
    <n v="259.66666666666669"/>
    <n v="0"/>
    <n v="259.66666666666669"/>
    <n v="0"/>
    <n v="0"/>
  </r>
  <r>
    <s v="Гайцарзул Ронос"/>
    <x v="1"/>
    <s v="ЦЗ"/>
    <s v="ОПЗ"/>
    <m/>
    <m/>
    <s v="С.С."/>
    <s v="С.С."/>
    <x v="44"/>
    <s v="Эвон"/>
    <m/>
    <n v="28.142857142857142"/>
    <n v="6"/>
    <n v="36"/>
    <n v="30"/>
    <n v="34"/>
    <n v="36"/>
    <n v="38"/>
    <n v="17"/>
    <n v="0"/>
    <n v="312"/>
    <n v="26"/>
    <n v="0"/>
    <n v="26"/>
    <n v="0"/>
    <n v="0"/>
  </r>
  <r>
    <s v="Гойнер Ранен"/>
    <x v="1"/>
    <s v="ПЗ"/>
    <s v="ЦЗ"/>
    <m/>
    <m/>
    <s v="С.С."/>
    <s v="С.С."/>
    <x v="44"/>
    <s v="Эвон"/>
    <m/>
    <n v="35.142857142857146"/>
    <n v="9"/>
    <n v="46"/>
    <n v="38"/>
    <n v="42"/>
    <n v="44"/>
    <n v="46"/>
    <n v="21"/>
    <n v="0"/>
    <n v="2874"/>
    <n v="239.5"/>
    <n v="0"/>
    <n v="239.5"/>
    <n v="0"/>
    <n v="0"/>
  </r>
  <r>
    <s v="Май Ар"/>
    <x v="1"/>
    <s v="ПЗ"/>
    <s v="ЛЗ"/>
    <m/>
    <m/>
    <s v="С.С."/>
    <s v="С.С."/>
    <x v="44"/>
    <s v="Эвон"/>
    <m/>
    <n v="41"/>
    <n v="45"/>
    <n v="70"/>
    <n v="34"/>
    <n v="38"/>
    <n v="40"/>
    <n v="42"/>
    <n v="18"/>
    <n v="0"/>
    <n v="13423"/>
    <n v="74.916666666666671"/>
    <n v="0"/>
    <n v="1118.5833333333333"/>
    <n v="-93.3"/>
    <n v="0"/>
  </r>
  <r>
    <s v="Тойнер Ланмонд"/>
    <x v="1"/>
    <s v="ЦЗ"/>
    <s v="ЛЗ"/>
    <m/>
    <m/>
    <s v="С.С."/>
    <s v="С.С."/>
    <x v="44"/>
    <s v="Эвон"/>
    <m/>
    <n v="39.142857142857146"/>
    <n v="12"/>
    <n v="52"/>
    <n v="42"/>
    <n v="46"/>
    <n v="48"/>
    <n v="50"/>
    <n v="24"/>
    <n v="0"/>
    <n v="8444"/>
    <n v="703.66666666666663"/>
    <n v="0"/>
    <n v="703.66666666666663"/>
    <n v="0"/>
    <n v="0"/>
  </r>
  <r>
    <s v="Шайцардор Анкек"/>
    <x v="2"/>
    <s v="ОФ"/>
    <s v="ЦН"/>
    <m/>
    <m/>
    <s v="С.С."/>
    <s v="С.С."/>
    <x v="44"/>
    <s v="Эвон"/>
    <m/>
    <n v="63"/>
    <n v="40"/>
    <n v="77"/>
    <n v="80"/>
    <n v="60"/>
    <n v="60"/>
    <n v="80"/>
    <n v="44"/>
    <n v="7"/>
    <n v="1477396"/>
    <n v="123116.33333333333"/>
    <n v="0"/>
    <n v="123116.33333333333"/>
    <n v="0"/>
    <n v="0"/>
  </r>
  <r>
    <s v="Шойнер Рарнельд"/>
    <x v="2"/>
    <s v="ОФ"/>
    <s v="ЦН"/>
    <m/>
    <m/>
    <s v="С.С."/>
    <s v="С.С."/>
    <x v="44"/>
    <s v="Эвон"/>
    <m/>
    <n v="55.428571428571431"/>
    <n v="18"/>
    <n v="70"/>
    <n v="62"/>
    <n v="64"/>
    <n v="66"/>
    <n v="68"/>
    <n v="40"/>
    <n v="0"/>
    <n v="273740"/>
    <n v="22811.666666666668"/>
    <n v="0"/>
    <n v="22811.666666666668"/>
    <n v="0"/>
    <n v="0"/>
  </r>
  <r>
    <s v="Бойнер Толеус"/>
    <x v="3"/>
    <s v="ОПЗ"/>
    <s v="ЦЗ"/>
    <m/>
    <m/>
    <s v="С.С."/>
    <s v="С.С."/>
    <x v="44"/>
    <s v="Эвон"/>
    <m/>
    <n v="34.428571428571431"/>
    <n v="9"/>
    <n v="44"/>
    <n v="36"/>
    <n v="42"/>
    <n v="44"/>
    <n v="46"/>
    <n v="20"/>
    <n v="0"/>
    <n v="2340"/>
    <n v="195"/>
    <n v="0"/>
    <n v="195"/>
    <n v="0"/>
    <n v="0"/>
  </r>
  <r>
    <s v="Койнер Тонанс"/>
    <x v="3"/>
    <s v="АПЗ"/>
    <s v="ППЗ"/>
    <m/>
    <m/>
    <s v="С.С."/>
    <s v="С.С."/>
    <x v="44"/>
    <s v="Эвон"/>
    <m/>
    <n v="29.857142857142858"/>
    <n v="7"/>
    <n v="38"/>
    <n v="32"/>
    <n v="36"/>
    <n v="38"/>
    <n v="40"/>
    <n v="18"/>
    <n v="0"/>
    <n v="563"/>
    <n v="46.916666666666664"/>
    <n v="0"/>
    <n v="46.916666666666664"/>
    <n v="0"/>
    <n v="0"/>
  </r>
  <r>
    <s v="Лойнер Гновьир"/>
    <x v="3"/>
    <s v="ППЗ"/>
    <s v="АПЗ"/>
    <m/>
    <m/>
    <s v="С.С."/>
    <s v="С.С."/>
    <x v="44"/>
    <s v="Эвон"/>
    <m/>
    <n v="54.285714285714285"/>
    <n v="30"/>
    <n v="64"/>
    <n v="58"/>
    <n v="62"/>
    <n v="64"/>
    <n v="66"/>
    <n v="36"/>
    <n v="0"/>
    <n v="222258"/>
    <n v="12381.333333333334"/>
    <n v="0"/>
    <n v="18521.5"/>
    <n v="-33.15"/>
    <n v="0"/>
  </r>
  <r>
    <s v="Лойнер Наксен"/>
    <x v="3"/>
    <s v="ЦПЗ"/>
    <s v="ОПЗ"/>
    <m/>
    <m/>
    <s v="С.С."/>
    <s v="С.С."/>
    <x v="44"/>
    <s v="Эвон"/>
    <m/>
    <n v="43.285714285714285"/>
    <n v="30"/>
    <n v="54"/>
    <n v="44"/>
    <n v="48"/>
    <n v="50"/>
    <n v="52"/>
    <n v="25"/>
    <n v="0"/>
    <n v="23092"/>
    <n v="1080.25"/>
    <n v="0"/>
    <n v="1924.3333333333333"/>
    <n v="-43.86"/>
    <n v="0"/>
  </r>
  <r>
    <s v="Найцармир Ганон"/>
    <x v="3"/>
    <s v="ОПЗ"/>
    <s v="ЦПЗ"/>
    <m/>
    <m/>
    <s v="С.С."/>
    <s v="С.С."/>
    <x v="44"/>
    <s v="Эвон"/>
    <m/>
    <n v="37.428571428571431"/>
    <n v="11"/>
    <n v="50"/>
    <n v="40"/>
    <n v="44"/>
    <n v="46"/>
    <n v="48"/>
    <n v="23"/>
    <n v="0"/>
    <n v="5396"/>
    <n v="449.66666666666669"/>
    <n v="0"/>
    <n v="449.66666666666669"/>
    <n v="0"/>
    <n v="0"/>
  </r>
  <r>
    <s v="Нойнел Алкек"/>
    <x v="3"/>
    <s v="ЛПЗ"/>
    <s v="ОПЗ"/>
    <m/>
    <m/>
    <s v="С.С."/>
    <s v="С.С."/>
    <x v="44"/>
    <s v="Эвон"/>
    <m/>
    <n v="38.285714285714285"/>
    <n v="11"/>
    <n v="50"/>
    <n v="40"/>
    <n v="46"/>
    <n v="48"/>
    <n v="50"/>
    <n v="23"/>
    <n v="0"/>
    <n v="6767"/>
    <n v="563.91666666666663"/>
    <n v="0"/>
    <n v="563.91666666666663"/>
    <n v="0"/>
    <n v="0"/>
  </r>
  <r>
    <s v="Сай Гоенс"/>
    <x v="3"/>
    <s v="ЦПЗ"/>
    <s v="ЛПЗ"/>
    <m/>
    <m/>
    <s v="С.С."/>
    <s v="С.С."/>
    <x v="44"/>
    <s v="Эвон"/>
    <m/>
    <n v="28"/>
    <n v="6"/>
    <n v="36"/>
    <n v="30"/>
    <n v="34"/>
    <n v="36"/>
    <n v="38"/>
    <n v="16"/>
    <n v="0"/>
    <n v="297"/>
    <n v="24.75"/>
    <n v="0"/>
    <n v="24.75"/>
    <n v="0"/>
    <n v="0"/>
  </r>
  <r>
    <s v="Тайцар"/>
    <x v="3"/>
    <s v="ЦПЗ"/>
    <s v="АПЗ"/>
    <m/>
    <s v="С.С."/>
    <s v="С.С."/>
    <s v="С.С."/>
    <x v="44"/>
    <s v="Эвон"/>
    <m/>
    <n v="43"/>
    <n v="41"/>
    <n v="60"/>
    <n v="44"/>
    <n v="42"/>
    <n v="42"/>
    <n v="51"/>
    <n v="21"/>
    <n v="0"/>
    <n v="21612"/>
    <n v="503.91666666666669"/>
    <n v="0"/>
    <n v="1801"/>
    <n v="-72.02"/>
    <n v="0"/>
  </r>
  <r>
    <s v="Файцарбер Бансе"/>
    <x v="3"/>
    <s v="АПЗ"/>
    <s v="ЦПЗ"/>
    <m/>
    <m/>
    <s v="С.С."/>
    <s v="С.С."/>
    <x v="44"/>
    <s v="Эвон"/>
    <m/>
    <n v="36.571428571428569"/>
    <n v="10"/>
    <n v="48"/>
    <n v="38"/>
    <n v="44"/>
    <n v="46"/>
    <n v="48"/>
    <n v="22"/>
    <n v="0"/>
    <n v="4280"/>
    <n v="356.66666666666669"/>
    <n v="0"/>
    <n v="356.66666666666669"/>
    <n v="0"/>
    <n v="0"/>
  </r>
  <r>
    <s v="Чай Толеэль"/>
    <x v="3"/>
    <s v="ППЗ"/>
    <s v="АПЗ"/>
    <m/>
    <m/>
    <s v="С.С."/>
    <s v="С.С."/>
    <x v="44"/>
    <s v="Эвон"/>
    <m/>
    <n v="48.285714285714285"/>
    <n v="30"/>
    <n v="56"/>
    <n v="70"/>
    <n v="50"/>
    <n v="52"/>
    <n v="54"/>
    <n v="26"/>
    <n v="1"/>
    <n v="103343"/>
    <n v="1629.3333333333333"/>
    <n v="0"/>
    <n v="8611.9166666666661"/>
    <n v="-81.08"/>
    <n v="0"/>
  </r>
  <r>
    <s v="Тай Аркек"/>
    <x v="4"/>
    <s v="Т"/>
    <m/>
    <m/>
    <m/>
    <s v="С.С."/>
    <s v="С.С."/>
    <x v="44"/>
    <s v="Эвон"/>
    <m/>
    <n v="33.571428571428569"/>
    <n v="9"/>
    <n v="44"/>
    <n v="36"/>
    <n v="40"/>
    <n v="42"/>
    <n v="44"/>
    <n v="20"/>
    <n v="0"/>
    <n v="1819"/>
    <n v="151.58333333333334"/>
    <n v="0"/>
    <n v="151.58333333333334"/>
    <n v="0"/>
    <n v="0"/>
  </r>
  <r>
    <s v="Лайт"/>
    <x v="0"/>
    <s v="В"/>
    <m/>
    <m/>
    <s v="Клю"/>
    <s v="Клю"/>
    <s v="Клю"/>
    <x v="45"/>
    <s v="Эвон"/>
    <m/>
    <n v="71.142857142857139"/>
    <n v="65"/>
    <n v="70"/>
    <n v="76"/>
    <n v="66"/>
    <n v="74"/>
    <n v="80"/>
    <n v="67"/>
    <n v="0"/>
    <n v="3321338"/>
    <n v="276778.16666666669"/>
    <n v="0"/>
    <n v="276778.16666666669"/>
    <n v="0"/>
    <n v="0"/>
  </r>
  <r>
    <s v="Пишт (В)"/>
    <x v="0"/>
    <s v="В"/>
    <m/>
    <m/>
    <s v="Хан"/>
    <s v="Хан"/>
    <s v="Хан"/>
    <x v="45"/>
    <s v="Эвон"/>
    <m/>
    <n v="70.285714285714292"/>
    <n v="65"/>
    <n v="80"/>
    <n v="80"/>
    <n v="60"/>
    <n v="67"/>
    <n v="90"/>
    <n v="50"/>
    <n v="29"/>
    <n v="4413285"/>
    <n v="367773.75"/>
    <n v="0"/>
    <n v="367773.75"/>
    <n v="0"/>
    <n v="0"/>
  </r>
  <r>
    <s v="Тайнер Вуртас"/>
    <x v="0"/>
    <s v="В"/>
    <m/>
    <m/>
    <m/>
    <s v="Клю"/>
    <s v="Клю"/>
    <x v="45"/>
    <s v="Эвон"/>
    <m/>
    <n v="63.428571428571431"/>
    <n v="26"/>
    <n v="72"/>
    <n v="70"/>
    <n v="75"/>
    <n v="78"/>
    <n v="79"/>
    <n v="44"/>
    <n v="0"/>
    <n v="1054022"/>
    <n v="87835.166666666672"/>
    <n v="0"/>
    <n v="87835.166666666672"/>
    <n v="0"/>
    <n v="0"/>
  </r>
  <r>
    <s v="Бергер Ханс"/>
    <x v="1"/>
    <s v="ЦЗ"/>
    <s v="ОПЗ"/>
    <m/>
    <m/>
    <s v="Клю"/>
    <s v="Клю"/>
    <x v="45"/>
    <s v="Эвон"/>
    <m/>
    <n v="57.857142857142854"/>
    <n v="21"/>
    <n v="64"/>
    <n v="59"/>
    <n v="72"/>
    <n v="76"/>
    <n v="80"/>
    <n v="33"/>
    <n v="0"/>
    <n v="420311"/>
    <n v="35025.916666666664"/>
    <n v="0"/>
    <n v="35025.916666666664"/>
    <n v="0"/>
    <n v="0"/>
  </r>
  <r>
    <s v="Газонов"/>
    <x v="1"/>
    <s v="ЦЗ"/>
    <s v="ПЗ"/>
    <s v="ОПЗ"/>
    <s v="Клю"/>
    <s v="Кут"/>
    <s v="Кут"/>
    <x v="45"/>
    <s v="Эвон"/>
    <m/>
    <n v="80.142857142857139"/>
    <n v="64"/>
    <n v="74"/>
    <n v="74"/>
    <n v="89"/>
    <n v="90"/>
    <n v="90"/>
    <n v="80"/>
    <n v="26"/>
    <n v="16396059"/>
    <n v="1366338.25"/>
    <n v="0"/>
    <n v="1366338.25"/>
    <n v="0"/>
    <n v="0"/>
  </r>
  <r>
    <s v="Донэрс Фриццо"/>
    <x v="1"/>
    <s v="ЦЗ"/>
    <s v="ПЗ"/>
    <m/>
    <m/>
    <s v="Клю"/>
    <s v="Клю"/>
    <x v="45"/>
    <s v="Эвон"/>
    <m/>
    <n v="62.285714285714285"/>
    <n v="25"/>
    <n v="71"/>
    <n v="63"/>
    <n v="76"/>
    <n v="80"/>
    <n v="82"/>
    <n v="39"/>
    <n v="0"/>
    <n v="878789"/>
    <n v="73232.416666666672"/>
    <n v="0"/>
    <n v="73232.416666666672"/>
    <n v="0"/>
    <n v="0"/>
  </r>
  <r>
    <s v="Кранц Отто"/>
    <x v="1"/>
    <s v="ЦЗ"/>
    <s v="ПЗ"/>
    <m/>
    <m/>
    <s v="Клю"/>
    <s v="Клю"/>
    <x v="45"/>
    <s v="Эвон"/>
    <m/>
    <n v="54"/>
    <n v="20"/>
    <n v="58"/>
    <n v="54"/>
    <n v="66"/>
    <n v="71"/>
    <n v="78"/>
    <n v="31"/>
    <n v="0"/>
    <n v="210833"/>
    <n v="17569.416666666668"/>
    <n v="0"/>
    <n v="17569.416666666668"/>
    <n v="0"/>
    <n v="0"/>
  </r>
  <r>
    <s v="Ласарент"/>
    <x v="1"/>
    <s v="ЛЗ"/>
    <s v="ЦЗ"/>
    <m/>
    <s v="Клю"/>
    <s v="Клю"/>
    <s v="Клю"/>
    <x v="45"/>
    <s v="Эвон"/>
    <m/>
    <n v="77.714285714285708"/>
    <n v="68"/>
    <n v="84"/>
    <n v="77"/>
    <n v="80"/>
    <n v="81"/>
    <n v="83"/>
    <n v="71"/>
    <n v="0"/>
    <n v="8035421"/>
    <n v="669618.41666666663"/>
    <n v="0"/>
    <n v="669618.41666666663"/>
    <n v="0"/>
    <n v="0"/>
  </r>
  <r>
    <s v="Ормунд Эбби"/>
    <x v="1"/>
    <s v="ЛЗ"/>
    <s v="ОПЗ"/>
    <m/>
    <s v="Клю"/>
    <s v="Клю"/>
    <s v="Клю"/>
    <x v="45"/>
    <s v="Эвон"/>
    <m/>
    <n v="77.142857142857139"/>
    <n v="65"/>
    <n v="88"/>
    <n v="75"/>
    <n v="81"/>
    <n v="82"/>
    <n v="77"/>
    <n v="72"/>
    <n v="0"/>
    <n v="7463752"/>
    <n v="621979.33333333337"/>
    <n v="0"/>
    <n v="621979.33333333337"/>
    <n v="0"/>
    <n v="0"/>
  </r>
  <r>
    <s v="Хольм Эрих"/>
    <x v="1"/>
    <s v="ЦЗ"/>
    <s v="ЛЗ"/>
    <m/>
    <m/>
    <s v="Клю"/>
    <s v="Клю"/>
    <x v="45"/>
    <s v="Эвон"/>
    <m/>
    <n v="66.428571428571431"/>
    <n v="29"/>
    <n v="75"/>
    <n v="68"/>
    <n v="80"/>
    <n v="83"/>
    <n v="84"/>
    <n v="46"/>
    <n v="0"/>
    <n v="1673205"/>
    <n v="139433.75"/>
    <n v="0"/>
    <n v="139433.75"/>
    <n v="0"/>
    <n v="0"/>
  </r>
  <r>
    <s v="Вольфус Тюнтер"/>
    <x v="2"/>
    <s v="ЦН"/>
    <m/>
    <m/>
    <m/>
    <s v="Клю"/>
    <s v="Клю"/>
    <x v="45"/>
    <s v="Эвон"/>
    <m/>
    <n v="66.142857142857139"/>
    <n v="27"/>
    <n v="79"/>
    <n v="74"/>
    <n v="82"/>
    <n v="78"/>
    <n v="80"/>
    <n v="43"/>
    <n v="0"/>
    <n v="1602617"/>
    <n v="133551.41666666666"/>
    <n v="0"/>
    <n v="133551.41666666666"/>
    <n v="0"/>
    <n v="0"/>
  </r>
  <r>
    <s v="Душер (Н)"/>
    <x v="2"/>
    <s v="ЦН"/>
    <m/>
    <m/>
    <s v="Бел"/>
    <s v="Бел"/>
    <s v="Бел"/>
    <x v="45"/>
    <s v="Эвон"/>
    <m/>
    <n v="79.571428571428569"/>
    <n v="75"/>
    <n v="75"/>
    <n v="98"/>
    <n v="70"/>
    <n v="81"/>
    <n v="98"/>
    <n v="60"/>
    <n v="6"/>
    <n v="15263806"/>
    <n v="1271983.8333333333"/>
    <n v="0"/>
    <n v="1271983.8333333333"/>
    <n v="0"/>
    <n v="0"/>
  </r>
  <r>
    <s v="П.Джеф (Н)"/>
    <x v="2"/>
    <s v="ЦН"/>
    <s v="ОФ"/>
    <s v="АПЗ"/>
    <s v="Клю"/>
    <s v="Клю"/>
    <s v="Клю"/>
    <x v="45"/>
    <s v="Эвон"/>
    <m/>
    <n v="86.142857142857139"/>
    <n v="86"/>
    <n v="85"/>
    <n v="93"/>
    <n v="84"/>
    <n v="85"/>
    <n v="87"/>
    <n v="83"/>
    <n v="7"/>
    <n v="33750793"/>
    <n v="2812566.0833333335"/>
    <n v="0"/>
    <n v="2812566.0833333335"/>
    <n v="0"/>
    <n v="0"/>
  </r>
  <r>
    <s v="Штерн Вальтер"/>
    <x v="2"/>
    <s v="ЦН"/>
    <s v="АПЗ"/>
    <m/>
    <m/>
    <s v="Клю"/>
    <s v="Клю"/>
    <x v="45"/>
    <s v="Эвон"/>
    <m/>
    <n v="67.428571428571431"/>
    <n v="28"/>
    <n v="77"/>
    <n v="76"/>
    <n v="78"/>
    <n v="82"/>
    <n v="86"/>
    <n v="45"/>
    <n v="0"/>
    <n v="1942852"/>
    <n v="161904.33333333334"/>
    <n v="0"/>
    <n v="161904.33333333334"/>
    <n v="0"/>
    <n v="0"/>
  </r>
  <r>
    <s v="Вальтерс"/>
    <x v="3"/>
    <s v="ЦПЗ"/>
    <s v="ЛПЗ"/>
    <m/>
    <s v="Клю"/>
    <s v="Клю"/>
    <s v="Клю"/>
    <x v="45"/>
    <s v="Эвон"/>
    <m/>
    <n v="62.571428571428569"/>
    <n v="45"/>
    <n v="68"/>
    <n v="70"/>
    <n v="64"/>
    <n v="70"/>
    <n v="71"/>
    <n v="50"/>
    <n v="0"/>
    <n v="919943"/>
    <n v="76661.916666666672"/>
    <n v="0"/>
    <n v="76661.916666666672"/>
    <n v="0"/>
    <n v="0"/>
  </r>
  <r>
    <s v="Васнецов (П)"/>
    <x v="3"/>
    <s v="АПЗ"/>
    <s v="ЛПЗ"/>
    <s v="ЦПЗ"/>
    <s v="Клю"/>
    <s v="Клю"/>
    <s v="Клю"/>
    <x v="45"/>
    <s v="Эвон"/>
    <m/>
    <n v="85.142857142857139"/>
    <n v="81"/>
    <n v="81"/>
    <n v="91"/>
    <n v="89"/>
    <n v="83"/>
    <n v="85"/>
    <n v="86"/>
    <n v="21"/>
    <n v="30031254"/>
    <n v="2502604.5"/>
    <n v="0"/>
    <n v="2502604.5"/>
    <n v="0"/>
    <n v="0"/>
  </r>
  <r>
    <s v="Граанер Пауль"/>
    <x v="3"/>
    <s v="АПЗ"/>
    <s v="ЛПЗ"/>
    <m/>
    <m/>
    <s v="Клю"/>
    <s v="Клю"/>
    <x v="45"/>
    <s v="Эвон"/>
    <m/>
    <n v="66.142857142857139"/>
    <n v="27"/>
    <n v="79"/>
    <n v="74"/>
    <n v="82"/>
    <n v="78"/>
    <n v="80"/>
    <n v="43"/>
    <n v="0"/>
    <n v="1602617"/>
    <n v="133551.41666666666"/>
    <n v="0"/>
    <n v="133551.41666666666"/>
    <n v="0"/>
    <n v="0"/>
  </r>
  <r>
    <s v="Одевингер (П)"/>
    <x v="3"/>
    <s v="АПЗ"/>
    <s v="ЦН"/>
    <s v="ЦПЗ"/>
    <s v="Клю"/>
    <s v="Клю"/>
    <s v="Клю"/>
    <x v="45"/>
    <s v="Эвон"/>
    <m/>
    <n v="88.714285714285708"/>
    <n v="85"/>
    <n v="82"/>
    <n v="95"/>
    <n v="90"/>
    <n v="88"/>
    <n v="92"/>
    <n v="89"/>
    <n v="1"/>
    <n v="45292560"/>
    <n v="3774380"/>
    <n v="0"/>
    <n v="3774380"/>
    <n v="0"/>
    <n v="0"/>
  </r>
  <r>
    <s v="Хенкель Ральф"/>
    <x v="3"/>
    <s v="ППЗ"/>
    <s v="АПЗ"/>
    <m/>
    <m/>
    <s v="Клю"/>
    <s v="Клю"/>
    <x v="45"/>
    <s v="Эвон"/>
    <m/>
    <n v="60"/>
    <n v="20"/>
    <n v="86"/>
    <n v="65"/>
    <n v="74"/>
    <n v="72"/>
    <n v="73"/>
    <n v="30"/>
    <n v="0"/>
    <n v="604662"/>
    <n v="50388.5"/>
    <n v="0"/>
    <n v="50388.5"/>
    <n v="0"/>
    <n v="0"/>
  </r>
  <r>
    <s v="Хоннут"/>
    <x v="3"/>
    <s v="ОПЗ"/>
    <s v="ЦЗ"/>
    <m/>
    <s v="Клю"/>
    <s v="Клю"/>
    <s v="Клю"/>
    <x v="45"/>
    <s v="Эвон"/>
    <m/>
    <n v="64.285714285714292"/>
    <n v="44"/>
    <n v="70"/>
    <n v="71"/>
    <n v="68"/>
    <n v="71"/>
    <n v="73"/>
    <n v="53"/>
    <n v="0"/>
    <n v="1205438"/>
    <n v="100453.16666666667"/>
    <n v="0"/>
    <n v="100453.16666666667"/>
    <n v="0"/>
    <n v="0"/>
  </r>
  <r>
    <s v="Шепси (П)"/>
    <x v="3"/>
    <s v="ППЗ"/>
    <s v="АПЗ"/>
    <s v="ЦПЗ"/>
    <s v="Клю"/>
    <s v="Клю"/>
    <s v="Клю"/>
    <x v="45"/>
    <s v="Эвон"/>
    <m/>
    <n v="87.142857142857139"/>
    <n v="87"/>
    <n v="95"/>
    <n v="84"/>
    <n v="84"/>
    <n v="84"/>
    <n v="88"/>
    <n v="88"/>
    <n v="3"/>
    <n v="37879934"/>
    <n v="3156661.1666666665"/>
    <n v="0"/>
    <n v="3156661.1666666665"/>
    <n v="0"/>
    <n v="0"/>
  </r>
  <r>
    <s v="Целлер Мартин"/>
    <x v="4"/>
    <s v="Т"/>
    <m/>
    <m/>
    <m/>
    <s v="Клю"/>
    <s v="Клю"/>
    <x v="45"/>
    <s v="Эвон"/>
    <m/>
    <n v="60.857142857142854"/>
    <n v="24"/>
    <n v="71"/>
    <n v="67"/>
    <n v="76"/>
    <n v="74"/>
    <n v="77"/>
    <n v="37"/>
    <n v="0"/>
    <n v="696812"/>
    <n v="58067.666666666664"/>
    <n v="0"/>
    <n v="58067.666666666664"/>
    <n v="0"/>
    <n v="0"/>
  </r>
  <r>
    <s v="Бьорндаль Хальвдан"/>
    <x v="0"/>
    <s v="В"/>
    <m/>
    <m/>
    <m/>
    <s v="Кирп"/>
    <s v="Кирп"/>
    <x v="46"/>
    <s v="Эвон"/>
    <m/>
    <n v="65.285714285714292"/>
    <n v="24"/>
    <n v="73"/>
    <n v="69"/>
    <n v="79"/>
    <n v="81"/>
    <n v="83"/>
    <n v="48"/>
    <n v="0"/>
    <n v="1406636"/>
    <n v="117219.66666666667"/>
    <n v="0"/>
    <n v="117219.66666666667"/>
    <n v="0"/>
    <n v="0"/>
  </r>
  <r>
    <s v="Довн (В)"/>
    <x v="0"/>
    <s v="В"/>
    <m/>
    <m/>
    <s v="Кирп"/>
    <s v="Кирп"/>
    <s v="Кирп"/>
    <x v="46"/>
    <s v="Эвон"/>
    <m/>
    <n v="76.857142857142861"/>
    <n v="60"/>
    <n v="74"/>
    <n v="75"/>
    <n v="79"/>
    <n v="83"/>
    <n v="87"/>
    <n v="80"/>
    <n v="31"/>
    <n v="10787819"/>
    <n v="898984.91666666663"/>
    <n v="0"/>
    <n v="898984.91666666663"/>
    <n v="0"/>
    <n v="0"/>
  </r>
  <r>
    <s v="Вольф Г (З)"/>
    <x v="1"/>
    <s v="ЦЗ"/>
    <s v="ПЗ"/>
    <s v="ОПЗ"/>
    <s v="Кирп"/>
    <s v="Кирп"/>
    <s v="Кирп"/>
    <x v="46"/>
    <s v="Эвон"/>
    <m/>
    <n v="89.571428571428569"/>
    <n v="85"/>
    <n v="86"/>
    <n v="91"/>
    <n v="90"/>
    <n v="93"/>
    <n v="92"/>
    <n v="90"/>
    <n v="28"/>
    <n v="49863903"/>
    <n v="4155325.25"/>
    <n v="0"/>
    <n v="4155325.25"/>
    <n v="0"/>
    <n v="0"/>
  </r>
  <r>
    <s v="Вольф Т (З)"/>
    <x v="1"/>
    <s v="ЦЗ"/>
    <s v="ПЗ"/>
    <m/>
    <s v="Кирп"/>
    <s v="Кирп"/>
    <s v="Кирп"/>
    <x v="46"/>
    <s v="Эвон"/>
    <m/>
    <n v="89.714285714285708"/>
    <n v="85"/>
    <n v="87"/>
    <n v="90"/>
    <n v="90"/>
    <n v="94"/>
    <n v="92"/>
    <n v="90"/>
    <n v="28"/>
    <n v="50664913"/>
    <n v="4222076.083333333"/>
    <n v="0"/>
    <n v="4222076.083333333"/>
    <n v="0"/>
    <n v="0"/>
  </r>
  <r>
    <s v="Гонга (З)"/>
    <x v="1"/>
    <s v="ЦЗ"/>
    <s v="ЛЗ"/>
    <m/>
    <s v="Кирп"/>
    <s v="Кирп"/>
    <s v="Кирп"/>
    <x v="46"/>
    <s v="Эвон"/>
    <m/>
    <n v="86.857142857142861"/>
    <n v="80"/>
    <n v="81"/>
    <n v="87"/>
    <n v="89"/>
    <n v="87"/>
    <n v="98"/>
    <n v="86"/>
    <n v="26"/>
    <n v="36656134"/>
    <n v="3054677.8333333335"/>
    <n v="0"/>
    <n v="3054677.8333333335"/>
    <n v="0"/>
    <n v="0"/>
  </r>
  <r>
    <s v="Гримсвольд Оле"/>
    <x v="1"/>
    <s v="ЦЗ"/>
    <s v="ОПЗ"/>
    <m/>
    <m/>
    <s v="Кирп"/>
    <s v="Кирп"/>
    <x v="46"/>
    <s v="Эвон"/>
    <m/>
    <n v="65.857142857142861"/>
    <n v="21"/>
    <n v="85"/>
    <n v="73"/>
    <n v="81"/>
    <n v="83"/>
    <n v="85"/>
    <n v="33"/>
    <n v="0"/>
    <n v="1534719"/>
    <n v="127893.25"/>
    <n v="0"/>
    <n v="127893.25"/>
    <n v="0"/>
    <n v="0"/>
  </r>
  <r>
    <s v="Краглунд Эйрик"/>
    <x v="1"/>
    <s v="ПЗ"/>
    <s v="ЦЗ"/>
    <m/>
    <m/>
    <s v="Кирп"/>
    <s v="Кирп"/>
    <x v="46"/>
    <s v="Эвон"/>
    <m/>
    <n v="60"/>
    <n v="21"/>
    <n v="81"/>
    <n v="66"/>
    <n v="70"/>
    <n v="72"/>
    <n v="75"/>
    <n v="35"/>
    <n v="0"/>
    <n v="604662"/>
    <n v="50388.5"/>
    <n v="0"/>
    <n v="50388.5"/>
    <n v="0"/>
    <n v="0"/>
  </r>
  <r>
    <s v="Халльбак Торви"/>
    <x v="1"/>
    <s v="ЛЗ"/>
    <s v="ЦЗ"/>
    <m/>
    <m/>
    <s v="Кирп"/>
    <s v="Кирп"/>
    <x v="46"/>
    <s v="Эвон"/>
    <m/>
    <n v="64.285714285714292"/>
    <n v="23"/>
    <n v="87"/>
    <n v="71"/>
    <n v="75"/>
    <n v="77"/>
    <n v="79"/>
    <n v="38"/>
    <n v="0"/>
    <n v="1205438"/>
    <n v="100453.16666666667"/>
    <n v="0"/>
    <n v="100453.16666666667"/>
    <n v="0"/>
    <n v="0"/>
  </r>
  <r>
    <s v="Стурман Каспар"/>
    <x v="2"/>
    <s v="ОФ"/>
    <s v="ППЗ"/>
    <m/>
    <m/>
    <s v="Кирп"/>
    <s v="Кирп"/>
    <x v="46"/>
    <s v="Эвон"/>
    <m/>
    <n v="59"/>
    <n v="20"/>
    <n v="77"/>
    <n v="64"/>
    <n v="72"/>
    <n v="74"/>
    <n v="76"/>
    <n v="30"/>
    <n v="0"/>
    <n v="511117"/>
    <n v="42593.083333333336"/>
    <n v="0"/>
    <n v="42593.083333333336"/>
    <n v="0"/>
    <n v="0"/>
  </r>
  <r>
    <s v="Хавнбак Фритьоф"/>
    <x v="2"/>
    <s v="ЦН"/>
    <s v="ОФ"/>
    <m/>
    <m/>
    <s v="Кирп"/>
    <s v="Кирп"/>
    <x v="46"/>
    <s v="Эвон"/>
    <m/>
    <n v="75"/>
    <n v="28"/>
    <n v="93"/>
    <n v="87"/>
    <n v="87"/>
    <n v="89"/>
    <n v="91"/>
    <n v="50"/>
    <n v="0"/>
    <n v="5631352"/>
    <n v="469279.33333333331"/>
    <n v="0"/>
    <n v="469279.33333333331"/>
    <n v="0"/>
    <n v="0"/>
  </r>
  <r>
    <s v="Элвенстад Снорри"/>
    <x v="2"/>
    <s v="ОФ"/>
    <s v="ЦН"/>
    <m/>
    <m/>
    <s v="Кирп"/>
    <s v="Кирп"/>
    <x v="46"/>
    <s v="Эвон"/>
    <m/>
    <n v="67.714285714285708"/>
    <n v="24"/>
    <n v="88"/>
    <n v="76"/>
    <n v="80"/>
    <n v="82"/>
    <n v="84"/>
    <n v="40"/>
    <n v="0"/>
    <n v="2026764"/>
    <n v="168897"/>
    <n v="0"/>
    <n v="168897"/>
    <n v="0"/>
    <n v="0"/>
  </r>
  <r>
    <s v="Асгард Нильс"/>
    <x v="3"/>
    <s v="АПЗ"/>
    <s v="ЦПЗ"/>
    <m/>
    <m/>
    <s v="Кирп"/>
    <s v="Кирп"/>
    <x v="46"/>
    <s v="Эвон"/>
    <m/>
    <n v="65"/>
    <n v="23"/>
    <n v="85"/>
    <n v="72"/>
    <n v="80"/>
    <n v="78"/>
    <n v="80"/>
    <n v="37"/>
    <n v="0"/>
    <n v="1346275"/>
    <n v="112189.58333333333"/>
    <n v="0"/>
    <n v="112189.58333333333"/>
    <n v="0"/>
    <n v="0"/>
  </r>
  <r>
    <s v="Брунстрём Аксель"/>
    <x v="3"/>
    <s v="ЛПЗ"/>
    <s v="ОПЗ"/>
    <m/>
    <m/>
    <s v="Кирп"/>
    <s v="Кирп"/>
    <x v="46"/>
    <s v="Эвон"/>
    <m/>
    <n v="62.571428571428569"/>
    <n v="21"/>
    <n v="81"/>
    <n v="68"/>
    <n v="76"/>
    <n v="78"/>
    <n v="80"/>
    <n v="34"/>
    <n v="0"/>
    <n v="919943"/>
    <n v="76661.916666666672"/>
    <n v="0"/>
    <n v="76661.916666666672"/>
    <n v="0"/>
    <n v="0"/>
  </r>
  <r>
    <s v="Виндхольм Кай"/>
    <x v="3"/>
    <s v="АПЗ"/>
    <s v="ППЗ"/>
    <m/>
    <m/>
    <s v="Кирп"/>
    <s v="Кирп"/>
    <x v="46"/>
    <s v="Эвон"/>
    <m/>
    <n v="64.142857142857139"/>
    <n v="22"/>
    <n v="82"/>
    <n v="70"/>
    <n v="78"/>
    <n v="80"/>
    <n v="82"/>
    <n v="35"/>
    <n v="0"/>
    <n v="1178917"/>
    <n v="98243.083333333328"/>
    <n v="0"/>
    <n v="98243.083333333328"/>
    <n v="0"/>
    <n v="0"/>
  </r>
  <r>
    <s v="Вольямс (П)"/>
    <x v="3"/>
    <s v="ЦПЗ"/>
    <s v="ЛПЗ"/>
    <s v="ОПЗ"/>
    <s v="Кирп"/>
    <s v="Кирп"/>
    <s v="Кирп"/>
    <x v="46"/>
    <s v="Эвон"/>
    <m/>
    <n v="83.142857142857139"/>
    <n v="75"/>
    <n v="83"/>
    <n v="85"/>
    <n v="86"/>
    <n v="84"/>
    <n v="86"/>
    <n v="83"/>
    <n v="22"/>
    <n v="23677765"/>
    <n v="1973147.0833333333"/>
    <n v="0"/>
    <n v="1973147.0833333333"/>
    <n v="0"/>
    <n v="0"/>
  </r>
  <r>
    <s v="Дальгорд Рагнар"/>
    <x v="3"/>
    <s v="ППЗ"/>
    <s v="ЛПЗ"/>
    <m/>
    <m/>
    <s v="Кирп"/>
    <s v="Кирп"/>
    <x v="46"/>
    <s v="Эвон"/>
    <m/>
    <n v="64.428571428571431"/>
    <n v="21"/>
    <n v="84"/>
    <n v="71"/>
    <n v="79"/>
    <n v="81"/>
    <n v="83"/>
    <n v="32"/>
    <n v="0"/>
    <n v="1232495"/>
    <n v="102707.91666666667"/>
    <n v="0"/>
    <n v="102707.91666666667"/>
    <n v="0"/>
    <n v="0"/>
  </r>
  <r>
    <s v="Скаллбю Свен"/>
    <x v="3"/>
    <s v="ОПЗ"/>
    <s v="ЦПЗ"/>
    <m/>
    <m/>
    <s v="Кирп"/>
    <s v="Кирп"/>
    <x v="46"/>
    <s v="Эвон"/>
    <m/>
    <n v="62.857142857142854"/>
    <n v="22"/>
    <n v="84"/>
    <n v="70"/>
    <n v="78"/>
    <n v="74"/>
    <n v="76"/>
    <n v="36"/>
    <n v="0"/>
    <n v="962823"/>
    <n v="80235.25"/>
    <n v="0"/>
    <n v="80235.25"/>
    <n v="0"/>
    <n v="0"/>
  </r>
  <r>
    <s v="Торнквист Ларс"/>
    <x v="3"/>
    <s v="ЦПЗ"/>
    <s v="ОПЗ"/>
    <m/>
    <m/>
    <s v="Кирп"/>
    <s v="Кирп"/>
    <x v="46"/>
    <s v="Эвон"/>
    <m/>
    <n v="62"/>
    <n v="21"/>
    <n v="83"/>
    <n v="68"/>
    <n v="74"/>
    <n v="76"/>
    <n v="78"/>
    <n v="34"/>
    <n v="0"/>
    <n v="839300"/>
    <n v="69941.666666666672"/>
    <n v="0"/>
    <n v="69941.666666666672"/>
    <n v="0"/>
    <n v="0"/>
  </r>
  <r>
    <s v="Фьельдмарк Ханс"/>
    <x v="3"/>
    <s v="ППЗ"/>
    <s v="АПЗ"/>
    <m/>
    <m/>
    <s v="Кирп"/>
    <s v="Кирп"/>
    <x v="46"/>
    <s v="Эвон"/>
    <m/>
    <n v="69.714285714285708"/>
    <n v="26"/>
    <n v="90"/>
    <n v="78"/>
    <n v="82"/>
    <n v="84"/>
    <n v="86"/>
    <n v="42"/>
    <n v="0"/>
    <n v="2711552"/>
    <n v="225962.66666666666"/>
    <n v="0"/>
    <n v="225962.66666666666"/>
    <n v="0"/>
    <n v="0"/>
  </r>
  <r>
    <s v="Стрёмвик Олаф"/>
    <x v="4"/>
    <s v="Т"/>
    <m/>
    <m/>
    <m/>
    <s v="Кирп"/>
    <s v="Кирп"/>
    <x v="46"/>
    <s v="Эвон"/>
    <m/>
    <n v="62.428571428571431"/>
    <n v="22"/>
    <n v="70"/>
    <n v="66"/>
    <n v="76"/>
    <n v="78"/>
    <n v="80"/>
    <n v="45"/>
    <n v="0"/>
    <n v="899154"/>
    <n v="74929.5"/>
    <n v="0"/>
    <n v="74929.5"/>
    <n v="0"/>
    <n v="0"/>
  </r>
  <r>
    <s v="Кристенс (Н)"/>
    <x v="2"/>
    <s v="ЦН"/>
    <s v="АПЗ"/>
    <s v="ОФ"/>
    <s v="Кирп"/>
    <s v="Кирп"/>
    <s v="Кирп"/>
    <x v="47"/>
    <s v="Бельск"/>
    <m/>
    <n v="91.285714285714292"/>
    <n v="93"/>
    <n v="90"/>
    <n v="97"/>
    <n v="90"/>
    <n v="88"/>
    <n v="91"/>
    <n v="90"/>
    <n v="7"/>
    <n v="60272533"/>
    <n v="5022711.083333333"/>
    <n v="0"/>
    <n v="5022711.083333333"/>
    <n v="0"/>
    <n v="0"/>
  </r>
  <r>
    <s v="Касайрес"/>
    <x v="2"/>
    <s v="ЦН"/>
    <s v="ОФ"/>
    <m/>
    <s v="Нумб"/>
    <s v="В.И."/>
    <s v="В.И."/>
    <x v="48"/>
    <s v="Лион"/>
    <m/>
    <n v="88"/>
    <n v="87"/>
    <n v="95"/>
    <n v="98"/>
    <n v="85"/>
    <n v="83"/>
    <n v="83"/>
    <n v="85"/>
    <n v="15"/>
    <n v="41775147"/>
    <n v="3481262.25"/>
    <n v="0"/>
    <n v="3481262.25"/>
    <n v="0"/>
    <n v="0"/>
  </r>
  <r>
    <s v="Борщец"/>
    <x v="0"/>
    <s v="В"/>
    <m/>
    <m/>
    <s v="Смор"/>
    <s v="Смор"/>
    <s v="Смор"/>
    <x v="49"/>
    <s v="Эвон"/>
    <m/>
    <n v="66.571428571428569"/>
    <n v="32"/>
    <n v="70"/>
    <n v="80"/>
    <n v="77"/>
    <n v="71"/>
    <n v="70"/>
    <n v="66"/>
    <n v="0"/>
    <n v="1709539"/>
    <n v="117219.66666666667"/>
    <n v="0"/>
    <n v="142461.58333333334"/>
    <n v="-17.72"/>
    <n v="0"/>
  </r>
  <r>
    <s v="Гордец Ким"/>
    <x v="0"/>
    <s v="В"/>
    <m/>
    <m/>
    <s v="Смор"/>
    <s v="Смор"/>
    <s v="Смор"/>
    <x v="49"/>
    <s v="Эвон"/>
    <m/>
    <n v="61.857142857142854"/>
    <n v="22"/>
    <n v="68"/>
    <n v="72"/>
    <n v="73"/>
    <n v="80"/>
    <n v="78"/>
    <n v="40"/>
    <n v="0"/>
    <n v="820160"/>
    <n v="68346.666666666672"/>
    <n v="0"/>
    <n v="68346.666666666672"/>
    <n v="0"/>
    <n v="0"/>
  </r>
  <r>
    <s v="Бельский Ярослав"/>
    <x v="1"/>
    <s v="ЦЗ"/>
    <m/>
    <m/>
    <s v="Смор"/>
    <s v="Смор"/>
    <s v="Смор"/>
    <x v="49"/>
    <s v="Эвон"/>
    <m/>
    <n v="50.857142857142854"/>
    <n v="15"/>
    <n v="46"/>
    <n v="74"/>
    <n v="60"/>
    <n v="65"/>
    <n v="69"/>
    <n v="27"/>
    <n v="0"/>
    <n v="115750"/>
    <n v="9645.8333333333339"/>
    <n v="0"/>
    <n v="9645.8333333333339"/>
    <n v="0"/>
    <n v="0"/>
  </r>
  <r>
    <s v="Бублейнов"/>
    <x v="1"/>
    <s v="ЦЗ"/>
    <s v="ЛЗ"/>
    <m/>
    <s v="Смор"/>
    <s v="Смор"/>
    <s v="Смор"/>
    <x v="49"/>
    <s v="Эвон"/>
    <m/>
    <n v="65.142857142857139"/>
    <n v="23"/>
    <n v="55"/>
    <n v="88"/>
    <n v="61"/>
    <n v="80"/>
    <n v="94"/>
    <n v="55"/>
    <n v="0"/>
    <n v="1376158"/>
    <n v="114679.83333333333"/>
    <n v="0"/>
    <n v="114679.83333333333"/>
    <n v="0"/>
    <n v="0"/>
  </r>
  <r>
    <s v="Врубель Иржи"/>
    <x v="1"/>
    <s v="ЦЗ"/>
    <s v="ЛЗ"/>
    <m/>
    <s v="Смор"/>
    <s v="Смор"/>
    <s v="Смор"/>
    <x v="49"/>
    <s v="Эвон"/>
    <m/>
    <n v="67.857142857142861"/>
    <n v="25"/>
    <n v="74"/>
    <n v="80"/>
    <n v="82"/>
    <n v="85"/>
    <n v="86"/>
    <n v="43"/>
    <n v="0"/>
    <n v="2069931"/>
    <n v="172494.25"/>
    <n v="0"/>
    <n v="172494.25"/>
    <n v="0"/>
    <n v="0"/>
  </r>
  <r>
    <s v="Гувишка"/>
    <x v="1"/>
    <s v="ЦЗ"/>
    <s v="ЛЗ"/>
    <m/>
    <s v="Смор"/>
    <s v="Смор"/>
    <s v="Смор"/>
    <x v="49"/>
    <s v="Эвон"/>
    <m/>
    <n v="58"/>
    <n v="16"/>
    <n v="53"/>
    <n v="81"/>
    <n v="60"/>
    <n v="71"/>
    <n v="81"/>
    <n v="44"/>
    <n v="0"/>
    <n v="430805"/>
    <n v="35900.416666666664"/>
    <n v="0"/>
    <n v="35900.416666666664"/>
    <n v="0"/>
    <n v="0"/>
  </r>
  <r>
    <s v="Рыбный Местор"/>
    <x v="1"/>
    <s v="ЦЗ"/>
    <m/>
    <m/>
    <s v="Смор"/>
    <s v="Смор"/>
    <s v="Смор"/>
    <x v="49"/>
    <s v="Эвон"/>
    <m/>
    <n v="67.142857142857139"/>
    <n v="50"/>
    <n v="69"/>
    <n v="87"/>
    <n v="67"/>
    <n v="80"/>
    <n v="77"/>
    <n v="40"/>
    <n v="1"/>
    <n v="2793119"/>
    <n v="29421.833333333332"/>
    <n v="0"/>
    <n v="232759.91666666666"/>
    <n v="-87.36"/>
    <n v="0"/>
  </r>
  <r>
    <s v="Марти"/>
    <x v="1"/>
    <s v="ЦЗ"/>
    <m/>
    <m/>
    <s v="Смор"/>
    <s v="А.Н."/>
    <s v="А.Н."/>
    <x v="49"/>
    <s v="Эвон"/>
    <m/>
    <n v="66.857142857142861"/>
    <n v="30"/>
    <n v="68"/>
    <n v="86"/>
    <n v="65"/>
    <n v="84"/>
    <n v="84"/>
    <n v="51"/>
    <n v="26"/>
    <n v="2676514"/>
    <n v="107354.58333333333"/>
    <n v="0"/>
    <n v="223042.83333333334"/>
    <n v="-51.87"/>
    <n v="0"/>
  </r>
  <r>
    <s v="Тарский Марек"/>
    <x v="1"/>
    <s v="ЦЗ"/>
    <s v="ОПЗ"/>
    <m/>
    <s v="Смор"/>
    <s v="Смор"/>
    <s v="Смор"/>
    <x v="49"/>
    <s v="Эвон"/>
    <m/>
    <n v="60.857142857142854"/>
    <n v="17"/>
    <n v="64"/>
    <n v="78"/>
    <n v="76"/>
    <n v="79"/>
    <n v="80"/>
    <n v="32"/>
    <n v="0"/>
    <n v="696812"/>
    <n v="58067.666666666664"/>
    <n v="0"/>
    <n v="58067.666666666664"/>
    <n v="0"/>
    <n v="0"/>
  </r>
  <r>
    <s v="Фалион"/>
    <x v="1"/>
    <s v="ЦЗ"/>
    <m/>
    <m/>
    <s v="Смор"/>
    <s v="А.Н."/>
    <s v="А.Н."/>
    <x v="49"/>
    <s v="Эвон"/>
    <m/>
    <n v="60"/>
    <n v="26"/>
    <n v="51"/>
    <n v="83"/>
    <n v="61"/>
    <n v="73"/>
    <n v="80"/>
    <n v="46"/>
    <n v="0"/>
    <n v="604662"/>
    <n v="50388.5"/>
    <n v="0"/>
    <n v="50388.5"/>
    <n v="0"/>
    <n v="0"/>
  </r>
  <r>
    <s v="Смородинский"/>
    <x v="2"/>
    <s v="ЦН"/>
    <s v="ОФ"/>
    <m/>
    <s v="Смор"/>
    <s v="Смор"/>
    <s v="Смор"/>
    <x v="49"/>
    <s v="Эвон"/>
    <m/>
    <n v="73.142857142857139"/>
    <n v="55"/>
    <n v="77"/>
    <n v="88"/>
    <n v="71"/>
    <n v="73"/>
    <n v="85"/>
    <n v="63"/>
    <n v="0"/>
    <n v="4382473"/>
    <n v="365206.08333333331"/>
    <n v="0"/>
    <n v="365206.08333333331"/>
    <n v="0"/>
    <n v="0"/>
  </r>
  <r>
    <s v="Ф. Классный"/>
    <x v="2"/>
    <s v="ЦН"/>
    <s v="ОФ"/>
    <m/>
    <s v="Смор"/>
    <s v="Смор"/>
    <s v="Смор"/>
    <x v="49"/>
    <s v="Эвон"/>
    <m/>
    <n v="70.571428571428569"/>
    <n v="53"/>
    <n v="74"/>
    <n v="84"/>
    <n v="72"/>
    <n v="71"/>
    <n v="80"/>
    <n v="60"/>
    <n v="0"/>
    <n v="3064003"/>
    <n v="255333.58333333334"/>
    <n v="0"/>
    <n v="255333.58333333334"/>
    <n v="0"/>
    <n v="0"/>
  </r>
  <r>
    <s v="Ярцев Тимур"/>
    <x v="2"/>
    <s v="ЦН"/>
    <s v="ОФ"/>
    <m/>
    <s v="Смор"/>
    <s v="Смор"/>
    <s v="Смор"/>
    <x v="49"/>
    <s v="Эвон"/>
    <m/>
    <n v="68.285714285714292"/>
    <n v="26"/>
    <n v="78"/>
    <n v="86"/>
    <n v="77"/>
    <n v="82"/>
    <n v="85"/>
    <n v="44"/>
    <n v="0"/>
    <n v="2204442"/>
    <n v="183703.5"/>
    <n v="0"/>
    <n v="183703.5"/>
    <n v="0"/>
    <n v="0"/>
  </r>
  <r>
    <s v="Верник Люк"/>
    <x v="3"/>
    <s v="ППЗ"/>
    <s v="АПЗ"/>
    <m/>
    <s v="Смор"/>
    <s v="Смор"/>
    <s v="Смор"/>
    <x v="49"/>
    <s v="Эвон"/>
    <m/>
    <n v="60.285714285714285"/>
    <n v="21"/>
    <n v="76"/>
    <n v="70"/>
    <n v="71"/>
    <n v="75"/>
    <n v="74"/>
    <n v="35"/>
    <n v="0"/>
    <n v="634081"/>
    <n v="52840.083333333336"/>
    <n v="0"/>
    <n v="52840.083333333336"/>
    <n v="0"/>
    <n v="0"/>
  </r>
  <r>
    <s v="Оленничев Витор"/>
    <x v="3"/>
    <s v="ЛПЗ"/>
    <s v="ОПЗ"/>
    <m/>
    <s v="Смор"/>
    <s v="Смор"/>
    <s v="Смор"/>
    <x v="49"/>
    <s v="Эвон"/>
    <m/>
    <n v="64"/>
    <n v="45"/>
    <n v="80"/>
    <n v="66"/>
    <n v="69"/>
    <n v="67"/>
    <n v="71"/>
    <n v="50"/>
    <n v="0"/>
    <n v="1152922"/>
    <n v="25275.5"/>
    <n v="0"/>
    <n v="96076.833333333328"/>
    <n v="-73.69"/>
    <n v="0"/>
  </r>
  <r>
    <s v="Дунаев Олег"/>
    <x v="3"/>
    <s v="ОПЗ"/>
    <s v="ЦЗ"/>
    <m/>
    <s v="Смор"/>
    <s v="Смор"/>
    <s v="Смор"/>
    <x v="49"/>
    <s v="Эвон"/>
    <m/>
    <n v="64.142857142857139"/>
    <n v="23"/>
    <n v="72"/>
    <n v="78"/>
    <n v="80"/>
    <n v="77"/>
    <n v="79"/>
    <n v="40"/>
    <n v="0"/>
    <n v="1178917"/>
    <n v="98243.083333333328"/>
    <n v="0"/>
    <n v="98243.083333333328"/>
    <n v="0"/>
    <n v="0"/>
  </r>
  <r>
    <s v="Кариока"/>
    <x v="3"/>
    <s v="ППЗ"/>
    <s v="ЛПЗ"/>
    <m/>
    <s v="Смор"/>
    <s v="Смор"/>
    <s v="Смор"/>
    <x v="49"/>
    <s v="Эвон"/>
    <m/>
    <n v="75.857142857142861"/>
    <n v="70"/>
    <n v="85"/>
    <n v="72"/>
    <n v="78"/>
    <n v="78"/>
    <n v="78"/>
    <n v="70"/>
    <n v="23"/>
    <n v="9463594"/>
    <n v="35900.416666666664"/>
    <n v="0"/>
    <n v="788632.83333333337"/>
    <n v="-95.45"/>
    <n v="0"/>
  </r>
  <r>
    <s v="Общенников"/>
    <x v="3"/>
    <s v="ЦПЗ"/>
    <m/>
    <m/>
    <s v="Смор"/>
    <s v="Смор"/>
    <s v="Смор"/>
    <x v="49"/>
    <s v="Эвон"/>
    <m/>
    <n v="75.285714285714292"/>
    <n v="65"/>
    <n v="76"/>
    <n v="88"/>
    <n v="85"/>
    <n v="75"/>
    <n v="70"/>
    <n v="68"/>
    <n v="21"/>
    <n v="8774392"/>
    <n v="38643.083333333336"/>
    <n v="0"/>
    <n v="731199.33333333337"/>
    <n v="-94.72"/>
    <n v="0"/>
  </r>
  <r>
    <s v="П. Успехов"/>
    <x v="3"/>
    <s v="ОПЗ"/>
    <s v="ЦПЗ"/>
    <m/>
    <s v="Смор"/>
    <s v="Смор"/>
    <s v="Смор"/>
    <x v="49"/>
    <s v="Эвон"/>
    <m/>
    <n v="71.285714285714292"/>
    <n v="60"/>
    <n v="78"/>
    <n v="67"/>
    <n v="75"/>
    <n v="80"/>
    <n v="80"/>
    <n v="59"/>
    <n v="12"/>
    <n v="5082956"/>
    <n v="130694.75"/>
    <n v="0"/>
    <n v="423579.66666666669"/>
    <n v="-69.150000000000006"/>
    <n v="0"/>
  </r>
  <r>
    <s v="Согин Федот"/>
    <x v="3"/>
    <s v="ЦПЗ"/>
    <s v="ОПЗ"/>
    <m/>
    <s v="Смор"/>
    <s v="Смор"/>
    <s v="Смор"/>
    <x v="49"/>
    <s v="Эвон"/>
    <m/>
    <n v="53.714285714285715"/>
    <n v="16"/>
    <n v="58"/>
    <n v="68"/>
    <n v="66"/>
    <n v="68"/>
    <n v="72"/>
    <n v="28"/>
    <n v="0"/>
    <n v="199940"/>
    <n v="16661.666666666668"/>
    <n v="0"/>
    <n v="16661.666666666668"/>
    <n v="0"/>
    <n v="0"/>
  </r>
  <r>
    <s v="Старомиров"/>
    <x v="3"/>
    <s v="ОПЗ"/>
    <s v="ЦЗ"/>
    <m/>
    <s v="Смор"/>
    <s v="Смор"/>
    <s v="Смор"/>
    <x v="49"/>
    <s v="Эвон"/>
    <m/>
    <n v="64.857142857142861"/>
    <n v="48"/>
    <n v="65"/>
    <n v="67"/>
    <n v="71"/>
    <n v="77"/>
    <n v="77"/>
    <n v="49"/>
    <n v="0"/>
    <n v="1316977"/>
    <n v="109748.08333333333"/>
    <n v="0"/>
    <n v="109748.08333333333"/>
    <n v="0"/>
    <n v="0"/>
  </r>
  <r>
    <s v="Хэк"/>
    <x v="3"/>
    <s v="ОПЗ"/>
    <s v="ЦПЗ"/>
    <m/>
    <s v="Смор"/>
    <s v="Смор"/>
    <s v="Смор"/>
    <x v="49"/>
    <s v="Эвон"/>
    <m/>
    <n v="61.285714285714285"/>
    <n v="59"/>
    <n v="68"/>
    <n v="73"/>
    <n v="56"/>
    <n v="56"/>
    <n v="80"/>
    <n v="37"/>
    <n v="0"/>
    <n v="747468"/>
    <n v="62289"/>
    <n v="0"/>
    <n v="62289"/>
    <n v="0"/>
    <n v="0"/>
  </r>
  <r>
    <s v="Пивонов"/>
    <x v="4"/>
    <s v="Т"/>
    <m/>
    <m/>
    <m/>
    <s v="Смор"/>
    <s v="Смор"/>
    <x v="49"/>
    <s v="Эвон"/>
    <m/>
    <n v="70"/>
    <n v="40"/>
    <n v="79"/>
    <n v="68"/>
    <n v="83"/>
    <n v="85"/>
    <n v="76"/>
    <n v="59"/>
    <n v="0"/>
    <n v="2824753"/>
    <n v="235396.08333333334"/>
    <n v="0"/>
    <n v="235396.08333333334"/>
    <n v="0"/>
    <n v="0"/>
  </r>
  <r>
    <s v="Шёрт"/>
    <x v="0"/>
    <s v="В"/>
    <m/>
    <m/>
    <s v="Турк"/>
    <s v="Турк"/>
    <s v="Турк"/>
    <x v="50"/>
    <s v="Эвон"/>
    <m/>
    <n v="69.714285714285708"/>
    <n v="46"/>
    <n v="90"/>
    <n v="83"/>
    <n v="61"/>
    <n v="66"/>
    <n v="70"/>
    <n v="72"/>
    <n v="0"/>
    <n v="2711552"/>
    <n v="225962.66666666666"/>
    <n v="0"/>
    <n v="225962.66666666666"/>
    <n v="0"/>
    <n v="0"/>
  </r>
  <r>
    <s v="Зувьер"/>
    <x v="1"/>
    <s v="ЦЗ"/>
    <m/>
    <m/>
    <s v="Турк"/>
    <s v="Турк"/>
    <s v="Турк"/>
    <x v="50"/>
    <s v="Эвон"/>
    <m/>
    <n v="75"/>
    <n v="52"/>
    <n v="67"/>
    <n v="83"/>
    <n v="81"/>
    <n v="78"/>
    <n v="93"/>
    <n v="71"/>
    <n v="0"/>
    <n v="5631352"/>
    <n v="469279.33333333331"/>
    <n v="0"/>
    <n v="469279.33333333331"/>
    <n v="0"/>
    <n v="0"/>
  </r>
  <r>
    <s v="Кошнар (З)"/>
    <x v="1"/>
    <s v="ЦЗ"/>
    <s v="ЛЗ"/>
    <m/>
    <s v="Турк"/>
    <s v="Турк"/>
    <s v="Турк"/>
    <x v="50"/>
    <s v="Эвон"/>
    <m/>
    <n v="74.857142857142861"/>
    <n v="51"/>
    <n v="71"/>
    <n v="80"/>
    <n v="82"/>
    <n v="80"/>
    <n v="90"/>
    <n v="70"/>
    <n v="0"/>
    <n v="5525003"/>
    <n v="460416.91666666669"/>
    <n v="0"/>
    <n v="460416.91666666669"/>
    <n v="0"/>
    <n v="0"/>
  </r>
  <r>
    <s v="Лобуз"/>
    <x v="1"/>
    <s v="ЦЗ"/>
    <m/>
    <m/>
    <s v="Снег"/>
    <s v="Снег"/>
    <s v="Снег"/>
    <x v="50"/>
    <s v="Эвон"/>
    <m/>
    <n v="57.857142857142854"/>
    <n v="30"/>
    <n v="65"/>
    <n v="63"/>
    <n v="62"/>
    <n v="70"/>
    <n v="75"/>
    <n v="40"/>
    <n v="0"/>
    <n v="420311"/>
    <n v="35025.916666666664"/>
    <n v="0"/>
    <n v="35025.916666666664"/>
    <n v="0"/>
    <n v="0"/>
  </r>
  <r>
    <s v="Тальмундор"/>
    <x v="1"/>
    <s v="ЦЗ"/>
    <m/>
    <m/>
    <s v="Турк"/>
    <s v="Турк"/>
    <s v="Турк"/>
    <x v="50"/>
    <s v="Эвон"/>
    <m/>
    <n v="73.142857142857139"/>
    <n v="48"/>
    <n v="68"/>
    <n v="82"/>
    <n v="80"/>
    <n v="77"/>
    <n v="90"/>
    <n v="67"/>
    <n v="0"/>
    <n v="4382473"/>
    <n v="365206.08333333331"/>
    <n v="0"/>
    <n v="365206.08333333331"/>
    <n v="0"/>
    <n v="0"/>
  </r>
  <r>
    <s v="Хевьер"/>
    <x v="1"/>
    <s v="ЦЗ"/>
    <m/>
    <m/>
    <s v="Туркан"/>
    <s v="Туркан"/>
    <s v="Туркан"/>
    <x v="50"/>
    <s v="Эвон"/>
    <m/>
    <n v="63.571428571428569"/>
    <n v="34"/>
    <n v="60"/>
    <n v="64"/>
    <n v="70"/>
    <n v="72"/>
    <n v="84"/>
    <n v="61"/>
    <n v="0"/>
    <n v="1078003"/>
    <n v="89833.583333333328"/>
    <n v="0"/>
    <n v="89833.583333333328"/>
    <n v="0"/>
    <n v="0"/>
  </r>
  <r>
    <s v="Шажим"/>
    <x v="1"/>
    <s v="ПЗ"/>
    <m/>
    <m/>
    <s v="Биссий"/>
    <s v="Биссий"/>
    <s v="Биссий"/>
    <x v="50"/>
    <s v="Эвон"/>
    <m/>
    <n v="64.285714285714292"/>
    <n v="42"/>
    <n v="85"/>
    <n v="63"/>
    <n v="60"/>
    <n v="80"/>
    <n v="70"/>
    <n v="50"/>
    <n v="0"/>
    <n v="1205438"/>
    <n v="100453.16666666667"/>
    <n v="0"/>
    <n v="100453.16666666667"/>
    <n v="0"/>
    <n v="0"/>
  </r>
  <r>
    <s v="Бальтунов"/>
    <x v="2"/>
    <s v="ЦН"/>
    <s v="АПЗ"/>
    <m/>
    <s v="Турк"/>
    <s v="Турк"/>
    <s v="Турк"/>
    <x v="50"/>
    <s v="Эвон"/>
    <m/>
    <n v="67"/>
    <n v="41"/>
    <n v="70"/>
    <n v="76"/>
    <n v="70"/>
    <n v="74"/>
    <n v="86"/>
    <n v="52"/>
    <n v="0"/>
    <n v="1822838"/>
    <n v="151903.16666666666"/>
    <n v="0"/>
    <n v="151903.16666666666"/>
    <n v="0"/>
    <n v="0"/>
  </r>
  <r>
    <s v="Рара"/>
    <x v="2"/>
    <s v="ОФ"/>
    <s v="ЛПЗ"/>
    <m/>
    <s v="Турк"/>
    <s v="Турк"/>
    <s v="Турк"/>
    <x v="50"/>
    <s v="Эвон"/>
    <m/>
    <n v="67"/>
    <n v="35"/>
    <n v="86"/>
    <n v="70"/>
    <n v="78"/>
    <n v="75"/>
    <n v="70"/>
    <n v="55"/>
    <n v="3"/>
    <n v="2734257"/>
    <n v="227854.75"/>
    <n v="0"/>
    <n v="227854.75"/>
    <n v="0"/>
    <n v="0"/>
  </r>
  <r>
    <s v="Архих"/>
    <x v="3"/>
    <s v="ЦПЗ"/>
    <s v="АПЗ"/>
    <m/>
    <s v="Туркан"/>
    <s v="Туркан"/>
    <s v="Туркан"/>
    <x v="50"/>
    <s v="Эвон"/>
    <m/>
    <n v="52.428571428571431"/>
    <n v="34"/>
    <n v="56"/>
    <n v="60"/>
    <n v="55"/>
    <n v="51"/>
    <n v="74"/>
    <n v="37"/>
    <n v="0"/>
    <n v="156921"/>
    <n v="13076.75"/>
    <n v="0"/>
    <n v="13076.75"/>
    <n v="0"/>
    <n v="0"/>
  </r>
  <r>
    <s v="Дормуд"/>
    <x v="3"/>
    <s v="ОПЗ"/>
    <s v="ЦПЗ"/>
    <m/>
    <s v="Турк"/>
    <s v="Турк"/>
    <s v="Турк"/>
    <x v="50"/>
    <s v="Эвон"/>
    <m/>
    <n v="76.428571428571431"/>
    <n v="55"/>
    <n v="78"/>
    <n v="83"/>
    <n v="84"/>
    <n v="82"/>
    <n v="88"/>
    <n v="65"/>
    <n v="26"/>
    <n v="10201140"/>
    <n v="850095"/>
    <n v="0"/>
    <n v="850095"/>
    <n v="0"/>
    <n v="0"/>
  </r>
  <r>
    <s v="Иллюдо"/>
    <x v="3"/>
    <s v="ППЗ"/>
    <s v="ЦПЗ"/>
    <m/>
    <s v="Турк"/>
    <s v="Турк"/>
    <s v="Турк"/>
    <x v="50"/>
    <s v="Эвон"/>
    <m/>
    <n v="72"/>
    <n v="60"/>
    <n v="85"/>
    <n v="73"/>
    <n v="80"/>
    <n v="70"/>
    <n v="73"/>
    <n v="63"/>
    <n v="0"/>
    <n v="3743907"/>
    <n v="311992.25"/>
    <n v="0"/>
    <n v="311992.25"/>
    <n v="0"/>
    <n v="0"/>
  </r>
  <r>
    <s v="Йонгамунг"/>
    <x v="3"/>
    <s v="ППЗ"/>
    <m/>
    <m/>
    <s v="Р.Тесно"/>
    <s v="Р.Тесно"/>
    <s v="Р.Тесно"/>
    <x v="50"/>
    <s v="Эвон"/>
    <m/>
    <n v="49.428571428571431"/>
    <n v="29"/>
    <n v="74"/>
    <n v="53"/>
    <n v="41"/>
    <n v="70"/>
    <n v="51"/>
    <n v="28"/>
    <n v="0"/>
    <n v="87053"/>
    <n v="7254.416666666667"/>
    <n v="0"/>
    <n v="7254.416666666667"/>
    <n v="0"/>
    <n v="0"/>
  </r>
  <r>
    <s v="Миллон"/>
    <x v="3"/>
    <s v="ЦПЗ"/>
    <s v="ОПЗ"/>
    <m/>
    <s v="Турк"/>
    <s v="Турк"/>
    <s v="Турк"/>
    <x v="50"/>
    <s v="Эвон"/>
    <m/>
    <n v="56.857142857142854"/>
    <n v="36"/>
    <n v="68"/>
    <n v="70"/>
    <n v="59"/>
    <n v="58"/>
    <n v="68"/>
    <n v="39"/>
    <n v="0"/>
    <n v="353062"/>
    <n v="29421.833333333332"/>
    <n v="0"/>
    <n v="29421.833333333332"/>
    <n v="0"/>
    <n v="0"/>
  </r>
  <r>
    <s v="Мишна"/>
    <x v="3"/>
    <s v="АПЗ"/>
    <s v="ЦПЗ"/>
    <m/>
    <s v="Турк"/>
    <s v="Турк"/>
    <s v="Турк"/>
    <x v="50"/>
    <s v="Эвон"/>
    <m/>
    <n v="57.285714285714285"/>
    <n v="29"/>
    <n v="69"/>
    <n v="75"/>
    <n v="50"/>
    <n v="52"/>
    <n v="63"/>
    <n v="63"/>
    <n v="0"/>
    <n v="380596"/>
    <n v="31716.333333333332"/>
    <n v="0"/>
    <n v="31716.333333333332"/>
    <n v="0"/>
    <n v="0"/>
  </r>
  <r>
    <s v="Мультрих"/>
    <x v="3"/>
    <s v="ППЗ"/>
    <s v="АПЗ"/>
    <m/>
    <s v="Турк"/>
    <s v="Турк"/>
    <s v="Турк"/>
    <x v="50"/>
    <s v="Эвон"/>
    <m/>
    <n v="60.285714285714285"/>
    <n v="63"/>
    <n v="73"/>
    <n v="63"/>
    <n v="69"/>
    <n v="60"/>
    <n v="55"/>
    <n v="39"/>
    <n v="0"/>
    <n v="634081"/>
    <n v="52840.083333333336"/>
    <n v="0"/>
    <n v="52840.083333333336"/>
    <n v="0"/>
    <n v="0"/>
  </r>
  <r>
    <s v="Пекерсон"/>
    <x v="3"/>
    <s v="ЦПЗ"/>
    <m/>
    <m/>
    <s v="Генуа"/>
    <s v="Генуа"/>
    <s v="Генуа"/>
    <x v="50"/>
    <s v="Эвон"/>
    <m/>
    <n v="62.571428571428569"/>
    <n v="32"/>
    <n v="62"/>
    <n v="70"/>
    <n v="72"/>
    <n v="70"/>
    <n v="77"/>
    <n v="55"/>
    <n v="0"/>
    <n v="919943"/>
    <n v="76661.916666666672"/>
    <n v="0"/>
    <n v="76661.916666666672"/>
    <n v="0"/>
    <n v="0"/>
  </r>
  <r>
    <s v="Пусьер"/>
    <x v="4"/>
    <s v="Т"/>
    <m/>
    <m/>
    <m/>
    <s v="Турк"/>
    <s v="Турк"/>
    <x v="50"/>
    <s v="Эвон"/>
    <m/>
    <n v="72.285714285714292"/>
    <n v="68"/>
    <n v="69"/>
    <n v="80"/>
    <n v="85"/>
    <n v="74"/>
    <n v="74"/>
    <n v="56"/>
    <n v="0"/>
    <n v="3895156"/>
    <n v="324596.33333333331"/>
    <n v="0"/>
    <n v="324596.33333333331"/>
    <n v="0"/>
    <n v="0"/>
  </r>
  <r>
    <s v="Тольяр"/>
    <x v="3"/>
    <s v="ЛПЗ"/>
    <s v="ППЗ"/>
    <m/>
    <s v="Н.С."/>
    <s v="Н.С."/>
    <s v="Н.С."/>
    <x v="51"/>
    <s v="Дант"/>
    <m/>
    <n v="89.285714285714292"/>
    <n v="86"/>
    <n v="93"/>
    <n v="89"/>
    <n v="90"/>
    <n v="92"/>
    <n v="89"/>
    <n v="86"/>
    <n v="22"/>
    <n v="48295986"/>
    <n v="4024665.5"/>
    <n v="0"/>
    <n v="4024665.5"/>
    <n v="0"/>
    <n v="0"/>
  </r>
  <r>
    <s v="Кападокин"/>
    <x v="0"/>
    <s v="В"/>
    <m/>
    <m/>
    <s v="В.И."/>
    <s v="В.И."/>
    <s v="В.И."/>
    <x v="52"/>
    <s v="Эвон"/>
    <m/>
    <n v="96.714285714285708"/>
    <n v="97"/>
    <n v="96"/>
    <n v="90"/>
    <n v="99"/>
    <n v="99"/>
    <n v="97"/>
    <n v="99"/>
    <n v="29"/>
    <n v="107398335"/>
    <n v="8949861.25"/>
    <n v="0"/>
    <n v="8949861.25"/>
    <n v="0"/>
    <n v="0"/>
  </r>
  <r>
    <s v="Алепов Федор"/>
    <x v="1"/>
    <s v="ЦЗ"/>
    <m/>
    <m/>
    <m/>
    <s v="В.И."/>
    <s v="В.И."/>
    <x v="52"/>
    <s v="Эвон"/>
    <m/>
    <n v="73.428571428571431"/>
    <n v="35"/>
    <n v="87"/>
    <n v="73"/>
    <n v="72"/>
    <n v="84"/>
    <n v="90"/>
    <n v="73"/>
    <n v="0"/>
    <n v="4556704"/>
    <n v="379725.33333333331"/>
    <n v="0"/>
    <n v="379725.33333333331"/>
    <n v="0"/>
    <n v="0"/>
  </r>
  <r>
    <s v="Каштан"/>
    <x v="1"/>
    <s v="ЦЗ"/>
    <s v="ОПЗ"/>
    <s v="ПЗ"/>
    <s v="Мох"/>
    <s v="Мох"/>
    <s v="Мох"/>
    <x v="52"/>
    <s v="Эвон"/>
    <m/>
    <n v="87.714285714285708"/>
    <n v="82"/>
    <n v="78"/>
    <n v="88"/>
    <n v="88"/>
    <n v="90"/>
    <n v="98"/>
    <n v="90"/>
    <n v="26"/>
    <n v="40438457"/>
    <n v="3369871.4166666665"/>
    <n v="0"/>
    <n v="3369871.4166666665"/>
    <n v="0"/>
    <n v="0"/>
  </r>
  <r>
    <s v="Козмоз Лакки"/>
    <x v="1"/>
    <s v="ПЗ"/>
    <m/>
    <m/>
    <m/>
    <s v="В.И."/>
    <s v="В.И."/>
    <x v="52"/>
    <s v="Эвон"/>
    <m/>
    <n v="75.285714285714292"/>
    <n v="35"/>
    <n v="88"/>
    <n v="79"/>
    <n v="77"/>
    <n v="80"/>
    <n v="81"/>
    <n v="87"/>
    <n v="0"/>
    <n v="5849595"/>
    <n v="487466.25"/>
    <n v="0"/>
    <n v="487466.25"/>
    <n v="0"/>
    <n v="0"/>
  </r>
  <r>
    <s v="Конли"/>
    <x v="1"/>
    <s v="ЛЗ"/>
    <m/>
    <m/>
    <m/>
    <s v="В.И."/>
    <s v="В.И."/>
    <x v="52"/>
    <s v="Эвон"/>
    <m/>
    <n v="75.571428571428569"/>
    <n v="40"/>
    <n v="90"/>
    <n v="80"/>
    <n v="86"/>
    <n v="77"/>
    <n v="71"/>
    <n v="85"/>
    <n v="0"/>
    <n v="6075421"/>
    <n v="506285.08333333331"/>
    <n v="0"/>
    <n v="506285.08333333331"/>
    <n v="0"/>
    <n v="0"/>
  </r>
  <r>
    <s v="Саир"/>
    <x v="1"/>
    <s v="ЦЗ"/>
    <s v="ОПЗ"/>
    <m/>
    <s v="Сув"/>
    <s v="В.И."/>
    <s v="В.И."/>
    <x v="52"/>
    <s v="Эвон"/>
    <m/>
    <n v="79.285714285714292"/>
    <n v="60"/>
    <n v="85"/>
    <n v="85"/>
    <n v="83"/>
    <n v="84"/>
    <n v="88"/>
    <n v="70"/>
    <n v="26"/>
    <n v="14724505"/>
    <n v="1227042.0833333333"/>
    <n v="0"/>
    <n v="1227042.0833333333"/>
    <n v="0"/>
    <n v="0"/>
  </r>
  <r>
    <s v="Сандера"/>
    <x v="1"/>
    <s v="ЦЗ"/>
    <s v="ЛЗ"/>
    <m/>
    <s v="Мал"/>
    <s v="В.И."/>
    <s v="В.И."/>
    <x v="52"/>
    <s v="Эвон"/>
    <m/>
    <n v="79.285714285714292"/>
    <n v="60"/>
    <n v="77"/>
    <n v="84"/>
    <n v="82"/>
    <n v="85"/>
    <n v="87"/>
    <n v="80"/>
    <n v="26"/>
    <n v="14724505"/>
    <n v="1227042.0833333333"/>
    <n v="0"/>
    <n v="1227042.0833333333"/>
    <n v="0"/>
    <n v="0"/>
  </r>
  <r>
    <s v="Укин"/>
    <x v="1"/>
    <s v="ЦЗ"/>
    <s v="ЛЗ"/>
    <s v="ПЗ"/>
    <s v="Сув"/>
    <s v="В.И."/>
    <s v="В.И."/>
    <x v="52"/>
    <s v="Эвон"/>
    <m/>
    <n v="80"/>
    <n v="65"/>
    <n v="81"/>
    <n v="86"/>
    <n v="85"/>
    <n v="85"/>
    <n v="85"/>
    <n v="73"/>
    <n v="27"/>
    <n v="16106128"/>
    <n v="1342177.3333333333"/>
    <n v="0"/>
    <n v="1342177.3333333333"/>
    <n v="0"/>
    <n v="0"/>
  </r>
  <r>
    <s v="Джердяк"/>
    <x v="2"/>
    <s v="ЦН"/>
    <s v="АПЗ"/>
    <s v="ОФ"/>
    <s v="Зар"/>
    <s v="Зар"/>
    <s v="Зар"/>
    <x v="52"/>
    <s v="Эвон"/>
    <m/>
    <n v="85.571428571428569"/>
    <n v="76"/>
    <n v="75"/>
    <n v="95"/>
    <n v="85"/>
    <n v="92"/>
    <n v="96"/>
    <n v="80"/>
    <n v="6"/>
    <n v="31577598"/>
    <n v="2631466.5"/>
    <n v="0"/>
    <n v="2631466.5"/>
    <n v="0"/>
    <n v="0"/>
  </r>
  <r>
    <s v="Ирен"/>
    <x v="2"/>
    <s v="ЦН"/>
    <s v="АПЗ"/>
    <m/>
    <s v="Нумб"/>
    <s v="В.И."/>
    <s v="В.И."/>
    <x v="52"/>
    <s v="Эвон"/>
    <m/>
    <n v="79.571428571428569"/>
    <n v="70"/>
    <n v="84"/>
    <n v="85"/>
    <n v="82"/>
    <n v="78"/>
    <n v="86"/>
    <n v="72"/>
    <n v="12"/>
    <n v="15263806"/>
    <n v="1271983.8333333333"/>
    <n v="0"/>
    <n v="1271983.8333333333"/>
    <n v="0"/>
    <n v="0"/>
  </r>
  <r>
    <s v="Рейдар"/>
    <x v="2"/>
    <s v="ОФ"/>
    <s v="АПЗ"/>
    <s v="ЦН"/>
    <s v="В.И."/>
    <s v="Лион"/>
    <s v="Лион"/>
    <x v="52"/>
    <s v="Эвон"/>
    <m/>
    <n v="88.571428571428569"/>
    <n v="90"/>
    <n v="93"/>
    <n v="90"/>
    <n v="91"/>
    <n v="82"/>
    <n v="84"/>
    <n v="90"/>
    <n v="7"/>
    <n v="44568473"/>
    <n v="3714039.4166666665"/>
    <n v="0"/>
    <n v="3714039.4166666665"/>
    <n v="0"/>
    <n v="0"/>
  </r>
  <r>
    <s v="Алмазын"/>
    <x v="3"/>
    <s v="АПЗ"/>
    <s v="ЛПЗ"/>
    <s v="ППЗ"/>
    <s v="Нал"/>
    <s v="Нал"/>
    <s v="Нал"/>
    <x v="52"/>
    <s v="Эвон"/>
    <m/>
    <n v="89.571428571428569"/>
    <n v="89"/>
    <n v="86"/>
    <n v="94"/>
    <n v="90"/>
    <n v="87"/>
    <n v="91"/>
    <n v="90"/>
    <n v="17"/>
    <n v="49863903"/>
    <n v="4155325.25"/>
    <n v="0"/>
    <n v="4155325.25"/>
    <n v="0"/>
    <n v="0"/>
  </r>
  <r>
    <s v="Анхерт"/>
    <x v="3"/>
    <s v="ЦПЗ"/>
    <s v="ППЗ"/>
    <m/>
    <s v="С.С."/>
    <s v="С.С."/>
    <s v="С.С."/>
    <x v="52"/>
    <s v="Эвон"/>
    <m/>
    <n v="88.571428571428569"/>
    <n v="90"/>
    <n v="86"/>
    <n v="95"/>
    <n v="90"/>
    <n v="85"/>
    <n v="85"/>
    <n v="89"/>
    <n v="17"/>
    <n v="44568473"/>
    <n v="3714039.4166666665"/>
    <n v="0"/>
    <n v="3714039.4166666665"/>
    <n v="0"/>
    <n v="0"/>
  </r>
  <r>
    <s v="Гаджи"/>
    <x v="3"/>
    <s v="ОПЗ"/>
    <s v="ЦЗ"/>
    <m/>
    <s v="Мал"/>
    <s v="В.И."/>
    <s v="В.И."/>
    <x v="52"/>
    <s v="Эвон"/>
    <m/>
    <n v="89.857142857142861"/>
    <n v="92"/>
    <n v="91"/>
    <n v="89"/>
    <n v="90"/>
    <n v="98"/>
    <n v="86"/>
    <n v="83"/>
    <n v="11"/>
    <n v="51477485"/>
    <n v="4289790.416666667"/>
    <n v="0"/>
    <n v="4289790.416666667"/>
    <n v="0"/>
    <n v="0"/>
  </r>
  <r>
    <s v="Кульчинский (П)"/>
    <x v="3"/>
    <s v="АПЗ"/>
    <s v="ППЗ"/>
    <s v="ЛПЗ"/>
    <s v="Б.Л."/>
    <s v="Б.Л."/>
    <s v="Б.Л."/>
    <x v="52"/>
    <s v="Эвон"/>
    <m/>
    <n v="87.428571428571431"/>
    <n v="80"/>
    <n v="83"/>
    <n v="94"/>
    <n v="92"/>
    <n v="87"/>
    <n v="89"/>
    <n v="87"/>
    <n v="21"/>
    <n v="39140384"/>
    <n v="3261698.6666666665"/>
    <n v="0"/>
    <n v="3261698.6666666665"/>
    <n v="0"/>
    <n v="0"/>
  </r>
  <r>
    <s v="Одоньера"/>
    <x v="3"/>
    <s v="АПЗ"/>
    <s v="ЛПЗ"/>
    <s v="ППЗ"/>
    <m/>
    <s v="В.И."/>
    <s v="В.И."/>
    <x v="52"/>
    <s v="Эвон"/>
    <m/>
    <n v="75.857142857142861"/>
    <n v="50"/>
    <n v="91"/>
    <n v="76"/>
    <n v="85"/>
    <n v="75"/>
    <n v="83"/>
    <n v="71"/>
    <n v="22"/>
    <n v="9463594"/>
    <n v="788632.83333333337"/>
    <n v="0"/>
    <n v="788632.83333333337"/>
    <n v="0"/>
    <n v="0"/>
  </r>
  <r>
    <s v="Фистер"/>
    <x v="3"/>
    <s v="ЦПЗ"/>
    <s v="ОПЗ"/>
    <s v="ППЗ"/>
    <s v="В.И."/>
    <s v="В.И."/>
    <s v="В.И."/>
    <x v="52"/>
    <s v="Эвон"/>
    <m/>
    <n v="91.571428571428569"/>
    <n v="90"/>
    <n v="84"/>
    <n v="99"/>
    <n v="93"/>
    <n v="90"/>
    <n v="95"/>
    <n v="90"/>
    <n v="21"/>
    <n v="62185790"/>
    <n v="5182149.166666667"/>
    <n v="0"/>
    <n v="5182149.166666667"/>
    <n v="0"/>
    <n v="0"/>
  </r>
  <r>
    <s v="Фостер"/>
    <x v="4"/>
    <s v="Т"/>
    <m/>
    <m/>
    <m/>
    <s v="В.И."/>
    <s v="В.И."/>
    <x v="52"/>
    <s v="Эвон"/>
    <m/>
    <n v="81.142857142857139"/>
    <n v="73"/>
    <n v="95"/>
    <n v="82"/>
    <n v="83"/>
    <n v="80"/>
    <n v="80"/>
    <n v="75"/>
    <n v="0"/>
    <n v="12373797"/>
    <n v="1031149.75"/>
    <n v="0"/>
    <n v="1031149.75"/>
    <n v="0"/>
    <n v="0"/>
  </r>
  <r>
    <s v="Дифенсус Секст"/>
    <x v="0"/>
    <s v="В"/>
    <m/>
    <m/>
    <m/>
    <s v="Орех"/>
    <s v="Орех"/>
    <x v="53"/>
    <s v="Эвон"/>
    <m/>
    <n v="61.142857142857146"/>
    <n v="26"/>
    <n v="72"/>
    <n v="66"/>
    <n v="70"/>
    <n v="72"/>
    <n v="74"/>
    <n v="48"/>
    <n v="0"/>
    <n v="730226"/>
    <n v="60852.166666666664"/>
    <n v="0"/>
    <n v="60852.166666666664"/>
    <n v="0"/>
    <n v="0"/>
  </r>
  <r>
    <s v="Кондишенус Тит"/>
    <x v="0"/>
    <s v="В"/>
    <m/>
    <m/>
    <m/>
    <s v="Орех"/>
    <s v="Орех"/>
    <x v="53"/>
    <s v="Эвон"/>
    <m/>
    <n v="63.142857142857146"/>
    <n v="28"/>
    <n v="74"/>
    <n v="68"/>
    <n v="72"/>
    <n v="74"/>
    <n v="76"/>
    <n v="50"/>
    <n v="0"/>
    <n v="1007494"/>
    <n v="83957.833333333328"/>
    <n v="0"/>
    <n v="83957.833333333328"/>
    <n v="0"/>
    <n v="0"/>
  </r>
  <r>
    <s v="Балансис Публий"/>
    <x v="1"/>
    <s v="ПЗ"/>
    <s v="ЦЗ"/>
    <m/>
    <m/>
    <s v="Орех"/>
    <s v="Орех"/>
    <x v="53"/>
    <s v="Эвон"/>
    <m/>
    <n v="61"/>
    <n v="26"/>
    <n v="72"/>
    <n v="66"/>
    <n v="70"/>
    <n v="72"/>
    <n v="74"/>
    <n v="47"/>
    <n v="0"/>
    <n v="713343"/>
    <n v="59445.25"/>
    <n v="0"/>
    <n v="59445.25"/>
    <n v="0"/>
    <n v="0"/>
  </r>
  <r>
    <s v="Ревенюм Гней"/>
    <x v="1"/>
    <s v="ЦЗ"/>
    <s v="ОПЗ"/>
    <m/>
    <m/>
    <s v="Орех"/>
    <s v="Орех"/>
    <x v="53"/>
    <s v="Эвон"/>
    <m/>
    <n v="59.142857142857146"/>
    <n v="25"/>
    <n v="70"/>
    <n v="64"/>
    <n v="68"/>
    <n v="70"/>
    <n v="72"/>
    <n v="45"/>
    <n v="0"/>
    <n v="523629"/>
    <n v="43635.75"/>
    <n v="0"/>
    <n v="43635.75"/>
    <n v="0"/>
    <n v="0"/>
  </r>
  <r>
    <s v="Теншн Децим"/>
    <x v="1"/>
    <s v="ПЗ"/>
    <s v="ЛЗ"/>
    <m/>
    <m/>
    <s v="Орех"/>
    <s v="Орех"/>
    <x v="53"/>
    <s v="Эвон"/>
    <m/>
    <n v="57.857142857142854"/>
    <n v="24"/>
    <n v="68"/>
    <n v="63"/>
    <n v="67"/>
    <n v="69"/>
    <n v="71"/>
    <n v="43"/>
    <n v="0"/>
    <n v="420311"/>
    <n v="35025.916666666664"/>
    <n v="0"/>
    <n v="35025.916666666664"/>
    <n v="0"/>
    <n v="0"/>
  </r>
  <r>
    <s v="Фьючерус Марк"/>
    <x v="1"/>
    <s v="ЛЗ"/>
    <s v="ЦЗ"/>
    <m/>
    <m/>
    <s v="Орех"/>
    <s v="Орех"/>
    <x v="53"/>
    <s v="Эвон"/>
    <m/>
    <n v="65.714285714285708"/>
    <n v="30"/>
    <n v="78"/>
    <n v="70"/>
    <n v="74"/>
    <n v="76"/>
    <n v="78"/>
    <n v="54"/>
    <n v="0"/>
    <n v="1501751"/>
    <n v="125145.91666666667"/>
    <n v="0"/>
    <n v="125145.91666666667"/>
    <n v="0"/>
    <n v="0"/>
  </r>
  <r>
    <s v="Эквитиус Квинт"/>
    <x v="1"/>
    <s v="ЦЗ"/>
    <s v="ЛЗ"/>
    <m/>
    <m/>
    <s v="Орех"/>
    <s v="Орех"/>
    <x v="53"/>
    <s v="Эвон"/>
    <m/>
    <n v="67.571428571428569"/>
    <n v="31"/>
    <n v="80"/>
    <n v="72"/>
    <n v="76"/>
    <n v="78"/>
    <n v="80"/>
    <n v="56"/>
    <n v="0"/>
    <n v="1984409"/>
    <n v="165367.41666666666"/>
    <n v="0"/>
    <n v="165367.41666666666"/>
    <n v="0"/>
    <n v="0"/>
  </r>
  <r>
    <s v="Перформус Коммод"/>
    <x v="2"/>
    <s v="ОФ"/>
    <s v="ЦН"/>
    <m/>
    <m/>
    <s v="Орех"/>
    <s v="Орех"/>
    <x v="53"/>
    <s v="Эвон"/>
    <m/>
    <n v="65.142857142857139"/>
    <n v="29"/>
    <n v="76"/>
    <n v="70"/>
    <n v="74"/>
    <n v="76"/>
    <n v="78"/>
    <n v="53"/>
    <n v="0"/>
    <n v="1376158"/>
    <n v="114679.83333333333"/>
    <n v="0"/>
    <n v="114679.83333333333"/>
    <n v="0"/>
    <n v="0"/>
  </r>
  <r>
    <s v="Скалерус Пий"/>
    <x v="2"/>
    <s v="ЦН"/>
    <s v="ОФ"/>
    <m/>
    <m/>
    <s v="Орех"/>
    <s v="Орех"/>
    <x v="53"/>
    <s v="Эвон"/>
    <m/>
    <n v="72.571428571428569"/>
    <n v="36"/>
    <n v="86"/>
    <n v="78"/>
    <n v="80"/>
    <n v="82"/>
    <n v="84"/>
    <n v="62"/>
    <n v="0"/>
    <n v="4051882"/>
    <n v="337656.83333333331"/>
    <n v="0"/>
    <n v="337656.83333333331"/>
    <n v="0"/>
    <n v="0"/>
  </r>
  <r>
    <s v="Инпут Севе"/>
    <x v="3"/>
    <s v="ОПЗ"/>
    <s v="ЦПЗ"/>
    <m/>
    <m/>
    <s v="Орех"/>
    <s v="Орех"/>
    <x v="53"/>
    <s v="Эвон"/>
    <m/>
    <n v="57.142857142857146"/>
    <n v="24"/>
    <n v="68"/>
    <n v="62"/>
    <n v="66"/>
    <n v="68"/>
    <n v="70"/>
    <n v="42"/>
    <n v="0"/>
    <n v="371210"/>
    <n v="30934.166666666668"/>
    <n v="0"/>
    <n v="30934.166666666668"/>
    <n v="0"/>
    <n v="0"/>
  </r>
  <r>
    <s v="Кейс Антонин"/>
    <x v="3"/>
    <s v="ЛПЗ"/>
    <s v="ОПЗ"/>
    <m/>
    <m/>
    <s v="Орех"/>
    <s v="Орех"/>
    <x v="53"/>
    <s v="Эвон"/>
    <m/>
    <n v="56.142857142857146"/>
    <n v="23"/>
    <n v="67"/>
    <n v="61"/>
    <n v="65"/>
    <n v="67"/>
    <n v="69"/>
    <n v="41"/>
    <n v="0"/>
    <n v="311133"/>
    <n v="25927.75"/>
    <n v="0"/>
    <n v="25927.75"/>
    <n v="0"/>
    <n v="0"/>
  </r>
  <r>
    <s v="Маттерс Нерва"/>
    <x v="3"/>
    <s v="ЦПЗ"/>
    <s v="ОПЗ"/>
    <m/>
    <m/>
    <s v="Орех"/>
    <s v="Орех"/>
    <x v="53"/>
    <s v="Эвон"/>
    <m/>
    <n v="62.142857142857146"/>
    <n v="27"/>
    <n v="73"/>
    <n v="67"/>
    <n v="71"/>
    <n v="73"/>
    <n v="75"/>
    <n v="49"/>
    <n v="0"/>
    <n v="858840"/>
    <n v="71570"/>
    <n v="0"/>
    <n v="71570"/>
    <n v="0"/>
    <n v="0"/>
  </r>
  <r>
    <s v="Меншен Луций"/>
    <x v="3"/>
    <s v="ОПЗ"/>
    <s v="ЦПЗ"/>
    <m/>
    <m/>
    <s v="Орех"/>
    <s v="Орех"/>
    <x v="53"/>
    <s v="Эвон"/>
    <m/>
    <n v="60"/>
    <n v="25"/>
    <n v="71"/>
    <n v="65"/>
    <n v="69"/>
    <n v="71"/>
    <n v="73"/>
    <n v="46"/>
    <n v="0"/>
    <n v="604662"/>
    <n v="50388.5"/>
    <n v="0"/>
    <n v="50388.5"/>
    <n v="0"/>
    <n v="0"/>
  </r>
  <r>
    <s v="Паттерн Аврелий"/>
    <x v="3"/>
    <s v="ППЗ"/>
    <s v="ЛПЗ"/>
    <m/>
    <m/>
    <s v="Орех"/>
    <s v="Орех"/>
    <x v="53"/>
    <s v="Эвон"/>
    <m/>
    <n v="69"/>
    <n v="34"/>
    <n v="83"/>
    <n v="74"/>
    <n v="76"/>
    <n v="78"/>
    <n v="80"/>
    <n v="58"/>
    <n v="0"/>
    <n v="2446195"/>
    <n v="203849.58333333334"/>
    <n v="0"/>
    <n v="203849.58333333334"/>
    <n v="0"/>
    <n v="0"/>
  </r>
  <r>
    <s v="Пойнт Адриан"/>
    <x v="3"/>
    <s v="АПЗ"/>
    <s v="ЦПЗ"/>
    <m/>
    <m/>
    <s v="Орех"/>
    <s v="Орех"/>
    <x v="53"/>
    <s v="Эвон"/>
    <m/>
    <n v="65"/>
    <n v="29"/>
    <n v="76"/>
    <n v="70"/>
    <n v="74"/>
    <n v="76"/>
    <n v="78"/>
    <n v="52"/>
    <n v="0"/>
    <n v="1346275"/>
    <n v="112189.58333333333"/>
    <n v="0"/>
    <n v="112189.58333333333"/>
    <n v="0"/>
    <n v="0"/>
  </r>
  <r>
    <s v="Регардус Марцелл"/>
    <x v="3"/>
    <s v="ППЗ"/>
    <s v="АПЗ"/>
    <m/>
    <m/>
    <s v="Орех"/>
    <s v="Орех"/>
    <x v="53"/>
    <s v="Эвон"/>
    <m/>
    <n v="61"/>
    <n v="26"/>
    <n v="72"/>
    <n v="66"/>
    <n v="70"/>
    <n v="72"/>
    <n v="74"/>
    <n v="47"/>
    <n v="0"/>
    <n v="713343"/>
    <n v="59445.25"/>
    <n v="0"/>
    <n v="59445.25"/>
    <n v="0"/>
    <n v="0"/>
  </r>
  <r>
    <s v="Стенд Гай"/>
    <x v="3"/>
    <s v="ОПЗ"/>
    <s v="ЦЗ"/>
    <m/>
    <m/>
    <s v="Орех"/>
    <s v="Орех"/>
    <x v="53"/>
    <s v="Эвон"/>
    <m/>
    <n v="69.857142857142861"/>
    <n v="33"/>
    <n v="84"/>
    <n v="74"/>
    <n v="78"/>
    <n v="80"/>
    <n v="82"/>
    <n v="58"/>
    <n v="0"/>
    <n v="2767632"/>
    <n v="230636"/>
    <n v="0"/>
    <n v="230636"/>
    <n v="0"/>
    <n v="0"/>
  </r>
  <r>
    <s v="Тарфория"/>
    <x v="3"/>
    <s v="АПЗ"/>
    <s v="ЛПЗ"/>
    <s v="ППЗ"/>
    <s v="Орех"/>
    <s v="Орех"/>
    <s v="Орех"/>
    <x v="53"/>
    <s v="Эвон"/>
    <m/>
    <n v="64"/>
    <n v="40"/>
    <n v="76"/>
    <n v="62"/>
    <n v="68"/>
    <n v="60"/>
    <n v="60"/>
    <n v="82"/>
    <n v="0"/>
    <n v="1152922"/>
    <n v="96076.833333333328"/>
    <n v="0"/>
    <n v="96076.833333333328"/>
    <n v="0"/>
    <n v="0"/>
  </r>
  <r>
    <s v="Фортун Траян"/>
    <x v="3"/>
    <s v="ЦПЗ"/>
    <s v="ЛПЗ"/>
    <m/>
    <m/>
    <s v="Орех"/>
    <s v="Орех"/>
    <x v="53"/>
    <s v="Эвон"/>
    <m/>
    <n v="58.142857142857146"/>
    <n v="24"/>
    <n v="69"/>
    <n v="63"/>
    <n v="67"/>
    <n v="69"/>
    <n v="71"/>
    <n v="44"/>
    <n v="0"/>
    <n v="441534"/>
    <n v="36794.5"/>
    <n v="0"/>
    <n v="36794.5"/>
    <n v="0"/>
    <n v="0"/>
  </r>
  <r>
    <s v="Секьюран Авл"/>
    <x v="4"/>
    <s v="Т"/>
    <m/>
    <m/>
    <m/>
    <s v="Орех"/>
    <s v="Орех"/>
    <x v="53"/>
    <s v="Эвон"/>
    <m/>
    <n v="62.142857142857146"/>
    <n v="27"/>
    <n v="73"/>
    <n v="67"/>
    <n v="71"/>
    <n v="73"/>
    <n v="75"/>
    <n v="49"/>
    <n v="0"/>
    <n v="858840"/>
    <n v="71570"/>
    <n v="0"/>
    <n v="71570"/>
    <n v="0"/>
    <n v="0"/>
  </r>
  <r>
    <s v="Брандвик Кайл"/>
    <x v="0"/>
    <s v="В"/>
    <m/>
    <m/>
    <m/>
    <s v="Лес"/>
    <s v="Лес"/>
    <x v="54"/>
    <s v="Эвон"/>
    <m/>
    <n v="63"/>
    <n v="26"/>
    <n v="76"/>
    <n v="68"/>
    <n v="72"/>
    <n v="77"/>
    <n v="78"/>
    <n v="44"/>
    <n v="0"/>
    <n v="984931"/>
    <n v="82077.583333333328"/>
    <n v="0"/>
    <n v="82077.583333333328"/>
    <n v="0"/>
    <n v="0"/>
  </r>
  <r>
    <s v="Ларз (В)"/>
    <x v="0"/>
    <s v="В"/>
    <m/>
    <m/>
    <s v="Лес"/>
    <s v="Лес"/>
    <s v="Лес"/>
    <x v="54"/>
    <s v="Эвон"/>
    <m/>
    <n v="69.857142857142861"/>
    <n v="51"/>
    <n v="93"/>
    <n v="70"/>
    <n v="60"/>
    <n v="75"/>
    <n v="75"/>
    <n v="65"/>
    <n v="29"/>
    <n v="4151447"/>
    <n v="345953.91666666669"/>
    <n v="0"/>
    <n v="345953.91666666669"/>
    <n v="0"/>
    <n v="0"/>
  </r>
  <r>
    <s v="Турви"/>
    <x v="0"/>
    <s v="В"/>
    <m/>
    <m/>
    <s v="Лес"/>
    <s v="Лес"/>
    <s v="Лес"/>
    <x v="54"/>
    <s v="Эвон"/>
    <m/>
    <n v="60.142857142857146"/>
    <n v="38"/>
    <n v="67"/>
    <n v="43"/>
    <n v="83"/>
    <n v="66"/>
    <n v="64"/>
    <n v="60"/>
    <n v="0"/>
    <n v="619214"/>
    <n v="51601.166666666664"/>
    <n v="0"/>
    <n v="51601.166666666664"/>
    <n v="0"/>
    <n v="0"/>
  </r>
  <r>
    <s v="Вероник (З)"/>
    <x v="1"/>
    <s v="ЦЗ"/>
    <s v="ОПЗ"/>
    <m/>
    <s v="Лес"/>
    <s v="Лес"/>
    <s v="Лес"/>
    <x v="54"/>
    <s v="Эвон"/>
    <m/>
    <n v="72.571428571428569"/>
    <n v="50"/>
    <n v="75"/>
    <n v="70"/>
    <n v="75"/>
    <n v="80"/>
    <n v="83"/>
    <n v="75"/>
    <n v="26"/>
    <n v="6077823"/>
    <n v="506485.25"/>
    <n v="0"/>
    <n v="506485.25"/>
    <n v="0"/>
    <n v="0"/>
  </r>
  <r>
    <s v="Громлик Пауль"/>
    <x v="1"/>
    <s v="ЦЗ"/>
    <s v="ЛЗ"/>
    <m/>
    <s v="Лес"/>
    <s v="Лес"/>
    <s v="Лес"/>
    <x v="54"/>
    <s v="Эвон"/>
    <m/>
    <n v="65.714285714285708"/>
    <n v="29"/>
    <n v="72"/>
    <n v="71"/>
    <n v="76"/>
    <n v="82"/>
    <n v="84"/>
    <n v="46"/>
    <n v="0"/>
    <n v="1501751"/>
    <n v="125145.91666666667"/>
    <n v="0"/>
    <n v="125145.91666666667"/>
    <n v="0"/>
    <n v="0"/>
  </r>
  <r>
    <s v="Домент Лука"/>
    <x v="1"/>
    <s v="ЦЗ"/>
    <s v="ПЗ"/>
    <m/>
    <m/>
    <s v="Лес"/>
    <s v="Лес"/>
    <x v="54"/>
    <s v="Эвон"/>
    <m/>
    <n v="61.571428571428569"/>
    <n v="25"/>
    <n v="69"/>
    <n v="64"/>
    <n v="73"/>
    <n v="79"/>
    <n v="82"/>
    <n v="39"/>
    <n v="0"/>
    <n v="783056"/>
    <n v="65254.666666666664"/>
    <n v="0"/>
    <n v="65254.666666666664"/>
    <n v="0"/>
    <n v="0"/>
  </r>
  <r>
    <s v="Крэш"/>
    <x v="1"/>
    <s v="ЦЗ"/>
    <s v="ОПЗ"/>
    <m/>
    <s v="Лес"/>
    <s v="Лес"/>
    <s v="Лес"/>
    <x v="54"/>
    <s v="Эвон"/>
    <m/>
    <n v="70.285714285714292"/>
    <n v="40"/>
    <n v="70"/>
    <n v="80"/>
    <n v="67"/>
    <n v="84"/>
    <n v="86"/>
    <n v="65"/>
    <n v="27"/>
    <n v="4413285"/>
    <n v="367773.75"/>
    <n v="0"/>
    <n v="367773.75"/>
    <n v="0"/>
    <n v="0"/>
  </r>
  <r>
    <s v="Мормент"/>
    <x v="1"/>
    <s v="ЦЗ"/>
    <s v="ПЗ"/>
    <m/>
    <s v="Лес"/>
    <s v="Лес"/>
    <s v="Лес"/>
    <x v="54"/>
    <s v="Эвон"/>
    <m/>
    <n v="70.285714285714292"/>
    <n v="42"/>
    <n v="70"/>
    <n v="78"/>
    <n v="70"/>
    <n v="81"/>
    <n v="83"/>
    <n v="68"/>
    <n v="0"/>
    <n v="2942190"/>
    <n v="245182.5"/>
    <n v="0"/>
    <n v="245182.5"/>
    <n v="0"/>
    <n v="0"/>
  </r>
  <r>
    <s v="Стокли Ральф"/>
    <x v="1"/>
    <s v="ЦЗ"/>
    <s v="ОПЗ"/>
    <m/>
    <m/>
    <s v="Лес"/>
    <s v="Лес"/>
    <x v="54"/>
    <s v="Эвон"/>
    <m/>
    <n v="57.142857142857146"/>
    <n v="21"/>
    <n v="63"/>
    <n v="60"/>
    <n v="69"/>
    <n v="75"/>
    <n v="79"/>
    <n v="33"/>
    <n v="0"/>
    <n v="371210"/>
    <n v="30934.166666666668"/>
    <n v="0"/>
    <n v="30934.166666666668"/>
    <n v="0"/>
    <n v="0"/>
  </r>
  <r>
    <s v="Толли"/>
    <x v="1"/>
    <s v="ЦЗ"/>
    <s v="ПЗ"/>
    <m/>
    <s v="Лес"/>
    <s v="Лес"/>
    <s v="Лес"/>
    <x v="54"/>
    <s v="Эвон"/>
    <m/>
    <n v="65.428571428571431"/>
    <n v="38"/>
    <n v="65"/>
    <n v="74"/>
    <n v="65"/>
    <n v="78"/>
    <n v="80"/>
    <n v="58"/>
    <n v="0"/>
    <n v="1437721"/>
    <n v="119810.08333333333"/>
    <n v="0"/>
    <n v="119810.08333333333"/>
    <n v="0"/>
    <n v="0"/>
  </r>
  <r>
    <s v="Уйтант"/>
    <x v="1"/>
    <s v="ЦЗ"/>
    <m/>
    <m/>
    <s v="Лес"/>
    <s v="Лес"/>
    <s v="Лес"/>
    <x v="54"/>
    <s v="Эвон"/>
    <m/>
    <n v="59.428571428571431"/>
    <n v="20"/>
    <n v="58"/>
    <n v="70"/>
    <n v="62"/>
    <n v="84"/>
    <n v="78"/>
    <n v="44"/>
    <n v="0"/>
    <n v="549482"/>
    <n v="45790.166666666664"/>
    <n v="0"/>
    <n v="45790.166666666664"/>
    <n v="0"/>
    <n v="0"/>
  </r>
  <r>
    <s v="Флэшер Тим"/>
    <x v="1"/>
    <s v="ЦЗ"/>
    <s v="ПЗ"/>
    <m/>
    <m/>
    <s v="Лес"/>
    <s v="Лес"/>
    <x v="54"/>
    <s v="Эвон"/>
    <m/>
    <n v="53.285714285714285"/>
    <n v="20"/>
    <n v="56"/>
    <n v="55"/>
    <n v="64"/>
    <n v="70"/>
    <n v="77"/>
    <n v="31"/>
    <n v="0"/>
    <n v="184548"/>
    <n v="15379"/>
    <n v="0"/>
    <n v="15379"/>
    <n v="0"/>
    <n v="0"/>
  </r>
  <r>
    <s v="Бальминтер"/>
    <x v="2"/>
    <s v="ЦН"/>
    <s v="АПЗ"/>
    <m/>
    <s v="Лес"/>
    <s v="Лес"/>
    <s v="Лес"/>
    <x v="54"/>
    <s v="Эвон"/>
    <m/>
    <n v="70"/>
    <n v="44"/>
    <n v="70"/>
    <n v="74"/>
    <n v="70"/>
    <n v="81"/>
    <n v="88"/>
    <n v="63"/>
    <n v="0"/>
    <n v="2824753"/>
    <n v="235396.08333333334"/>
    <n v="0"/>
    <n v="235396.08333333334"/>
    <n v="0"/>
    <n v="0"/>
  </r>
  <r>
    <s v="Вертуни Рауль"/>
    <x v="2"/>
    <s v="ЦН"/>
    <m/>
    <m/>
    <s v="Лес"/>
    <s v="Лес"/>
    <s v="Лес"/>
    <x v="54"/>
    <s v="Эвон"/>
    <m/>
    <n v="66.571428571428569"/>
    <n v="28"/>
    <n v="75"/>
    <n v="77"/>
    <n v="74"/>
    <n v="81"/>
    <n v="86"/>
    <n v="45"/>
    <n v="0"/>
    <n v="1709539"/>
    <n v="142461.58333333334"/>
    <n v="0"/>
    <n v="142461.58333333334"/>
    <n v="0"/>
    <n v="0"/>
  </r>
  <r>
    <s v="Столлант Йенс"/>
    <x v="2"/>
    <s v="ЦН"/>
    <s v="АПЗ"/>
    <m/>
    <s v="Лес"/>
    <s v="Лес"/>
    <s v="Лес"/>
    <x v="54"/>
    <s v="Эвон"/>
    <m/>
    <n v="66.571428571428569"/>
    <n v="28"/>
    <n v="75"/>
    <n v="77"/>
    <n v="74"/>
    <n v="81"/>
    <n v="86"/>
    <n v="45"/>
    <n v="0"/>
    <n v="1709539"/>
    <n v="142461.58333333334"/>
    <n v="0"/>
    <n v="142461.58333333334"/>
    <n v="0"/>
    <n v="0"/>
  </r>
  <r>
    <s v="Тормуни (Н)"/>
    <x v="2"/>
    <s v="ЦН"/>
    <s v="АПЗ"/>
    <m/>
    <s v="Лес"/>
    <s v="Лес"/>
    <s v="Лес"/>
    <x v="54"/>
    <s v="Эвон"/>
    <m/>
    <n v="75.428571428571431"/>
    <n v="60"/>
    <n v="77"/>
    <n v="79"/>
    <n v="74"/>
    <n v="82"/>
    <n v="86"/>
    <n v="70"/>
    <n v="0"/>
    <n v="5961545"/>
    <n v="496795.41666666669"/>
    <n v="0"/>
    <n v="496795.41666666669"/>
    <n v="0"/>
    <n v="0"/>
  </r>
  <r>
    <s v="Гравейсер Кеси"/>
    <x v="3"/>
    <s v="ЛПЗ"/>
    <s v="ОПЗ"/>
    <m/>
    <m/>
    <s v="Лес"/>
    <s v="Лес"/>
    <x v="54"/>
    <s v="Эвон"/>
    <m/>
    <n v="59.142857142857146"/>
    <n v="20"/>
    <n v="85"/>
    <n v="66"/>
    <n v="70"/>
    <n v="71"/>
    <n v="72"/>
    <n v="30"/>
    <n v="0"/>
    <n v="523629"/>
    <n v="43635.75"/>
    <n v="0"/>
    <n v="43635.75"/>
    <n v="0"/>
    <n v="0"/>
  </r>
  <r>
    <s v="Кеси"/>
    <x v="3"/>
    <s v="ЛПЗ"/>
    <s v="ОПЗ"/>
    <s v="ППЗ"/>
    <s v="Лес"/>
    <s v="Лес"/>
    <s v="Лес"/>
    <x v="54"/>
    <s v="Эвон"/>
    <m/>
    <n v="67.285714285714292"/>
    <n v="42"/>
    <n v="88"/>
    <n v="73"/>
    <n v="72"/>
    <n v="74"/>
    <n v="70"/>
    <n v="52"/>
    <n v="23"/>
    <n v="2853120"/>
    <n v="237760"/>
    <n v="0"/>
    <n v="237760"/>
    <n v="0"/>
    <n v="0"/>
  </r>
  <r>
    <s v="Оттоман"/>
    <x v="3"/>
    <s v="ОПЗ"/>
    <s v="ЦПЗ"/>
    <m/>
    <s v="Лес"/>
    <s v="Лес"/>
    <s v="Лес"/>
    <x v="54"/>
    <s v="Эвон"/>
    <m/>
    <n v="77.285714285714292"/>
    <n v="60"/>
    <n v="75"/>
    <n v="84"/>
    <n v="77"/>
    <n v="86"/>
    <n v="93"/>
    <n v="66"/>
    <n v="18"/>
    <n v="11404691"/>
    <n v="950390.91666666663"/>
    <n v="0"/>
    <n v="950390.91666666663"/>
    <n v="0"/>
    <n v="0"/>
  </r>
  <r>
    <s v="Сайсер"/>
    <x v="3"/>
    <s v="АПЗ"/>
    <s v="ППЗ"/>
    <m/>
    <s v="Лес"/>
    <s v="Лес"/>
    <s v="Лес"/>
    <x v="54"/>
    <s v="Эвон"/>
    <m/>
    <n v="64.428571428571431"/>
    <n v="40"/>
    <n v="71"/>
    <n v="74"/>
    <n v="71"/>
    <n v="73"/>
    <n v="73"/>
    <n v="49"/>
    <n v="0"/>
    <n v="1232495"/>
    <n v="102707.91666666667"/>
    <n v="0"/>
    <n v="102707.91666666667"/>
    <n v="0"/>
    <n v="0"/>
  </r>
  <r>
    <s v="Хейлбеорн"/>
    <x v="3"/>
    <s v="ОПЗ"/>
    <m/>
    <m/>
    <s v="Лес"/>
    <s v="Лес"/>
    <s v="Лес"/>
    <x v="54"/>
    <s v="Эвон"/>
    <m/>
    <n v="74.714285714285708"/>
    <n v="41"/>
    <n v="78"/>
    <n v="85"/>
    <n v="74"/>
    <n v="85"/>
    <n v="90"/>
    <n v="70"/>
    <n v="18"/>
    <n v="8130697"/>
    <n v="677558.08333333337"/>
    <n v="0"/>
    <n v="677558.08333333337"/>
    <n v="0"/>
    <n v="0"/>
  </r>
  <r>
    <s v="Холлинтер Поль"/>
    <x v="3"/>
    <s v="ОПЗ"/>
    <s v="ЦПЗ"/>
    <m/>
    <m/>
    <s v="Лес"/>
    <s v="Лес"/>
    <x v="54"/>
    <s v="Эвон"/>
    <m/>
    <n v="64.571428571428569"/>
    <n v="27"/>
    <n v="73"/>
    <n v="75"/>
    <n v="78"/>
    <n v="77"/>
    <n v="79"/>
    <n v="43"/>
    <n v="0"/>
    <n v="1260097"/>
    <n v="105008.08333333333"/>
    <n v="0"/>
    <n v="105008.08333333333"/>
    <n v="0"/>
    <n v="0"/>
  </r>
  <r>
    <s v="Цайпилле"/>
    <x v="3"/>
    <s v="ОПЗ"/>
    <m/>
    <m/>
    <s v="Лес"/>
    <s v="Лес"/>
    <s v="Лес"/>
    <x v="54"/>
    <s v="Эвон"/>
    <m/>
    <n v="64.571428571428569"/>
    <n v="35"/>
    <n v="70"/>
    <n v="74"/>
    <n v="72"/>
    <n v="74"/>
    <n v="76"/>
    <n v="51"/>
    <n v="0"/>
    <n v="1260097"/>
    <n v="105008.08333333333"/>
    <n v="0"/>
    <n v="105008.08333333333"/>
    <n v="0"/>
    <n v="0"/>
  </r>
  <r>
    <s v="Торнвелл Марк"/>
    <x v="4"/>
    <s v="Т"/>
    <m/>
    <m/>
    <m/>
    <s v="Лес"/>
    <s v="Лес"/>
    <x v="54"/>
    <s v="Эвон"/>
    <m/>
    <n v="60.285714285714285"/>
    <n v="24"/>
    <n v="70"/>
    <n v="68"/>
    <n v="74"/>
    <n v="73"/>
    <n v="76"/>
    <n v="37"/>
    <n v="0"/>
    <n v="634081"/>
    <n v="52840.083333333336"/>
    <n v="0"/>
    <n v="52840.083333333336"/>
    <n v="0"/>
    <n v="0"/>
  </r>
  <r>
    <s v="Полмест"/>
    <x v="0"/>
    <s v="В"/>
    <m/>
    <m/>
    <s v="Ч.Л."/>
    <s v="Ч.Л."/>
    <s v="Ч.Л."/>
    <x v="55"/>
    <s v="Эвон"/>
    <m/>
    <n v="64.142857142857139"/>
    <n v="32"/>
    <n v="60"/>
    <n v="61"/>
    <n v="63"/>
    <n v="86"/>
    <n v="77"/>
    <n v="70"/>
    <n v="0"/>
    <n v="1178917"/>
    <n v="98243.083333333328"/>
    <n v="0"/>
    <n v="98243.083333333328"/>
    <n v="0"/>
    <n v="0"/>
  </r>
  <r>
    <s v="Хартманн Курт"/>
    <x v="0"/>
    <s v="В"/>
    <m/>
    <m/>
    <m/>
    <s v="В.И."/>
    <s v="В.И."/>
    <x v="55"/>
    <s v="Эвон"/>
    <m/>
    <n v="67.571428571428569"/>
    <n v="28"/>
    <n v="78"/>
    <n v="74"/>
    <n v="80"/>
    <n v="83"/>
    <n v="84"/>
    <n v="46"/>
    <n v="0"/>
    <n v="1984409"/>
    <n v="165367.41666666666"/>
    <n v="0"/>
    <n v="165367.41666666666"/>
    <n v="0"/>
    <n v="0"/>
  </r>
  <r>
    <s v="Булиант"/>
    <x v="1"/>
    <s v="ЦЗ"/>
    <s v="ЛЗ"/>
    <m/>
    <s v="Нумб"/>
    <s v="Нумб"/>
    <s v="Нумб"/>
    <x v="55"/>
    <s v="Эвон"/>
    <m/>
    <n v="63.857142857142854"/>
    <n v="32"/>
    <n v="62"/>
    <n v="79"/>
    <n v="65"/>
    <n v="71"/>
    <n v="87"/>
    <n v="51"/>
    <n v="0"/>
    <n v="1127444"/>
    <n v="93953.666666666672"/>
    <n v="0"/>
    <n v="93953.666666666672"/>
    <n v="0"/>
    <n v="0"/>
  </r>
  <r>
    <s v="Верникель Ханс"/>
    <x v="1"/>
    <s v="ЦЗ"/>
    <s v="ПЗ"/>
    <m/>
    <m/>
    <s v="В.И."/>
    <s v="В.И."/>
    <x v="55"/>
    <s v="Эвон"/>
    <m/>
    <n v="70"/>
    <n v="29"/>
    <n v="80"/>
    <n v="72"/>
    <n v="85"/>
    <n v="87"/>
    <n v="88"/>
    <n v="49"/>
    <n v="0"/>
    <n v="2824753"/>
    <n v="235396.08333333334"/>
    <n v="0"/>
    <n v="235396.08333333334"/>
    <n v="0"/>
    <n v="0"/>
  </r>
  <r>
    <s v="Драгун Милош"/>
    <x v="1"/>
    <s v="ЦЗ"/>
    <s v="ОПЗ"/>
    <m/>
    <m/>
    <s v="В.И."/>
    <s v="В.И."/>
    <x v="55"/>
    <s v="Эвон"/>
    <m/>
    <n v="62.428571428571431"/>
    <n v="23"/>
    <n v="70"/>
    <n v="66"/>
    <n v="76"/>
    <n v="80"/>
    <n v="84"/>
    <n v="38"/>
    <n v="0"/>
    <n v="899154"/>
    <n v="74929.5"/>
    <n v="0"/>
    <n v="74929.5"/>
    <n v="0"/>
    <n v="0"/>
  </r>
  <r>
    <s v="Зоо-Лии Эх"/>
    <x v="1"/>
    <s v="ЦЗ"/>
    <m/>
    <m/>
    <m/>
    <s v="В.И."/>
    <s v="В.И."/>
    <x v="55"/>
    <s v="Эвон"/>
    <m/>
    <n v="69.142857142857139"/>
    <n v="40"/>
    <n v="80"/>
    <n v="77"/>
    <n v="70"/>
    <n v="75"/>
    <n v="82"/>
    <n v="60"/>
    <n v="0"/>
    <n v="2497315"/>
    <n v="32516.166666666668"/>
    <n v="0"/>
    <n v="208109.58333333334"/>
    <n v="-84.38"/>
    <n v="0"/>
  </r>
  <r>
    <s v="Зогер"/>
    <x v="1"/>
    <s v="ПЗ"/>
    <m/>
    <m/>
    <s v="Генуа"/>
    <s v="Генуа"/>
    <s v="Генуа"/>
    <x v="55"/>
    <s v="Эвон"/>
    <m/>
    <n v="71.571428571428569"/>
    <n v="58"/>
    <n v="78"/>
    <n v="78"/>
    <n v="72"/>
    <n v="76"/>
    <n v="74"/>
    <n v="65"/>
    <n v="0"/>
    <n v="3526931"/>
    <n v="293910.91666666669"/>
    <n v="0"/>
    <n v="293910.91666666669"/>
    <n v="0"/>
    <n v="0"/>
  </r>
  <r>
    <s v="Колзон Наберхт"/>
    <x v="1"/>
    <s v="ЦЗ"/>
    <s v="ЛЗ"/>
    <m/>
    <m/>
    <s v="В.И."/>
    <s v="В.И."/>
    <x v="55"/>
    <s v="Эвон"/>
    <m/>
    <n v="65.428571428571431"/>
    <n v="26"/>
    <n v="75"/>
    <n v="67"/>
    <n v="79"/>
    <n v="83"/>
    <n v="86"/>
    <n v="42"/>
    <n v="0"/>
    <n v="1437721"/>
    <n v="119810.08333333333"/>
    <n v="0"/>
    <n v="119810.08333333333"/>
    <n v="0"/>
    <n v="0"/>
  </r>
  <r>
    <s v="Морзул"/>
    <x v="1"/>
    <s v="ЦЗ"/>
    <s v="ОПЗ"/>
    <m/>
    <s v="Биссий"/>
    <s v="Биссий"/>
    <s v="Биссий"/>
    <x v="55"/>
    <s v="Эвон"/>
    <m/>
    <n v="60.857142857142854"/>
    <n v="41"/>
    <n v="66"/>
    <n v="68"/>
    <n v="65"/>
    <n v="87"/>
    <n v="67"/>
    <n v="32"/>
    <n v="0"/>
    <n v="696812"/>
    <n v="58067.666666666664"/>
    <n v="0"/>
    <n v="58067.666666666664"/>
    <n v="0"/>
    <n v="0"/>
  </r>
  <r>
    <s v="Терси"/>
    <x v="1"/>
    <s v="ЦЗ"/>
    <s v="ЛЗ"/>
    <m/>
    <s v="Нумб"/>
    <s v="Нумб"/>
    <s v="Нумб"/>
    <x v="55"/>
    <s v="Эвон"/>
    <m/>
    <n v="65.714285714285708"/>
    <n v="34"/>
    <n v="65"/>
    <n v="78"/>
    <n v="63"/>
    <n v="74"/>
    <n v="93"/>
    <n v="53"/>
    <n v="0"/>
    <n v="1501751"/>
    <n v="125145.91666666667"/>
    <n v="0"/>
    <n v="125145.91666666667"/>
    <n v="0"/>
    <n v="0"/>
  </r>
  <r>
    <s v="Блеккенд"/>
    <x v="2"/>
    <s v="ЦН"/>
    <s v="ОФ"/>
    <m/>
    <s v="Черлесск"/>
    <s v="Черлесск"/>
    <s v="Черлесск"/>
    <x v="55"/>
    <s v="Эвон"/>
    <m/>
    <n v="72.571428571428569"/>
    <n v="50"/>
    <n v="81"/>
    <n v="80"/>
    <n v="65"/>
    <n v="78"/>
    <n v="90"/>
    <n v="64"/>
    <n v="0"/>
    <n v="4051882"/>
    <n v="337656.83333333331"/>
    <n v="0"/>
    <n v="337656.83333333331"/>
    <n v="0"/>
    <n v="0"/>
  </r>
  <r>
    <s v="Джалиос (Н)"/>
    <x v="2"/>
    <s v="ОФ"/>
    <m/>
    <m/>
    <s v="Нумб"/>
    <s v="В.И."/>
    <s v="В.И."/>
    <x v="55"/>
    <s v="Эвон"/>
    <m/>
    <n v="76.142857142857139"/>
    <n v="65"/>
    <n v="90"/>
    <n v="78"/>
    <n v="80"/>
    <n v="75"/>
    <n v="75"/>
    <n v="70"/>
    <n v="12"/>
    <n v="9826141"/>
    <n v="818845.08333333337"/>
    <n v="0"/>
    <n v="818845.08333333337"/>
    <n v="0"/>
    <n v="0"/>
  </r>
  <r>
    <s v="Инфиньер"/>
    <x v="2"/>
    <s v="ЦН"/>
    <s v="ОФ"/>
    <m/>
    <s v="Снег"/>
    <s v="Снег"/>
    <s v="Снег"/>
    <x v="55"/>
    <s v="Эвон"/>
    <m/>
    <n v="79.714285714285708"/>
    <n v="73"/>
    <n v="89"/>
    <n v="85"/>
    <n v="73"/>
    <n v="77"/>
    <n v="81"/>
    <n v="80"/>
    <n v="12"/>
    <n v="15540066"/>
    <n v="1295005.5"/>
    <n v="0"/>
    <n v="1295005.5"/>
    <n v="0"/>
    <n v="0"/>
  </r>
  <r>
    <s v="Кинурине (Н)"/>
    <x v="2"/>
    <s v="ЦН"/>
    <s v="АПЗ"/>
    <m/>
    <s v="Снег"/>
    <s v="Снег"/>
    <s v="Снег"/>
    <x v="55"/>
    <s v="Эвон"/>
    <m/>
    <n v="77.285714285714292"/>
    <n v="70"/>
    <n v="83"/>
    <n v="90"/>
    <n v="71"/>
    <n v="73"/>
    <n v="80"/>
    <n v="74"/>
    <n v="12"/>
    <n v="11404691"/>
    <n v="950390.91666666663"/>
    <n v="0"/>
    <n v="950390.91666666663"/>
    <n v="0"/>
    <n v="0"/>
  </r>
  <r>
    <s v="Феелис Ланье"/>
    <x v="2"/>
    <s v="ЦН"/>
    <s v="ОФ"/>
    <m/>
    <m/>
    <s v="В.И."/>
    <s v="В.И."/>
    <x v="55"/>
    <s v="Эвон"/>
    <m/>
    <n v="72.142857142857139"/>
    <n v="30"/>
    <n v="84"/>
    <n v="82"/>
    <n v="83"/>
    <n v="87"/>
    <n v="91"/>
    <n v="48"/>
    <n v="0"/>
    <n v="3818857"/>
    <n v="318238.08333333331"/>
    <n v="0"/>
    <n v="318238.08333333331"/>
    <n v="0"/>
    <n v="0"/>
  </r>
  <r>
    <s v="Бьянки Паоло"/>
    <x v="3"/>
    <s v="ППЗ"/>
    <s v="АПЗ"/>
    <m/>
    <m/>
    <s v="В.И."/>
    <s v="В.И."/>
    <x v="55"/>
    <s v="Эвон"/>
    <m/>
    <n v="65.571428571428569"/>
    <n v="27"/>
    <n v="82"/>
    <n v="70"/>
    <n v="77"/>
    <n v="80"/>
    <n v="79"/>
    <n v="44"/>
    <n v="0"/>
    <n v="1469422"/>
    <n v="122451.83333333333"/>
    <n v="0"/>
    <n v="122451.83333333333"/>
    <n v="0"/>
    <n v="0"/>
  </r>
  <r>
    <s v="Дюгас Тон"/>
    <x v="3"/>
    <s v="ЦПЗ"/>
    <s v="ОПЗ"/>
    <m/>
    <m/>
    <s v="В.И."/>
    <s v="В.И."/>
    <x v="55"/>
    <s v="Эвон"/>
    <m/>
    <n v="58.285714285714285"/>
    <n v="22"/>
    <n v="68"/>
    <n v="61"/>
    <n v="75"/>
    <n v="72"/>
    <n v="77"/>
    <n v="33"/>
    <n v="0"/>
    <n v="452503"/>
    <n v="37708.583333333336"/>
    <n v="0"/>
    <n v="37708.583333333336"/>
    <n v="0"/>
    <n v="0"/>
  </r>
  <r>
    <s v="Марк Лютер"/>
    <x v="3"/>
    <s v="ЛПЗ"/>
    <s v="АПЗ"/>
    <s v="ОПЗ"/>
    <s v="В.И."/>
    <s v="В.И."/>
    <s v="В.И."/>
    <x v="55"/>
    <s v="Эвон"/>
    <m/>
    <n v="83.428571428571431"/>
    <n v="72"/>
    <n v="88"/>
    <n v="86"/>
    <n v="85"/>
    <n v="82"/>
    <n v="88"/>
    <n v="83"/>
    <n v="12"/>
    <n v="24504133"/>
    <n v="2042011.0833333333"/>
    <n v="0"/>
    <n v="2042011.0833333333"/>
    <n v="0"/>
    <n v="0"/>
  </r>
  <r>
    <s v="Штормов Александр"/>
    <x v="3"/>
    <s v="ЛПЗ"/>
    <s v="ОПЗ"/>
    <m/>
    <m/>
    <s v="В.И."/>
    <s v="В.И."/>
    <x v="55"/>
    <s v="Эвон"/>
    <m/>
    <n v="61.285714285714285"/>
    <n v="24"/>
    <n v="74"/>
    <n v="65"/>
    <n v="76"/>
    <n v="73"/>
    <n v="78"/>
    <n v="39"/>
    <n v="0"/>
    <n v="747468"/>
    <n v="62289"/>
    <n v="0"/>
    <n v="62289"/>
    <n v="0"/>
    <n v="0"/>
  </r>
  <r>
    <s v="Сордин Сординанд"/>
    <x v="3"/>
    <s v="ОПЗ"/>
    <s v="ЦЗ"/>
    <m/>
    <m/>
    <s v="В.И."/>
    <s v="В.И."/>
    <x v="55"/>
    <s v="Эвон"/>
    <m/>
    <n v="68.571428571428569"/>
    <n v="29"/>
    <n v="81"/>
    <n v="73"/>
    <n v="86"/>
    <n v="82"/>
    <n v="84"/>
    <n v="45"/>
    <n v="0"/>
    <n v="2298434"/>
    <n v="191536.16666666666"/>
    <n v="0"/>
    <n v="191536.16666666666"/>
    <n v="0"/>
    <n v="0"/>
  </r>
  <r>
    <s v="Тонлига"/>
    <x v="3"/>
    <s v="ОПЗ"/>
    <m/>
    <m/>
    <s v="Нумб"/>
    <s v="Нумб"/>
    <s v="Нумб"/>
    <x v="55"/>
    <s v="Эвон"/>
    <m/>
    <n v="55.571428571428569"/>
    <n v="20"/>
    <n v="63"/>
    <n v="55"/>
    <n v="61"/>
    <n v="63"/>
    <n v="72"/>
    <n v="55"/>
    <n v="0"/>
    <n v="280877"/>
    <n v="23406.416666666668"/>
    <n v="0"/>
    <n v="23406.416666666668"/>
    <n v="0"/>
    <n v="0"/>
  </r>
  <r>
    <s v="Уйкант"/>
    <x v="3"/>
    <s v="ОПЗ"/>
    <m/>
    <m/>
    <s v="Лес"/>
    <s v="Лес"/>
    <s v="Лес"/>
    <x v="55"/>
    <s v="Эвон"/>
    <m/>
    <n v="71.857142857142861"/>
    <n v="40"/>
    <n v="76"/>
    <n v="82"/>
    <n v="73"/>
    <n v="86"/>
    <n v="90"/>
    <n v="56"/>
    <n v="18"/>
    <n v="5505424"/>
    <n v="458785.33333333331"/>
    <n v="0"/>
    <n v="458785.33333333331"/>
    <n v="0"/>
    <n v="0"/>
  </r>
  <r>
    <s v="Горышев Буулин"/>
    <x v="4"/>
    <s v="Т"/>
    <m/>
    <m/>
    <m/>
    <s v="В.И."/>
    <s v="В.И."/>
    <x v="55"/>
    <s v="Эвон"/>
    <m/>
    <n v="65.142857142857139"/>
    <n v="25"/>
    <n v="77"/>
    <n v="72"/>
    <n v="81"/>
    <n v="79"/>
    <n v="82"/>
    <n v="40"/>
    <n v="0"/>
    <n v="1376158"/>
    <n v="114679.83333333333"/>
    <n v="0"/>
    <n v="114679.83333333333"/>
    <n v="0"/>
    <n v="0"/>
  </r>
  <r>
    <s v="Пападопус Никос"/>
    <x v="0"/>
    <s v="В"/>
    <m/>
    <m/>
    <m/>
    <s v="А.Н."/>
    <s v="А.Н."/>
    <x v="56"/>
    <s v="Эвон"/>
    <m/>
    <n v="49.428571428571431"/>
    <n v="10"/>
    <n v="56"/>
    <n v="52"/>
    <n v="64"/>
    <n v="70"/>
    <n v="72"/>
    <n v="22"/>
    <n v="0"/>
    <n v="87053"/>
    <n v="7254.416666666667"/>
    <n v="0"/>
    <n v="7254.416666666667"/>
    <n v="0"/>
    <n v="0"/>
  </r>
  <r>
    <s v="Бенки"/>
    <x v="1"/>
    <s v="ЦЗ"/>
    <m/>
    <m/>
    <s v="Зел.Хол"/>
    <s v="Зел.Хол"/>
    <s v="Зел.Хол"/>
    <x v="56"/>
    <s v="Эвон"/>
    <m/>
    <n v="52.428571428571431"/>
    <n v="36"/>
    <n v="41"/>
    <n v="76"/>
    <n v="57"/>
    <n v="70"/>
    <n v="57"/>
    <n v="30"/>
    <n v="0"/>
    <n v="156921"/>
    <n v="13076.75"/>
    <n v="0"/>
    <n v="13076.75"/>
    <n v="0"/>
    <n v="0"/>
  </r>
  <r>
    <s v="Дюгуар Перни"/>
    <x v="1"/>
    <s v="ЛЗ"/>
    <s v="ЦЗ"/>
    <m/>
    <m/>
    <s v="А.Н."/>
    <s v="А.Н."/>
    <x v="56"/>
    <s v="Эвон"/>
    <m/>
    <n v="54.142857142857146"/>
    <n v="15"/>
    <n v="68"/>
    <n v="62"/>
    <n v="70"/>
    <n v="68"/>
    <n v="70"/>
    <n v="26"/>
    <n v="0"/>
    <n v="216477"/>
    <n v="18039.75"/>
    <n v="0"/>
    <n v="18039.75"/>
    <n v="0"/>
    <n v="0"/>
  </r>
  <r>
    <s v="Лер Монто"/>
    <x v="1"/>
    <s v="ЛЗ"/>
    <s v="ПЗ"/>
    <s v="ЦЗ"/>
    <s v="А.Н."/>
    <s v="А.Н."/>
    <s v="А.Н."/>
    <x v="56"/>
    <s v="Эвон"/>
    <m/>
    <n v="80.714285714285708"/>
    <n v="70"/>
    <n v="95"/>
    <n v="81"/>
    <n v="90"/>
    <n v="80"/>
    <n v="64"/>
    <n v="85"/>
    <n v="27"/>
    <n v="17603351"/>
    <n v="1466945.9166666667"/>
    <n v="0"/>
    <n v="1466945.9166666667"/>
    <n v="0"/>
    <n v="0"/>
  </r>
  <r>
    <s v="Мюллер Ханс"/>
    <x v="1"/>
    <s v="ПЗ"/>
    <s v="ЦЗ"/>
    <m/>
    <m/>
    <s v="А.Н."/>
    <s v="А.Н."/>
    <x v="56"/>
    <s v="Эвон"/>
    <m/>
    <n v="60.571428571428569"/>
    <n v="33"/>
    <n v="66"/>
    <n v="52"/>
    <n v="70"/>
    <n v="80"/>
    <n v="88"/>
    <n v="35"/>
    <n v="26"/>
    <n v="997171"/>
    <n v="83097.583333333328"/>
    <n v="0"/>
    <n v="83097.583333333328"/>
    <n v="0"/>
    <n v="0"/>
  </r>
  <r>
    <s v="Харрингтон Джек"/>
    <x v="1"/>
    <s v="ЦЗ"/>
    <s v="ОПЗ"/>
    <m/>
    <m/>
    <s v="А.Н."/>
    <s v="А.Н."/>
    <x v="56"/>
    <s v="Эвон"/>
    <m/>
    <n v="61.571428571428569"/>
    <n v="30"/>
    <n v="66"/>
    <n v="60"/>
    <n v="72"/>
    <n v="84"/>
    <n v="86"/>
    <n v="33"/>
    <n v="26"/>
    <n v="1174583"/>
    <n v="97881.916666666672"/>
    <n v="0"/>
    <n v="97881.916666666672"/>
    <n v="0"/>
    <n v="0"/>
  </r>
  <r>
    <s v="Ежов"/>
    <x v="2"/>
    <s v="ОФ"/>
    <m/>
    <m/>
    <s v="Зел.Хол"/>
    <s v="Зел.Хол"/>
    <s v="Зел.Хол"/>
    <x v="56"/>
    <s v="Эвон"/>
    <m/>
    <n v="62.714285714285715"/>
    <n v="40"/>
    <n v="70"/>
    <n v="70"/>
    <n v="71"/>
    <n v="68"/>
    <n v="70"/>
    <n v="50"/>
    <n v="0"/>
    <n v="941163"/>
    <n v="48039.833333333336"/>
    <n v="0"/>
    <n v="78430.25"/>
    <n v="-38.75"/>
    <n v="0"/>
  </r>
  <r>
    <s v="Лютингстен"/>
    <x v="2"/>
    <s v="ОФ"/>
    <m/>
    <m/>
    <s v="С.К."/>
    <s v="С.К."/>
    <s v="С.К."/>
    <x v="56"/>
    <s v="Эвон"/>
    <m/>
    <n v="75.285714285714292"/>
    <n v="65"/>
    <n v="87"/>
    <n v="75"/>
    <n v="80"/>
    <n v="80"/>
    <n v="75"/>
    <n v="65"/>
    <n v="0"/>
    <n v="5849595"/>
    <n v="410332.58333333331"/>
    <n v="0"/>
    <n v="487466.25"/>
    <n v="-15.82"/>
    <n v="0"/>
  </r>
  <r>
    <s v="Фарид Осуф"/>
    <x v="2"/>
    <s v="ОФ"/>
    <s v="ЦН"/>
    <m/>
    <m/>
    <s v="А.Н."/>
    <s v="А.Н."/>
    <x v="56"/>
    <s v="Эвон"/>
    <m/>
    <n v="55.428571428571431"/>
    <n v="16"/>
    <n v="70"/>
    <n v="64"/>
    <n v="68"/>
    <n v="70"/>
    <n v="72"/>
    <n v="28"/>
    <n v="0"/>
    <n v="273740"/>
    <n v="22811.666666666668"/>
    <n v="0"/>
    <n v="22811.666666666668"/>
    <n v="0"/>
    <n v="0"/>
  </r>
  <r>
    <s v="Добронравов"/>
    <x v="3"/>
    <s v="АПЗ"/>
    <s v="ЦН"/>
    <s v="ЛПЗ"/>
    <s v="Зел.Хол"/>
    <s v="Зел.Хол"/>
    <s v="Зел.Хол"/>
    <x v="56"/>
    <s v="Эвон"/>
    <m/>
    <n v="73.857142857142861"/>
    <n v="70"/>
    <n v="71"/>
    <n v="80"/>
    <n v="72"/>
    <n v="74"/>
    <n v="80"/>
    <n v="70"/>
    <n v="17"/>
    <n v="7244632"/>
    <n v="603719.33333333337"/>
    <n v="0"/>
    <n v="603719.33333333337"/>
    <n v="0"/>
    <n v="0"/>
  </r>
  <r>
    <s v="Зазаиков"/>
    <x v="3"/>
    <s v="ЦПЗ"/>
    <s v="ППЗ"/>
    <m/>
    <s v="Смор"/>
    <s v="Смор"/>
    <s v="Смор"/>
    <x v="56"/>
    <s v="Эвон"/>
    <m/>
    <n v="62.857142857142854"/>
    <n v="36"/>
    <n v="71"/>
    <n v="76"/>
    <n v="57"/>
    <n v="77"/>
    <n v="80"/>
    <n v="43"/>
    <n v="0"/>
    <n v="962823"/>
    <n v="80235.25"/>
    <n v="0"/>
    <n v="80235.25"/>
    <n v="0"/>
    <n v="0"/>
  </r>
  <r>
    <s v="Ко Гарси"/>
    <x v="3"/>
    <s v="АПЗ"/>
    <s v="ЦПЗ"/>
    <m/>
    <m/>
    <s v="А.Н."/>
    <s v="А.Н."/>
    <x v="56"/>
    <s v="Эвон"/>
    <m/>
    <n v="68.285714285714292"/>
    <n v="50"/>
    <n v="80"/>
    <n v="75"/>
    <n v="74"/>
    <n v="76"/>
    <n v="83"/>
    <n v="40"/>
    <n v="12"/>
    <n v="3306663"/>
    <n v="27976.333333333332"/>
    <n v="0"/>
    <n v="275555.25"/>
    <n v="-89.85"/>
    <n v="0"/>
  </r>
  <r>
    <s v="Латссох Эронд"/>
    <x v="3"/>
    <s v="ЦПЗ"/>
    <s v="ОПЗ"/>
    <m/>
    <m/>
    <s v="А.Н."/>
    <s v="А.Н."/>
    <x v="56"/>
    <s v="Эвон"/>
    <m/>
    <n v="58.571428571428569"/>
    <n v="30"/>
    <n v="70"/>
    <n v="58"/>
    <n v="68"/>
    <n v="80"/>
    <n v="80"/>
    <n v="24"/>
    <n v="0"/>
    <n v="475181"/>
    <n v="39598.416666666664"/>
    <n v="0"/>
    <n v="39598.416666666664"/>
    <n v="0"/>
    <n v="0"/>
  </r>
  <r>
    <s v="Нини Марко"/>
    <x v="3"/>
    <s v="АПЗ"/>
    <s v="ППЗ"/>
    <s v="ЛПЗ"/>
    <m/>
    <s v="А.Н."/>
    <s v="А.Н."/>
    <x v="56"/>
    <s v="Эвон"/>
    <m/>
    <n v="70.571428571428569"/>
    <n v="50"/>
    <n v="92"/>
    <n v="75"/>
    <n v="80"/>
    <n v="70"/>
    <n v="67"/>
    <n v="60"/>
    <n v="3"/>
    <n v="4596004"/>
    <n v="131752.66666666666"/>
    <n v="0"/>
    <n v="383000.33333333331"/>
    <n v="-65.599999999999994"/>
    <n v="0"/>
  </r>
  <r>
    <s v="Пакла"/>
    <x v="3"/>
    <s v="АПЗ"/>
    <s v="ЛПЗ"/>
    <m/>
    <s v="Смор"/>
    <s v="Смор"/>
    <s v="Смор"/>
    <x v="56"/>
    <s v="Эвон"/>
    <m/>
    <n v="66.857142857142861"/>
    <n v="49"/>
    <n v="69"/>
    <n v="90"/>
    <n v="70"/>
    <n v="64"/>
    <n v="69"/>
    <n v="57"/>
    <n v="0"/>
    <n v="1784343"/>
    <n v="80235.25"/>
    <n v="0"/>
    <n v="148695.25"/>
    <n v="-46.04"/>
    <n v="0"/>
  </r>
  <r>
    <s v="Торский"/>
    <x v="3"/>
    <s v="ОПЗ"/>
    <m/>
    <m/>
    <s v="Зел.Хол"/>
    <s v="Зел.Хол"/>
    <s v="Зел.Хол"/>
    <x v="56"/>
    <s v="Эвон"/>
    <m/>
    <n v="62.857142857142854"/>
    <n v="30"/>
    <n v="70"/>
    <n v="74"/>
    <n v="68"/>
    <n v="70"/>
    <n v="78"/>
    <n v="50"/>
    <n v="0"/>
    <n v="962823"/>
    <n v="80235.25"/>
    <n v="0"/>
    <n v="80235.25"/>
    <n v="0"/>
    <n v="0"/>
  </r>
  <r>
    <s v="Тульский"/>
    <x v="3"/>
    <s v="ЦПЗ"/>
    <s v="АПЗ"/>
    <m/>
    <s v="Зел.Хол"/>
    <s v="Зел.Хол"/>
    <s v="Зел.Хол"/>
    <x v="56"/>
    <s v="Эвон"/>
    <m/>
    <n v="56.857142857142854"/>
    <n v="27"/>
    <n v="58"/>
    <n v="67"/>
    <n v="63"/>
    <n v="69"/>
    <n v="73"/>
    <n v="41"/>
    <n v="0"/>
    <n v="353062"/>
    <n v="29421.833333333332"/>
    <n v="0"/>
    <n v="29421.833333333332"/>
    <n v="0"/>
    <n v="0"/>
  </r>
  <r>
    <s v="Хорст"/>
    <x v="3"/>
    <s v="ЦПЗ"/>
    <s v="ОПЗ"/>
    <m/>
    <s v="Зел.Хол"/>
    <s v="Зел.Хол"/>
    <s v="Зел.Хол"/>
    <x v="56"/>
    <s v="Эвон"/>
    <m/>
    <n v="57.285714285714285"/>
    <n v="22"/>
    <n v="67"/>
    <n v="65"/>
    <n v="60"/>
    <n v="68"/>
    <n v="75"/>
    <n v="44"/>
    <n v="0"/>
    <n v="380596"/>
    <n v="31716.333333333332"/>
    <n v="0"/>
    <n v="31716.333333333332"/>
    <n v="0"/>
    <n v="0"/>
  </r>
  <r>
    <s v="Яма Кенд"/>
    <x v="3"/>
    <s v="ЛПЗ"/>
    <s v="ОПЗ"/>
    <m/>
    <m/>
    <s v="А.Н."/>
    <s v="А.Н."/>
    <x v="56"/>
    <s v="Эвон"/>
    <m/>
    <n v="49.857142857142854"/>
    <n v="11"/>
    <n v="66"/>
    <n v="54"/>
    <n v="66"/>
    <n v="64"/>
    <n v="66"/>
    <n v="22"/>
    <n v="0"/>
    <n v="94902"/>
    <n v="7908.5"/>
    <n v="0"/>
    <n v="7908.5"/>
    <n v="0"/>
    <n v="0"/>
  </r>
  <r>
    <s v="Соколов Артём"/>
    <x v="4"/>
    <s v="Т"/>
    <m/>
    <m/>
    <m/>
    <s v="А.Н."/>
    <s v="А.Н."/>
    <x v="56"/>
    <s v="Эвон"/>
    <m/>
    <n v="65"/>
    <n v="40"/>
    <n v="70"/>
    <n v="70"/>
    <n v="75"/>
    <n v="80"/>
    <n v="80"/>
    <n v="40"/>
    <n v="0"/>
    <n v="1346275"/>
    <n v="11719.416666666666"/>
    <n v="0"/>
    <n v="112189.58333333333"/>
    <n v="-89.55"/>
    <n v="0"/>
  </r>
  <r>
    <s v="Дрейв Кайл"/>
    <x v="0"/>
    <s v="В"/>
    <m/>
    <m/>
    <m/>
    <s v="А.Н."/>
    <s v="А.Н."/>
    <x v="57"/>
    <s v="Эвон"/>
    <m/>
    <n v="70.714285714285708"/>
    <n v="38"/>
    <n v="73"/>
    <n v="74"/>
    <n v="78"/>
    <n v="82"/>
    <n v="79"/>
    <n v="71"/>
    <n v="0"/>
    <n v="3126595"/>
    <n v="260549.58333333334"/>
    <n v="0"/>
    <n v="260549.58333333334"/>
    <n v="0"/>
    <n v="0"/>
  </r>
  <r>
    <s v="Свендсен (В)"/>
    <x v="0"/>
    <s v="В"/>
    <m/>
    <m/>
    <s v="Кирп"/>
    <s v="Кирп"/>
    <s v="Кирп"/>
    <x v="57"/>
    <s v="Эвон"/>
    <m/>
    <n v="90.571428571428569"/>
    <n v="97"/>
    <n v="74"/>
    <n v="90"/>
    <n v="91"/>
    <n v="90"/>
    <n v="94"/>
    <n v="98"/>
    <n v="30"/>
    <n v="55719016"/>
    <n v="4643251.333333333"/>
    <n v="0"/>
    <n v="4643251.333333333"/>
    <n v="0"/>
    <n v="0"/>
  </r>
  <r>
    <s v="Бефф (З)"/>
    <x v="1"/>
    <s v="ЛЗ"/>
    <s v="ЦЗ"/>
    <m/>
    <s v="А.Н."/>
    <s v="А.Н."/>
    <s v="А.Н."/>
    <x v="57"/>
    <s v="Эвон"/>
    <m/>
    <n v="84.714285714285708"/>
    <n v="80"/>
    <n v="85"/>
    <n v="81"/>
    <n v="85"/>
    <n v="85"/>
    <n v="83"/>
    <n v="94"/>
    <n v="26"/>
    <n v="28553398"/>
    <n v="2379449.8333333335"/>
    <n v="0"/>
    <n v="2379449.8333333335"/>
    <n v="0"/>
    <n v="0"/>
  </r>
  <r>
    <s v="Брокк Сандер"/>
    <x v="1"/>
    <s v="ПЗ"/>
    <s v="ЦЗ"/>
    <m/>
    <m/>
    <s v="А.Н."/>
    <s v="А.Н."/>
    <x v="57"/>
    <s v="Эвон"/>
    <m/>
    <n v="72.571428571428569"/>
    <n v="42"/>
    <n v="76"/>
    <n v="81"/>
    <n v="79"/>
    <n v="77"/>
    <n v="80"/>
    <n v="73"/>
    <n v="0"/>
    <n v="4051882"/>
    <n v="337656.83333333331"/>
    <n v="0"/>
    <n v="337656.83333333331"/>
    <n v="0"/>
    <n v="0"/>
  </r>
  <r>
    <s v="Винн Оскар"/>
    <x v="1"/>
    <s v="ЦЗ"/>
    <s v="ОПЗ"/>
    <m/>
    <m/>
    <s v="А.Н."/>
    <s v="А.Н."/>
    <x v="57"/>
    <s v="Эвон"/>
    <m/>
    <n v="73"/>
    <n v="47"/>
    <n v="74"/>
    <n v="80"/>
    <n v="78"/>
    <n v="81"/>
    <n v="79"/>
    <n v="72"/>
    <n v="0"/>
    <n v="4297626"/>
    <n v="358135.5"/>
    <n v="0"/>
    <n v="358135.5"/>
    <n v="0"/>
    <n v="0"/>
  </r>
  <r>
    <s v="Знак (З)"/>
    <x v="1"/>
    <s v="ЦЗ"/>
    <s v="ПЗ"/>
    <m/>
    <s v="А.Н."/>
    <s v="А.Н."/>
    <s v="А.Н."/>
    <x v="57"/>
    <s v="Эвон"/>
    <m/>
    <n v="83.428571428571431"/>
    <n v="75"/>
    <n v="84"/>
    <n v="80"/>
    <n v="90"/>
    <n v="87"/>
    <n v="88"/>
    <n v="80"/>
    <n v="28"/>
    <n v="24504133"/>
    <n v="2042011.0833333333"/>
    <n v="0"/>
    <n v="2042011.0833333333"/>
    <n v="0"/>
    <n v="0"/>
  </r>
  <r>
    <s v="Зонд (З)"/>
    <x v="1"/>
    <s v="ЦЗ"/>
    <s v="ЛЗ"/>
    <m/>
    <s v="А.Н."/>
    <s v="А.Н."/>
    <s v="А.Н."/>
    <x v="57"/>
    <s v="Эвон"/>
    <m/>
    <n v="85.857142857142861"/>
    <n v="70"/>
    <n v="80"/>
    <n v="83"/>
    <n v="91"/>
    <n v="89"/>
    <n v="90"/>
    <n v="98"/>
    <n v="26"/>
    <n v="32647925"/>
    <n v="2720660.4166666665"/>
    <n v="0"/>
    <n v="2720660.4166666665"/>
    <n v="0"/>
    <n v="0"/>
  </r>
  <r>
    <s v="Карр Лука"/>
    <x v="1"/>
    <s v="ПЗ"/>
    <s v="ЛЗ"/>
    <m/>
    <m/>
    <s v="А.Н."/>
    <s v="А.Н."/>
    <x v="57"/>
    <s v="Эвон"/>
    <m/>
    <n v="70.714285714285708"/>
    <n v="31"/>
    <n v="77"/>
    <n v="80"/>
    <n v="79"/>
    <n v="77"/>
    <n v="81"/>
    <n v="70"/>
    <n v="0"/>
    <n v="3126595"/>
    <n v="260549.58333333334"/>
    <n v="0"/>
    <n v="260549.58333333334"/>
    <n v="0"/>
    <n v="0"/>
  </r>
  <r>
    <s v="Ноир (З)"/>
    <x v="1"/>
    <s v="ЦЗ"/>
    <s v="ОПЗ"/>
    <m/>
    <s v="А.Н."/>
    <s v="А.Н."/>
    <s v="А.Н."/>
    <x v="57"/>
    <s v="Эвон"/>
    <m/>
    <n v="86.142857142857139"/>
    <n v="80"/>
    <n v="83"/>
    <n v="90"/>
    <n v="85"/>
    <n v="85"/>
    <n v="92"/>
    <n v="88"/>
    <n v="27"/>
    <n v="33750793"/>
    <n v="2812566.0833333335"/>
    <n v="0"/>
    <n v="2812566.0833333335"/>
    <n v="0"/>
    <n v="0"/>
  </r>
  <r>
    <s v="Стелл Игор"/>
    <x v="1"/>
    <s v="ЦЗ"/>
    <s v="ПЗ"/>
    <m/>
    <m/>
    <s v="А.Н."/>
    <s v="А.Н."/>
    <x v="57"/>
    <s v="Эвон"/>
    <m/>
    <n v="72.571428571428569"/>
    <n v="44"/>
    <n v="78"/>
    <n v="79"/>
    <n v="80"/>
    <n v="78"/>
    <n v="80"/>
    <n v="69"/>
    <n v="0"/>
    <n v="4051882"/>
    <n v="337656.83333333331"/>
    <n v="0"/>
    <n v="337656.83333333331"/>
    <n v="0"/>
    <n v="0"/>
  </r>
  <r>
    <s v="Толл Мартин"/>
    <x v="1"/>
    <s v="ЛЗ"/>
    <s v="ЦЗ"/>
    <m/>
    <m/>
    <s v="А.Н."/>
    <s v="А.Н."/>
    <x v="57"/>
    <s v="Эвон"/>
    <m/>
    <n v="71.428571428571431"/>
    <n v="35"/>
    <n v="78"/>
    <n v="79"/>
    <n v="81"/>
    <n v="76"/>
    <n v="82"/>
    <n v="69"/>
    <n v="0"/>
    <n v="3457162"/>
    <n v="288096.83333333331"/>
    <n v="0"/>
    <n v="288096.83333333331"/>
    <n v="0"/>
    <n v="0"/>
  </r>
  <r>
    <s v="А.Пюник (Н)"/>
    <x v="2"/>
    <s v="ЦН"/>
    <s v="ОФ"/>
    <s v="АПЗ"/>
    <s v="А.Н."/>
    <s v="А.Н."/>
    <s v="А.Н."/>
    <x v="57"/>
    <s v="Эвон"/>
    <m/>
    <n v="88.857142857142861"/>
    <n v="85"/>
    <n v="92"/>
    <n v="95"/>
    <n v="90"/>
    <n v="87"/>
    <n v="83"/>
    <n v="90"/>
    <n v="12"/>
    <n v="46027216"/>
    <n v="3835601.3333333335"/>
    <n v="0"/>
    <n v="3835601.3333333335"/>
    <n v="0"/>
    <n v="0"/>
  </r>
  <r>
    <s v="Вилиамс (Н)"/>
    <x v="2"/>
    <s v="ЦН"/>
    <s v="ОФ"/>
    <m/>
    <s v="Кирп"/>
    <s v="Кирп"/>
    <s v="Кирп"/>
    <x v="57"/>
    <s v="Эвон"/>
    <m/>
    <n v="87"/>
    <n v="84"/>
    <n v="89"/>
    <n v="90"/>
    <n v="87"/>
    <n v="85"/>
    <n v="90"/>
    <n v="84"/>
    <n v="16"/>
    <n v="37263513"/>
    <n v="3105292.75"/>
    <n v="0"/>
    <n v="3105292.75"/>
    <n v="0"/>
    <n v="0"/>
  </r>
  <r>
    <s v="Гросс Тиль"/>
    <x v="2"/>
    <s v="ЦН"/>
    <s v="ОФ"/>
    <m/>
    <m/>
    <s v="А.Н."/>
    <s v="А.Н."/>
    <x v="57"/>
    <s v="Эвон"/>
    <m/>
    <n v="73.142857142857139"/>
    <n v="45"/>
    <n v="74"/>
    <n v="82"/>
    <n v="80"/>
    <n v="84"/>
    <n v="76"/>
    <n v="71"/>
    <n v="0"/>
    <n v="4382473"/>
    <n v="365206.08333333331"/>
    <n v="0"/>
    <n v="365206.08333333331"/>
    <n v="0"/>
    <n v="0"/>
  </r>
  <r>
    <s v="Персиваль (Н)"/>
    <x v="2"/>
    <s v="ЦН"/>
    <s v="ОФ"/>
    <s v="АПЗ"/>
    <s v="Перс"/>
    <s v="Перс"/>
    <s v="Перс"/>
    <x v="57"/>
    <s v="Эвон"/>
    <m/>
    <n v="87.428571428571431"/>
    <n v="85"/>
    <n v="90"/>
    <n v="91"/>
    <n v="84"/>
    <n v="88"/>
    <n v="86"/>
    <n v="88"/>
    <n v="5"/>
    <n v="39140384"/>
    <n v="3261698.6666666665"/>
    <n v="0"/>
    <n v="3261698.6666666665"/>
    <n v="0"/>
    <n v="0"/>
  </r>
  <r>
    <s v="Брандт Нико"/>
    <x v="3"/>
    <s v="ЦПЗ"/>
    <s v="ЛПЗ"/>
    <m/>
    <m/>
    <s v="А.Н."/>
    <s v="А.Н."/>
    <x v="57"/>
    <s v="Эвон"/>
    <m/>
    <n v="71.285714285714292"/>
    <n v="34"/>
    <n v="80"/>
    <n v="80"/>
    <n v="81"/>
    <n v="76"/>
    <n v="79"/>
    <n v="69"/>
    <n v="0"/>
    <n v="3388638"/>
    <n v="282386.5"/>
    <n v="0"/>
    <n v="282386.5"/>
    <n v="0"/>
    <n v="0"/>
  </r>
  <r>
    <s v="Гримм Феликс"/>
    <x v="3"/>
    <s v="ОПЗ"/>
    <s v="ЦПЗ"/>
    <m/>
    <m/>
    <s v="А.Н."/>
    <s v="А.Н."/>
    <x v="57"/>
    <s v="Эвон"/>
    <m/>
    <n v="74.142857142857139"/>
    <n v="39"/>
    <n v="80"/>
    <n v="84"/>
    <n v="82"/>
    <n v="81"/>
    <n v="80"/>
    <n v="73"/>
    <n v="0"/>
    <n v="5019879"/>
    <n v="418323.25"/>
    <n v="0"/>
    <n v="418323.25"/>
    <n v="0"/>
    <n v="0"/>
  </r>
  <r>
    <s v="Гюнтер (П)"/>
    <x v="3"/>
    <s v="ЦПЗ"/>
    <s v="АПЗ"/>
    <s v="ППЗ"/>
    <s v="А.Н."/>
    <s v="А.Н."/>
    <s v="А.Н."/>
    <x v="57"/>
    <s v="Эвон"/>
    <m/>
    <n v="92.142857142857139"/>
    <n v="88"/>
    <n v="87"/>
    <n v="93"/>
    <n v="99"/>
    <n v="92"/>
    <n v="90"/>
    <n v="96"/>
    <n v="17"/>
    <n v="66177142"/>
    <n v="5514761.833333333"/>
    <n v="0"/>
    <n v="5514761.833333333"/>
    <n v="0"/>
    <n v="0"/>
  </r>
  <r>
    <s v="Дада (П)"/>
    <x v="3"/>
    <s v="ЦПЗ"/>
    <s v="АПЗ"/>
    <m/>
    <s v="А.Н."/>
    <s v="А.Н."/>
    <s v="А.Н."/>
    <x v="57"/>
    <s v="Эвон"/>
    <m/>
    <n v="92.857142857142861"/>
    <n v="90"/>
    <n v="88"/>
    <n v="98"/>
    <n v="97"/>
    <n v="91"/>
    <n v="89"/>
    <n v="97"/>
    <n v="21"/>
    <n v="71489857"/>
    <n v="5957488.083333333"/>
    <n v="0"/>
    <n v="5957488.083333333"/>
    <n v="0"/>
    <n v="0"/>
  </r>
  <r>
    <s v="Дорн Ральф"/>
    <x v="3"/>
    <s v="ППЗ"/>
    <s v="АПЗ"/>
    <m/>
    <m/>
    <s v="А.Н."/>
    <s v="А.Н."/>
    <x v="57"/>
    <s v="Эвон"/>
    <m/>
    <n v="75"/>
    <n v="60"/>
    <n v="85"/>
    <n v="77"/>
    <n v="81"/>
    <n v="75"/>
    <n v="79"/>
    <n v="68"/>
    <n v="0"/>
    <n v="5631352"/>
    <n v="337656.83333333331"/>
    <n v="0"/>
    <n v="469279.33333333331"/>
    <n v="-28.05"/>
    <n v="0"/>
  </r>
  <r>
    <s v="Клосс Эмиль"/>
    <x v="3"/>
    <s v="ЛПЗ"/>
    <s v="ЦПЗ"/>
    <m/>
    <m/>
    <s v="А.Н."/>
    <s v="А.Н."/>
    <x v="57"/>
    <s v="Эвон"/>
    <m/>
    <n v="71.571428571428569"/>
    <n v="37"/>
    <n v="81"/>
    <n v="78"/>
    <n v="80"/>
    <n v="76"/>
    <n v="80"/>
    <n v="69"/>
    <n v="0"/>
    <n v="3526931"/>
    <n v="293910.91666666669"/>
    <n v="0"/>
    <n v="293910.91666666669"/>
    <n v="0"/>
    <n v="0"/>
  </r>
  <r>
    <s v="Маггиди (П)"/>
    <x v="3"/>
    <s v="ЦПЗ"/>
    <s v="ППЗ"/>
    <s v="ОПЗ"/>
    <s v="А.Н."/>
    <s v="А.Н."/>
    <s v="А.Н."/>
    <x v="57"/>
    <s v="Эвон"/>
    <m/>
    <n v="89.285714285714292"/>
    <n v="89"/>
    <n v="89"/>
    <n v="88"/>
    <n v="97"/>
    <n v="88"/>
    <n v="85"/>
    <n v="89"/>
    <n v="22"/>
    <n v="48295986"/>
    <n v="4024665.5"/>
    <n v="0"/>
    <n v="4024665.5"/>
    <n v="0"/>
    <n v="0"/>
  </r>
  <r>
    <s v="Марр Тибо"/>
    <x v="3"/>
    <s v="ЦПЗ"/>
    <s v="ППЗ"/>
    <m/>
    <m/>
    <s v="А.Н."/>
    <s v="А.Н."/>
    <x v="57"/>
    <s v="Эвон"/>
    <m/>
    <n v="73.428571428571431"/>
    <n v="41"/>
    <n v="79"/>
    <n v="83"/>
    <n v="81"/>
    <n v="80"/>
    <n v="79"/>
    <n v="71"/>
    <n v="0"/>
    <n v="4556704"/>
    <n v="379725.33333333331"/>
    <n v="0"/>
    <n v="379725.33333333331"/>
    <n v="0"/>
    <n v="0"/>
  </r>
  <r>
    <s v="Мезодич (П)"/>
    <x v="3"/>
    <s v="ЦПЗ"/>
    <s v="АПЗ"/>
    <s v="ЛПЗ"/>
    <s v="Зар"/>
    <s v="Зар"/>
    <s v="Зар"/>
    <x v="57"/>
    <s v="Эвон"/>
    <m/>
    <n v="86.714285714285708"/>
    <n v="86"/>
    <n v="82"/>
    <n v="94"/>
    <n v="90"/>
    <n v="83"/>
    <n v="85"/>
    <n v="87"/>
    <n v="1"/>
    <n v="36057680"/>
    <n v="3004806.6666666665"/>
    <n v="0"/>
    <n v="3004806.6666666665"/>
    <n v="0"/>
    <n v="0"/>
  </r>
  <r>
    <s v="Пратт Немо"/>
    <x v="3"/>
    <s v="ЦПЗ"/>
    <s v="АПЗ"/>
    <m/>
    <m/>
    <s v="А.Н."/>
    <s v="А.Н."/>
    <x v="57"/>
    <s v="Эвон"/>
    <m/>
    <n v="71"/>
    <n v="33"/>
    <n v="82"/>
    <n v="78"/>
    <n v="81"/>
    <n v="75"/>
    <n v="78"/>
    <n v="70"/>
    <n v="0"/>
    <n v="3255244"/>
    <n v="271270.33333333331"/>
    <n v="0"/>
    <n v="271270.33333333331"/>
    <n v="0"/>
    <n v="0"/>
  </r>
  <r>
    <s v="Тошич"/>
    <x v="3"/>
    <s v="ЛПЗ"/>
    <s v="ППЗ"/>
    <s v="ОПЗ"/>
    <s v="Зар"/>
    <s v="Зар"/>
    <s v="Зар"/>
    <x v="57"/>
    <s v="Эвон"/>
    <m/>
    <n v="85.571428571428569"/>
    <n v="84"/>
    <n v="95"/>
    <n v="83"/>
    <n v="88"/>
    <n v="84"/>
    <n v="80"/>
    <n v="85"/>
    <n v="23"/>
    <n v="31577598"/>
    <n v="2631466.5"/>
    <n v="0"/>
    <n v="2631466.5"/>
    <n v="0"/>
    <n v="0"/>
  </r>
  <r>
    <s v="Фальк Рюдигер"/>
    <x v="3"/>
    <s v="ППЗ"/>
    <s v="ОПЗ"/>
    <m/>
    <m/>
    <s v="А.Н."/>
    <s v="А.Н."/>
    <x v="57"/>
    <s v="Эвон"/>
    <m/>
    <n v="71.142857142857139"/>
    <n v="40"/>
    <n v="79"/>
    <n v="78"/>
    <n v="80"/>
    <n v="75"/>
    <n v="78"/>
    <n v="68"/>
    <n v="0"/>
    <n v="3321338"/>
    <n v="276778.16666666669"/>
    <n v="0"/>
    <n v="276778.16666666669"/>
    <n v="0"/>
    <n v="0"/>
  </r>
  <r>
    <s v="Штерн Юлиан"/>
    <x v="3"/>
    <s v="ОПЗ"/>
    <s v="ЦЗ"/>
    <m/>
    <m/>
    <s v="А.Н."/>
    <s v="А.Н."/>
    <x v="57"/>
    <s v="Эвон"/>
    <m/>
    <n v="73"/>
    <n v="46"/>
    <n v="81"/>
    <n v="79"/>
    <n v="80"/>
    <n v="77"/>
    <n v="78"/>
    <n v="70"/>
    <n v="0"/>
    <n v="4297626"/>
    <n v="358135.5"/>
    <n v="0"/>
    <n v="358135.5"/>
    <n v="0"/>
    <n v="0"/>
  </r>
  <r>
    <s v="Гарлун"/>
    <x v="4"/>
    <s v="Т"/>
    <m/>
    <m/>
    <m/>
    <s v="А.Н."/>
    <s v="А.Н."/>
    <x v="57"/>
    <s v="Эвон"/>
    <m/>
    <n v="83.571428571428569"/>
    <n v="80"/>
    <n v="86"/>
    <n v="85"/>
    <n v="86"/>
    <n v="83"/>
    <n v="80"/>
    <n v="85"/>
    <n v="0"/>
    <n v="16617982"/>
    <n v="1384831.8333333333"/>
    <n v="0"/>
    <n v="1384831.8333333333"/>
    <n v="0"/>
    <n v="0"/>
  </r>
  <r>
    <s v="Дорчан Рэй"/>
    <x v="0"/>
    <s v="В"/>
    <m/>
    <m/>
    <m/>
    <s v="Туркан"/>
    <s v="Туркан"/>
    <x v="58"/>
    <s v="Эвон"/>
    <m/>
    <n v="46.714285714285715"/>
    <n v="8"/>
    <n v="59"/>
    <n v="51"/>
    <n v="58"/>
    <n v="60"/>
    <n v="62"/>
    <n v="29"/>
    <n v="0"/>
    <n v="49488"/>
    <n v="4124"/>
    <n v="0"/>
    <n v="4124"/>
    <n v="0"/>
    <n v="0"/>
  </r>
  <r>
    <s v="Остичава Бон"/>
    <x v="0"/>
    <s v="В"/>
    <m/>
    <m/>
    <m/>
    <s v="Туркан"/>
    <s v="Туркан"/>
    <x v="58"/>
    <s v="Эвон"/>
    <m/>
    <n v="49.142857142857146"/>
    <n v="10"/>
    <n v="62"/>
    <n v="54"/>
    <n v="60"/>
    <n v="62"/>
    <n v="64"/>
    <n v="32"/>
    <n v="0"/>
    <n v="82150"/>
    <n v="6845.833333333333"/>
    <n v="0"/>
    <n v="6845.833333333333"/>
    <n v="0"/>
    <n v="0"/>
  </r>
  <r>
    <s v="Хавуук Остин"/>
    <x v="0"/>
    <s v="В"/>
    <m/>
    <m/>
    <m/>
    <s v="Туркан"/>
    <s v="Туркан"/>
    <x v="58"/>
    <s v="Эвон"/>
    <m/>
    <n v="47.285714285714285"/>
    <n v="8"/>
    <n v="60"/>
    <n v="53"/>
    <n v="58"/>
    <n v="60"/>
    <n v="62"/>
    <n v="30"/>
    <n v="0"/>
    <n v="55886"/>
    <n v="4657.166666666667"/>
    <n v="0"/>
    <n v="4657.166666666667"/>
    <n v="0"/>
    <n v="0"/>
  </r>
  <r>
    <s v="Корчва"/>
    <x v="1"/>
    <s v="ЦЗ"/>
    <m/>
    <m/>
    <s v="Туркан"/>
    <s v="Туркан"/>
    <s v="Туркан"/>
    <x v="58"/>
    <s v="Эвон"/>
    <m/>
    <n v="37.714285714285715"/>
    <n v="20"/>
    <n v="30"/>
    <n v="40"/>
    <n v="42"/>
    <n v="55"/>
    <n v="56"/>
    <n v="21"/>
    <n v="0"/>
    <n v="5822"/>
    <n v="485.16666666666669"/>
    <n v="0"/>
    <n v="485.16666666666669"/>
    <n v="0"/>
    <n v="0"/>
  </r>
  <r>
    <s v="Кутук Ян"/>
    <x v="1"/>
    <s v="ПЗ"/>
    <s v="ЛЗ"/>
    <m/>
    <m/>
    <s v="Туркан"/>
    <s v="Туркан"/>
    <x v="58"/>
    <s v="Эвон"/>
    <m/>
    <n v="46.857142857142854"/>
    <n v="7"/>
    <n v="60"/>
    <n v="53"/>
    <n v="58"/>
    <n v="60"/>
    <n v="62"/>
    <n v="28"/>
    <n v="0"/>
    <n v="51023"/>
    <n v="4251.916666666667"/>
    <n v="0"/>
    <n v="4251.916666666667"/>
    <n v="0"/>
    <n v="0"/>
  </r>
  <r>
    <s v="Мурзак Рой"/>
    <x v="1"/>
    <s v="ЦЗ"/>
    <s v="ЛЗ"/>
    <m/>
    <m/>
    <s v="Туркан"/>
    <s v="Туркан"/>
    <x v="58"/>
    <s v="Эвон"/>
    <m/>
    <n v="51.857142857142854"/>
    <n v="12"/>
    <n v="66"/>
    <n v="58"/>
    <n v="62"/>
    <n v="64"/>
    <n v="66"/>
    <n v="35"/>
    <n v="0"/>
    <n v="140633"/>
    <n v="11719.416666666666"/>
    <n v="0"/>
    <n v="11719.416666666666"/>
    <n v="0"/>
    <n v="0"/>
  </r>
  <r>
    <s v="Тархан Кир"/>
    <x v="1"/>
    <s v="ЛЗ"/>
    <s v="ЦЗ"/>
    <m/>
    <m/>
    <s v="Туркан"/>
    <s v="Туркан"/>
    <x v="58"/>
    <s v="Эвон"/>
    <m/>
    <n v="50.857142857142854"/>
    <n v="11"/>
    <n v="65"/>
    <n v="57"/>
    <n v="61"/>
    <n v="63"/>
    <n v="65"/>
    <n v="34"/>
    <n v="0"/>
    <n v="115750"/>
    <n v="9645.8333333333339"/>
    <n v="0"/>
    <n v="9645.8333333333339"/>
    <n v="0"/>
    <n v="0"/>
  </r>
  <r>
    <s v="Хавууе Люк"/>
    <x v="1"/>
    <s v="ЦЗ"/>
    <s v="ОПЗ"/>
    <m/>
    <m/>
    <s v="Туркан"/>
    <s v="Туркан"/>
    <x v="58"/>
    <s v="Эвон"/>
    <m/>
    <n v="43.857142857142854"/>
    <n v="6"/>
    <n v="56"/>
    <n v="49"/>
    <n v="55"/>
    <n v="57"/>
    <n v="59"/>
    <n v="25"/>
    <n v="0"/>
    <n v="26328"/>
    <n v="2194"/>
    <n v="0"/>
    <n v="2194"/>
    <n v="0"/>
    <n v="0"/>
  </r>
  <r>
    <s v="Чабак Тим"/>
    <x v="1"/>
    <s v="ПЗ"/>
    <s v="ЦЗ"/>
    <m/>
    <m/>
    <s v="Туркан"/>
    <s v="Туркан"/>
    <x v="58"/>
    <s v="Эвон"/>
    <m/>
    <n v="49.285714285714285"/>
    <n v="9"/>
    <n v="64"/>
    <n v="55"/>
    <n v="60"/>
    <n v="62"/>
    <n v="64"/>
    <n v="31"/>
    <n v="0"/>
    <n v="84569"/>
    <n v="7047.416666666667"/>
    <n v="0"/>
    <n v="7047.416666666667"/>
    <n v="0"/>
    <n v="0"/>
  </r>
  <r>
    <s v="Борчак Дан"/>
    <x v="2"/>
    <s v="ОФ"/>
    <s v="ЦН"/>
    <m/>
    <m/>
    <s v="Туркан"/>
    <s v="Туркан"/>
    <x v="58"/>
    <s v="Эвон"/>
    <m/>
    <n v="56.428571428571431"/>
    <n v="14"/>
    <n v="70"/>
    <n v="63"/>
    <n v="68"/>
    <n v="70"/>
    <n v="72"/>
    <n v="38"/>
    <n v="0"/>
    <n v="327334"/>
    <n v="27277.833333333332"/>
    <n v="0"/>
    <n v="27277.833333333332"/>
    <n v="0"/>
    <n v="0"/>
  </r>
  <r>
    <s v="Мурзак Эрл"/>
    <x v="2"/>
    <s v="ОФ"/>
    <s v="ЦН"/>
    <m/>
    <m/>
    <s v="Туркан"/>
    <s v="Туркан"/>
    <x v="58"/>
    <s v="Эвон"/>
    <m/>
    <n v="51.428571428571431"/>
    <n v="10"/>
    <n v="65"/>
    <n v="58"/>
    <n v="63"/>
    <n v="65"/>
    <n v="67"/>
    <n v="32"/>
    <n v="0"/>
    <n v="129433"/>
    <n v="10786.083333333334"/>
    <n v="0"/>
    <n v="10786.083333333334"/>
    <n v="0"/>
    <n v="0"/>
  </r>
  <r>
    <s v="Тутукун Буха"/>
    <x v="2"/>
    <s v="ЦН"/>
    <s v="ОФ"/>
    <m/>
    <s v="Туркан"/>
    <s v="Туркан"/>
    <s v="Туркан"/>
    <x v="58"/>
    <s v="Эвон"/>
    <m/>
    <n v="60.285714285714285"/>
    <n v="15"/>
    <n v="70"/>
    <n v="75"/>
    <n v="70"/>
    <n v="72"/>
    <n v="75"/>
    <n v="45"/>
    <n v="0"/>
    <n v="634081"/>
    <n v="52840.083333333336"/>
    <n v="0"/>
    <n v="52840.083333333336"/>
    <n v="0"/>
    <n v="0"/>
  </r>
  <r>
    <s v="Бахчи Мэйс"/>
    <x v="3"/>
    <s v="ЦПЗ"/>
    <s v="ОПЗ"/>
    <m/>
    <m/>
    <s v="Туркан"/>
    <s v="Туркан"/>
    <x v="58"/>
    <s v="Эвон"/>
    <m/>
    <n v="54.714285714285715"/>
    <n v="13"/>
    <n v="68"/>
    <n v="61"/>
    <n v="66"/>
    <n v="68"/>
    <n v="70"/>
    <n v="37"/>
    <n v="0"/>
    <n v="240441"/>
    <n v="20036.75"/>
    <n v="0"/>
    <n v="20036.75"/>
    <n v="0"/>
    <n v="0"/>
  </r>
  <r>
    <s v="Карачай Ирж"/>
    <x v="3"/>
    <s v="ППЗ"/>
    <s v="ЛПЗ"/>
    <m/>
    <m/>
    <s v="Туркан"/>
    <s v="Туркан"/>
    <x v="58"/>
    <s v="Эвон"/>
    <m/>
    <n v="52.571428571428569"/>
    <n v="11"/>
    <n v="66"/>
    <n v="59"/>
    <n v="64"/>
    <n v="66"/>
    <n v="68"/>
    <n v="34"/>
    <n v="0"/>
    <n v="161250"/>
    <n v="13437.5"/>
    <n v="0"/>
    <n v="13437.5"/>
    <n v="0"/>
    <n v="0"/>
  </r>
  <r>
    <s v="Корчвак Кс"/>
    <x v="3"/>
    <s v="ППЗ"/>
    <s v="АПЗ"/>
    <m/>
    <s v="Туркан"/>
    <s v="Туркан"/>
    <s v="Туркан"/>
    <x v="58"/>
    <s v="Эвон"/>
    <m/>
    <n v="59"/>
    <n v="14"/>
    <n v="68"/>
    <n v="72"/>
    <n v="70"/>
    <n v="72"/>
    <n v="74"/>
    <n v="43"/>
    <n v="0"/>
    <n v="511117"/>
    <n v="42593.083333333336"/>
    <n v="0"/>
    <n v="42593.083333333336"/>
    <n v="0"/>
    <n v="0"/>
  </r>
  <r>
    <s v="Курчак Дар"/>
    <x v="3"/>
    <s v="ОПЗ"/>
    <s v="ЦПЗ"/>
    <m/>
    <m/>
    <s v="Туркан"/>
    <s v="Туркан"/>
    <x v="58"/>
    <s v="Эвон"/>
    <m/>
    <n v="49.857142857142854"/>
    <n v="9"/>
    <n v="63"/>
    <n v="55"/>
    <n v="62"/>
    <n v="64"/>
    <n v="66"/>
    <n v="30"/>
    <n v="0"/>
    <n v="94902"/>
    <n v="7908.5"/>
    <n v="0"/>
    <n v="7908.5"/>
    <n v="0"/>
    <n v="0"/>
  </r>
  <r>
    <s v="Сарык Стан"/>
    <x v="3"/>
    <s v="ППЗ"/>
    <s v="АПЗ"/>
    <m/>
    <m/>
    <s v="Туркан"/>
    <s v="Туркан"/>
    <x v="58"/>
    <s v="Эвон"/>
    <m/>
    <n v="46.285714285714285"/>
    <n v="7"/>
    <n v="59"/>
    <n v="52"/>
    <n v="58"/>
    <n v="60"/>
    <n v="62"/>
    <n v="26"/>
    <n v="0"/>
    <n v="45131"/>
    <n v="3760.9166666666665"/>
    <n v="0"/>
    <n v="3760.9166666666665"/>
    <n v="0"/>
    <n v="0"/>
  </r>
  <r>
    <s v="Тутук Кайус"/>
    <x v="3"/>
    <s v="АПЗ"/>
    <s v="ЦПЗ"/>
    <m/>
    <m/>
    <s v="Туркан"/>
    <s v="Туркан"/>
    <x v="58"/>
    <s v="Эвон"/>
    <m/>
    <n v="44.428571428571431"/>
    <n v="6"/>
    <n v="55"/>
    <n v="49"/>
    <n v="57"/>
    <n v="59"/>
    <n v="61"/>
    <n v="24"/>
    <n v="0"/>
    <n v="29966"/>
    <n v="2497.1666666666665"/>
    <n v="0"/>
    <n v="2497.1666666666665"/>
    <n v="0"/>
    <n v="0"/>
  </r>
  <r>
    <s v="Хавуу Пол"/>
    <x v="3"/>
    <s v="ЛПЗ"/>
    <s v="ОПЗ"/>
    <m/>
    <m/>
    <s v="Туркан"/>
    <s v="Туркан"/>
    <x v="58"/>
    <s v="Эвон"/>
    <m/>
    <n v="50.857142857142854"/>
    <n v="10"/>
    <n v="64"/>
    <n v="57"/>
    <n v="62"/>
    <n v="64"/>
    <n v="66"/>
    <n v="33"/>
    <n v="0"/>
    <n v="115750"/>
    <n v="9645.8333333333339"/>
    <n v="0"/>
    <n v="9645.8333333333339"/>
    <n v="0"/>
    <n v="0"/>
  </r>
  <r>
    <s v="Тутук Элд"/>
    <x v="4"/>
    <s v="Т"/>
    <m/>
    <m/>
    <m/>
    <s v="Туркан"/>
    <s v="Туркан"/>
    <x v="58"/>
    <s v="Эвон"/>
    <m/>
    <n v="47.714285714285715"/>
    <n v="9"/>
    <n v="60"/>
    <n v="52"/>
    <n v="59"/>
    <n v="61"/>
    <n v="63"/>
    <n v="30"/>
    <n v="0"/>
    <n v="61163"/>
    <n v="5096.916666666667"/>
    <n v="0"/>
    <n v="5096.916666666667"/>
    <n v="0"/>
    <n v="0"/>
  </r>
  <r>
    <s v="Галлон"/>
    <x v="0"/>
    <s v="В"/>
    <m/>
    <m/>
    <s v="Павс"/>
    <s v="Павс"/>
    <s v="Павс"/>
    <x v="59"/>
    <s v="Эвон"/>
    <m/>
    <n v="82.571428571428569"/>
    <n v="72"/>
    <n v="70"/>
    <n v="80"/>
    <n v="100"/>
    <n v="81"/>
    <n v="80"/>
    <n v="95"/>
    <n v="31"/>
    <n v="22099846"/>
    <n v="1841653.8333333333"/>
    <n v="0"/>
    <n v="1841653.8333333333"/>
    <n v="0"/>
    <n v="0"/>
  </r>
  <r>
    <s v="Даллон Реми"/>
    <x v="0"/>
    <s v="В"/>
    <m/>
    <m/>
    <m/>
    <s v="Павс"/>
    <s v="Павс"/>
    <x v="59"/>
    <s v="Эвон"/>
    <m/>
    <n v="72.571428571428569"/>
    <n v="42"/>
    <n v="76"/>
    <n v="81"/>
    <n v="79"/>
    <n v="77"/>
    <n v="80"/>
    <n v="73"/>
    <n v="0"/>
    <n v="4051882"/>
    <n v="337656.83333333331"/>
    <n v="0"/>
    <n v="337656.83333333331"/>
    <n v="0"/>
    <n v="0"/>
  </r>
  <r>
    <s v="Ожерков (В)"/>
    <x v="0"/>
    <s v="В"/>
    <m/>
    <m/>
    <s v="Нест"/>
    <s v="Нест"/>
    <s v="Нест"/>
    <x v="59"/>
    <s v="Эвон"/>
    <m/>
    <n v="86.285714285714292"/>
    <n v="80"/>
    <n v="80"/>
    <n v="84"/>
    <n v="87"/>
    <n v="87"/>
    <n v="96"/>
    <n v="90"/>
    <n v="30"/>
    <n v="34314704"/>
    <n v="2859558.6666666665"/>
    <n v="0"/>
    <n v="2859558.6666666665"/>
    <n v="0"/>
    <n v="0"/>
  </r>
  <r>
    <s v="Али (З)"/>
    <x v="1"/>
    <s v="ПЗ"/>
    <s v="ЛЗ"/>
    <m/>
    <s v="Павс"/>
    <s v="Павс"/>
    <s v="Павс"/>
    <x v="59"/>
    <s v="Эвон"/>
    <m/>
    <n v="84.142857142857139"/>
    <n v="75"/>
    <n v="90"/>
    <n v="83"/>
    <n v="91"/>
    <n v="83"/>
    <n v="83"/>
    <n v="84"/>
    <n v="26"/>
    <n v="26684792"/>
    <n v="2223732.6666666665"/>
    <n v="0"/>
    <n v="2223732.6666666665"/>
    <n v="0"/>
    <n v="0"/>
  </r>
  <r>
    <s v="Аллин Седрик"/>
    <x v="1"/>
    <s v="ПЗ"/>
    <s v="ЛЗ"/>
    <m/>
    <m/>
    <s v="Павс"/>
    <s v="Павс"/>
    <x v="59"/>
    <s v="Эвон"/>
    <m/>
    <n v="70.714285714285708"/>
    <n v="31"/>
    <n v="77"/>
    <n v="80"/>
    <n v="79"/>
    <n v="77"/>
    <n v="81"/>
    <n v="70"/>
    <n v="0"/>
    <n v="3126595"/>
    <n v="260549.58333333334"/>
    <n v="0"/>
    <n v="260549.58333333334"/>
    <n v="0"/>
    <n v="0"/>
  </r>
  <r>
    <s v="Биотор (З)"/>
    <x v="1"/>
    <s v="ЛЗ"/>
    <s v="ПЗ"/>
    <m/>
    <s v="Павс"/>
    <s v="Эстл"/>
    <s v="Эстл"/>
    <x v="59"/>
    <s v="Эвон"/>
    <m/>
    <n v="90.428571428571431"/>
    <n v="90"/>
    <n v="91"/>
    <n v="86"/>
    <n v="90"/>
    <n v="96"/>
    <n v="87"/>
    <n v="93"/>
    <n v="26"/>
    <n v="54846379"/>
    <n v="4570531.583333333"/>
    <n v="0"/>
    <n v="4570531.583333333"/>
    <n v="0"/>
    <n v="0"/>
  </r>
  <r>
    <s v="Кеготти"/>
    <x v="1"/>
    <s v="ПЗ"/>
    <s v="ЛЗ"/>
    <s v="ЦЗ"/>
    <s v="Павс"/>
    <s v="Павс"/>
    <s v="Павс"/>
    <x v="59"/>
    <s v="Эвон"/>
    <m/>
    <n v="89"/>
    <n v="81"/>
    <n v="88"/>
    <n v="81"/>
    <n v="100"/>
    <n v="90"/>
    <n v="86"/>
    <n v="97"/>
    <n v="27"/>
    <n v="46772580"/>
    <n v="3897715"/>
    <n v="0"/>
    <n v="3897715"/>
    <n v="0"/>
    <n v="0"/>
  </r>
  <r>
    <s v="Павис Лоран"/>
    <x v="1"/>
    <s v="ЦЗ"/>
    <s v="ОПЗ"/>
    <m/>
    <m/>
    <s v="Павс"/>
    <s v="Павс"/>
    <x v="59"/>
    <s v="Эвон"/>
    <m/>
    <n v="73"/>
    <n v="47"/>
    <n v="74"/>
    <n v="80"/>
    <n v="78"/>
    <n v="81"/>
    <n v="79"/>
    <n v="72"/>
    <n v="0"/>
    <n v="4297626"/>
    <n v="358135.5"/>
    <n v="0"/>
    <n v="358135.5"/>
    <n v="0"/>
    <n v="0"/>
  </r>
  <r>
    <s v="Пафи (З)"/>
    <x v="1"/>
    <s v="ЦЗ"/>
    <s v="ПЗ"/>
    <m/>
    <s v="Павс"/>
    <s v="Павс"/>
    <s v="Павс"/>
    <x v="59"/>
    <s v="Эвон"/>
    <m/>
    <n v="85.714285714285708"/>
    <n v="77"/>
    <n v="85"/>
    <n v="85"/>
    <n v="95"/>
    <n v="81"/>
    <n v="91"/>
    <n v="86"/>
    <n v="26"/>
    <n v="32108748"/>
    <n v="2675729"/>
    <n v="0"/>
    <n v="2675729"/>
    <n v="0"/>
    <n v="0"/>
  </r>
  <r>
    <s v="Фарин Ксавье"/>
    <x v="1"/>
    <s v="ПЗ"/>
    <s v="ЦЗ"/>
    <m/>
    <m/>
    <s v="Павс"/>
    <s v="Павс"/>
    <x v="59"/>
    <s v="Эвон"/>
    <m/>
    <n v="72.571428571428569"/>
    <n v="42"/>
    <n v="76"/>
    <n v="81"/>
    <n v="79"/>
    <n v="77"/>
    <n v="80"/>
    <n v="73"/>
    <n v="0"/>
    <n v="4051882"/>
    <n v="337656.83333333331"/>
    <n v="0"/>
    <n v="337656.83333333331"/>
    <n v="0"/>
    <n v="0"/>
  </r>
  <r>
    <s v="Хуллер Тьерри"/>
    <x v="1"/>
    <s v="ЛЗ"/>
    <s v="ЦЗ"/>
    <m/>
    <m/>
    <s v="Павс"/>
    <s v="Павс"/>
    <x v="59"/>
    <s v="Эвон"/>
    <m/>
    <n v="71.428571428571431"/>
    <n v="35"/>
    <n v="78"/>
    <n v="79"/>
    <n v="81"/>
    <n v="76"/>
    <n v="82"/>
    <n v="69"/>
    <n v="0"/>
    <n v="3457162"/>
    <n v="288096.83333333331"/>
    <n v="0"/>
    <n v="288096.83333333331"/>
    <n v="0"/>
    <n v="0"/>
  </r>
  <r>
    <s v="Хусер (З)"/>
    <x v="1"/>
    <s v="ЦЗ"/>
    <s v="ЛЗ"/>
    <s v="ПЗ"/>
    <s v="Павс"/>
    <s v="Павс"/>
    <s v="Павс"/>
    <x v="59"/>
    <s v="Эвон"/>
    <m/>
    <n v="82.142857142857139"/>
    <n v="71"/>
    <n v="80"/>
    <n v="80"/>
    <n v="93"/>
    <n v="80"/>
    <n v="90"/>
    <n v="81"/>
    <n v="28"/>
    <n v="20979219"/>
    <n v="1748268.25"/>
    <n v="0"/>
    <n v="1748268.25"/>
    <n v="0"/>
    <n v="0"/>
  </r>
  <r>
    <s v="Ланна (Н)"/>
    <x v="2"/>
    <s v="ОФ"/>
    <s v="ППЗ"/>
    <m/>
    <s v="Павс"/>
    <s v="Лион"/>
    <s v="Лион"/>
    <x v="59"/>
    <s v="Эвон"/>
    <m/>
    <n v="85"/>
    <n v="83"/>
    <n v="92"/>
    <n v="83"/>
    <n v="84"/>
    <n v="84"/>
    <n v="78"/>
    <n v="91"/>
    <n v="3"/>
    <n v="29531161"/>
    <n v="2460930.0833333335"/>
    <n v="0"/>
    <n v="2460930.0833333335"/>
    <n v="0"/>
    <n v="0"/>
  </r>
  <r>
    <s v="Пафин Уго"/>
    <x v="2"/>
    <s v="ЦН"/>
    <s v="ОФ"/>
    <m/>
    <m/>
    <s v="Павс"/>
    <s v="Павс"/>
    <x v="59"/>
    <s v="Эвон"/>
    <m/>
    <n v="73.285714285714292"/>
    <n v="46"/>
    <n v="74"/>
    <n v="82"/>
    <n v="80"/>
    <n v="84"/>
    <n v="76"/>
    <n v="71"/>
    <n v="0"/>
    <n v="4468825"/>
    <n v="372402.08333333331"/>
    <n v="0"/>
    <n v="372402.08333333331"/>
    <n v="0"/>
    <n v="0"/>
  </r>
  <r>
    <s v="Т. Кушер (Н)"/>
    <x v="2"/>
    <s v="ЦН"/>
    <s v="ОФ"/>
    <m/>
    <s v="Павс"/>
    <s v="Павс"/>
    <s v="Павс"/>
    <x v="59"/>
    <s v="Эвон"/>
    <m/>
    <n v="94.142857142857139"/>
    <n v="95"/>
    <n v="91"/>
    <n v="99"/>
    <n v="98"/>
    <n v="89"/>
    <n v="94"/>
    <n v="93"/>
    <n v="7"/>
    <n v="82028545"/>
    <n v="6835712.083333333"/>
    <n v="0"/>
    <n v="6835712.083333333"/>
    <n v="0"/>
    <n v="0"/>
  </r>
  <r>
    <s v="Юлиан (Н)"/>
    <x v="2"/>
    <s v="ОФ"/>
    <s v="АПЗ"/>
    <m/>
    <s v="Юл"/>
    <s v="Юл"/>
    <s v="Юл"/>
    <x v="59"/>
    <s v="Эвон"/>
    <m/>
    <n v="91.571428571428569"/>
    <n v="91"/>
    <n v="93"/>
    <n v="90"/>
    <n v="91"/>
    <n v="97"/>
    <n v="86"/>
    <n v="93"/>
    <n v="11"/>
    <n v="62185790"/>
    <n v="5182149.166666667"/>
    <n v="0"/>
    <n v="5182149.166666667"/>
    <n v="0"/>
    <n v="0"/>
  </r>
  <r>
    <s v="Азонов (П)"/>
    <x v="3"/>
    <s v="ЦПЗ"/>
    <s v="ППЗ"/>
    <m/>
    <s v="Павс"/>
    <s v="Павс"/>
    <s v="Павс"/>
    <x v="59"/>
    <s v="Эвон"/>
    <m/>
    <n v="90.571428571428569"/>
    <n v="89"/>
    <n v="88"/>
    <n v="90"/>
    <n v="96"/>
    <n v="85"/>
    <n v="92"/>
    <n v="94"/>
    <n v="24"/>
    <n v="55719016"/>
    <n v="4643251.333333333"/>
    <n v="0"/>
    <n v="4643251.333333333"/>
    <n v="0"/>
    <n v="0"/>
  </r>
  <r>
    <s v="Азорин Фабьен"/>
    <x v="3"/>
    <s v="ЛПЗ"/>
    <s v="ЦПЗ"/>
    <m/>
    <m/>
    <s v="Павс"/>
    <s v="Павс"/>
    <x v="59"/>
    <s v="Эвон"/>
    <m/>
    <n v="73.142857142857139"/>
    <n v="48"/>
    <n v="81"/>
    <n v="78"/>
    <n v="80"/>
    <n v="76"/>
    <n v="80"/>
    <n v="69"/>
    <n v="0"/>
    <n v="4382473"/>
    <n v="365206.08333333331"/>
    <n v="0"/>
    <n v="365206.08333333331"/>
    <n v="0"/>
    <n v="0"/>
  </r>
  <r>
    <s v="Бъелло Маттео"/>
    <x v="3"/>
    <s v="ЦПЗ"/>
    <s v="АПЗ"/>
    <m/>
    <m/>
    <s v="Павс"/>
    <s v="Павс"/>
    <x v="59"/>
    <s v="Эвон"/>
    <m/>
    <n v="71.857142857142861"/>
    <n v="39"/>
    <n v="82"/>
    <n v="78"/>
    <n v="81"/>
    <n v="75"/>
    <n v="78"/>
    <n v="70"/>
    <n v="0"/>
    <n v="3670283"/>
    <n v="305856.91666666669"/>
    <n v="0"/>
    <n v="305856.91666666669"/>
    <n v="0"/>
    <n v="0"/>
  </r>
  <r>
    <s v="Бъен"/>
    <x v="3"/>
    <s v="ОПЗ"/>
    <s v="ЦПЗ"/>
    <s v="ЦЗ"/>
    <s v="Павс"/>
    <s v="Павс"/>
    <s v="Павс"/>
    <x v="59"/>
    <s v="Эвон"/>
    <m/>
    <n v="85.142857142857139"/>
    <n v="73"/>
    <n v="84"/>
    <n v="84"/>
    <n v="88"/>
    <n v="90"/>
    <n v="97"/>
    <n v="80"/>
    <n v="18"/>
    <n v="30031254"/>
    <n v="2502604.5"/>
    <n v="0"/>
    <n v="2502604.5"/>
    <n v="0"/>
    <n v="0"/>
  </r>
  <r>
    <s v="Кеффи Янис"/>
    <x v="3"/>
    <s v="ОПЗ"/>
    <s v="ЦПЗ"/>
    <m/>
    <m/>
    <s v="Павс"/>
    <s v="Павс"/>
    <x v="59"/>
    <s v="Эвон"/>
    <m/>
    <n v="74.857142857142861"/>
    <n v="44"/>
    <n v="80"/>
    <n v="84"/>
    <n v="82"/>
    <n v="81"/>
    <n v="80"/>
    <n v="73"/>
    <n v="0"/>
    <n v="5525003"/>
    <n v="460416.91666666669"/>
    <n v="0"/>
    <n v="460416.91666666669"/>
    <n v="0"/>
    <n v="0"/>
  </r>
  <r>
    <s v="Ланнис Оливье"/>
    <x v="3"/>
    <s v="ОПЗ"/>
    <s v="ЦЗ"/>
    <m/>
    <m/>
    <s v="Павс"/>
    <s v="Павс"/>
    <x v="59"/>
    <s v="Эвон"/>
    <m/>
    <n v="72.857142857142861"/>
    <n v="37"/>
    <n v="79"/>
    <n v="83"/>
    <n v="81"/>
    <n v="80"/>
    <n v="79"/>
    <n v="71"/>
    <n v="0"/>
    <n v="4214261"/>
    <n v="351188.41666666669"/>
    <n v="0"/>
    <n v="351188.41666666669"/>
    <n v="0"/>
    <n v="0"/>
  </r>
  <r>
    <s v="Сиен де Киля (П)"/>
    <x v="3"/>
    <s v="ЦПЗ"/>
    <s v="ЛПЗ"/>
    <m/>
    <s v="Павс"/>
    <s v="Павс"/>
    <s v="Павс"/>
    <x v="59"/>
    <s v="Эвон"/>
    <m/>
    <n v="91.285714285714292"/>
    <n v="90"/>
    <n v="92"/>
    <n v="90"/>
    <n v="99"/>
    <n v="83"/>
    <n v="88"/>
    <n v="97"/>
    <n v="24"/>
    <n v="60272533"/>
    <n v="5022711.083333333"/>
    <n v="0"/>
    <n v="5022711.083333333"/>
    <n v="0"/>
    <n v="0"/>
  </r>
  <r>
    <s v="Хусеро Диего"/>
    <x v="3"/>
    <s v="ЦПЗ"/>
    <s v="ППЗ"/>
    <m/>
    <m/>
    <s v="Павс"/>
    <s v="Павс"/>
    <x v="59"/>
    <s v="Эвон"/>
    <m/>
    <n v="72.285714285714292"/>
    <n v="41"/>
    <n v="81"/>
    <n v="79"/>
    <n v="80"/>
    <n v="77"/>
    <n v="78"/>
    <n v="70"/>
    <n v="0"/>
    <n v="3895156"/>
    <n v="324596.33333333331"/>
    <n v="0"/>
    <n v="324596.33333333331"/>
    <n v="0"/>
    <n v="0"/>
  </r>
  <r>
    <s v="Царрелли (П)"/>
    <x v="3"/>
    <s v="ЦПЗ"/>
    <s v="ОПЗ"/>
    <s v="ППЗ"/>
    <s v="Павс"/>
    <s v="Павс"/>
    <s v="Павс"/>
    <x v="59"/>
    <s v="Эвон"/>
    <m/>
    <n v="92.142857142857139"/>
    <n v="93"/>
    <n v="94"/>
    <n v="95"/>
    <n v="100"/>
    <n v="80"/>
    <n v="84"/>
    <n v="99"/>
    <n v="24"/>
    <n v="66177142"/>
    <n v="5514761.833333333"/>
    <n v="0"/>
    <n v="5514761.833333333"/>
    <n v="0"/>
    <n v="0"/>
  </r>
  <r>
    <s v="Юсмар Нордин"/>
    <x v="3"/>
    <s v="ППЗ"/>
    <s v="АПЗ"/>
    <m/>
    <m/>
    <s v="Павс"/>
    <s v="Павс"/>
    <x v="59"/>
    <s v="Эвон"/>
    <m/>
    <n v="70.428571428571431"/>
    <n v="33"/>
    <n v="80"/>
    <n v="77"/>
    <n v="81"/>
    <n v="75"/>
    <n v="79"/>
    <n v="68"/>
    <n v="0"/>
    <n v="3002540"/>
    <n v="250211.66666666666"/>
    <n v="0"/>
    <n v="250211.66666666666"/>
    <n v="0"/>
    <n v="0"/>
  </r>
  <r>
    <s v="Юсфил"/>
    <x v="3"/>
    <s v="ЦПЗ"/>
    <s v="АПЗ"/>
    <s v="ЛПЗ"/>
    <s v="Павс"/>
    <s v="Павс"/>
    <s v="Павс"/>
    <x v="59"/>
    <s v="Эвон"/>
    <m/>
    <n v="91.142857142857139"/>
    <n v="91"/>
    <n v="93"/>
    <n v="91"/>
    <n v="99"/>
    <n v="79"/>
    <n v="88"/>
    <n v="97"/>
    <n v="24"/>
    <n v="59335916"/>
    <n v="4944659.666666667"/>
    <n v="0"/>
    <n v="4944659.666666667"/>
    <n v="0"/>
    <n v="0"/>
  </r>
  <r>
    <s v="Ван Дер Берг Люк"/>
    <x v="0"/>
    <s v="В"/>
    <m/>
    <m/>
    <m/>
    <s v="Бел"/>
    <s v="Бел"/>
    <x v="60"/>
    <s v="Эвон"/>
    <m/>
    <n v="75"/>
    <n v="68"/>
    <n v="73"/>
    <n v="74"/>
    <n v="78"/>
    <n v="82"/>
    <n v="79"/>
    <n v="71"/>
    <n v="0"/>
    <n v="5631352"/>
    <n v="469279.33333333331"/>
    <n v="0"/>
    <n v="469279.33333333331"/>
    <n v="0"/>
    <n v="0"/>
  </r>
  <r>
    <s v="Стоялл"/>
    <x v="0"/>
    <s v="В"/>
    <m/>
    <m/>
    <s v="Вор"/>
    <s v="Вор"/>
    <s v="Вор"/>
    <x v="60"/>
    <s v="Эвон"/>
    <m/>
    <n v="86.857142857142861"/>
    <n v="80"/>
    <n v="86"/>
    <n v="85"/>
    <n v="88"/>
    <n v="92"/>
    <n v="92"/>
    <n v="85"/>
    <n v="29"/>
    <n v="36656134"/>
    <n v="3054677.8333333335"/>
    <n v="0"/>
    <n v="3054677.8333333335"/>
    <n v="0"/>
    <n v="0"/>
  </r>
  <r>
    <s v="Ван Аккер Дитер"/>
    <x v="1"/>
    <s v="ПЗ"/>
    <s v="ЛЗ"/>
    <m/>
    <m/>
    <s v="Бел"/>
    <s v="Бел"/>
    <x v="60"/>
    <s v="Эвон"/>
    <m/>
    <n v="76.142857142857139"/>
    <n v="69"/>
    <n v="77"/>
    <n v="80"/>
    <n v="79"/>
    <n v="77"/>
    <n v="81"/>
    <n v="70"/>
    <n v="0"/>
    <n v="6550761"/>
    <n v="545896.75"/>
    <n v="0"/>
    <n v="545896.75"/>
    <n v="0"/>
    <n v="0"/>
  </r>
  <r>
    <s v="Ван Хоут Рубен"/>
    <x v="1"/>
    <s v="ЛЗ"/>
    <s v="ЦЗ"/>
    <m/>
    <m/>
    <s v="Бел"/>
    <s v="Бел"/>
    <x v="60"/>
    <s v="Эвон"/>
    <m/>
    <n v="76.285714285714292"/>
    <n v="69"/>
    <n v="78"/>
    <n v="79"/>
    <n v="81"/>
    <n v="76"/>
    <n v="82"/>
    <n v="69"/>
    <n v="0"/>
    <n v="6674707"/>
    <n v="556225.58333333337"/>
    <n v="0"/>
    <n v="556225.58333333337"/>
    <n v="0"/>
    <n v="0"/>
  </r>
  <r>
    <s v="Де Врис Томас"/>
    <x v="1"/>
    <s v="ПЗ"/>
    <s v="ЦЗ"/>
    <m/>
    <m/>
    <s v="Бел"/>
    <s v="Бел"/>
    <x v="60"/>
    <s v="Эвон"/>
    <m/>
    <n v="76.857142857142861"/>
    <n v="72"/>
    <n v="76"/>
    <n v="81"/>
    <n v="79"/>
    <n v="77"/>
    <n v="80"/>
    <n v="73"/>
    <n v="0"/>
    <n v="7191879"/>
    <n v="599323.25"/>
    <n v="0"/>
    <n v="599323.25"/>
    <n v="0"/>
    <n v="0"/>
  </r>
  <r>
    <s v="Зегг (З)"/>
    <x v="1"/>
    <s v="ЦЗ"/>
    <s v="ЛЗ"/>
    <m/>
    <s v="Бел"/>
    <s v="Бел"/>
    <s v="Бел"/>
    <x v="60"/>
    <s v="Эвон"/>
    <m/>
    <n v="89.857142857142861"/>
    <n v="83"/>
    <n v="80"/>
    <n v="90"/>
    <n v="92"/>
    <n v="95"/>
    <n v="98"/>
    <n v="91"/>
    <n v="28"/>
    <n v="51477485"/>
    <n v="4289790.416666667"/>
    <n v="0"/>
    <n v="4289790.416666667"/>
    <n v="0"/>
    <n v="0"/>
  </r>
  <r>
    <s v="Клаасен Йенс"/>
    <x v="1"/>
    <s v="ЦЗ"/>
    <s v="ОПЗ"/>
    <m/>
    <m/>
    <s v="Бел"/>
    <s v="Бел"/>
    <x v="60"/>
    <s v="Эвон"/>
    <m/>
    <n v="76.285714285714292"/>
    <n v="70"/>
    <n v="74"/>
    <n v="80"/>
    <n v="78"/>
    <n v="81"/>
    <n v="79"/>
    <n v="72"/>
    <n v="0"/>
    <n v="6674707"/>
    <n v="556225.58333333337"/>
    <n v="0"/>
    <n v="556225.58333333337"/>
    <n v="0"/>
    <n v="0"/>
  </r>
  <r>
    <s v="Сурден (З)"/>
    <x v="1"/>
    <s v="ЦЗ"/>
    <s v="ПЗ"/>
    <m/>
    <s v="Своб"/>
    <s v="Своб"/>
    <s v="Своб"/>
    <x v="60"/>
    <s v="Эвон"/>
    <m/>
    <n v="84.857142857142861"/>
    <n v="80"/>
    <n v="80"/>
    <n v="86"/>
    <n v="87"/>
    <n v="88"/>
    <n v="89"/>
    <n v="84"/>
    <n v="28"/>
    <n v="29038576"/>
    <n v="2419881.3333333335"/>
    <n v="0"/>
    <n v="2419881.3333333335"/>
    <n v="0"/>
    <n v="0"/>
  </r>
  <r>
    <s v="Тольати (З)"/>
    <x v="1"/>
    <s v="ПЗ"/>
    <s v="ОПЗ"/>
    <s v="ЛЗ"/>
    <s v="Лин"/>
    <s v="Лион"/>
    <s v="Лион"/>
    <x v="60"/>
    <s v="Эвон"/>
    <m/>
    <n v="87.571428571428569"/>
    <n v="84"/>
    <n v="90"/>
    <n v="85"/>
    <n v="87"/>
    <n v="89"/>
    <n v="88"/>
    <n v="90"/>
    <n v="27"/>
    <n v="39784656"/>
    <n v="3315388"/>
    <n v="0"/>
    <n v="3315388"/>
    <n v="0"/>
    <n v="0"/>
  </r>
  <r>
    <s v="Фифельус (З)"/>
    <x v="1"/>
    <s v="ЦЗ"/>
    <s v="ПЗ"/>
    <m/>
    <s v="Бел"/>
    <s v="Бел"/>
    <s v="Бел"/>
    <x v="60"/>
    <s v="Эвон"/>
    <m/>
    <n v="85.142857142857139"/>
    <n v="73"/>
    <n v="77"/>
    <n v="83"/>
    <n v="84"/>
    <n v="94"/>
    <n v="92"/>
    <n v="93"/>
    <n v="27"/>
    <n v="30031254"/>
    <n v="2502604.5"/>
    <n v="0"/>
    <n v="2502604.5"/>
    <n v="0"/>
    <n v="0"/>
  </r>
  <r>
    <s v="Ван Хойдонк Кун"/>
    <x v="2"/>
    <s v="ЦН"/>
    <m/>
    <m/>
    <m/>
    <s v="Бел"/>
    <s v="Бел"/>
    <x v="60"/>
    <s v="Эвон"/>
    <m/>
    <n v="77.142857142857139"/>
    <n v="75"/>
    <n v="73"/>
    <n v="82"/>
    <n v="80"/>
    <n v="84"/>
    <n v="75"/>
    <n v="71"/>
    <n v="0"/>
    <n v="7463752"/>
    <n v="621979.33333333337"/>
    <n v="0"/>
    <n v="621979.33333333337"/>
    <n v="0"/>
    <n v="0"/>
  </r>
  <r>
    <s v="Де Виттер Мартен"/>
    <x v="2"/>
    <s v="ЦН"/>
    <s v="ОФ"/>
    <m/>
    <m/>
    <s v="Бел"/>
    <s v="Бел"/>
    <x v="60"/>
    <s v="Эвон"/>
    <m/>
    <n v="76.714285714285708"/>
    <n v="73"/>
    <n v="75"/>
    <n v="81"/>
    <n v="79"/>
    <n v="83"/>
    <n v="76"/>
    <n v="70"/>
    <n v="0"/>
    <n v="7059314"/>
    <n v="588276.16666666663"/>
    <n v="0"/>
    <n v="588276.16666666663"/>
    <n v="0"/>
    <n v="0"/>
  </r>
  <r>
    <s v="Дундуш (Н)"/>
    <x v="2"/>
    <s v="ЦН"/>
    <m/>
    <m/>
    <s v="Сул"/>
    <s v="Сул"/>
    <s v="Сул"/>
    <x v="60"/>
    <s v="Эвон"/>
    <m/>
    <n v="94.428571428571431"/>
    <n v="93"/>
    <n v="90"/>
    <n v="98"/>
    <n v="90"/>
    <n v="99"/>
    <n v="100"/>
    <n v="91"/>
    <n v="6"/>
    <n v="84552306"/>
    <n v="7046025.5"/>
    <n v="0"/>
    <n v="7046025.5"/>
    <n v="0"/>
    <n v="0"/>
  </r>
  <r>
    <s v="Хелиан (Н)"/>
    <x v="2"/>
    <s v="ЦН"/>
    <m/>
    <m/>
    <s v="Вал"/>
    <s v="Вал"/>
    <s v="Вал"/>
    <x v="60"/>
    <s v="Эвон"/>
    <m/>
    <n v="89.142857142857139"/>
    <n v="89"/>
    <n v="93"/>
    <n v="93"/>
    <n v="89"/>
    <n v="84"/>
    <n v="86"/>
    <n v="90"/>
    <n v="5"/>
    <n v="47528790"/>
    <n v="3960732.5"/>
    <n v="0"/>
    <n v="3960732.5"/>
    <n v="0"/>
    <n v="0"/>
  </r>
  <r>
    <s v="Барадюзю (П)"/>
    <x v="3"/>
    <s v="ЦПЗ"/>
    <s v="ППЗ"/>
    <m/>
    <s v="Сул"/>
    <s v="Сул"/>
    <s v="Сул"/>
    <x v="60"/>
    <s v="Эвон"/>
    <m/>
    <n v="92.857142857142861"/>
    <n v="89"/>
    <n v="89"/>
    <n v="96"/>
    <n v="98"/>
    <n v="90"/>
    <n v="92"/>
    <n v="96"/>
    <n v="17"/>
    <n v="71489857"/>
    <n v="5957488.083333333"/>
    <n v="0"/>
    <n v="5957488.083333333"/>
    <n v="0"/>
    <n v="0"/>
  </r>
  <r>
    <s v="Ван Бюрен Хендрик"/>
    <x v="3"/>
    <s v="ОПЗ"/>
    <s v="ЦЗ"/>
    <m/>
    <m/>
    <s v="Бел"/>
    <s v="Бел"/>
    <x v="60"/>
    <s v="Эвон"/>
    <m/>
    <n v="78"/>
    <n v="73"/>
    <n v="79"/>
    <n v="83"/>
    <n v="81"/>
    <n v="80"/>
    <n v="79"/>
    <n v="71"/>
    <n v="0"/>
    <n v="8335776"/>
    <n v="694648"/>
    <n v="0"/>
    <n v="694648"/>
    <n v="0"/>
    <n v="0"/>
  </r>
  <r>
    <s v="Ван Гоо Барт"/>
    <x v="3"/>
    <s v="ЦПЗ"/>
    <s v="АПЗ"/>
    <m/>
    <m/>
    <s v="Бел"/>
    <s v="Бел"/>
    <x v="60"/>
    <s v="Эвон"/>
    <m/>
    <n v="76.714285714285708"/>
    <n v="73"/>
    <n v="82"/>
    <n v="78"/>
    <n v="81"/>
    <n v="75"/>
    <n v="78"/>
    <n v="70"/>
    <n v="0"/>
    <n v="7059314"/>
    <n v="588276.16666666663"/>
    <n v="0"/>
    <n v="588276.16666666663"/>
    <n v="0"/>
    <n v="0"/>
  </r>
  <r>
    <s v="Веркаутерен Йос"/>
    <x v="3"/>
    <s v="ППЗ"/>
    <s v="АПЗ"/>
    <m/>
    <m/>
    <s v="Бел"/>
    <s v="Бел"/>
    <x v="60"/>
    <s v="Эвон"/>
    <m/>
    <n v="75.571428571428569"/>
    <n v="69"/>
    <n v="80"/>
    <n v="77"/>
    <n v="81"/>
    <n v="75"/>
    <n v="79"/>
    <n v="68"/>
    <n v="0"/>
    <n v="6075421"/>
    <n v="506285.08333333331"/>
    <n v="0"/>
    <n v="506285.08333333331"/>
    <n v="0"/>
    <n v="0"/>
  </r>
  <r>
    <s v="Витчер "/>
    <x v="3"/>
    <s v="ЦПЗ"/>
    <s v="ЛПЗ"/>
    <s v="АПЗ"/>
    <s v="Сар"/>
    <s v="Сар"/>
    <s v="Сар"/>
    <x v="60"/>
    <s v="Эвон"/>
    <m/>
    <n v="91.714285714285708"/>
    <n v="93"/>
    <n v="93"/>
    <n v="90"/>
    <n v="96"/>
    <n v="88"/>
    <n v="90"/>
    <n v="92"/>
    <n v="10"/>
    <n v="63162766"/>
    <n v="5263563.833333333"/>
    <n v="0"/>
    <n v="5263563.833333333"/>
    <n v="0"/>
    <n v="0"/>
  </r>
  <r>
    <s v="Далворт (П)"/>
    <x v="3"/>
    <s v="ЦПЗ"/>
    <s v="АПЗ"/>
    <m/>
    <s v="Бел"/>
    <s v="Бел"/>
    <s v="Бел"/>
    <x v="60"/>
    <s v="Эвон"/>
    <m/>
    <n v="88.571428571428569"/>
    <n v="88"/>
    <n v="89"/>
    <n v="90"/>
    <n v="88"/>
    <n v="88"/>
    <n v="91"/>
    <n v="86"/>
    <n v="24"/>
    <n v="44568473"/>
    <n v="3714039.4166666665"/>
    <n v="0"/>
    <n v="3714039.4166666665"/>
    <n v="0"/>
    <n v="0"/>
  </r>
  <r>
    <s v="Де Клерк Свен"/>
    <x v="3"/>
    <s v="ОПЗ"/>
    <s v="ЦПЗ"/>
    <m/>
    <m/>
    <s v="Бел"/>
    <s v="Бел"/>
    <x v="60"/>
    <s v="Эвон"/>
    <m/>
    <n v="79.142857142857139"/>
    <n v="74"/>
    <n v="80"/>
    <n v="84"/>
    <n v="82"/>
    <n v="81"/>
    <n v="80"/>
    <n v="73"/>
    <n v="0"/>
    <n v="9640893"/>
    <n v="803407.75"/>
    <n v="0"/>
    <n v="803407.75"/>
    <n v="0"/>
    <n v="0"/>
  </r>
  <r>
    <s v="Де Мол Яспер"/>
    <x v="3"/>
    <s v="ЛПЗ"/>
    <s v="ЦПЗ"/>
    <m/>
    <m/>
    <s v="Бел"/>
    <s v="Бел"/>
    <x v="60"/>
    <s v="Эвон"/>
    <m/>
    <n v="76.571428571428569"/>
    <n v="72"/>
    <n v="81"/>
    <n v="78"/>
    <n v="80"/>
    <n v="76"/>
    <n v="80"/>
    <n v="69"/>
    <n v="0"/>
    <n v="6928952"/>
    <n v="577412.66666666663"/>
    <n v="0"/>
    <n v="577412.66666666663"/>
    <n v="0"/>
    <n v="0"/>
  </r>
  <r>
    <s v="Дульстранг (П)"/>
    <x v="3"/>
    <s v="ЦПЗ"/>
    <s v="ОПЗ"/>
    <s v="ППЗ"/>
    <s v="Бел"/>
    <s v="Бел"/>
    <s v="Бел"/>
    <x v="60"/>
    <s v="Эвон"/>
    <m/>
    <n v="96.285714285714292"/>
    <n v="95"/>
    <n v="94"/>
    <n v="100"/>
    <n v="99"/>
    <n v="95"/>
    <n v="94"/>
    <n v="97"/>
    <n v="10"/>
    <n v="102732966"/>
    <n v="8561080.5"/>
    <n v="0"/>
    <n v="8561080.5"/>
    <n v="0"/>
    <n v="0"/>
  </r>
  <r>
    <s v="Люсье (П)"/>
    <x v="3"/>
    <s v="АПЗ"/>
    <s v="ЦПЗ"/>
    <m/>
    <s v="Вал"/>
    <s v="Вал"/>
    <s v="Вал"/>
    <x v="60"/>
    <s v="Эвон"/>
    <m/>
    <n v="88.428571428571431"/>
    <n v="90"/>
    <n v="98"/>
    <n v="99"/>
    <n v="84"/>
    <n v="85"/>
    <n v="81"/>
    <n v="82"/>
    <n v="1"/>
    <n v="43854822"/>
    <n v="3654568.5"/>
    <n v="0"/>
    <n v="3654568.5"/>
    <n v="0"/>
    <n v="0"/>
  </r>
  <r>
    <s v="Пишелли (П)"/>
    <x v="3"/>
    <s v="ЦПЗ"/>
    <s v="ОПЗ"/>
    <s v="АПЗ"/>
    <s v="Ост"/>
    <s v="Ост"/>
    <s v="Ост"/>
    <x v="60"/>
    <s v="Эвон"/>
    <m/>
    <n v="88.571428571428569"/>
    <n v="85"/>
    <n v="86"/>
    <n v="90"/>
    <n v="96"/>
    <n v="90"/>
    <n v="80"/>
    <n v="93"/>
    <n v="24"/>
    <n v="44568473"/>
    <n v="3714039.4166666665"/>
    <n v="0"/>
    <n v="3714039.4166666665"/>
    <n v="0"/>
    <n v="0"/>
  </r>
  <r>
    <s v="Фальшер (П)"/>
    <x v="3"/>
    <s v="АПЗ"/>
    <s v="ППЗ"/>
    <s v="ЛПЗ"/>
    <s v="Ост"/>
    <s v="Ост"/>
    <s v="Ост"/>
    <x v="60"/>
    <s v="Эвон"/>
    <m/>
    <n v="89.142857142857139"/>
    <n v="86"/>
    <n v="84"/>
    <n v="95"/>
    <n v="89"/>
    <n v="94"/>
    <n v="91"/>
    <n v="85"/>
    <n v="1"/>
    <n v="47528790"/>
    <n v="3960732.5"/>
    <n v="0"/>
    <n v="3960732.5"/>
    <n v="0"/>
    <n v="0"/>
  </r>
  <r>
    <s v="Гройшер"/>
    <x v="4"/>
    <s v="Т"/>
    <m/>
    <m/>
    <m/>
    <s v="Бел"/>
    <s v="Бел"/>
    <x v="60"/>
    <s v="Эвон"/>
    <m/>
    <n v="84"/>
    <n v="74"/>
    <n v="85"/>
    <n v="85"/>
    <n v="88"/>
    <n v="85"/>
    <n v="88"/>
    <n v="83"/>
    <n v="0"/>
    <n v="17490123"/>
    <n v="1457510.25"/>
    <n v="0"/>
    <n v="1457510.25"/>
    <n v="0"/>
    <n v="0"/>
  </r>
  <r>
    <s v="Варченко Игорь"/>
    <x v="0"/>
    <s v="В"/>
    <m/>
    <m/>
    <m/>
    <s v="В.И."/>
    <s v="В.И."/>
    <x v="61"/>
    <s v="Эвон"/>
    <m/>
    <n v="72.857142857142861"/>
    <n v="29"/>
    <n v="78"/>
    <n v="82"/>
    <n v="86"/>
    <n v="88"/>
    <n v="92"/>
    <n v="55"/>
    <n v="0"/>
    <n v="4214261"/>
    <n v="351188.41666666669"/>
    <n v="0"/>
    <n v="351188.41666666669"/>
    <n v="0"/>
    <n v="0"/>
  </r>
  <r>
    <s v="Шогин"/>
    <x v="0"/>
    <s v="В"/>
    <m/>
    <m/>
    <s v="Черлесск"/>
    <s v="Черлесск"/>
    <s v="Черлесск"/>
    <x v="61"/>
    <s v="Эвон"/>
    <m/>
    <n v="68.714285714285708"/>
    <n v="50"/>
    <n v="70"/>
    <n v="70"/>
    <n v="69"/>
    <n v="72"/>
    <n v="90"/>
    <n v="60"/>
    <n v="0"/>
    <n v="2346770"/>
    <n v="96076.833333333328"/>
    <n v="0"/>
    <n v="195564.16666666666"/>
    <n v="-50.87"/>
    <n v="0"/>
  </r>
  <r>
    <s v="Актуба"/>
    <x v="1"/>
    <s v="ЦЗ"/>
    <s v="ПЗ"/>
    <m/>
    <s v="Нумб"/>
    <s v="Нумб"/>
    <s v="Нумб"/>
    <x v="61"/>
    <s v="Эвон"/>
    <m/>
    <n v="72.142857142857139"/>
    <n v="40"/>
    <n v="70"/>
    <n v="84"/>
    <n v="70"/>
    <n v="78"/>
    <n v="93"/>
    <n v="70"/>
    <n v="0"/>
    <n v="3818857"/>
    <n v="318238.08333333331"/>
    <n v="0"/>
    <n v="318238.08333333331"/>
    <n v="0"/>
    <n v="0"/>
  </r>
  <r>
    <s v="Горват Милан"/>
    <x v="1"/>
    <s v="ЦЗ"/>
    <s v="ПЗ"/>
    <m/>
    <m/>
    <s v="В.И."/>
    <s v="В.И."/>
    <x v="61"/>
    <s v="Эвон"/>
    <m/>
    <n v="66.571428571428569"/>
    <n v="23"/>
    <n v="75"/>
    <n v="68"/>
    <n v="82"/>
    <n v="83"/>
    <n v="87"/>
    <n v="48"/>
    <n v="0"/>
    <n v="1709539"/>
    <n v="142461.58333333334"/>
    <n v="0"/>
    <n v="142461.58333333334"/>
    <n v="0"/>
    <n v="0"/>
  </r>
  <r>
    <s v="Гот"/>
    <x v="1"/>
    <s v="ЦЗ"/>
    <m/>
    <m/>
    <s v="Шах"/>
    <s v="Шах"/>
    <s v="Шах"/>
    <x v="61"/>
    <s v="Эвон"/>
    <m/>
    <n v="79.142857142857139"/>
    <n v="70"/>
    <n v="70"/>
    <n v="84"/>
    <n v="82"/>
    <n v="82"/>
    <n v="96"/>
    <n v="70"/>
    <n v="0"/>
    <n v="9640893"/>
    <n v="803407.75"/>
    <n v="0"/>
    <n v="803407.75"/>
    <n v="0"/>
    <n v="0"/>
  </r>
  <r>
    <s v="Зборовский Ян"/>
    <x v="1"/>
    <s v="ЦЗ"/>
    <s v="ОПЗ"/>
    <m/>
    <m/>
    <s v="В.И."/>
    <s v="В.И."/>
    <x v="61"/>
    <s v="Эвон"/>
    <m/>
    <n v="71.285714285714292"/>
    <n v="34"/>
    <n v="80"/>
    <n v="74"/>
    <n v="84"/>
    <n v="86"/>
    <n v="90"/>
    <n v="51"/>
    <n v="0"/>
    <n v="3388638"/>
    <n v="282386.5"/>
    <n v="0"/>
    <n v="282386.5"/>
    <n v="0"/>
    <n v="0"/>
  </r>
  <r>
    <s v="Кабута Атти"/>
    <x v="1"/>
    <s v="ЦЗ"/>
    <m/>
    <m/>
    <m/>
    <s v="В.И."/>
    <s v="В.И."/>
    <x v="61"/>
    <s v="Эвон"/>
    <m/>
    <n v="68.142857142857139"/>
    <n v="26"/>
    <n v="78"/>
    <n v="70"/>
    <n v="80"/>
    <n v="85"/>
    <n v="88"/>
    <n v="50"/>
    <n v="0"/>
    <n v="2158756"/>
    <n v="179896.33333333334"/>
    <n v="0"/>
    <n v="179896.33333333334"/>
    <n v="0"/>
    <n v="0"/>
  </r>
  <r>
    <s v="Кривой"/>
    <x v="1"/>
    <s v="ЦЗ"/>
    <m/>
    <m/>
    <s v="Туркан"/>
    <s v="В.И."/>
    <s v="В.И."/>
    <x v="61"/>
    <s v="Эвон"/>
    <m/>
    <n v="76.857142857142861"/>
    <n v="65"/>
    <n v="70"/>
    <n v="78"/>
    <n v="80"/>
    <n v="81"/>
    <n v="91"/>
    <n v="73"/>
    <n v="0"/>
    <n v="7191879"/>
    <n v="599323.25"/>
    <n v="0"/>
    <n v="599323.25"/>
    <n v="0"/>
    <n v="0"/>
  </r>
  <r>
    <s v="Флайфио"/>
    <x v="1"/>
    <s v="ЦЗ"/>
    <m/>
    <m/>
    <s v="В.И."/>
    <s v="В.И."/>
    <s v="В.И."/>
    <x v="61"/>
    <s v="Эвон"/>
    <m/>
    <n v="79.857142857142861"/>
    <n v="70"/>
    <n v="70"/>
    <n v="92"/>
    <n v="72"/>
    <n v="85"/>
    <n v="90"/>
    <n v="80"/>
    <n v="26"/>
    <n v="15820819"/>
    <n v="1318401.5833333333"/>
    <n v="0"/>
    <n v="1318401.5833333333"/>
    <n v="0"/>
    <n v="0"/>
  </r>
  <r>
    <s v="Штайгер Курт"/>
    <x v="1"/>
    <s v="ЦЗ"/>
    <s v="ОПЗ"/>
    <m/>
    <m/>
    <s v="В.И."/>
    <s v="В.И."/>
    <x v="61"/>
    <s v="Эвон"/>
    <m/>
    <n v="68.142857142857139"/>
    <n v="26"/>
    <n v="78"/>
    <n v="70"/>
    <n v="80"/>
    <n v="85"/>
    <n v="88"/>
    <n v="50"/>
    <n v="0"/>
    <n v="2158756"/>
    <n v="179896.33333333334"/>
    <n v="0"/>
    <n v="179896.33333333334"/>
    <n v="0"/>
    <n v="0"/>
  </r>
  <r>
    <s v="Бьянки Марко"/>
    <x v="2"/>
    <s v="ЦН"/>
    <s v="АПЗ"/>
    <m/>
    <m/>
    <s v="В.И."/>
    <s v="В.И."/>
    <x v="61"/>
    <s v="Эвон"/>
    <m/>
    <n v="70.142857142857139"/>
    <n v="25"/>
    <n v="79"/>
    <n v="80"/>
    <n v="81"/>
    <n v="86"/>
    <n v="88"/>
    <n v="52"/>
    <n v="0"/>
    <n v="2882933"/>
    <n v="240244.41666666666"/>
    <n v="0"/>
    <n v="240244.41666666666"/>
    <n v="0"/>
    <n v="0"/>
  </r>
  <r>
    <s v="Варон"/>
    <x v="2"/>
    <s v="ЦН"/>
    <s v="АПЗ"/>
    <m/>
    <s v="Ост"/>
    <s v="Ост"/>
    <s v="Ост"/>
    <x v="61"/>
    <s v="Эвон"/>
    <m/>
    <n v="78.285714285714292"/>
    <n v="65"/>
    <n v="77"/>
    <n v="85"/>
    <n v="79"/>
    <n v="90"/>
    <n v="92"/>
    <n v="60"/>
    <n v="6"/>
    <n v="12969298"/>
    <n v="1080774.8333333333"/>
    <n v="0"/>
    <n v="1080774.8333333333"/>
    <n v="0"/>
    <n v="0"/>
  </r>
  <r>
    <s v="Дельгадо Рауль"/>
    <x v="2"/>
    <s v="ЦН"/>
    <s v="ОФ"/>
    <m/>
    <m/>
    <s v="В.И."/>
    <s v="В.И."/>
    <x v="61"/>
    <s v="Эвон"/>
    <m/>
    <n v="75.142857142857139"/>
    <n v="37"/>
    <n v="85"/>
    <n v="84"/>
    <n v="83"/>
    <n v="89"/>
    <n v="91"/>
    <n v="57"/>
    <n v="0"/>
    <n v="5739540"/>
    <n v="478295"/>
    <n v="0"/>
    <n v="478295"/>
    <n v="0"/>
    <n v="0"/>
  </r>
  <r>
    <s v="Оби (Н)"/>
    <x v="2"/>
    <s v="ЦН"/>
    <m/>
    <m/>
    <s v="Мал"/>
    <s v="Мель"/>
    <s v="Мель"/>
    <x v="61"/>
    <s v="Эвон"/>
    <m/>
    <n v="78.714285714285708"/>
    <n v="76"/>
    <n v="85"/>
    <n v="82"/>
    <n v="78"/>
    <n v="82"/>
    <n v="76"/>
    <n v="72"/>
    <n v="7"/>
    <n v="13697044"/>
    <n v="1141420.3333333333"/>
    <n v="0"/>
    <n v="1141420.3333333333"/>
    <n v="0"/>
    <n v="0"/>
  </r>
  <r>
    <s v="Анардо (П)"/>
    <x v="3"/>
    <s v="ЛПЗ"/>
    <s v="ППЗ"/>
    <m/>
    <s v="Мал"/>
    <s v="В.И."/>
    <s v="В.И."/>
    <x v="61"/>
    <s v="Эвон"/>
    <m/>
    <n v="73.571428571428569"/>
    <n v="50"/>
    <n v="90"/>
    <n v="76"/>
    <n v="80"/>
    <n v="73"/>
    <n v="78"/>
    <n v="68"/>
    <n v="0"/>
    <n v="4646136"/>
    <n v="387178"/>
    <n v="0"/>
    <n v="387178"/>
    <n v="0"/>
    <n v="0"/>
  </r>
  <r>
    <s v="Гульсич (П)"/>
    <x v="3"/>
    <s v="ЦПЗ"/>
    <s v="АПЗ"/>
    <m/>
    <s v="Лес"/>
    <s v="Лес"/>
    <s v="Лес"/>
    <x v="61"/>
    <s v="Эвон"/>
    <m/>
    <n v="84.571428571428569"/>
    <n v="80"/>
    <n v="83"/>
    <n v="91"/>
    <n v="86"/>
    <n v="84"/>
    <n v="85"/>
    <n v="83"/>
    <n v="21"/>
    <n v="28075528"/>
    <n v="2339627.3333333335"/>
    <n v="0"/>
    <n v="2339627.3333333335"/>
    <n v="0"/>
    <n v="0"/>
  </r>
  <r>
    <s v="Дюбуа Луи"/>
    <x v="3"/>
    <s v="ЛПЗ"/>
    <s v="ОПЗ"/>
    <m/>
    <s v="Орех"/>
    <s v="Орех"/>
    <s v="Орех"/>
    <x v="61"/>
    <s v="Эвон"/>
    <m/>
    <n v="68.285714285714292"/>
    <n v="22"/>
    <n v="86"/>
    <n v="70"/>
    <n v="82"/>
    <n v="84"/>
    <n v="85"/>
    <n v="49"/>
    <n v="0"/>
    <n v="2204442"/>
    <n v="183703.5"/>
    <n v="0"/>
    <n v="183703.5"/>
    <n v="0"/>
    <n v="0"/>
  </r>
  <r>
    <s v="Лэммис Колин"/>
    <x v="3"/>
    <s v="ЦПЗ"/>
    <s v="АПЗ"/>
    <m/>
    <m/>
    <s v="В.И."/>
    <s v="В.И."/>
    <x v="61"/>
    <s v="Эвон"/>
    <m/>
    <n v="72.857142857142861"/>
    <n v="33"/>
    <n v="81"/>
    <n v="78"/>
    <n v="88"/>
    <n v="89"/>
    <n v="87"/>
    <n v="54"/>
    <n v="0"/>
    <n v="4214261"/>
    <n v="351188.41666666669"/>
    <n v="0"/>
    <n v="351188.41666666669"/>
    <n v="0"/>
    <n v="0"/>
  </r>
  <r>
    <s v="Мизель (П)"/>
    <x v="3"/>
    <s v="ОПЗ"/>
    <s v="ЦПЗ"/>
    <s v="ЦЗ"/>
    <s v="Мох"/>
    <s v="Мох"/>
    <s v="Мох"/>
    <x v="61"/>
    <s v="Эвон"/>
    <m/>
    <n v="74"/>
    <n v="69"/>
    <n v="71"/>
    <n v="82"/>
    <n v="73"/>
    <n v="83"/>
    <n v="76"/>
    <n v="64"/>
    <n v="0"/>
    <n v="4923991"/>
    <n v="410332.58333333331"/>
    <n v="0"/>
    <n v="410332.58333333331"/>
    <n v="0"/>
    <n v="0"/>
  </r>
  <r>
    <s v="Петров (П)"/>
    <x v="3"/>
    <s v="ОПЗ"/>
    <s v="ЦЗ"/>
    <s v="ЦПЗ"/>
    <s v="Мал"/>
    <s v="В.И."/>
    <s v="В.И."/>
    <x v="61"/>
    <s v="Эвон"/>
    <m/>
    <n v="85.142857142857139"/>
    <n v="65"/>
    <n v="84"/>
    <n v="91"/>
    <n v="92"/>
    <n v="93"/>
    <n v="90"/>
    <n v="81"/>
    <n v="25"/>
    <n v="30031254"/>
    <n v="2502604.5"/>
    <n v="0"/>
    <n v="2502604.5"/>
    <n v="0"/>
    <n v="0"/>
  </r>
  <r>
    <s v="Смит Томас"/>
    <x v="3"/>
    <s v="ППЗ"/>
    <s v="АПЗ"/>
    <m/>
    <m/>
    <s v="В.И."/>
    <s v="В.И."/>
    <x v="61"/>
    <s v="Эвон"/>
    <m/>
    <n v="66.428571428571431"/>
    <n v="21"/>
    <n v="88"/>
    <n v="66"/>
    <n v="80"/>
    <n v="81"/>
    <n v="83"/>
    <n v="46"/>
    <n v="0"/>
    <n v="1673205"/>
    <n v="139433.75"/>
    <n v="0"/>
    <n v="139433.75"/>
    <n v="0"/>
    <n v="0"/>
  </r>
  <r>
    <s v="Георигий Зуб"/>
    <x v="4"/>
    <s v="Т"/>
    <m/>
    <m/>
    <m/>
    <s v="Черлесск"/>
    <s v="Черлесск"/>
    <x v="61"/>
    <s v="Эвон"/>
    <m/>
    <n v="79.857142857142861"/>
    <n v="80"/>
    <n v="83"/>
    <n v="75"/>
    <n v="76"/>
    <n v="89"/>
    <n v="96"/>
    <n v="60"/>
    <n v="0"/>
    <n v="10547213"/>
    <n v="878934.41666666663"/>
    <n v="0"/>
    <n v="878934.41666666663"/>
    <n v="0"/>
    <n v="0"/>
  </r>
  <r>
    <s v="Альфон (В)"/>
    <x v="0"/>
    <s v="В"/>
    <m/>
    <m/>
    <s v="Мох"/>
    <s v="Мох"/>
    <s v="Мох"/>
    <x v="62"/>
    <s v="Эвон"/>
    <m/>
    <n v="74.571428571428569"/>
    <n v="62"/>
    <n v="70"/>
    <n v="80"/>
    <n v="74"/>
    <n v="83"/>
    <n v="81"/>
    <n v="72"/>
    <n v="0"/>
    <n v="5317710"/>
    <n v="443142.5"/>
    <n v="0"/>
    <n v="443142.5"/>
    <n v="0"/>
    <n v="0"/>
  </r>
  <r>
    <s v="Мендоса Алонсо"/>
    <x v="0"/>
    <s v="В"/>
    <m/>
    <m/>
    <m/>
    <s v="В.И."/>
    <s v="В.И."/>
    <x v="62"/>
    <s v="Эвон"/>
    <m/>
    <n v="70.285714285714292"/>
    <n v="31"/>
    <n v="76"/>
    <n v="80"/>
    <n v="83"/>
    <n v="86"/>
    <n v="87"/>
    <n v="49"/>
    <n v="0"/>
    <n v="2942190"/>
    <n v="245182.5"/>
    <n v="0"/>
    <n v="245182.5"/>
    <n v="0"/>
    <n v="0"/>
  </r>
  <r>
    <s v="Аль-варис (З)"/>
    <x v="1"/>
    <s v="ЦЗ"/>
    <m/>
    <m/>
    <s v="Мал"/>
    <s v="В.И."/>
    <s v="В.И."/>
    <x v="62"/>
    <s v="Эвон"/>
    <m/>
    <n v="70.285714285714292"/>
    <n v="50"/>
    <n v="70"/>
    <n v="71"/>
    <n v="73"/>
    <n v="78"/>
    <n v="80"/>
    <n v="70"/>
    <n v="0"/>
    <n v="2942190"/>
    <n v="245182.5"/>
    <n v="0"/>
    <n v="245182.5"/>
    <n v="0"/>
    <n v="0"/>
  </r>
  <r>
    <s v="Варгаш Тадеуш"/>
    <x v="1"/>
    <s v="ЦЗ"/>
    <s v="ЛЗ"/>
    <m/>
    <m/>
    <s v="В.И."/>
    <s v="В.И."/>
    <x v="62"/>
    <s v="Эвон"/>
    <m/>
    <n v="75.857142857142861"/>
    <n v="37"/>
    <n v="87"/>
    <n v="82"/>
    <n v="88"/>
    <n v="90"/>
    <n v="91"/>
    <n v="56"/>
    <n v="0"/>
    <n v="6309063"/>
    <n v="525755.25"/>
    <n v="0"/>
    <n v="525755.25"/>
    <n v="0"/>
    <n v="0"/>
  </r>
  <r>
    <s v="Маттеос Дубон"/>
    <x v="1"/>
    <s v="ЦЗ"/>
    <m/>
    <m/>
    <m/>
    <s v="В.И."/>
    <s v="В.И."/>
    <x v="62"/>
    <s v="Эвон"/>
    <m/>
    <n v="59.142857142857146"/>
    <n v="20"/>
    <n v="67"/>
    <n v="68"/>
    <n v="71"/>
    <n v="75"/>
    <n v="79"/>
    <n v="34"/>
    <n v="0"/>
    <n v="523629"/>
    <n v="43635.75"/>
    <n v="0"/>
    <n v="43635.75"/>
    <n v="0"/>
    <n v="0"/>
  </r>
  <r>
    <s v="Лундквист Оле"/>
    <x v="1"/>
    <s v="ЦЗ"/>
    <m/>
    <m/>
    <m/>
    <s v="В.И."/>
    <s v="В.И."/>
    <x v="62"/>
    <s v="Эвон"/>
    <m/>
    <n v="64.285714285714292"/>
    <n v="23"/>
    <n v="73"/>
    <n v="74"/>
    <n v="77"/>
    <n v="80"/>
    <n v="83"/>
    <n v="40"/>
    <n v="0"/>
    <n v="1205438"/>
    <n v="100453.16666666667"/>
    <n v="0"/>
    <n v="100453.16666666667"/>
    <n v="0"/>
    <n v="0"/>
  </r>
  <r>
    <s v="Штернберг Кай"/>
    <x v="1"/>
    <s v="ЦЗ"/>
    <s v="ОПЗ"/>
    <m/>
    <m/>
    <s v="В.И."/>
    <s v="В.И."/>
    <x v="62"/>
    <s v="Эвон"/>
    <m/>
    <n v="67.142857142857139"/>
    <n v="25"/>
    <n v="74"/>
    <n v="78"/>
    <n v="81"/>
    <n v="84"/>
    <n v="86"/>
    <n v="42"/>
    <n v="0"/>
    <n v="1862080"/>
    <n v="155173.33333333334"/>
    <n v="0"/>
    <n v="155173.33333333334"/>
    <n v="0"/>
    <n v="0"/>
  </r>
  <r>
    <s v="Вагуе (Н)"/>
    <x v="2"/>
    <s v="ЦН"/>
    <s v="ОФ"/>
    <s v="АПЗ"/>
    <s v="Кут"/>
    <s v="Кут"/>
    <s v="Кут"/>
    <x v="62"/>
    <s v="Эвон"/>
    <m/>
    <n v="87.714285714285708"/>
    <n v="80"/>
    <n v="92"/>
    <n v="91"/>
    <n v="88"/>
    <n v="83"/>
    <n v="88"/>
    <n v="92"/>
    <n v="10"/>
    <n v="40438457"/>
    <n v="3369871.4166666665"/>
    <n v="0"/>
    <n v="3369871.4166666665"/>
    <n v="0"/>
    <n v="0"/>
  </r>
  <r>
    <s v="Дрошта (Н)"/>
    <x v="2"/>
    <s v="ЦН"/>
    <s v="АПЗ"/>
    <m/>
    <s v="Б.Л."/>
    <s v="Б.Л."/>
    <s v="Б.Л."/>
    <x v="62"/>
    <s v="Эвон"/>
    <m/>
    <n v="82.142857142857139"/>
    <n v="70"/>
    <n v="86"/>
    <n v="88"/>
    <n v="81"/>
    <n v="84"/>
    <n v="88"/>
    <n v="78"/>
    <n v="7"/>
    <n v="20979219"/>
    <n v="1748268.25"/>
    <n v="0"/>
    <n v="1748268.25"/>
    <n v="0"/>
    <n v="0"/>
  </r>
  <r>
    <s v="Морено Хавьер"/>
    <x v="2"/>
    <s v="ЦН"/>
    <s v="ОФ"/>
    <m/>
    <m/>
    <s v="В.И."/>
    <s v="В.И."/>
    <x v="62"/>
    <s v="Эвон"/>
    <m/>
    <n v="76.142857142857139"/>
    <n v="33"/>
    <n v="91"/>
    <n v="88"/>
    <n v="87"/>
    <n v="89"/>
    <n v="92"/>
    <n v="53"/>
    <n v="0"/>
    <n v="6550761"/>
    <n v="545896.75"/>
    <n v="0"/>
    <n v="545896.75"/>
    <n v="0"/>
    <n v="0"/>
  </r>
  <r>
    <s v="Сурсои (н)"/>
    <x v="2"/>
    <s v="ОФ"/>
    <m/>
    <m/>
    <s v="Мал"/>
    <s v="В.И."/>
    <s v="В.И."/>
    <x v="62"/>
    <s v="Эвон"/>
    <m/>
    <n v="76.142857142857139"/>
    <n v="65"/>
    <n v="86"/>
    <n v="78"/>
    <n v="80"/>
    <n v="79"/>
    <n v="75"/>
    <n v="70"/>
    <n v="3"/>
    <n v="9826141"/>
    <n v="818845.08333333337"/>
    <n v="0"/>
    <n v="818845.08333333337"/>
    <n v="0"/>
    <n v="0"/>
  </r>
  <r>
    <s v="Термианор"/>
    <x v="2"/>
    <s v="ЦН"/>
    <s v="АПЗ"/>
    <m/>
    <s v="Биссий"/>
    <s v="Биссий"/>
    <s v="Биссий"/>
    <x v="62"/>
    <s v="Эвон"/>
    <m/>
    <n v="72.571428571428569"/>
    <n v="50"/>
    <n v="80"/>
    <n v="86"/>
    <n v="75"/>
    <n v="82"/>
    <n v="93"/>
    <n v="42"/>
    <n v="6"/>
    <n v="6077823"/>
    <n v="506485.25"/>
    <n v="0"/>
    <n v="506485.25"/>
    <n v="0"/>
    <n v="0"/>
  </r>
  <r>
    <s v="Берарди Лука"/>
    <x v="3"/>
    <s v="ОПЗ"/>
    <s v="ЦЗ"/>
    <m/>
    <m/>
    <s v="В.И."/>
    <s v="В.И."/>
    <x v="62"/>
    <s v="Эвон"/>
    <m/>
    <n v="70.857142857142861"/>
    <n v="29"/>
    <n v="85"/>
    <n v="80"/>
    <n v="88"/>
    <n v="83"/>
    <n v="84"/>
    <n v="47"/>
    <n v="0"/>
    <n v="3190336"/>
    <n v="265861.33333333331"/>
    <n v="0"/>
    <n v="265861.33333333331"/>
    <n v="0"/>
    <n v="0"/>
  </r>
  <r>
    <s v="Газар Орсити"/>
    <x v="3"/>
    <s v="ЦПЗ"/>
    <s v="АПЗ"/>
    <s v="ОПЗ"/>
    <s v="Сув"/>
    <s v="В.И."/>
    <s v="В.И."/>
    <x v="62"/>
    <s v="Эвон"/>
    <m/>
    <n v="70.142857142857139"/>
    <n v="65"/>
    <n v="76"/>
    <n v="76"/>
    <n v="70"/>
    <n v="77"/>
    <n v="83"/>
    <n v="44"/>
    <n v="0"/>
    <n v="2882933"/>
    <n v="240244.41666666666"/>
    <n v="0"/>
    <n v="240244.41666666666"/>
    <n v="0"/>
    <n v="0"/>
  </r>
  <r>
    <s v="Дювально Люк"/>
    <x v="3"/>
    <s v="ЛПЗ"/>
    <s v="ОПЗ"/>
    <m/>
    <m/>
    <s v="В.И."/>
    <s v="В.И."/>
    <x v="62"/>
    <s v="Эвон"/>
    <m/>
    <n v="62.285714285714285"/>
    <n v="22"/>
    <n v="81"/>
    <n v="68"/>
    <n v="77"/>
    <n v="74"/>
    <n v="77"/>
    <n v="37"/>
    <n v="0"/>
    <n v="878789"/>
    <n v="73232.416666666672"/>
    <n v="0"/>
    <n v="73232.416666666672"/>
    <n v="0"/>
    <n v="0"/>
  </r>
  <r>
    <s v="Климов (П)"/>
    <x v="3"/>
    <s v="ОПЗ"/>
    <s v="ЦЗ"/>
    <m/>
    <s v="Сув"/>
    <s v="В.И."/>
    <s v="В.И."/>
    <x v="62"/>
    <s v="Эвон"/>
    <m/>
    <n v="74.428571428571431"/>
    <n v="68"/>
    <n v="70"/>
    <n v="82"/>
    <n v="69"/>
    <n v="80"/>
    <n v="90"/>
    <n v="62"/>
    <n v="0"/>
    <n v="5216712"/>
    <n v="434726"/>
    <n v="0"/>
    <n v="434726"/>
    <n v="0"/>
    <n v="0"/>
  </r>
  <r>
    <s v="Мали (П)"/>
    <x v="3"/>
    <s v="ЛПЗ"/>
    <s v="АПЗ"/>
    <m/>
    <s v="Туркан"/>
    <s v="Мель"/>
    <s v="Мель"/>
    <x v="62"/>
    <s v="Эвон"/>
    <m/>
    <n v="79.285714285714292"/>
    <n v="75"/>
    <n v="93"/>
    <n v="78"/>
    <n v="80"/>
    <n v="82"/>
    <n v="77"/>
    <n v="70"/>
    <n v="22"/>
    <n v="14724505"/>
    <n v="1227042.0833333333"/>
    <n v="0"/>
    <n v="1227042.0833333333"/>
    <n v="0"/>
    <n v="0"/>
  </r>
  <r>
    <s v="Новачек Лот"/>
    <x v="3"/>
    <s v="ЦПЗ"/>
    <s v="ОПЗ"/>
    <m/>
    <m/>
    <s v="В.И."/>
    <s v="В.И."/>
    <x v="62"/>
    <s v="Эвон"/>
    <m/>
    <n v="61.285714285714285"/>
    <n v="21"/>
    <n v="71"/>
    <n v="72"/>
    <n v="75"/>
    <n v="76"/>
    <n v="78"/>
    <n v="36"/>
    <n v="0"/>
    <n v="747468"/>
    <n v="62289"/>
    <n v="0"/>
    <n v="62289"/>
    <n v="0"/>
    <n v="0"/>
  </r>
  <r>
    <s v="Пейман"/>
    <x v="3"/>
    <s v="АПЗ"/>
    <m/>
    <m/>
    <s v="Генуа"/>
    <s v="Генуа"/>
    <s v="Генуа"/>
    <x v="62"/>
    <s v="Эвон"/>
    <m/>
    <n v="64.428571428571431"/>
    <n v="50"/>
    <n v="70"/>
    <n v="74"/>
    <n v="73"/>
    <n v="71"/>
    <n v="73"/>
    <n v="40"/>
    <n v="0"/>
    <n v="1232495"/>
    <n v="102707.91666666667"/>
    <n v="0"/>
    <n v="102707.91666666667"/>
    <n v="0"/>
    <n v="0"/>
  </r>
  <r>
    <s v="Фицджеральд Шон"/>
    <x v="3"/>
    <s v="ППЗ"/>
    <s v="АПЗ"/>
    <m/>
    <m/>
    <s v="В.И."/>
    <s v="В.И."/>
    <x v="62"/>
    <s v="Эвон"/>
    <m/>
    <n v="69.714285714285708"/>
    <n v="28"/>
    <n v="89"/>
    <n v="78"/>
    <n v="82"/>
    <n v="84"/>
    <n v="82"/>
    <n v="45"/>
    <n v="0"/>
    <n v="2711552"/>
    <n v="225962.66666666666"/>
    <n v="0"/>
    <n v="225962.66666666666"/>
    <n v="0"/>
    <n v="0"/>
  </r>
  <r>
    <s v="Энрики (П)"/>
    <x v="3"/>
    <s v="ППЗ"/>
    <s v="ОПЗ"/>
    <m/>
    <s v="Генуа"/>
    <s v="Эстл"/>
    <s v="Эстл"/>
    <x v="62"/>
    <s v="Эвон"/>
    <m/>
    <n v="79.714285714285708"/>
    <n v="75"/>
    <n v="89"/>
    <n v="83"/>
    <n v="85"/>
    <n v="83"/>
    <n v="78"/>
    <n v="65"/>
    <n v="23"/>
    <n v="15540066"/>
    <n v="1295005.5"/>
    <n v="0"/>
    <n v="1295005.5"/>
    <n v="0"/>
    <n v="0"/>
  </r>
  <r>
    <s v="Сёренсен Нильс"/>
    <x v="4"/>
    <s v="Т"/>
    <m/>
    <m/>
    <m/>
    <s v="В.И."/>
    <s v="В.И."/>
    <x v="62"/>
    <s v="Эвон"/>
    <m/>
    <n v="65.714285714285708"/>
    <n v="24"/>
    <n v="79"/>
    <n v="74"/>
    <n v="81"/>
    <n v="78"/>
    <n v="81"/>
    <n v="43"/>
    <n v="0"/>
    <n v="1501751"/>
    <n v="125145.91666666667"/>
    <n v="0"/>
    <n v="125145.91666666667"/>
    <n v="0"/>
    <n v="0"/>
  </r>
  <r>
    <s v="Икелен (В)"/>
    <x v="0"/>
    <s v="В"/>
    <m/>
    <m/>
    <s v="Вал"/>
    <s v="Вал"/>
    <s v="Вал"/>
    <x v="63"/>
    <s v="Эвон"/>
    <m/>
    <n v="94.142857142857139"/>
    <n v="96"/>
    <n v="99"/>
    <n v="89"/>
    <n v="90"/>
    <n v="96"/>
    <n v="95"/>
    <n v="94"/>
    <n v="29"/>
    <n v="82028545"/>
    <n v="6835712.083333333"/>
    <n v="0"/>
    <n v="6835712.083333333"/>
    <n v="0"/>
    <n v="0"/>
  </r>
  <r>
    <s v="Ахти-Аласи"/>
    <x v="1"/>
    <s v="ЛЗ"/>
    <s v="ПЗ"/>
    <m/>
    <m/>
    <s v="В.И."/>
    <s v="В.И."/>
    <x v="63"/>
    <s v="Эвон"/>
    <m/>
    <n v="73"/>
    <n v="31"/>
    <n v="90"/>
    <n v="74"/>
    <n v="81"/>
    <n v="76"/>
    <n v="74"/>
    <n v="85"/>
    <n v="26"/>
    <n v="6446439"/>
    <n v="537203.25"/>
    <n v="0"/>
    <n v="537203.25"/>
    <n v="0"/>
    <n v="0"/>
  </r>
  <r>
    <s v="Гранлунд "/>
    <x v="1"/>
    <s v="ЛЗ"/>
    <s v="ОПЗ"/>
    <s v="ЦЗ"/>
    <s v="В.И."/>
    <s v="В.И."/>
    <s v="В.И."/>
    <x v="63"/>
    <s v="Эвон"/>
    <m/>
    <n v="93.142857142857139"/>
    <n v="90"/>
    <n v="96"/>
    <n v="90"/>
    <n v="95"/>
    <n v="92"/>
    <n v="91"/>
    <n v="98"/>
    <n v="18"/>
    <n v="73720253"/>
    <n v="6143354.416666667"/>
    <n v="0"/>
    <n v="6143354.416666667"/>
    <n v="0"/>
    <n v="0"/>
  </r>
  <r>
    <s v="Йорвуд Гарз"/>
    <x v="1"/>
    <s v="ЦЗ"/>
    <s v="ЛЗ"/>
    <m/>
    <m/>
    <s v="В.И."/>
    <s v="В.И."/>
    <x v="63"/>
    <s v="Эвон"/>
    <m/>
    <n v="77"/>
    <n v="33"/>
    <n v="85"/>
    <n v="88"/>
    <n v="89"/>
    <n v="85"/>
    <n v="84"/>
    <n v="75"/>
    <n v="26"/>
    <n v="10990021"/>
    <n v="915835.08333333337"/>
    <n v="0"/>
    <n v="915835.08333333337"/>
    <n v="0"/>
    <n v="0"/>
  </r>
  <r>
    <s v="Коршер Жоб"/>
    <x v="1"/>
    <s v="ЦЗ"/>
    <s v="ПЗ"/>
    <m/>
    <m/>
    <s v="В.И."/>
    <s v="В.И."/>
    <x v="63"/>
    <s v="Эвон"/>
    <m/>
    <n v="72.571428571428569"/>
    <n v="41"/>
    <n v="78"/>
    <n v="70"/>
    <n v="80"/>
    <n v="88"/>
    <n v="76"/>
    <n v="75"/>
    <n v="26"/>
    <n v="6077823"/>
    <n v="506485.25"/>
    <n v="0"/>
    <n v="506485.25"/>
    <n v="0"/>
    <n v="0"/>
  </r>
  <r>
    <s v="Нани"/>
    <x v="1"/>
    <s v="ПЗ"/>
    <s v="ЛЗ"/>
    <m/>
    <s v="Черлесск"/>
    <s v="Лион"/>
    <s v="Лион"/>
    <x v="63"/>
    <s v="Эвон"/>
    <m/>
    <n v="90.714285714285708"/>
    <n v="90"/>
    <n v="95"/>
    <n v="89"/>
    <n v="93"/>
    <n v="90"/>
    <n v="88"/>
    <n v="90"/>
    <n v="18"/>
    <n v="56604129"/>
    <n v="4717010.75"/>
    <n v="0"/>
    <n v="4717010.75"/>
    <n v="0"/>
    <n v="0"/>
  </r>
  <r>
    <s v="Оскар"/>
    <x v="1"/>
    <s v="ЦЗ"/>
    <s v="ОПЗ"/>
    <m/>
    <s v="Над"/>
    <s v="Над"/>
    <s v="Над"/>
    <x v="63"/>
    <s v="Эвон"/>
    <m/>
    <n v="92.285714285714292"/>
    <n v="89"/>
    <n v="83"/>
    <n v="95"/>
    <n v="96"/>
    <n v="98"/>
    <n v="95"/>
    <n v="90"/>
    <n v="1"/>
    <n v="67210332"/>
    <n v="5600861"/>
    <n v="0"/>
    <n v="5600861"/>
    <n v="0"/>
    <n v="0"/>
  </r>
  <r>
    <s v="Щербак"/>
    <x v="1"/>
    <s v="ПЗ"/>
    <s v="ЛЗ"/>
    <s v="ЦЗ"/>
    <s v="Н.С."/>
    <s v="Н.С."/>
    <s v="Н.С."/>
    <x v="63"/>
    <s v="Эвон"/>
    <m/>
    <n v="92"/>
    <n v="90"/>
    <n v="85"/>
    <n v="98"/>
    <n v="97"/>
    <n v="96"/>
    <n v="84"/>
    <n v="94"/>
    <n v="1"/>
    <n v="65158269"/>
    <n v="5429855.75"/>
    <n v="0"/>
    <n v="5429855.75"/>
    <n v="0"/>
    <n v="0"/>
  </r>
  <r>
    <s v="Данза "/>
    <x v="2"/>
    <s v="ЦН"/>
    <m/>
    <m/>
    <s v="В.И."/>
    <s v="В.И."/>
    <s v="В.И."/>
    <x v="63"/>
    <s v="Эвон"/>
    <m/>
    <n v="95.142857142857139"/>
    <n v="97"/>
    <n v="88"/>
    <n v="99"/>
    <n v="93"/>
    <n v="97"/>
    <n v="100"/>
    <n v="92"/>
    <n v="6"/>
    <n v="91170252"/>
    <n v="7597521"/>
    <n v="0"/>
    <n v="7597521"/>
    <n v="0"/>
    <n v="0"/>
  </r>
  <r>
    <s v="Ларно"/>
    <x v="2"/>
    <s v="ОФ"/>
    <s v="ЛПЗ"/>
    <m/>
    <s v="Турн"/>
    <s v="Турн"/>
    <s v="Турн"/>
    <x v="63"/>
    <s v="Эвон"/>
    <m/>
    <n v="94.428571428571431"/>
    <n v="93"/>
    <n v="99"/>
    <n v="90"/>
    <n v="98"/>
    <n v="98"/>
    <n v="84"/>
    <n v="99"/>
    <n v="20"/>
    <n v="84552306"/>
    <n v="7046025.5"/>
    <n v="0"/>
    <n v="7046025.5"/>
    <n v="0"/>
    <n v="0"/>
  </r>
  <r>
    <s v="Лоо (Н)"/>
    <x v="2"/>
    <s v="ЦН"/>
    <s v="ОФ"/>
    <m/>
    <s v="Ч.Л."/>
    <s v="Ч.Л."/>
    <s v="Ч.Л."/>
    <x v="63"/>
    <s v="Эвон"/>
    <m/>
    <n v="89.571428571428569"/>
    <n v="85"/>
    <n v="98"/>
    <n v="90"/>
    <n v="85"/>
    <n v="93"/>
    <n v="86"/>
    <n v="90"/>
    <n v="20"/>
    <n v="49863903"/>
    <n v="4155325.25"/>
    <n v="0"/>
    <n v="4155325.25"/>
    <n v="0"/>
    <n v="0"/>
  </r>
  <r>
    <s v="Найкер"/>
    <x v="2"/>
    <s v="ОФ"/>
    <s v="ЦН"/>
    <m/>
    <s v="Лин"/>
    <s v="Лин"/>
    <s v="Лин"/>
    <x v="63"/>
    <s v="Эвон"/>
    <m/>
    <n v="95.571428571428569"/>
    <n v="97"/>
    <n v="100"/>
    <n v="96"/>
    <n v="98"/>
    <n v="93"/>
    <n v="85"/>
    <n v="100"/>
    <n v="10"/>
    <n v="95361273"/>
    <n v="7946772.75"/>
    <n v="0"/>
    <n v="7946772.75"/>
    <n v="0"/>
    <n v="0"/>
  </r>
  <r>
    <s v="Анн (П)"/>
    <x v="3"/>
    <s v="ЦПЗ"/>
    <s v="ЛПЗ"/>
    <m/>
    <s v="Вар"/>
    <s v="Вар"/>
    <s v="Вар"/>
    <x v="63"/>
    <s v="Эвон"/>
    <m/>
    <n v="94.142857142857139"/>
    <n v="93"/>
    <n v="95"/>
    <n v="95"/>
    <n v="96"/>
    <n v="90"/>
    <n v="92"/>
    <n v="98"/>
    <n v="10"/>
    <n v="82028545"/>
    <n v="6835712.083333333"/>
    <n v="0"/>
    <n v="6835712.083333333"/>
    <n v="0"/>
    <n v="0"/>
  </r>
  <r>
    <s v="Базурин (П)"/>
    <x v="3"/>
    <s v="АПЗ"/>
    <s v="ЦН"/>
    <s v="ЛПЗ"/>
    <s v="Вор"/>
    <s v="Вор"/>
    <s v="Вор"/>
    <x v="63"/>
    <s v="Эвон"/>
    <m/>
    <n v="97.571428571428569"/>
    <n v="98"/>
    <n v="94"/>
    <n v="100"/>
    <n v="100"/>
    <n v="95"/>
    <n v="96"/>
    <n v="100"/>
    <n v="10"/>
    <n v="117305371"/>
    <n v="9775447.583333334"/>
    <n v="0"/>
    <n v="9775447.583333334"/>
    <n v="0"/>
    <n v="0"/>
  </r>
  <r>
    <s v="Гази"/>
    <x v="3"/>
    <s v="ЛПЗ"/>
    <s v="ОПЗ"/>
    <s v="ЦПЗ"/>
    <s v="В.И."/>
    <s v="В.И."/>
    <s v="В.И."/>
    <x v="63"/>
    <s v="Эвон"/>
    <m/>
    <n v="94.285714285714292"/>
    <n v="97"/>
    <n v="100"/>
    <n v="96"/>
    <n v="95"/>
    <n v="91"/>
    <n v="87"/>
    <n v="94"/>
    <n v="23"/>
    <n v="83281822"/>
    <n v="6940151.833333333"/>
    <n v="0"/>
    <n v="6940151.833333333"/>
    <n v="0"/>
    <n v="0"/>
  </r>
  <r>
    <s v="Кэшик (П)"/>
    <x v="3"/>
    <s v="ЦПЗ"/>
    <s v="ЛПЗ"/>
    <s v="ППЗ"/>
    <s v="Сул"/>
    <s v="Сул"/>
    <s v="Сул"/>
    <x v="63"/>
    <s v="Эвон"/>
    <m/>
    <n v="91.428571428571431"/>
    <n v="88"/>
    <n v="86"/>
    <n v="96"/>
    <n v="94"/>
    <n v="96"/>
    <n v="89"/>
    <n v="91"/>
    <n v="19"/>
    <n v="61222435"/>
    <n v="5101869.583333333"/>
    <n v="0"/>
    <n v="5101869.583333333"/>
    <n v="0"/>
    <n v="0"/>
  </r>
  <r>
    <s v="Лесандро (П)"/>
    <x v="3"/>
    <s v="ЛПЗ"/>
    <s v="ЦПЗ"/>
    <m/>
    <s v="А.Н."/>
    <s v="А.Н."/>
    <s v="А.Н."/>
    <x v="63"/>
    <s v="Эвон"/>
    <m/>
    <n v="88.142857142857139"/>
    <n v="84"/>
    <n v="97"/>
    <n v="83"/>
    <n v="88"/>
    <n v="93"/>
    <n v="82"/>
    <n v="90"/>
    <n v="3"/>
    <n v="42458291"/>
    <n v="3538190.9166666665"/>
    <n v="0"/>
    <n v="3538190.9166666665"/>
    <n v="0"/>
    <n v="0"/>
  </r>
  <r>
    <s v="Шукан Йерг"/>
    <x v="3"/>
    <s v="ОПЗ"/>
    <s v="ЦПЗ"/>
    <m/>
    <m/>
    <s v="В.И."/>
    <s v="В.И."/>
    <x v="63"/>
    <s v="Эвон"/>
    <m/>
    <n v="70.714285714285708"/>
    <n v="40"/>
    <n v="72"/>
    <n v="78"/>
    <n v="72"/>
    <n v="85"/>
    <n v="71"/>
    <n v="77"/>
    <n v="26"/>
    <n v="4689893"/>
    <n v="390824.41666666669"/>
    <n v="0"/>
    <n v="390824.41666666669"/>
    <n v="0"/>
    <n v="0"/>
  </r>
  <r>
    <s v="Ридел"/>
    <x v="3"/>
    <s v="ЦПЗ"/>
    <s v="ЛПЗ"/>
    <s v="АПЗ"/>
    <s v="Сув"/>
    <s v="В.И."/>
    <s v="В.И."/>
    <x v="63"/>
    <s v="Эвон"/>
    <m/>
    <n v="90.285714285714292"/>
    <n v="89"/>
    <n v="88"/>
    <n v="91"/>
    <n v="96"/>
    <n v="89"/>
    <n v="90"/>
    <n v="89"/>
    <n v="22"/>
    <n v="53986062"/>
    <n v="4498838.5"/>
    <n v="0"/>
    <n v="4498838.5"/>
    <n v="0"/>
    <n v="0"/>
  </r>
  <r>
    <s v="Твитич (П)"/>
    <x v="3"/>
    <s v="АПЗ"/>
    <s v="ЦПЗ"/>
    <s v="ЦН"/>
    <s v="Турн"/>
    <s v="Турн"/>
    <s v="Турн"/>
    <x v="63"/>
    <s v="Эвон"/>
    <m/>
    <n v="93.285714285714292"/>
    <n v="95"/>
    <n v="85"/>
    <n v="100"/>
    <n v="92"/>
    <n v="93"/>
    <n v="92"/>
    <n v="96"/>
    <n v="21"/>
    <n v="74858768"/>
    <n v="6238230.666666667"/>
    <n v="0"/>
    <n v="6238230.666666667"/>
    <n v="0"/>
    <n v="0"/>
  </r>
  <r>
    <s v="Фермали Туля"/>
    <x v="3"/>
    <s v="ОПЗ"/>
    <s v="ЦПЗ"/>
    <m/>
    <m/>
    <s v="В.И."/>
    <s v="В.И."/>
    <x v="63"/>
    <s v="Эвон"/>
    <m/>
    <n v="77.285714285714292"/>
    <n v="34"/>
    <n v="86"/>
    <n v="89"/>
    <n v="86"/>
    <n v="83"/>
    <n v="84"/>
    <n v="79"/>
    <n v="26"/>
    <n v="11404691"/>
    <n v="950390.91666666663"/>
    <n v="0"/>
    <n v="950390.91666666663"/>
    <n v="0"/>
    <n v="0"/>
  </r>
  <r>
    <s v="Хлопшев Эх"/>
    <x v="3"/>
    <s v="ОПЗ"/>
    <s v="ЦПЗ"/>
    <m/>
    <m/>
    <s v="В.И."/>
    <s v="В.И."/>
    <x v="63"/>
    <s v="Эвон"/>
    <m/>
    <n v="75.142857142857139"/>
    <n v="37"/>
    <n v="74"/>
    <n v="85"/>
    <n v="75"/>
    <n v="86"/>
    <n v="89"/>
    <n v="80"/>
    <n v="26"/>
    <n v="8609310"/>
    <n v="717442.5"/>
    <n v="0"/>
    <n v="717442.5"/>
    <n v="0"/>
    <n v="0"/>
  </r>
  <r>
    <s v="Ойл"/>
    <x v="4"/>
    <s v="Т"/>
    <m/>
    <m/>
    <m/>
    <s v="Кирп"/>
    <s v="Кирп"/>
    <x v="63"/>
    <s v="Эвон"/>
    <m/>
    <n v="93"/>
    <n v="96"/>
    <n v="96"/>
    <n v="90"/>
    <n v="93"/>
    <n v="94"/>
    <n v="89"/>
    <n v="93"/>
    <n v="0"/>
    <n v="48398231"/>
    <n v="4033185.9166666665"/>
    <n v="0"/>
    <n v="4033185.9166666665"/>
    <n v="0"/>
    <n v="0"/>
  </r>
  <r>
    <s v="Забеков"/>
    <x v="1"/>
    <s v="ЛЗ"/>
    <s v="ЦЗ"/>
    <m/>
    <s v="Кут"/>
    <s v="Кут"/>
    <s v="Кут"/>
    <x v="64"/>
    <s v="Тевт"/>
    <m/>
    <n v="91.428571428571431"/>
    <n v="87"/>
    <n v="93"/>
    <n v="92"/>
    <n v="94"/>
    <n v="90"/>
    <n v="89"/>
    <n v="95"/>
    <n v="24"/>
    <n v="61222435"/>
    <n v="5101869.583333333"/>
    <n v="0"/>
    <n v="5101869.583333333"/>
    <n v="0"/>
    <n v="0"/>
  </r>
  <r>
    <s v="Базель"/>
    <x v="3"/>
    <s v="АПЗ"/>
    <s v="ППЗ"/>
    <s v="ЦН"/>
    <s v="С.К."/>
    <s v="С.К."/>
    <s v="С.К."/>
    <x v="64"/>
    <s v="Тевт"/>
    <m/>
    <n v="96.857142857142861"/>
    <n v="100"/>
    <n v="93"/>
    <n v="100"/>
    <n v="100"/>
    <n v="97"/>
    <n v="88"/>
    <n v="100"/>
    <n v="13"/>
    <n v="108995307"/>
    <n v="9082942.25"/>
    <n v="0"/>
    <n v="9082942.25"/>
    <n v="0"/>
    <n v="0"/>
  </r>
  <r>
    <s v="Дробыш "/>
    <x v="2"/>
    <s v="ЦН"/>
    <s v="ОФ"/>
    <m/>
    <s v="Над"/>
    <s v="Над"/>
    <s v="Над"/>
    <x v="65"/>
    <s v="Лион"/>
    <m/>
    <n v="94.857142857142861"/>
    <n v="100"/>
    <n v="96"/>
    <n v="97"/>
    <n v="96"/>
    <n v="90"/>
    <n v="90"/>
    <n v="95"/>
    <n v="13"/>
    <n v="88469109"/>
    <n v="7372425.75"/>
    <n v="0"/>
    <n v="7372425.75"/>
    <n v="0"/>
    <n v="0"/>
  </r>
  <r>
    <s v="Фелиппе "/>
    <x v="2"/>
    <s v="ОФ"/>
    <s v="АПЗ"/>
    <s v="ЛПЗ"/>
    <s v="Сув"/>
    <s v="В.И."/>
    <s v="В.И."/>
    <x v="65"/>
    <s v="Лион"/>
    <m/>
    <n v="87.714285714285708"/>
    <n v="85"/>
    <n v="87"/>
    <n v="89"/>
    <n v="91"/>
    <n v="84"/>
    <n v="86"/>
    <n v="92"/>
    <n v="17"/>
    <n v="40438457"/>
    <n v="3369871.4166666665"/>
    <n v="0"/>
    <n v="3369871.4166666665"/>
    <n v="0"/>
    <n v="0"/>
  </r>
  <r>
    <s v="Бруздал Рэйм"/>
    <x v="0"/>
    <s v="В"/>
    <m/>
    <m/>
    <m/>
    <s v="Переп"/>
    <s v="Переп"/>
    <x v="66"/>
    <s v="Эвон"/>
    <m/>
    <n v="31.571428571428573"/>
    <n v="8"/>
    <n v="40"/>
    <n v="34"/>
    <n v="38"/>
    <n v="40"/>
    <n v="42"/>
    <n v="19"/>
    <n v="0"/>
    <n v="984"/>
    <n v="82"/>
    <n v="0"/>
    <n v="82"/>
    <n v="0"/>
    <n v="0"/>
  </r>
  <r>
    <s v="Курташ Остак"/>
    <x v="0"/>
    <s v="В"/>
    <m/>
    <m/>
    <m/>
    <s v="Переп"/>
    <s v="Переп"/>
    <x v="66"/>
    <s v="Эвон"/>
    <m/>
    <n v="35.428571428571431"/>
    <n v="10"/>
    <n v="46"/>
    <n v="38"/>
    <n v="42"/>
    <n v="44"/>
    <n v="46"/>
    <n v="22"/>
    <n v="0"/>
    <n v="3116"/>
    <n v="259.66666666666669"/>
    <n v="0"/>
    <n v="259.66666666666669"/>
    <n v="0"/>
    <n v="0"/>
  </r>
  <r>
    <s v="Хаген Останис"/>
    <x v="0"/>
    <s v="В"/>
    <m/>
    <m/>
    <m/>
    <s v="Переп"/>
    <s v="Переп"/>
    <x v="66"/>
    <s v="Эвон"/>
    <m/>
    <n v="31.857142857142858"/>
    <n v="8"/>
    <n v="42"/>
    <n v="34"/>
    <n v="38"/>
    <n v="40"/>
    <n v="42"/>
    <n v="19"/>
    <n v="0"/>
    <n v="1077"/>
    <n v="89.75"/>
    <n v="0"/>
    <n v="89.75"/>
    <n v="0"/>
    <n v="0"/>
  </r>
  <r>
    <s v="Дунмал Роймунд"/>
    <x v="1"/>
    <s v="ЦЗ"/>
    <s v="ЛЗ"/>
    <m/>
    <m/>
    <s v="Переп"/>
    <s v="Переп"/>
    <x v="66"/>
    <s v="Эвон"/>
    <m/>
    <n v="39.142857142857146"/>
    <n v="12"/>
    <n v="52"/>
    <n v="42"/>
    <n v="46"/>
    <n v="48"/>
    <n v="50"/>
    <n v="24"/>
    <n v="0"/>
    <n v="8444"/>
    <n v="703.66666666666663"/>
    <n v="0"/>
    <n v="703.66666666666663"/>
    <n v="0"/>
    <n v="0"/>
  </r>
  <r>
    <s v="Кравел Люкас"/>
    <x v="1"/>
    <s v="ЦЗ"/>
    <s v="ОПЗ"/>
    <m/>
    <m/>
    <s v="Переп"/>
    <s v="Переп"/>
    <x v="66"/>
    <s v="Эвон"/>
    <m/>
    <n v="28.142857142857142"/>
    <n v="6"/>
    <n v="36"/>
    <n v="30"/>
    <n v="34"/>
    <n v="36"/>
    <n v="38"/>
    <n v="17"/>
    <n v="0"/>
    <n v="312"/>
    <n v="26"/>
    <n v="0"/>
    <n v="26"/>
    <n v="0"/>
    <n v="0"/>
  </r>
  <r>
    <s v="Линдрум Кириан"/>
    <x v="1"/>
    <s v="ЛЗ"/>
    <s v="ЦЗ"/>
    <m/>
    <m/>
    <s v="Переп"/>
    <s v="Переп"/>
    <x v="66"/>
    <s v="Эвон"/>
    <m/>
    <n v="37.428571428571431"/>
    <n v="11"/>
    <n v="50"/>
    <n v="40"/>
    <n v="44"/>
    <n v="46"/>
    <n v="48"/>
    <n v="23"/>
    <n v="0"/>
    <n v="5396"/>
    <n v="449.66666666666669"/>
    <n v="0"/>
    <n v="449.66666666666669"/>
    <n v="0"/>
    <n v="0"/>
  </r>
  <r>
    <s v="Стрыжа Тимон"/>
    <x v="1"/>
    <s v="ПЗ"/>
    <s v="ЦЗ"/>
    <m/>
    <m/>
    <s v="Переп"/>
    <s v="Переп"/>
    <x v="66"/>
    <s v="Эвон"/>
    <m/>
    <n v="35.142857142857146"/>
    <n v="9"/>
    <n v="46"/>
    <n v="38"/>
    <n v="42"/>
    <n v="44"/>
    <n v="46"/>
    <n v="21"/>
    <n v="0"/>
    <n v="2874"/>
    <n v="239.5"/>
    <n v="0"/>
    <n v="239.5"/>
    <n v="0"/>
    <n v="0"/>
  </r>
  <r>
    <s v="Хвал Ян"/>
    <x v="1"/>
    <s v="ПЗ"/>
    <s v="ЛЗ"/>
    <m/>
    <m/>
    <s v="Переп"/>
    <s v="Переп"/>
    <x v="66"/>
    <s v="Эвон"/>
    <m/>
    <n v="31.285714285714285"/>
    <n v="7"/>
    <n v="40"/>
    <n v="34"/>
    <n v="38"/>
    <n v="40"/>
    <n v="42"/>
    <n v="18"/>
    <n v="0"/>
    <n v="899"/>
    <n v="74.916666666666671"/>
    <n v="0"/>
    <n v="74.916666666666671"/>
    <n v="0"/>
    <n v="0"/>
  </r>
  <r>
    <s v="Дорзуг Даниэль"/>
    <x v="2"/>
    <s v="ОФ"/>
    <s v="ЦН"/>
    <m/>
    <m/>
    <s v="Переп"/>
    <s v="Переп"/>
    <x v="66"/>
    <s v="Эвон"/>
    <m/>
    <n v="42.571428571428569"/>
    <n v="14"/>
    <n v="56"/>
    <n v="46"/>
    <n v="50"/>
    <n v="52"/>
    <n v="54"/>
    <n v="26"/>
    <n v="0"/>
    <n v="19552"/>
    <n v="1629.3333333333333"/>
    <n v="0"/>
    <n v="1629.3333333333333"/>
    <n v="0"/>
    <n v="0"/>
  </r>
  <r>
    <s v="Пеллегрин Эрлик"/>
    <x v="2"/>
    <s v="ОФ"/>
    <s v="ЦН"/>
    <m/>
    <m/>
    <s v="Переп"/>
    <s v="Переп"/>
    <x v="66"/>
    <s v="Эвон"/>
    <m/>
    <n v="36.142857142857146"/>
    <n v="10"/>
    <n v="46"/>
    <n v="38"/>
    <n v="44"/>
    <n v="46"/>
    <n v="48"/>
    <n v="21"/>
    <n v="0"/>
    <n v="3804"/>
    <n v="317"/>
    <n v="0"/>
    <n v="317"/>
    <n v="0"/>
    <n v="0"/>
  </r>
  <r>
    <s v="Туров Аальд"/>
    <x v="2"/>
    <s v="ЦН"/>
    <s v="ОФ"/>
    <m/>
    <m/>
    <s v="Переп"/>
    <s v="Переп"/>
    <x v="66"/>
    <s v="Эвон"/>
    <m/>
    <n v="55.428571428571431"/>
    <n v="18"/>
    <n v="70"/>
    <n v="62"/>
    <n v="64"/>
    <n v="66"/>
    <n v="68"/>
    <n v="40"/>
    <n v="0"/>
    <n v="273740"/>
    <n v="22811.666666666668"/>
    <n v="0"/>
    <n v="22811.666666666668"/>
    <n v="0"/>
    <n v="0"/>
  </r>
  <r>
    <s v="Бьянко Кайус"/>
    <x v="3"/>
    <s v="АПЗ"/>
    <s v="ЦПЗ"/>
    <m/>
    <m/>
    <s v="Переп"/>
    <s v="Переп"/>
    <x v="66"/>
    <s v="Эвон"/>
    <m/>
    <n v="28"/>
    <n v="6"/>
    <n v="36"/>
    <n v="30"/>
    <n v="34"/>
    <n v="36"/>
    <n v="38"/>
    <n v="16"/>
    <n v="0"/>
    <n v="297"/>
    <n v="24.75"/>
    <n v="0"/>
    <n v="24.75"/>
    <n v="0"/>
    <n v="0"/>
  </r>
  <r>
    <s v="Вернин Мэйсон"/>
    <x v="3"/>
    <s v="ЦПЗ"/>
    <s v="ОПЗ"/>
    <m/>
    <m/>
    <s v="Переп"/>
    <s v="Переп"/>
    <x v="66"/>
    <s v="Эвон"/>
    <m/>
    <n v="40.857142857142854"/>
    <n v="13"/>
    <n v="54"/>
    <n v="44"/>
    <n v="48"/>
    <n v="50"/>
    <n v="52"/>
    <n v="25"/>
    <n v="0"/>
    <n v="12963"/>
    <n v="1080.25"/>
    <n v="0"/>
    <n v="1080.25"/>
    <n v="0"/>
    <n v="0"/>
  </r>
  <r>
    <s v="Горван Полус"/>
    <x v="3"/>
    <s v="АПЗ"/>
    <s v="ЛПЗ"/>
    <m/>
    <m/>
    <s v="Переп"/>
    <s v="Переп"/>
    <x v="66"/>
    <s v="Эвон"/>
    <m/>
    <n v="36.571428571428569"/>
    <n v="10"/>
    <n v="48"/>
    <n v="38"/>
    <n v="44"/>
    <n v="46"/>
    <n v="48"/>
    <n v="22"/>
    <n v="0"/>
    <n v="4280"/>
    <n v="356.66666666666669"/>
    <n v="0"/>
    <n v="356.66666666666669"/>
    <n v="0"/>
    <n v="0"/>
  </r>
  <r>
    <s v="Курпас"/>
    <x v="3"/>
    <s v="ЦПЗ"/>
    <s v="ОПЗ"/>
    <m/>
    <m/>
    <s v="Переп"/>
    <s v="Переп"/>
    <x v="66"/>
    <s v="Эвон"/>
    <m/>
    <n v="43.714285714285715"/>
    <n v="15"/>
    <n v="42"/>
    <n v="53"/>
    <n v="52"/>
    <n v="60"/>
    <n v="63"/>
    <n v="21"/>
    <n v="0"/>
    <n v="25483"/>
    <n v="2123.5833333333335"/>
    <n v="0"/>
    <n v="2123.5833333333335"/>
    <n v="0"/>
    <n v="0"/>
  </r>
  <r>
    <s v="Моржан Дариус"/>
    <x v="3"/>
    <s v="ОПЗ"/>
    <s v="ЦПЗ"/>
    <m/>
    <m/>
    <s v="Переп"/>
    <s v="Переп"/>
    <x v="66"/>
    <s v="Эвон"/>
    <m/>
    <n v="34.428571428571431"/>
    <n v="9"/>
    <n v="44"/>
    <n v="36"/>
    <n v="42"/>
    <n v="44"/>
    <n v="46"/>
    <n v="20"/>
    <n v="0"/>
    <n v="2340"/>
    <n v="195"/>
    <n v="0"/>
    <n v="195"/>
    <n v="0"/>
    <n v="0"/>
  </r>
  <r>
    <s v="Салмин Оквал"/>
    <x v="3"/>
    <s v="ППЗ"/>
    <s v="АПЗ"/>
    <m/>
    <m/>
    <s v="Переп"/>
    <s v="Переп"/>
    <x v="66"/>
    <s v="Эвон"/>
    <m/>
    <n v="38.285714285714285"/>
    <n v="11"/>
    <n v="50"/>
    <n v="40"/>
    <n v="46"/>
    <n v="48"/>
    <n v="50"/>
    <n v="23"/>
    <n v="0"/>
    <n v="6767"/>
    <n v="563.91666666666663"/>
    <n v="0"/>
    <n v="563.91666666666663"/>
    <n v="0"/>
    <n v="0"/>
  </r>
  <r>
    <s v="Краб Ксавьер"/>
    <x v="3"/>
    <s v="ППЗ"/>
    <s v="АПЗ"/>
    <m/>
    <m/>
    <s v="Переп"/>
    <s v="Переп"/>
    <x v="66"/>
    <s v="Эвон"/>
    <m/>
    <n v="52.142857142857146"/>
    <n v="15"/>
    <n v="64"/>
    <n v="58"/>
    <n v="62"/>
    <n v="64"/>
    <n v="66"/>
    <n v="36"/>
    <n v="0"/>
    <n v="148576"/>
    <n v="12381.333333333334"/>
    <n v="0"/>
    <n v="12381.333333333334"/>
    <n v="0"/>
    <n v="0"/>
  </r>
  <r>
    <s v="Соловко Станис"/>
    <x v="3"/>
    <s v="ЛПЗ"/>
    <s v="ОПЗ"/>
    <m/>
    <m/>
    <s v="Переп"/>
    <s v="Переп"/>
    <x v="66"/>
    <s v="Эвон"/>
    <m/>
    <n v="29.857142857142858"/>
    <n v="7"/>
    <n v="38"/>
    <n v="32"/>
    <n v="36"/>
    <n v="38"/>
    <n v="40"/>
    <n v="18"/>
    <n v="0"/>
    <n v="563"/>
    <n v="46.916666666666664"/>
    <n v="0"/>
    <n v="46.916666666666664"/>
    <n v="0"/>
    <n v="0"/>
  </r>
  <r>
    <s v="Жмунд Элдок"/>
    <x v="4"/>
    <s v="Т"/>
    <m/>
    <m/>
    <m/>
    <s v="Переп"/>
    <s v="Переп"/>
    <x v="66"/>
    <s v="Эвон"/>
    <m/>
    <n v="33.571428571428569"/>
    <n v="9"/>
    <n v="44"/>
    <n v="36"/>
    <n v="40"/>
    <n v="42"/>
    <n v="44"/>
    <n v="20"/>
    <n v="0"/>
    <n v="1819"/>
    <n v="151.58333333333334"/>
    <n v="0"/>
    <n v="151.58333333333334"/>
    <n v="0"/>
    <n v="0"/>
  </r>
  <r>
    <s v="Думбаж"/>
    <x v="0"/>
    <s v="В"/>
    <m/>
    <m/>
    <s v="Хан"/>
    <s v="Хан"/>
    <s v="Хан"/>
    <x v="67"/>
    <s v="Эвон"/>
    <m/>
    <n v="59.142857142857146"/>
    <n v="30"/>
    <n v="83"/>
    <n v="77"/>
    <n v="55"/>
    <n v="61"/>
    <n v="72"/>
    <n v="36"/>
    <n v="0"/>
    <n v="523629"/>
    <n v="43635.75"/>
    <n v="0"/>
    <n v="43635.75"/>
    <n v="0"/>
    <n v="0"/>
  </r>
  <r>
    <s v="Эрд Богр"/>
    <x v="0"/>
    <s v="В"/>
    <m/>
    <m/>
    <m/>
    <s v="Хан"/>
    <s v="Хан"/>
    <x v="67"/>
    <s v="Эвон"/>
    <m/>
    <n v="63.714285714285715"/>
    <n v="26"/>
    <n v="73"/>
    <n v="69"/>
    <n v="76"/>
    <n v="79"/>
    <n v="80"/>
    <n v="43"/>
    <n v="0"/>
    <n v="1102474"/>
    <n v="91872.833333333328"/>
    <n v="0"/>
    <n v="91872.833333333328"/>
    <n v="0"/>
    <n v="0"/>
  </r>
  <r>
    <s v="Батмунх Даваа"/>
    <x v="1"/>
    <s v="ЦЗ"/>
    <s v="ОПЗ"/>
    <m/>
    <m/>
    <s v="Хан"/>
    <s v="Хан"/>
    <x v="67"/>
    <s v="Эвон"/>
    <m/>
    <n v="58.285714285714285"/>
    <n v="21"/>
    <n v="65"/>
    <n v="61"/>
    <n v="72"/>
    <n v="76"/>
    <n v="80"/>
    <n v="33"/>
    <n v="0"/>
    <n v="452503"/>
    <n v="37708.583333333336"/>
    <n v="0"/>
    <n v="37708.583333333336"/>
    <n v="0"/>
    <n v="0"/>
  </r>
  <r>
    <s v="Борсун"/>
    <x v="1"/>
    <s v="ЦЗ"/>
    <s v="ПЗ"/>
    <m/>
    <s v="Хан"/>
    <s v="Хан"/>
    <s v="Хан"/>
    <x v="67"/>
    <s v="Эвон"/>
    <m/>
    <n v="66.285714285714292"/>
    <n v="35"/>
    <n v="58"/>
    <n v="78"/>
    <n v="80"/>
    <n v="78"/>
    <n v="84"/>
    <n v="51"/>
    <n v="0"/>
    <n v="1637569"/>
    <n v="136464.08333333334"/>
    <n v="0"/>
    <n v="136464.08333333334"/>
    <n v="0"/>
    <n v="0"/>
  </r>
  <r>
    <s v="Быгай"/>
    <x v="1"/>
    <s v="ЦЗ"/>
    <s v="ЛЗ"/>
    <m/>
    <s v="Хан"/>
    <s v="Хан"/>
    <s v="Хан"/>
    <x v="67"/>
    <s v="Эвон"/>
    <m/>
    <n v="65.571428571428569"/>
    <n v="31"/>
    <n v="61"/>
    <n v="77"/>
    <n v="71"/>
    <n v="79"/>
    <n v="92"/>
    <n v="48"/>
    <n v="0"/>
    <n v="1469422"/>
    <n v="122451.83333333333"/>
    <n v="0"/>
    <n v="122451.83333333333"/>
    <n v="0"/>
    <n v="0"/>
  </r>
  <r>
    <s v="Гантулга Бат"/>
    <x v="1"/>
    <s v="ЦЗ"/>
    <s v="ЛЗ"/>
    <m/>
    <m/>
    <s v="Хан"/>
    <s v="Хан"/>
    <x v="67"/>
    <s v="Эвон"/>
    <m/>
    <n v="62"/>
    <n v="25"/>
    <n v="71"/>
    <n v="63"/>
    <n v="75"/>
    <n v="79"/>
    <n v="82"/>
    <n v="39"/>
    <n v="0"/>
    <n v="839300"/>
    <n v="69941.666666666672"/>
    <n v="0"/>
    <n v="69941.666666666672"/>
    <n v="0"/>
    <n v="0"/>
  </r>
  <r>
    <s v="Отгонбаяр Алтан"/>
    <x v="1"/>
    <s v="ЦЗ"/>
    <m/>
    <m/>
    <m/>
    <s v="Хан"/>
    <s v="Хан"/>
    <x v="67"/>
    <s v="Эвон"/>
    <m/>
    <n v="54"/>
    <n v="20"/>
    <n v="58"/>
    <n v="54"/>
    <n v="66"/>
    <n v="71"/>
    <n v="78"/>
    <n v="31"/>
    <n v="0"/>
    <n v="210833"/>
    <n v="17569.416666666668"/>
    <n v="0"/>
    <n v="17569.416666666668"/>
    <n v="0"/>
    <n v="0"/>
  </r>
  <r>
    <s v="Хорвокки"/>
    <x v="1"/>
    <s v="ЦЗ"/>
    <s v="ЛЗ"/>
    <m/>
    <s v="Хан"/>
    <s v="Хан"/>
    <s v="Хан"/>
    <x v="67"/>
    <s v="Эвон"/>
    <m/>
    <n v="70"/>
    <n v="38"/>
    <n v="70"/>
    <n v="76"/>
    <n v="77"/>
    <n v="80"/>
    <n v="88"/>
    <n v="61"/>
    <n v="0"/>
    <n v="2824753"/>
    <n v="235396.08333333334"/>
    <n v="0"/>
    <n v="235396.08333333334"/>
    <n v="0"/>
    <n v="0"/>
  </r>
  <r>
    <s v="Чулуунбаяр Тэмур"/>
    <x v="1"/>
    <s v="ЦЗ"/>
    <s v="ПЗ"/>
    <m/>
    <s v="Хан"/>
    <s v="Хан"/>
    <s v="Хан"/>
    <x v="67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Ютис"/>
    <x v="1"/>
    <s v="ЦЗ"/>
    <s v="ПЗ"/>
    <m/>
    <s v="Хан"/>
    <s v="Хан"/>
    <s v="Хан"/>
    <x v="67"/>
    <s v="Эвон"/>
    <m/>
    <n v="65.142857142857139"/>
    <n v="30"/>
    <n v="64"/>
    <n v="71"/>
    <n v="70"/>
    <n v="82"/>
    <n v="87"/>
    <n v="52"/>
    <n v="0"/>
    <n v="1376158"/>
    <n v="114679.83333333333"/>
    <n v="0"/>
    <n v="114679.83333333333"/>
    <n v="0"/>
    <n v="0"/>
  </r>
  <r>
    <s v="Баленгай"/>
    <x v="2"/>
    <s v="ЦН"/>
    <m/>
    <m/>
    <s v="Мам"/>
    <s v="Мам"/>
    <s v="Мам"/>
    <x v="67"/>
    <s v="Эвон"/>
    <m/>
    <n v="73.428571428571431"/>
    <n v="61"/>
    <n v="73"/>
    <n v="78"/>
    <n v="67"/>
    <n v="80"/>
    <n v="85"/>
    <n v="70"/>
    <n v="6"/>
    <n v="6835056"/>
    <n v="569588"/>
    <n v="0"/>
    <n v="569588"/>
    <n v="0"/>
    <n v="0"/>
  </r>
  <r>
    <s v="Йохта"/>
    <x v="2"/>
    <s v="ЦН"/>
    <m/>
    <m/>
    <s v="Хан"/>
    <s v="Хан"/>
    <s v="Хан"/>
    <x v="67"/>
    <s v="Эвон"/>
    <m/>
    <n v="60.285714285714285"/>
    <n v="35"/>
    <n v="65"/>
    <n v="70"/>
    <n v="63"/>
    <n v="76"/>
    <n v="83"/>
    <n v="30"/>
    <n v="0"/>
    <n v="634081"/>
    <n v="52840.083333333336"/>
    <n v="0"/>
    <n v="52840.083333333336"/>
    <n v="0"/>
    <n v="0"/>
  </r>
  <r>
    <s v="Сүхбаатар Чингис"/>
    <x v="2"/>
    <s v="ЦН"/>
    <s v="АПЗ"/>
    <m/>
    <s v="Хан"/>
    <s v="Хан"/>
    <s v="Хан"/>
    <x v="67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Бат-Эрдэнэ Төмөр"/>
    <x v="3"/>
    <s v="ЛПЗ"/>
    <s v="ОПЗ"/>
    <m/>
    <m/>
    <s v="Хан"/>
    <s v="Хан"/>
    <x v="67"/>
    <s v="Эвон"/>
    <m/>
    <n v="57.714285714285715"/>
    <n v="22"/>
    <n v="70"/>
    <n v="61"/>
    <n v="72"/>
    <n v="69"/>
    <n v="74"/>
    <n v="36"/>
    <n v="0"/>
    <n v="410047"/>
    <n v="34170.583333333336"/>
    <n v="0"/>
    <n v="34170.583333333336"/>
    <n v="0"/>
    <n v="0"/>
  </r>
  <r>
    <s v="Бранмарк"/>
    <x v="3"/>
    <s v="ОПЗ"/>
    <s v="ЦЗ"/>
    <m/>
    <s v="Турн"/>
    <s v="Турн"/>
    <s v="Турн"/>
    <x v="67"/>
    <s v="Эвон"/>
    <m/>
    <n v="86.428571428571431"/>
    <n v="80"/>
    <n v="85"/>
    <n v="87"/>
    <n v="87"/>
    <n v="98"/>
    <n v="98"/>
    <n v="70"/>
    <n v="18"/>
    <n v="34887079"/>
    <n v="2907256.5833333335"/>
    <n v="0"/>
    <n v="2907256.5833333335"/>
    <n v="0"/>
    <n v="0"/>
  </r>
  <r>
    <s v="Доржсурэн Батбаяр"/>
    <x v="3"/>
    <s v="ЦПЗ"/>
    <s v="ОПЗ"/>
    <m/>
    <m/>
    <s v="Хан"/>
    <s v="Хан"/>
    <x v="67"/>
    <s v="Эвон"/>
    <m/>
    <n v="54.714285714285715"/>
    <n v="20"/>
    <n v="64"/>
    <n v="57"/>
    <n v="71"/>
    <n v="68"/>
    <n v="73"/>
    <n v="30"/>
    <n v="0"/>
    <n v="240441"/>
    <n v="20036.75"/>
    <n v="0"/>
    <n v="20036.75"/>
    <n v="0"/>
    <n v="0"/>
  </r>
  <r>
    <s v="Мэнхбат Энх"/>
    <x v="3"/>
    <s v="ОПЗ"/>
    <s v="ЦЗ"/>
    <m/>
    <s v="Хан"/>
    <s v="Хан"/>
    <s v="Хан"/>
    <x v="67"/>
    <s v="Эвон"/>
    <m/>
    <n v="65"/>
    <n v="26"/>
    <n v="77"/>
    <n v="69"/>
    <n v="82"/>
    <n v="78"/>
    <n v="80"/>
    <n v="43"/>
    <n v="0"/>
    <n v="1346275"/>
    <n v="112189.58333333333"/>
    <n v="0"/>
    <n v="112189.58333333333"/>
    <n v="0"/>
    <n v="0"/>
  </r>
  <r>
    <s v="Пламеншет"/>
    <x v="3"/>
    <s v="ППЗ"/>
    <m/>
    <m/>
    <s v="Тел"/>
    <s v="Тел"/>
    <s v="Тел"/>
    <x v="67"/>
    <s v="Эвон"/>
    <m/>
    <n v="54.857142857142854"/>
    <n v="34"/>
    <n v="73"/>
    <n v="59"/>
    <n v="56"/>
    <n v="60"/>
    <n v="58"/>
    <n v="44"/>
    <n v="0"/>
    <n v="246793"/>
    <n v="20566.083333333332"/>
    <n v="0"/>
    <n v="20566.083333333332"/>
    <n v="0"/>
    <n v="0"/>
  </r>
  <r>
    <s v="Удмурук"/>
    <x v="3"/>
    <s v="ЦПЗ"/>
    <s v="АПЗ"/>
    <m/>
    <s v="Хан"/>
    <s v="Хан"/>
    <s v="Хан"/>
    <x v="67"/>
    <s v="Эвон"/>
    <m/>
    <n v="63.428571428571431"/>
    <n v="37"/>
    <n v="72"/>
    <n v="73"/>
    <n v="75"/>
    <n v="69"/>
    <n v="59"/>
    <n v="59"/>
    <n v="0"/>
    <n v="1054022"/>
    <n v="87835.166666666672"/>
    <n v="0"/>
    <n v="87835.166666666672"/>
    <n v="0"/>
    <n v="0"/>
  </r>
  <r>
    <s v="Хиллил"/>
    <x v="3"/>
    <s v="ОПЗ"/>
    <m/>
    <m/>
    <s v="Хан"/>
    <s v="Хан"/>
    <s v="Хан"/>
    <x v="67"/>
    <s v="Эвон"/>
    <m/>
    <n v="58.857142857142854"/>
    <n v="34"/>
    <n v="56"/>
    <n v="64"/>
    <n v="64"/>
    <n v="69"/>
    <n v="62"/>
    <n v="63"/>
    <n v="0"/>
    <n v="498876"/>
    <n v="41573"/>
    <n v="0"/>
    <n v="41573"/>
    <n v="0"/>
    <n v="0"/>
  </r>
  <r>
    <s v="Эрдэнэчулуун Ганзориг"/>
    <x v="3"/>
    <s v="ППЗ"/>
    <s v="АПЗ"/>
    <m/>
    <m/>
    <s v="Хан"/>
    <s v="Хан"/>
    <x v="67"/>
    <s v="Эвон"/>
    <m/>
    <n v="61.857142857142854"/>
    <n v="24"/>
    <n v="78"/>
    <n v="66"/>
    <n v="73"/>
    <n v="76"/>
    <n v="75"/>
    <n v="41"/>
    <n v="0"/>
    <n v="820160"/>
    <n v="68346.666666666672"/>
    <n v="0"/>
    <n v="68346.666666666672"/>
    <n v="0"/>
    <n v="0"/>
  </r>
  <r>
    <s v="Ячзук"/>
    <x v="3"/>
    <s v="ЦПЗ"/>
    <s v="АПЗ"/>
    <m/>
    <s v="Хан"/>
    <s v="Хан"/>
    <s v="Хан"/>
    <x v="67"/>
    <s v="Эвон"/>
    <m/>
    <n v="60.571428571428569"/>
    <n v="53"/>
    <n v="54"/>
    <n v="75"/>
    <n v="62"/>
    <n v="66"/>
    <n v="63"/>
    <n v="51"/>
    <n v="0"/>
    <n v="664781"/>
    <n v="55398.416666666664"/>
    <n v="0"/>
    <n v="55398.416666666664"/>
    <n v="0"/>
    <n v="0"/>
  </r>
  <r>
    <s v="Уйцулла"/>
    <x v="4"/>
    <s v="Т"/>
    <m/>
    <m/>
    <m/>
    <s v="Хан"/>
    <s v="Хан"/>
    <x v="67"/>
    <s v="Эвон"/>
    <m/>
    <n v="70.285714285714292"/>
    <n v="63"/>
    <n v="79"/>
    <n v="82"/>
    <n v="66"/>
    <n v="77"/>
    <n v="83"/>
    <n v="42"/>
    <n v="0"/>
    <n v="2942190"/>
    <n v="245182.5"/>
    <n v="0"/>
    <n v="245182.5"/>
    <n v="0"/>
    <n v="0"/>
  </r>
  <r>
    <s v="Алне Атанес"/>
    <x v="0"/>
    <s v="В"/>
    <m/>
    <m/>
    <m/>
    <s v="Лес"/>
    <s v="Лес"/>
    <x v="68"/>
    <s v="Эвон"/>
    <m/>
    <n v="31.857142857142858"/>
    <n v="8"/>
    <n v="42"/>
    <n v="34"/>
    <n v="38"/>
    <n v="40"/>
    <n v="42"/>
    <n v="19"/>
    <n v="0"/>
    <n v="1077"/>
    <n v="89.75"/>
    <n v="0"/>
    <n v="89.75"/>
    <n v="0"/>
    <n v="0"/>
  </r>
  <r>
    <s v="Варне Наком"/>
    <x v="0"/>
    <s v="В"/>
    <m/>
    <m/>
    <m/>
    <s v="Лес"/>
    <s v="Лес"/>
    <x v="68"/>
    <s v="Эвон"/>
    <m/>
    <n v="31.571428571428573"/>
    <n v="8"/>
    <n v="40"/>
    <n v="34"/>
    <n v="38"/>
    <n v="40"/>
    <n v="42"/>
    <n v="19"/>
    <n v="0"/>
    <n v="984"/>
    <n v="82"/>
    <n v="0"/>
    <n v="82"/>
    <n v="0"/>
    <n v="0"/>
  </r>
  <r>
    <s v="Рарне Анрок"/>
    <x v="0"/>
    <s v="В"/>
    <m/>
    <m/>
    <m/>
    <s v="Лес"/>
    <s v="Лес"/>
    <x v="68"/>
    <s v="Эвон"/>
    <m/>
    <n v="35.428571428571431"/>
    <n v="10"/>
    <n v="46"/>
    <n v="38"/>
    <n v="42"/>
    <n v="44"/>
    <n v="46"/>
    <n v="22"/>
    <n v="0"/>
    <n v="3116"/>
    <n v="259.66666666666669"/>
    <n v="0"/>
    <n v="259.66666666666669"/>
    <n v="0"/>
    <n v="0"/>
  </r>
  <r>
    <s v="Гарне Ранен"/>
    <x v="1"/>
    <s v="ПЗ"/>
    <s v="ЦЗ"/>
    <m/>
    <m/>
    <s v="Лес"/>
    <s v="Лес"/>
    <x v="68"/>
    <s v="Эвон"/>
    <m/>
    <n v="35.142857142857146"/>
    <n v="9"/>
    <n v="46"/>
    <n v="38"/>
    <n v="42"/>
    <n v="44"/>
    <n v="46"/>
    <n v="21"/>
    <n v="0"/>
    <n v="2874"/>
    <n v="239.5"/>
    <n v="0"/>
    <n v="239.5"/>
    <n v="0"/>
    <n v="0"/>
  </r>
  <r>
    <s v="Гормизул Ронос"/>
    <x v="1"/>
    <s v="ЦЗ"/>
    <s v="ОПЗ"/>
    <m/>
    <m/>
    <s v="Лес"/>
    <s v="Лес"/>
    <x v="68"/>
    <s v="Эвон"/>
    <m/>
    <n v="28.142857142857142"/>
    <n v="6"/>
    <n v="36"/>
    <n v="30"/>
    <n v="34"/>
    <n v="36"/>
    <n v="38"/>
    <n v="17"/>
    <n v="0"/>
    <n v="312"/>
    <n v="26"/>
    <n v="0"/>
    <n v="26"/>
    <n v="0"/>
    <n v="0"/>
  </r>
  <r>
    <s v="Мор Ар"/>
    <x v="1"/>
    <s v="ПЗ"/>
    <s v="ЛЗ"/>
    <m/>
    <m/>
    <s v="Лес"/>
    <s v="Лес"/>
    <x v="68"/>
    <s v="Эвон"/>
    <m/>
    <n v="31.285714285714285"/>
    <n v="7"/>
    <n v="40"/>
    <n v="34"/>
    <n v="38"/>
    <n v="40"/>
    <n v="42"/>
    <n v="18"/>
    <n v="0"/>
    <n v="899"/>
    <n v="74.916666666666671"/>
    <n v="0"/>
    <n v="74.916666666666671"/>
    <n v="0"/>
    <n v="0"/>
  </r>
  <r>
    <s v="Тарне Ланмонд"/>
    <x v="1"/>
    <s v="ЦЗ"/>
    <s v="ЛЗ"/>
    <m/>
    <m/>
    <s v="Лес"/>
    <s v="Лес"/>
    <x v="68"/>
    <s v="Эвон"/>
    <m/>
    <n v="39.142857142857146"/>
    <n v="12"/>
    <n v="52"/>
    <n v="42"/>
    <n v="46"/>
    <n v="48"/>
    <n v="50"/>
    <n v="24"/>
    <n v="0"/>
    <n v="8444"/>
    <n v="703.66666666666663"/>
    <n v="0"/>
    <n v="703.66666666666663"/>
    <n v="0"/>
    <n v="0"/>
  </r>
  <r>
    <s v="Шарне Рарнельд"/>
    <x v="2"/>
    <s v="ОФ"/>
    <s v="ЦН"/>
    <m/>
    <m/>
    <s v="Лес"/>
    <s v="Лес"/>
    <x v="68"/>
    <s v="Эвон"/>
    <m/>
    <n v="55.428571428571431"/>
    <n v="18"/>
    <n v="70"/>
    <n v="62"/>
    <n v="64"/>
    <n v="66"/>
    <n v="68"/>
    <n v="40"/>
    <n v="0"/>
    <n v="273740"/>
    <n v="22811.666666666668"/>
    <n v="0"/>
    <n v="22811.666666666668"/>
    <n v="0"/>
    <n v="0"/>
  </r>
  <r>
    <s v="Шормидор Анкек"/>
    <x v="2"/>
    <s v="ОФ"/>
    <s v="ЦН"/>
    <m/>
    <m/>
    <s v="Лес"/>
    <s v="Лес"/>
    <x v="68"/>
    <s v="Эвон"/>
    <m/>
    <n v="36.142857142857146"/>
    <n v="10"/>
    <n v="46"/>
    <n v="38"/>
    <n v="44"/>
    <n v="46"/>
    <n v="48"/>
    <n v="21"/>
    <n v="0"/>
    <n v="3804"/>
    <n v="317"/>
    <n v="0"/>
    <n v="317"/>
    <n v="0"/>
    <n v="0"/>
  </r>
  <r>
    <s v="Алне Гновьир"/>
    <x v="3"/>
    <s v="ППЗ"/>
    <s v="АПЗ"/>
    <m/>
    <m/>
    <s v="Лес"/>
    <s v="Лес"/>
    <x v="68"/>
    <s v="Эвон"/>
    <m/>
    <n v="52.142857142857146"/>
    <n v="15"/>
    <n v="64"/>
    <n v="58"/>
    <n v="62"/>
    <n v="64"/>
    <n v="66"/>
    <n v="36"/>
    <n v="0"/>
    <n v="148576"/>
    <n v="12381.333333333334"/>
    <n v="0"/>
    <n v="12381.333333333334"/>
    <n v="0"/>
    <n v="0"/>
  </r>
  <r>
    <s v="Барне Толеус"/>
    <x v="3"/>
    <s v="ОПЗ"/>
    <s v="ЦЗ"/>
    <m/>
    <m/>
    <s v="Лес"/>
    <s v="Лес"/>
    <x v="68"/>
    <s v="Эвон"/>
    <m/>
    <n v="34.428571428571431"/>
    <n v="9"/>
    <n v="44"/>
    <n v="36"/>
    <n v="42"/>
    <n v="44"/>
    <n v="46"/>
    <n v="20"/>
    <n v="0"/>
    <n v="2340"/>
    <n v="195"/>
    <n v="0"/>
    <n v="195"/>
    <n v="0"/>
    <n v="0"/>
  </r>
  <r>
    <s v="Варне Тонанс"/>
    <x v="3"/>
    <s v="АПЗ"/>
    <s v="ППЗ"/>
    <m/>
    <m/>
    <s v="Лес"/>
    <s v="Лес"/>
    <x v="68"/>
    <s v="Эвон"/>
    <m/>
    <n v="29.857142857142858"/>
    <n v="7"/>
    <n v="38"/>
    <n v="32"/>
    <n v="36"/>
    <n v="38"/>
    <n v="40"/>
    <n v="18"/>
    <n v="0"/>
    <n v="563"/>
    <n v="46.916666666666664"/>
    <n v="0"/>
    <n v="46.916666666666664"/>
    <n v="0"/>
    <n v="0"/>
  </r>
  <r>
    <s v="Карне Алкек"/>
    <x v="3"/>
    <s v="ЛПЗ"/>
    <s v="ОПЗ"/>
    <m/>
    <m/>
    <s v="Лес"/>
    <s v="Лес"/>
    <x v="68"/>
    <s v="Эвон"/>
    <m/>
    <n v="38.285714285714285"/>
    <n v="11"/>
    <n v="50"/>
    <n v="40"/>
    <n v="46"/>
    <n v="48"/>
    <n v="50"/>
    <n v="23"/>
    <n v="0"/>
    <n v="6767"/>
    <n v="563.91666666666663"/>
    <n v="0"/>
    <n v="563.91666666666663"/>
    <n v="0"/>
    <n v="0"/>
  </r>
  <r>
    <s v="Ларне Наксен"/>
    <x v="3"/>
    <s v="ЦПЗ"/>
    <s v="ОПЗ"/>
    <m/>
    <m/>
    <s v="Лес"/>
    <s v="Лес"/>
    <x v="68"/>
    <s v="Эвон"/>
    <m/>
    <n v="49.857142857142854"/>
    <n v="45"/>
    <n v="60"/>
    <n v="44"/>
    <n v="48"/>
    <n v="50"/>
    <n v="52"/>
    <n v="50"/>
    <n v="12"/>
    <n v="142353"/>
    <n v="1080.25"/>
    <n v="0"/>
    <n v="11862.75"/>
    <n v="-90.89"/>
    <n v="0"/>
  </r>
  <r>
    <s v="Нормимир Ганон"/>
    <x v="3"/>
    <s v="ОПЗ"/>
    <s v="ЦПЗ"/>
    <m/>
    <m/>
    <s v="Лес"/>
    <s v="Лес"/>
    <x v="68"/>
    <s v="Эвон"/>
    <m/>
    <n v="37.428571428571431"/>
    <n v="11"/>
    <n v="50"/>
    <n v="40"/>
    <n v="44"/>
    <n v="46"/>
    <n v="48"/>
    <n v="23"/>
    <n v="0"/>
    <n v="5396"/>
    <n v="449.66666666666669"/>
    <n v="0"/>
    <n v="449.66666666666669"/>
    <n v="0"/>
    <n v="0"/>
  </r>
  <r>
    <s v="Сор Гоенс"/>
    <x v="3"/>
    <s v="ЦПЗ"/>
    <s v="ЛПЗ"/>
    <m/>
    <m/>
    <s v="Лес"/>
    <s v="Лес"/>
    <x v="68"/>
    <s v="Эвон"/>
    <m/>
    <n v="55.142857142857146"/>
    <n v="40"/>
    <n v="66"/>
    <n v="73"/>
    <n v="60"/>
    <n v="60"/>
    <n v="38"/>
    <n v="49"/>
    <n v="0"/>
    <n v="259952"/>
    <n v="21662.666666666668"/>
    <n v="0"/>
    <n v="21662.666666666668"/>
    <n v="0"/>
    <n v="0"/>
  </r>
  <r>
    <s v="Тормибер Бансе"/>
    <x v="3"/>
    <s v="АПЗ"/>
    <s v="ЦПЗ"/>
    <m/>
    <m/>
    <s v="Лес"/>
    <s v="Лес"/>
    <x v="68"/>
    <s v="Эвон"/>
    <m/>
    <n v="36.571428571428569"/>
    <n v="10"/>
    <n v="48"/>
    <n v="38"/>
    <n v="44"/>
    <n v="46"/>
    <n v="48"/>
    <n v="22"/>
    <n v="0"/>
    <n v="4280"/>
    <n v="356.66666666666669"/>
    <n v="0"/>
    <n v="356.66666666666669"/>
    <n v="0"/>
    <n v="0"/>
  </r>
  <r>
    <s v="Хорми Ваццу"/>
    <x v="3"/>
    <s v="АПЗ"/>
    <s v="ЛПЗ"/>
    <s v="ППЗ"/>
    <s v="Лес"/>
    <s v="Лес"/>
    <s v="Лес"/>
    <x v="68"/>
    <s v="Эвон"/>
    <m/>
    <n v="38.428571428571431"/>
    <n v="21"/>
    <n v="74"/>
    <n v="40"/>
    <n v="42"/>
    <n v="30"/>
    <n v="40"/>
    <n v="22"/>
    <n v="0"/>
    <n v="7024"/>
    <n v="585.33333333333337"/>
    <n v="0"/>
    <n v="585.33333333333337"/>
    <n v="0"/>
    <n v="0"/>
  </r>
  <r>
    <s v="Чор Толеэль"/>
    <x v="3"/>
    <s v="ППЗ"/>
    <s v="АПЗ"/>
    <m/>
    <m/>
    <s v="Лес"/>
    <s v="Лес"/>
    <x v="68"/>
    <s v="Эвон"/>
    <m/>
    <n v="42.571428571428569"/>
    <n v="14"/>
    <n v="56"/>
    <n v="46"/>
    <n v="50"/>
    <n v="52"/>
    <n v="54"/>
    <n v="26"/>
    <n v="0"/>
    <n v="19552"/>
    <n v="1629.3333333333333"/>
    <n v="0"/>
    <n v="1629.3333333333333"/>
    <n v="0"/>
    <n v="0"/>
  </r>
  <r>
    <s v="Тор Аркек"/>
    <x v="4"/>
    <s v="Т"/>
    <m/>
    <m/>
    <m/>
    <s v="Лес"/>
    <s v="Лес"/>
    <x v="68"/>
    <s v="Эвон"/>
    <m/>
    <n v="33.571428571428569"/>
    <n v="9"/>
    <n v="44"/>
    <n v="36"/>
    <n v="40"/>
    <n v="42"/>
    <n v="44"/>
    <n v="20"/>
    <n v="0"/>
    <n v="1819"/>
    <n v="151.58333333333334"/>
    <n v="0"/>
    <n v="151.58333333333334"/>
    <n v="0"/>
    <n v="0"/>
  </r>
  <r>
    <s v="Мельоныч"/>
    <x v="3"/>
    <s v="АПЗ"/>
    <s v="ЛПЗ"/>
    <s v="ЦН"/>
    <s v="Турн"/>
    <s v="Турн"/>
    <s v="Турн"/>
    <x v="69"/>
    <s v="Эстон"/>
    <m/>
    <n v="92"/>
    <n v="92"/>
    <n v="84"/>
    <n v="98"/>
    <n v="92"/>
    <n v="93"/>
    <n v="93"/>
    <n v="92"/>
    <n v="1"/>
    <n v="65158269"/>
    <n v="5429855.75"/>
    <n v="0"/>
    <n v="5429855.75"/>
    <n v="0"/>
    <n v="0"/>
  </r>
  <r>
    <s v="Ойзаро"/>
    <x v="3"/>
    <s v="ЛПЗ"/>
    <s v="ППЗ"/>
    <s v="ЦПЗ"/>
    <s v="Сув"/>
    <s v="В.И."/>
    <s v="В.И."/>
    <x v="69"/>
    <s v="Эстон"/>
    <m/>
    <n v="90.857142857142861"/>
    <n v="90"/>
    <n v="97"/>
    <n v="90"/>
    <n v="94"/>
    <n v="90"/>
    <n v="83"/>
    <n v="92"/>
    <n v="3"/>
    <n v="57501877"/>
    <n v="4791823.083333333"/>
    <n v="0"/>
    <n v="4791823.083333333"/>
    <n v="0"/>
    <n v="0"/>
  </r>
  <r>
    <s v="Велдрин Остак"/>
    <x v="0"/>
    <s v="В"/>
    <m/>
    <m/>
    <m/>
    <s v="В.И."/>
    <s v="В.И."/>
    <x v="70"/>
    <s v="Эвон"/>
    <m/>
    <n v="45.142857142857146"/>
    <n v="16"/>
    <n v="56"/>
    <n v="48"/>
    <n v="54"/>
    <n v="56"/>
    <n v="58"/>
    <n v="28"/>
    <n v="0"/>
    <n v="35148"/>
    <n v="2929"/>
    <n v="0"/>
    <n v="2929"/>
    <n v="0"/>
    <n v="0"/>
  </r>
  <r>
    <s v="Гронн Эмиль"/>
    <x v="0"/>
    <s v="В"/>
    <m/>
    <m/>
    <m/>
    <s v="В.И."/>
    <s v="В.И."/>
    <x v="70"/>
    <s v="Эвон"/>
    <m/>
    <n v="66.571428571428569"/>
    <n v="27"/>
    <n v="72"/>
    <n v="68"/>
    <n v="77"/>
    <n v="79"/>
    <n v="74"/>
    <n v="69"/>
    <n v="0"/>
    <n v="1709539"/>
    <n v="142461.58333333334"/>
    <n v="0"/>
    <n v="142461.58333333334"/>
    <n v="0"/>
    <n v="0"/>
  </r>
  <r>
    <s v="Крамун Рэйм"/>
    <x v="0"/>
    <s v="В"/>
    <m/>
    <m/>
    <m/>
    <s v="В.И."/>
    <s v="В.И."/>
    <x v="70"/>
    <s v="Эвон"/>
    <m/>
    <n v="40.285714285714285"/>
    <n v="14"/>
    <n v="50"/>
    <n v="44"/>
    <n v="48"/>
    <n v="50"/>
    <n v="52"/>
    <n v="24"/>
    <n v="0"/>
    <n v="11260"/>
    <n v="938.33333333333337"/>
    <n v="0"/>
    <n v="938.33333333333337"/>
    <n v="0"/>
    <n v="0"/>
  </r>
  <r>
    <s v="Хагенвик Останис"/>
    <x v="0"/>
    <s v="В"/>
    <m/>
    <m/>
    <m/>
    <s v="В.И."/>
    <s v="В.И."/>
    <x v="70"/>
    <s v="Эвон"/>
    <m/>
    <n v="40.714285714285715"/>
    <n v="14"/>
    <n v="52"/>
    <n v="44"/>
    <n v="48"/>
    <n v="50"/>
    <n v="52"/>
    <n v="25"/>
    <n v="0"/>
    <n v="12517"/>
    <n v="1043.0833333333333"/>
    <n v="0"/>
    <n v="1043.0833333333333"/>
    <n v="0"/>
    <n v="0"/>
  </r>
  <r>
    <s v="Гтабун Люкас"/>
    <x v="1"/>
    <s v="ЦЗ"/>
    <s v="ОПЗ"/>
    <m/>
    <m/>
    <s v="В.И."/>
    <s v="В.И."/>
    <x v="70"/>
    <s v="Эвон"/>
    <m/>
    <n v="36.857142857142854"/>
    <n v="12"/>
    <n v="46"/>
    <n v="40"/>
    <n v="44"/>
    <n v="46"/>
    <n v="48"/>
    <n v="22"/>
    <n v="0"/>
    <n v="4627"/>
    <n v="385.58333333333331"/>
    <n v="0"/>
    <n v="385.58333333333331"/>
    <n v="0"/>
    <n v="0"/>
  </r>
  <r>
    <s v="Делмар Роймунд"/>
    <x v="1"/>
    <s v="ЦЗ"/>
    <s v="ЛЗ"/>
    <m/>
    <m/>
    <s v="В.И."/>
    <s v="В.И."/>
    <x v="70"/>
    <s v="Эвон"/>
    <m/>
    <n v="47.714285714285715"/>
    <n v="18"/>
    <n v="60"/>
    <n v="52"/>
    <n v="56"/>
    <n v="58"/>
    <n v="60"/>
    <n v="30"/>
    <n v="0"/>
    <n v="61163"/>
    <n v="5096.916666666667"/>
    <n v="0"/>
    <n v="5096.916666666667"/>
    <n v="0"/>
    <n v="0"/>
  </r>
  <r>
    <s v="Гостер Ромет"/>
    <x v="1"/>
    <s v="ЛЗ"/>
    <s v="ЦЗ"/>
    <m/>
    <m/>
    <s v="В.И."/>
    <s v="В.И."/>
    <x v="70"/>
    <s v="Эвон"/>
    <m/>
    <n v="46"/>
    <n v="17"/>
    <n v="58"/>
    <n v="50"/>
    <n v="54"/>
    <n v="56"/>
    <n v="58"/>
    <n v="29"/>
    <n v="0"/>
    <n v="42421"/>
    <n v="3535.0833333333335"/>
    <n v="0"/>
    <n v="3535.0833333333335"/>
    <n v="0"/>
    <n v="0"/>
  </r>
  <r>
    <s v="Строжин Тимон"/>
    <x v="1"/>
    <s v="ПЗ"/>
    <s v="ЦЗ"/>
    <m/>
    <m/>
    <s v="В.И."/>
    <s v="В.И."/>
    <x v="70"/>
    <s v="Эвон"/>
    <m/>
    <n v="43.714285714285715"/>
    <n v="15"/>
    <n v="54"/>
    <n v="48"/>
    <n v="52"/>
    <n v="54"/>
    <n v="56"/>
    <n v="27"/>
    <n v="0"/>
    <n v="25483"/>
    <n v="2123.5833333333335"/>
    <n v="0"/>
    <n v="2123.5833333333335"/>
    <n v="0"/>
    <n v="0"/>
  </r>
  <r>
    <s v="Хуанто Ян"/>
    <x v="1"/>
    <s v="ПЗ"/>
    <s v="ЛЗ"/>
    <m/>
    <m/>
    <s v="В.И."/>
    <s v="В.И."/>
    <x v="70"/>
    <s v="Эвон"/>
    <m/>
    <n v="40.142857142857146"/>
    <n v="13"/>
    <n v="50"/>
    <n v="44"/>
    <n v="48"/>
    <n v="50"/>
    <n v="52"/>
    <n v="24"/>
    <n v="0"/>
    <n v="10867"/>
    <n v="905.58333333333337"/>
    <n v="0"/>
    <n v="905.58333333333337"/>
    <n v="0"/>
    <n v="0"/>
  </r>
  <r>
    <s v="Шоковой"/>
    <x v="1"/>
    <s v="ЦЗ"/>
    <m/>
    <m/>
    <m/>
    <s v="В.И."/>
    <s v="В.И."/>
    <x v="70"/>
    <s v="Эвон"/>
    <m/>
    <n v="40.714285714285715"/>
    <n v="10"/>
    <n v="34"/>
    <n v="40"/>
    <n v="42"/>
    <n v="60"/>
    <n v="76"/>
    <n v="23"/>
    <n v="0"/>
    <n v="12517"/>
    <n v="1043.0833333333333"/>
    <n v="0"/>
    <n v="1043.0833333333333"/>
    <n v="0"/>
    <n v="0"/>
  </r>
  <r>
    <s v="Дорнвик Даниэль"/>
    <x v="2"/>
    <s v="ОФ"/>
    <s v="ЦН"/>
    <m/>
    <m/>
    <s v="В.И."/>
    <s v="В.И."/>
    <x v="70"/>
    <s v="Эвон"/>
    <m/>
    <n v="51.428571428571431"/>
    <n v="21"/>
    <n v="64"/>
    <n v="56"/>
    <n v="60"/>
    <n v="62"/>
    <n v="64"/>
    <n v="33"/>
    <n v="0"/>
    <n v="129433"/>
    <n v="10786.083333333334"/>
    <n v="0"/>
    <n v="10786.083333333334"/>
    <n v="0"/>
    <n v="0"/>
  </r>
  <r>
    <s v="Ютас-Гон Шен"/>
    <x v="2"/>
    <s v="ОФ"/>
    <s v="ЦН"/>
    <m/>
    <m/>
    <s v="В.И."/>
    <s v="В.И."/>
    <x v="70"/>
    <s v="Эвон"/>
    <m/>
    <n v="45.142857142857146"/>
    <n v="16"/>
    <n v="56"/>
    <n v="48"/>
    <n v="54"/>
    <n v="56"/>
    <n v="58"/>
    <n v="28"/>
    <n v="0"/>
    <n v="35148"/>
    <n v="2929"/>
    <n v="0"/>
    <n v="2929"/>
    <n v="0"/>
    <n v="0"/>
  </r>
  <r>
    <s v="Муров Хогланд"/>
    <x v="2"/>
    <s v="ЦН"/>
    <s v="ОФ"/>
    <m/>
    <m/>
    <s v="В.И."/>
    <s v="В.И."/>
    <x v="70"/>
    <s v="Эвон"/>
    <m/>
    <n v="64.857142857142861"/>
    <n v="26"/>
    <n v="80"/>
    <n v="72"/>
    <n v="74"/>
    <n v="76"/>
    <n v="78"/>
    <n v="48"/>
    <n v="0"/>
    <n v="1316977"/>
    <n v="109748.08333333333"/>
    <n v="0"/>
    <n v="109748.08333333333"/>
    <n v="0"/>
    <n v="0"/>
  </r>
  <r>
    <s v="Бьянкарди Кайус"/>
    <x v="3"/>
    <s v="ЦПЗ"/>
    <s v="ОПЗ"/>
    <m/>
    <m/>
    <s v="В.И."/>
    <s v="В.И."/>
    <x v="70"/>
    <s v="Эвон"/>
    <m/>
    <n v="35.428571428571431"/>
    <n v="11"/>
    <n v="46"/>
    <n v="38"/>
    <n v="42"/>
    <n v="44"/>
    <n v="46"/>
    <n v="21"/>
    <n v="0"/>
    <n v="3116"/>
    <n v="259.66666666666669"/>
    <n v="0"/>
    <n v="259.66666666666669"/>
    <n v="0"/>
    <n v="0"/>
  </r>
  <r>
    <s v="Верникус Мэйсон"/>
    <x v="3"/>
    <s v="ОПЗ"/>
    <s v="ЦЗ"/>
    <m/>
    <m/>
    <s v="В.И."/>
    <s v="В.И."/>
    <x v="70"/>
    <s v="Эвон"/>
    <m/>
    <n v="49.428571428571431"/>
    <n v="19"/>
    <n v="62"/>
    <n v="54"/>
    <n v="58"/>
    <n v="60"/>
    <n v="62"/>
    <n v="31"/>
    <n v="0"/>
    <n v="87053"/>
    <n v="7254.416666666667"/>
    <n v="0"/>
    <n v="7254.416666666667"/>
    <n v="0"/>
    <n v="0"/>
  </r>
  <r>
    <s v="Горваль Полус"/>
    <x v="3"/>
    <s v="ЦПЗ"/>
    <s v="ЛПЗ"/>
    <m/>
    <m/>
    <s v="В.И."/>
    <s v="В.И."/>
    <x v="70"/>
    <s v="Эвон"/>
    <m/>
    <n v="46"/>
    <n v="17"/>
    <n v="58"/>
    <n v="50"/>
    <n v="54"/>
    <n v="56"/>
    <n v="58"/>
    <n v="29"/>
    <n v="0"/>
    <n v="42421"/>
    <n v="3535.0833333333335"/>
    <n v="0"/>
    <n v="3535.0833333333335"/>
    <n v="0"/>
    <n v="0"/>
  </r>
  <r>
    <s v="Морендо Дариус"/>
    <x v="3"/>
    <s v="ОПЗ"/>
    <s v="ЦПЗ"/>
    <m/>
    <m/>
    <s v="В.И."/>
    <s v="В.И."/>
    <x v="70"/>
    <s v="Эвон"/>
    <m/>
    <n v="43.285714285714285"/>
    <n v="15"/>
    <n v="54"/>
    <n v="46"/>
    <n v="52"/>
    <n v="54"/>
    <n v="56"/>
    <n v="26"/>
    <n v="0"/>
    <n v="23092"/>
    <n v="1924.3333333333333"/>
    <n v="0"/>
    <n v="1924.3333333333333"/>
    <n v="0"/>
    <n v="0"/>
  </r>
  <r>
    <s v="Алмиаго Иржас"/>
    <x v="3"/>
    <s v="АПЗ"/>
    <s v="ППЗ"/>
    <m/>
    <m/>
    <s v="В.И."/>
    <s v="В.И."/>
    <x v="70"/>
    <s v="Эвон"/>
    <m/>
    <n v="47.714285714285715"/>
    <n v="18"/>
    <n v="60"/>
    <n v="52"/>
    <n v="56"/>
    <n v="58"/>
    <n v="60"/>
    <n v="30"/>
    <n v="0"/>
    <n v="61163"/>
    <n v="5096.916666666667"/>
    <n v="0"/>
    <n v="5096.916666666667"/>
    <n v="0"/>
    <n v="0"/>
  </r>
  <r>
    <s v="Скарабео Ксавьер"/>
    <x v="3"/>
    <s v="ППЗ"/>
    <s v="АПЗ"/>
    <m/>
    <m/>
    <s v="В.И."/>
    <s v="В.И."/>
    <x v="70"/>
    <s v="Эвон"/>
    <m/>
    <n v="61.571428571428569"/>
    <n v="23"/>
    <n v="74"/>
    <n v="68"/>
    <n v="72"/>
    <n v="74"/>
    <n v="76"/>
    <n v="44"/>
    <n v="0"/>
    <n v="783056"/>
    <n v="65254.666666666664"/>
    <n v="0"/>
    <n v="65254.666666666664"/>
    <n v="0"/>
    <n v="0"/>
  </r>
  <r>
    <s v="Соловкин Станис"/>
    <x v="3"/>
    <s v="АПЗ"/>
    <s v="ЦПЗ"/>
    <m/>
    <m/>
    <s v="В.И."/>
    <s v="В.И."/>
    <x v="70"/>
    <s v="Эвон"/>
    <m/>
    <n v="38.571428571428569"/>
    <n v="13"/>
    <n v="48"/>
    <n v="42"/>
    <n v="46"/>
    <n v="48"/>
    <n v="50"/>
    <n v="23"/>
    <n v="0"/>
    <n v="7289"/>
    <n v="607.41666666666663"/>
    <n v="0"/>
    <n v="607.41666666666663"/>
    <n v="0"/>
    <n v="0"/>
  </r>
  <r>
    <s v="Торвалд Элдок"/>
    <x v="4"/>
    <s v="Т"/>
    <m/>
    <m/>
    <m/>
    <s v="В.И."/>
    <s v="В.И."/>
    <x v="70"/>
    <s v="Эвон"/>
    <m/>
    <n v="42.428571428571431"/>
    <n v="15"/>
    <n v="54"/>
    <n v="46"/>
    <n v="50"/>
    <n v="52"/>
    <n v="54"/>
    <n v="26"/>
    <n v="0"/>
    <n v="18906"/>
    <n v="1575.5"/>
    <n v="0"/>
    <n v="1575.5"/>
    <n v="0"/>
    <n v="0"/>
  </r>
  <r>
    <s v="Булли"/>
    <x v="0"/>
    <s v="В"/>
    <m/>
    <m/>
    <s v="Генуа"/>
    <s v="Генуа"/>
    <s v="Генуа"/>
    <x v="71"/>
    <s v="Эвон"/>
    <m/>
    <n v="63.857142857142854"/>
    <n v="49"/>
    <n v="55"/>
    <n v="66"/>
    <n v="70"/>
    <n v="75"/>
    <n v="77"/>
    <n v="55"/>
    <n v="0"/>
    <n v="1127444"/>
    <n v="93953.666666666672"/>
    <n v="0"/>
    <n v="93953.666666666672"/>
    <n v="0"/>
    <n v="0"/>
  </r>
  <r>
    <s v="Йорж"/>
    <x v="0"/>
    <s v="В"/>
    <m/>
    <m/>
    <s v="Генуа"/>
    <s v="Генуа"/>
    <s v="Генуа"/>
    <x v="71"/>
    <s v="Эвон"/>
    <m/>
    <n v="73.571428571428569"/>
    <n v="51"/>
    <n v="75"/>
    <n v="76"/>
    <n v="80"/>
    <n v="81"/>
    <n v="80"/>
    <n v="72"/>
    <n v="0"/>
    <n v="4646136"/>
    <n v="387178"/>
    <n v="0"/>
    <n v="387178"/>
    <n v="0"/>
    <n v="0"/>
  </r>
  <r>
    <s v="Барти Хьюго"/>
    <x v="1"/>
    <s v="ЦЗ"/>
    <s v="ПЗ"/>
    <m/>
    <m/>
    <s v="В.И."/>
    <s v="В.И."/>
    <x v="71"/>
    <s v="Эвон"/>
    <m/>
    <n v="60.285714285714285"/>
    <n v="23"/>
    <n v="65"/>
    <n v="58"/>
    <n v="74"/>
    <n v="69"/>
    <n v="80"/>
    <n v="53"/>
    <n v="0"/>
    <n v="634081"/>
    <n v="52840.083333333336"/>
    <n v="0"/>
    <n v="52840.083333333336"/>
    <n v="0"/>
    <n v="0"/>
  </r>
  <r>
    <s v="Губка"/>
    <x v="1"/>
    <s v="ЦЗ"/>
    <s v="ЛЗ"/>
    <m/>
    <s v="Черлесск"/>
    <s v="Черлесск"/>
    <s v="Черлесск"/>
    <x v="71"/>
    <s v="Эвон"/>
    <m/>
    <n v="72.714285714285708"/>
    <n v="60"/>
    <n v="63"/>
    <n v="74"/>
    <n v="80"/>
    <n v="82"/>
    <n v="80"/>
    <n v="70"/>
    <n v="0"/>
    <n v="4132354"/>
    <n v="344362.83333333331"/>
    <n v="0"/>
    <n v="344362.83333333331"/>
    <n v="0"/>
    <n v="0"/>
  </r>
  <r>
    <s v="Кветта Пол"/>
    <x v="1"/>
    <s v="ЦЗ"/>
    <s v="ОПЗ"/>
    <m/>
    <m/>
    <s v="В.И."/>
    <s v="В.И."/>
    <x v="71"/>
    <s v="Эвон"/>
    <m/>
    <n v="61.142857142857146"/>
    <n v="30"/>
    <n v="83"/>
    <n v="56"/>
    <n v="69"/>
    <n v="71"/>
    <n v="68"/>
    <n v="51"/>
    <n v="0"/>
    <n v="730226"/>
    <n v="60852.166666666664"/>
    <n v="0"/>
    <n v="60852.166666666664"/>
    <n v="0"/>
    <n v="0"/>
  </r>
  <r>
    <s v="Лайтшед"/>
    <x v="1"/>
    <s v="ЦЗ"/>
    <m/>
    <m/>
    <s v="Генуа"/>
    <s v="Генуа"/>
    <s v="Генуа"/>
    <x v="71"/>
    <s v="Эвон"/>
    <m/>
    <n v="76.857142857142861"/>
    <n v="73"/>
    <n v="67"/>
    <n v="67"/>
    <n v="78"/>
    <n v="85"/>
    <n v="84"/>
    <n v="84"/>
    <n v="0"/>
    <n v="7191879"/>
    <n v="599323.25"/>
    <n v="0"/>
    <n v="599323.25"/>
    <n v="0"/>
    <n v="0"/>
  </r>
  <r>
    <s v="Олбари (З)"/>
    <x v="1"/>
    <s v="ЦЗ"/>
    <m/>
    <m/>
    <s v="Мал"/>
    <s v="В.И."/>
    <s v="В.И."/>
    <x v="71"/>
    <s v="Эвон"/>
    <m/>
    <n v="73.571428571428569"/>
    <n v="55"/>
    <n v="74"/>
    <n v="70"/>
    <n v="80"/>
    <n v="82"/>
    <n v="79"/>
    <n v="75"/>
    <n v="0"/>
    <n v="4646136"/>
    <n v="387178"/>
    <n v="0"/>
    <n v="387178"/>
    <n v="0"/>
    <n v="0"/>
  </r>
  <r>
    <s v="Олдрин Марк"/>
    <x v="1"/>
    <s v="ЛЗ"/>
    <s v="ЦЗ"/>
    <m/>
    <m/>
    <s v="В.И."/>
    <s v="В.И."/>
    <x v="71"/>
    <s v="Эвон"/>
    <m/>
    <n v="65.857142857142861"/>
    <n v="38"/>
    <n v="70"/>
    <n v="61"/>
    <n v="66"/>
    <n v="89"/>
    <n v="77"/>
    <n v="60"/>
    <n v="0"/>
    <n v="1534719"/>
    <n v="127893.25"/>
    <n v="0"/>
    <n v="127893.25"/>
    <n v="0"/>
    <n v="0"/>
  </r>
  <r>
    <s v="Штебель"/>
    <x v="1"/>
    <s v="ЦЗ"/>
    <s v="ЛЗ"/>
    <m/>
    <s v="Мал"/>
    <s v="В.И."/>
    <s v="В.И."/>
    <x v="71"/>
    <s v="Эвон"/>
    <m/>
    <n v="71.285714285714292"/>
    <n v="48"/>
    <n v="65"/>
    <n v="75"/>
    <n v="75"/>
    <n v="80"/>
    <n v="86"/>
    <n v="70"/>
    <n v="0"/>
    <n v="3388638"/>
    <n v="282386.5"/>
    <n v="0"/>
    <n v="282386.5"/>
    <n v="0"/>
    <n v="0"/>
  </r>
  <r>
    <s v="Штейн Люк"/>
    <x v="1"/>
    <s v="ЦЗ"/>
    <s v="ЛЗ"/>
    <m/>
    <m/>
    <s v="В.И."/>
    <s v="В.И."/>
    <x v="71"/>
    <s v="Эвон"/>
    <m/>
    <n v="70.142857142857139"/>
    <n v="50"/>
    <n v="80"/>
    <n v="75"/>
    <n v="72"/>
    <n v="82"/>
    <n v="75"/>
    <n v="57"/>
    <n v="12"/>
    <n v="4324400"/>
    <n v="107354.58333333333"/>
    <n v="0"/>
    <n v="360366.66666666669"/>
    <n v="-70.209999999999994"/>
    <n v="0"/>
  </r>
  <r>
    <s v="Ирин (н)"/>
    <x v="2"/>
    <s v="ЦН"/>
    <m/>
    <m/>
    <s v="Туркан"/>
    <s v="В.И."/>
    <s v="В.И."/>
    <x v="71"/>
    <s v="Эвон"/>
    <m/>
    <n v="75.428571428571431"/>
    <n v="60"/>
    <n v="80"/>
    <n v="83"/>
    <n v="81"/>
    <n v="74"/>
    <n v="85"/>
    <n v="65"/>
    <n v="0"/>
    <n v="5961545"/>
    <n v="496795.41666666669"/>
    <n v="0"/>
    <n v="496795.41666666669"/>
    <n v="0"/>
    <n v="0"/>
  </r>
  <r>
    <s v="Манду (Н)"/>
    <x v="2"/>
    <s v="ЦН"/>
    <s v="АПЗ"/>
    <m/>
    <s v="Биссий"/>
    <s v="Бельск"/>
    <s v="Бельск"/>
    <x v="71"/>
    <s v="Эвон"/>
    <m/>
    <n v="82.285714285714292"/>
    <n v="73"/>
    <n v="81"/>
    <n v="92"/>
    <n v="80"/>
    <n v="86"/>
    <n v="94"/>
    <n v="70"/>
    <n v="6"/>
    <n v="21346944"/>
    <n v="1778912"/>
    <n v="0"/>
    <n v="1778912"/>
    <n v="0"/>
    <n v="0"/>
  </r>
  <r>
    <s v="Финчли Роб"/>
    <x v="2"/>
    <s v="ЦН"/>
    <s v="ОФ"/>
    <m/>
    <m/>
    <s v="В.И."/>
    <s v="В.И."/>
    <x v="71"/>
    <s v="Эвон"/>
    <m/>
    <n v="65"/>
    <n v="36"/>
    <n v="78"/>
    <n v="65"/>
    <n v="70"/>
    <n v="77"/>
    <n v="71"/>
    <n v="58"/>
    <n v="0"/>
    <n v="1346275"/>
    <n v="112189.58333333333"/>
    <n v="0"/>
    <n v="112189.58333333333"/>
    <n v="0"/>
    <n v="0"/>
  </r>
  <r>
    <s v="Виктор Гу "/>
    <x v="3"/>
    <s v="ЦПЗ"/>
    <s v="ЛПЗ"/>
    <s v="ППЗ"/>
    <s v="Ч.Л."/>
    <s v="Ч.Л."/>
    <s v="Ч.Л."/>
    <x v="71"/>
    <s v="Эвон"/>
    <m/>
    <n v="80.571428571428569"/>
    <n v="70"/>
    <n v="80"/>
    <n v="89"/>
    <n v="80"/>
    <n v="78"/>
    <n v="84"/>
    <n v="83"/>
    <n v="21"/>
    <n v="17294257"/>
    <n v="1441188.0833333333"/>
    <n v="0"/>
    <n v="1441188.0833333333"/>
    <n v="0"/>
    <n v="0"/>
  </r>
  <r>
    <s v="Гарвин Тед"/>
    <x v="3"/>
    <s v="ЛПЗ"/>
    <s v="ЦПЗ"/>
    <m/>
    <m/>
    <s v="В.И."/>
    <s v="В.И."/>
    <x v="71"/>
    <s v="Эвон"/>
    <m/>
    <n v="60.714285714285715"/>
    <n v="28"/>
    <n v="81"/>
    <n v="52"/>
    <n v="75"/>
    <n v="69"/>
    <n v="66"/>
    <n v="54"/>
    <n v="0"/>
    <n v="680627"/>
    <n v="56718.916666666664"/>
    <n v="0"/>
    <n v="56718.916666666664"/>
    <n v="0"/>
    <n v="0"/>
  </r>
  <r>
    <s v="Лоренс Тим"/>
    <x v="3"/>
    <s v="ОПЗ"/>
    <s v="ЦПЗ"/>
    <m/>
    <m/>
    <s v="В.И."/>
    <s v="В.И."/>
    <x v="71"/>
    <s v="Эвон"/>
    <m/>
    <n v="65.571428571428569"/>
    <n v="39"/>
    <n v="65"/>
    <n v="59"/>
    <n v="82"/>
    <n v="80"/>
    <n v="72"/>
    <n v="62"/>
    <n v="0"/>
    <n v="1469422"/>
    <n v="122451.83333333333"/>
    <n v="0"/>
    <n v="122451.83333333333"/>
    <n v="0"/>
    <n v="0"/>
  </r>
  <r>
    <s v="Марчент Луи"/>
    <x v="3"/>
    <s v="ППЗ"/>
    <s v="АПЗ"/>
    <m/>
    <m/>
    <s v="В.И."/>
    <s v="В.И."/>
    <x v="71"/>
    <s v="Эвон"/>
    <m/>
    <n v="65.428571428571431"/>
    <n v="41"/>
    <n v="76"/>
    <n v="64"/>
    <n v="71"/>
    <n v="73"/>
    <n v="74"/>
    <n v="59"/>
    <n v="0"/>
    <n v="1437721"/>
    <n v="119810.08333333333"/>
    <n v="0"/>
    <n v="119810.08333333333"/>
    <n v="0"/>
    <n v="0"/>
  </r>
  <r>
    <s v="Мончлер (П)"/>
    <x v="3"/>
    <s v="ЦПЗ"/>
    <s v="АПЗ"/>
    <s v="ЛПЗ"/>
    <s v="Кут"/>
    <s v="Кут"/>
    <s v="Кут"/>
    <x v="71"/>
    <s v="Эвон"/>
    <m/>
    <n v="92.142857142857139"/>
    <n v="88"/>
    <n v="88"/>
    <n v="94"/>
    <n v="97"/>
    <n v="94"/>
    <n v="92"/>
    <n v="92"/>
    <n v="17"/>
    <n v="66177142"/>
    <n v="5514761.833333333"/>
    <n v="0"/>
    <n v="5514761.833333333"/>
    <n v="0"/>
    <n v="0"/>
  </r>
  <r>
    <s v="Синевский (П)"/>
    <x v="3"/>
    <s v="ЦПЗ"/>
    <s v="АПЗ"/>
    <s v="ОПЗ"/>
    <s v="Б.Л."/>
    <s v="Б.Л."/>
    <s v="Б.Л."/>
    <x v="71"/>
    <s v="Эвон"/>
    <m/>
    <n v="87.285714285714292"/>
    <n v="81"/>
    <n v="84"/>
    <n v="92"/>
    <n v="93"/>
    <n v="88"/>
    <n v="88"/>
    <n v="85"/>
    <n v="17"/>
    <n v="38505518"/>
    <n v="3208793.1666666665"/>
    <n v="0"/>
    <n v="3208793.1666666665"/>
    <n v="0"/>
    <n v="0"/>
  </r>
  <r>
    <s v="Стритт Джон"/>
    <x v="3"/>
    <s v="ЦПЗ"/>
    <s v="АПЗ"/>
    <m/>
    <m/>
    <s v="В.И."/>
    <s v="В.И."/>
    <x v="71"/>
    <s v="Эвон"/>
    <m/>
    <n v="61.285714285714285"/>
    <n v="32"/>
    <n v="73"/>
    <n v="55"/>
    <n v="77"/>
    <n v="67"/>
    <n v="69"/>
    <n v="56"/>
    <n v="0"/>
    <n v="747468"/>
    <n v="62289"/>
    <n v="0"/>
    <n v="62289"/>
    <n v="0"/>
    <n v="0"/>
  </r>
  <r>
    <s v="Тошич Оксарский"/>
    <x v="3"/>
    <s v="ЛПЗ"/>
    <s v="ОПЗ"/>
    <s v="ППЗ"/>
    <s v="Сув"/>
    <s v="В.И."/>
    <s v="В.И."/>
    <x v="71"/>
    <s v="Эвон"/>
    <m/>
    <n v="85"/>
    <n v="80"/>
    <n v="92"/>
    <n v="84"/>
    <n v="88"/>
    <n v="83"/>
    <n v="83"/>
    <n v="85"/>
    <n v="23"/>
    <n v="29531161"/>
    <n v="2460930.0833333335"/>
    <n v="0"/>
    <n v="2460930.0833333335"/>
    <n v="0"/>
    <n v="0"/>
  </r>
  <r>
    <s v="Фятта"/>
    <x v="3"/>
    <s v="ОПЗ"/>
    <s v="ЦПЗ"/>
    <m/>
    <s v="Биссий"/>
    <s v="Биссий"/>
    <s v="Биссий"/>
    <x v="71"/>
    <s v="Эвон"/>
    <m/>
    <n v="64.142857142857139"/>
    <n v="40"/>
    <n v="65"/>
    <n v="75"/>
    <n v="71"/>
    <n v="74"/>
    <n v="83"/>
    <n v="41"/>
    <n v="0"/>
    <n v="1178917"/>
    <n v="98243.083333333328"/>
    <n v="0"/>
    <n v="98243.083333333328"/>
    <n v="0"/>
    <n v="0"/>
  </r>
  <r>
    <s v="Вик Трид"/>
    <x v="4"/>
    <s v="Т"/>
    <m/>
    <m/>
    <m/>
    <s v="Генуа"/>
    <s v="Генуа"/>
    <x v="71"/>
    <s v="Эвон"/>
    <m/>
    <n v="79.714285714285708"/>
    <n v="69"/>
    <n v="90"/>
    <n v="80"/>
    <n v="85"/>
    <n v="88"/>
    <n v="80"/>
    <n v="66"/>
    <n v="0"/>
    <n v="10360044"/>
    <n v="863337"/>
    <n v="0"/>
    <n v="863337"/>
    <n v="0"/>
    <n v="0"/>
  </r>
  <r>
    <s v="Брантин Оскар"/>
    <x v="0"/>
    <s v="В"/>
    <m/>
    <m/>
    <m/>
    <s v="К.С."/>
    <s v="К.С."/>
    <x v="72"/>
    <s v="Эвон"/>
    <m/>
    <n v="64.142857142857139"/>
    <n v="26"/>
    <n v="74"/>
    <n v="70"/>
    <n v="76"/>
    <n v="79"/>
    <n v="80"/>
    <n v="44"/>
    <n v="0"/>
    <n v="1178917"/>
    <n v="98243.083333333328"/>
    <n v="0"/>
    <n v="98243.083333333328"/>
    <n v="0"/>
    <n v="0"/>
  </r>
  <r>
    <s v="Сарда (В)"/>
    <x v="0"/>
    <s v="В"/>
    <m/>
    <m/>
    <s v="Турк"/>
    <s v="Турк"/>
    <s v="Турк"/>
    <x v="72"/>
    <s v="Эвон"/>
    <m/>
    <n v="66.285714285714292"/>
    <n v="44"/>
    <n v="86"/>
    <n v="80"/>
    <n v="50"/>
    <n v="66"/>
    <n v="73"/>
    <n v="65"/>
    <n v="0"/>
    <n v="1637569"/>
    <n v="136464.08333333334"/>
    <n v="0"/>
    <n v="136464.08333333334"/>
    <n v="0"/>
    <n v="0"/>
  </r>
  <r>
    <s v="Термин"/>
    <x v="0"/>
    <s v="В"/>
    <m/>
    <m/>
    <s v="К.С."/>
    <s v="К.С."/>
    <s v="К.С."/>
    <x v="72"/>
    <s v="Эвон"/>
    <m/>
    <n v="70"/>
    <n v="32"/>
    <n v="76"/>
    <n v="73"/>
    <n v="82"/>
    <n v="74"/>
    <n v="79"/>
    <n v="74"/>
    <n v="0"/>
    <n v="2824753"/>
    <n v="235396.08333333334"/>
    <n v="0"/>
    <n v="235396.08333333334"/>
    <n v="0"/>
    <n v="0"/>
  </r>
  <r>
    <s v="Аллавс"/>
    <x v="1"/>
    <s v="ЦЗ"/>
    <m/>
    <m/>
    <s v="К.С."/>
    <s v="К.С."/>
    <s v="К.С."/>
    <x v="72"/>
    <s v="Эвон"/>
    <m/>
    <n v="59.571428571428569"/>
    <n v="50"/>
    <n v="70"/>
    <n v="59"/>
    <n v="60"/>
    <n v="70"/>
    <n v="71"/>
    <n v="37"/>
    <n v="0"/>
    <n v="562834"/>
    <n v="46902.833333333336"/>
    <n v="0"/>
    <n v="46902.833333333336"/>
    <n v="0"/>
    <n v="0"/>
  </r>
  <r>
    <s v="Бальтер Люк"/>
    <x v="1"/>
    <s v="ЦЗ"/>
    <s v="ПЗ"/>
    <m/>
    <m/>
    <s v="К.С."/>
    <s v="К.С."/>
    <x v="72"/>
    <s v="Эвон"/>
    <m/>
    <n v="62"/>
    <n v="25"/>
    <n v="71"/>
    <n v="63"/>
    <n v="75"/>
    <n v="79"/>
    <n v="82"/>
    <n v="39"/>
    <n v="0"/>
    <n v="839300"/>
    <n v="69941.666666666672"/>
    <n v="0"/>
    <n v="69941.666666666672"/>
    <n v="0"/>
    <n v="0"/>
  </r>
  <r>
    <s v="Дорда Рауль"/>
    <x v="1"/>
    <s v="ЦЗ"/>
    <s v="ОПЗ"/>
    <m/>
    <m/>
    <s v="К.С."/>
    <s v="К.С."/>
    <x v="72"/>
    <s v="Эвон"/>
    <m/>
    <n v="58.285714285714285"/>
    <n v="21"/>
    <n v="66"/>
    <n v="60"/>
    <n v="72"/>
    <n v="77"/>
    <n v="79"/>
    <n v="33"/>
    <n v="0"/>
    <n v="452503"/>
    <n v="37708.583333333336"/>
    <n v="0"/>
    <n v="37708.583333333336"/>
    <n v="0"/>
    <n v="0"/>
  </r>
  <r>
    <s v="Кутер"/>
    <x v="1"/>
    <s v="ПЗ"/>
    <s v="ОПЗ"/>
    <m/>
    <s v="К.С."/>
    <s v="К.С."/>
    <s v="К.С."/>
    <x v="72"/>
    <s v="Эвон"/>
    <m/>
    <n v="72.714285714285708"/>
    <n v="68"/>
    <n v="86"/>
    <n v="78"/>
    <n v="80"/>
    <n v="61"/>
    <n v="80"/>
    <n v="56"/>
    <n v="0"/>
    <n v="4132354"/>
    <n v="344362.83333333331"/>
    <n v="0"/>
    <n v="344362.83333333331"/>
    <n v="0"/>
    <n v="0"/>
  </r>
  <r>
    <s v="Нустен"/>
    <x v="1"/>
    <s v="ЦЗ"/>
    <s v="ЛЗ"/>
    <m/>
    <s v="К.С."/>
    <s v="К.С."/>
    <s v="К.С."/>
    <x v="72"/>
    <s v="Эвон"/>
    <m/>
    <n v="59.857142857142854"/>
    <n v="51"/>
    <n v="62"/>
    <n v="70"/>
    <n v="53"/>
    <n v="74"/>
    <n v="65"/>
    <n v="44"/>
    <n v="0"/>
    <n v="590419"/>
    <n v="49201.583333333336"/>
    <n v="0"/>
    <n v="49201.583333333336"/>
    <n v="0"/>
    <n v="0"/>
  </r>
  <r>
    <s v="Струнен Марк"/>
    <x v="1"/>
    <s v="ЦЗ"/>
    <m/>
    <m/>
    <m/>
    <s v="К.С."/>
    <s v="К.С."/>
    <x v="72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Фрилавс Тим"/>
    <x v="1"/>
    <s v="ЦЗ"/>
    <s v="ЛЗ"/>
    <m/>
    <m/>
    <s v="К.С."/>
    <s v="К.С."/>
    <x v="72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Хунен"/>
    <x v="1"/>
    <s v="ПЗ"/>
    <m/>
    <m/>
    <s v="К.С."/>
    <s v="К.С."/>
    <s v="К.С."/>
    <x v="72"/>
    <s v="Эвон"/>
    <m/>
    <n v="60.714285714285715"/>
    <n v="52"/>
    <n v="75"/>
    <n v="65"/>
    <n v="56"/>
    <n v="67"/>
    <n v="65"/>
    <n v="45"/>
    <n v="0"/>
    <n v="680627"/>
    <n v="56718.916666666664"/>
    <n v="0"/>
    <n v="56718.916666666664"/>
    <n v="0"/>
    <n v="0"/>
  </r>
  <r>
    <s v="Твистен Нильс"/>
    <x v="2"/>
    <s v="ЦН"/>
    <s v="ОФ"/>
    <m/>
    <m/>
    <s v="К.С."/>
    <s v="К.С."/>
    <x v="72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Тьюстен"/>
    <x v="2"/>
    <s v="ЦН"/>
    <m/>
    <m/>
    <s v="К.С."/>
    <s v="К.С."/>
    <s v="К.С."/>
    <x v="72"/>
    <s v="Эвон"/>
    <m/>
    <n v="63.571428571428569"/>
    <n v="40"/>
    <n v="65"/>
    <n v="73"/>
    <n v="70"/>
    <n v="73"/>
    <n v="79"/>
    <n v="45"/>
    <n v="0"/>
    <n v="1078003"/>
    <n v="89833.583333333328"/>
    <n v="0"/>
    <n v="89833.583333333328"/>
    <n v="0"/>
    <n v="0"/>
  </r>
  <r>
    <s v="Чадгинсон Пол"/>
    <x v="2"/>
    <s v="ЦН"/>
    <m/>
    <m/>
    <m/>
    <s v="К.С."/>
    <s v="К.С."/>
    <x v="72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Чергинсов"/>
    <x v="2"/>
    <s v="ОФ"/>
    <s v="ЦН"/>
    <m/>
    <s v="К.С."/>
    <s v="К.С."/>
    <s v="К.С."/>
    <x v="72"/>
    <s v="Эвон"/>
    <m/>
    <n v="63.428571428571431"/>
    <n v="35"/>
    <n v="68"/>
    <n v="70"/>
    <n v="72"/>
    <n v="71"/>
    <n v="81"/>
    <n v="47"/>
    <n v="0"/>
    <n v="1054022"/>
    <n v="87835.166666666672"/>
    <n v="0"/>
    <n v="87835.166666666672"/>
    <n v="0"/>
    <n v="0"/>
  </r>
  <r>
    <s v="Баргин"/>
    <x v="3"/>
    <s v="ЛПЗ"/>
    <s v="ППЗ"/>
    <m/>
    <s v="К.С."/>
    <s v="К.С."/>
    <s v="К.С."/>
    <x v="72"/>
    <s v="Эвон"/>
    <m/>
    <n v="65.142857142857139"/>
    <n v="40"/>
    <n v="77"/>
    <n v="72"/>
    <n v="71"/>
    <n v="68"/>
    <n v="75"/>
    <n v="53"/>
    <n v="0"/>
    <n v="1376158"/>
    <n v="114679.83333333333"/>
    <n v="0"/>
    <n v="114679.83333333333"/>
    <n v="0"/>
    <n v="0"/>
  </r>
  <r>
    <s v="Вельминг"/>
    <x v="3"/>
    <s v="ЦПЗ"/>
    <s v="ОПЗ"/>
    <m/>
    <s v="К.С."/>
    <s v="К.С."/>
    <s v="К.С."/>
    <x v="72"/>
    <s v="Эвон"/>
    <m/>
    <n v="65.857142857142861"/>
    <n v="42"/>
    <n v="75"/>
    <n v="75"/>
    <n v="72"/>
    <n v="67"/>
    <n v="79"/>
    <n v="51"/>
    <n v="0"/>
    <n v="1534719"/>
    <n v="127893.25"/>
    <n v="0"/>
    <n v="127893.25"/>
    <n v="0"/>
    <n v="0"/>
  </r>
  <r>
    <s v="Вергина Луи"/>
    <x v="3"/>
    <s v="ППЗ"/>
    <s v="АПЗ"/>
    <m/>
    <m/>
    <s v="К.С."/>
    <s v="К.С."/>
    <x v="72"/>
    <s v="Эвон"/>
    <m/>
    <n v="65"/>
    <n v="26"/>
    <n v="77"/>
    <n v="69"/>
    <n v="82"/>
    <n v="78"/>
    <n v="80"/>
    <n v="43"/>
    <n v="0"/>
    <n v="1346275"/>
    <n v="112189.58333333333"/>
    <n v="0"/>
    <n v="112189.58333333333"/>
    <n v="0"/>
    <n v="0"/>
  </r>
  <r>
    <s v="Грокер Ханс"/>
    <x v="3"/>
    <s v="ЦПЗ"/>
    <s v="ППЗ"/>
    <m/>
    <m/>
    <s v="К.С."/>
    <s v="К.С."/>
    <x v="72"/>
    <s v="Эвон"/>
    <m/>
    <n v="56"/>
    <n v="19"/>
    <n v="62"/>
    <n v="65"/>
    <n v="69"/>
    <n v="70"/>
    <n v="75"/>
    <n v="32"/>
    <n v="0"/>
    <n v="303306"/>
    <n v="25275.5"/>
    <n v="0"/>
    <n v="25275.5"/>
    <n v="0"/>
    <n v="0"/>
  </r>
  <r>
    <s v="Жеолби"/>
    <x v="3"/>
    <s v="ЛПЗ"/>
    <s v="АПЗ"/>
    <s v="ОПЗ"/>
    <s v="К.С."/>
    <s v="К.С."/>
    <s v="К.С."/>
    <x v="72"/>
    <s v="Эвон"/>
    <m/>
    <n v="68.857142857142861"/>
    <n v="35"/>
    <n v="83"/>
    <n v="75"/>
    <n v="78"/>
    <n v="69"/>
    <n v="82"/>
    <n v="60"/>
    <n v="0"/>
    <n v="2396018"/>
    <n v="199668.16666666666"/>
    <n v="0"/>
    <n v="199668.16666666666"/>
    <n v="0"/>
    <n v="0"/>
  </r>
  <r>
    <s v="Сергина (П)"/>
    <x v="3"/>
    <s v="ППЗ"/>
    <s v="АПЗ"/>
    <m/>
    <s v="К.С."/>
    <s v="К.С."/>
    <s v="К.С."/>
    <x v="72"/>
    <s v="Эвон"/>
    <m/>
    <n v="77.142857142857139"/>
    <n v="70"/>
    <n v="83"/>
    <n v="82"/>
    <n v="80"/>
    <n v="74"/>
    <n v="80"/>
    <n v="71"/>
    <n v="24"/>
    <n v="11195628"/>
    <n v="932969"/>
    <n v="0"/>
    <n v="932969"/>
    <n v="0"/>
    <n v="0"/>
  </r>
  <r>
    <s v="Токер"/>
    <x v="3"/>
    <s v="ЦПЗ"/>
    <s v="ППЗ"/>
    <m/>
    <s v="К.С."/>
    <s v="К.С."/>
    <s v="К.С."/>
    <x v="72"/>
    <s v="Эвон"/>
    <m/>
    <n v="66"/>
    <n v="43"/>
    <n v="74"/>
    <n v="74"/>
    <n v="73"/>
    <n v="68"/>
    <n v="78"/>
    <n v="52"/>
    <n v="0"/>
    <n v="1568337"/>
    <n v="130694.75"/>
    <n v="0"/>
    <n v="130694.75"/>
    <n v="0"/>
    <n v="0"/>
  </r>
  <r>
    <s v="Стерминг Кай"/>
    <x v="4"/>
    <s v="Т"/>
    <m/>
    <m/>
    <m/>
    <s v="К.С."/>
    <s v="К.С."/>
    <x v="72"/>
    <s v="Эвон"/>
    <m/>
    <n v="61"/>
    <n v="24"/>
    <n v="72"/>
    <n v="67"/>
    <n v="76"/>
    <n v="74"/>
    <n v="77"/>
    <n v="37"/>
    <n v="0"/>
    <n v="713343"/>
    <n v="59445.25"/>
    <n v="0"/>
    <n v="59445.25"/>
    <n v="0"/>
    <n v="0"/>
  </r>
  <r>
    <s v="Дракенберг Олаф"/>
    <x v="0"/>
    <s v="В"/>
    <m/>
    <m/>
    <m/>
    <s v="Бел"/>
    <s v="Бел"/>
    <x v="73"/>
    <s v="Эвон"/>
    <m/>
    <n v="73.571428571428569"/>
    <n v="40"/>
    <n v="80"/>
    <n v="80"/>
    <n v="86"/>
    <n v="90"/>
    <n v="79"/>
    <n v="60"/>
    <n v="30"/>
    <n v="6969204"/>
    <n v="580767"/>
    <n v="0"/>
    <n v="580767"/>
    <n v="0"/>
    <n v="0"/>
  </r>
  <r>
    <s v="Кушима (В)"/>
    <x v="0"/>
    <s v="В"/>
    <m/>
    <m/>
    <s v="Шах"/>
    <s v="Лион"/>
    <s v="Лион"/>
    <x v="73"/>
    <s v="Эвон"/>
    <m/>
    <n v="78.857142857142861"/>
    <n v="70"/>
    <n v="92"/>
    <n v="77"/>
    <n v="82"/>
    <n v="80"/>
    <n v="82"/>
    <n v="69"/>
    <n v="31"/>
    <n v="13947670"/>
    <n v="1162305.8333333333"/>
    <n v="0"/>
    <n v="1162305.8333333333"/>
    <n v="0"/>
    <n v="0"/>
  </r>
  <r>
    <s v="Акин (З)"/>
    <x v="1"/>
    <s v="ЦЗ"/>
    <m/>
    <m/>
    <s v="Вод"/>
    <s v="Вод"/>
    <s v="Вод"/>
    <x v="73"/>
    <s v="Эвон"/>
    <m/>
    <n v="73.714285714285708"/>
    <n v="70"/>
    <n v="70"/>
    <n v="88"/>
    <n v="75"/>
    <n v="70"/>
    <n v="88"/>
    <n v="55"/>
    <n v="0"/>
    <n v="4737145"/>
    <n v="394762.08333333331"/>
    <n v="0"/>
    <n v="394762.08333333331"/>
    <n v="0"/>
    <n v="0"/>
  </r>
  <r>
    <s v="Бергстен Оле"/>
    <x v="1"/>
    <s v="ПЗ"/>
    <m/>
    <m/>
    <m/>
    <s v="Бел"/>
    <s v="Бел"/>
    <x v="73"/>
    <s v="Эвон"/>
    <m/>
    <n v="69.571428571428569"/>
    <n v="44"/>
    <n v="85"/>
    <n v="62"/>
    <n v="80"/>
    <n v="82"/>
    <n v="84"/>
    <n v="50"/>
    <n v="0"/>
    <n v="2656497"/>
    <n v="221374.75"/>
    <n v="0"/>
    <n v="221374.75"/>
    <n v="0"/>
    <n v="0"/>
  </r>
  <r>
    <s v="Винтерфельд Ганс"/>
    <x v="1"/>
    <s v="ЦЗ"/>
    <s v="ЛЗ"/>
    <m/>
    <m/>
    <s v="Бел"/>
    <s v="Бел"/>
    <x v="73"/>
    <s v="Эвон"/>
    <m/>
    <n v="66.285714285714292"/>
    <n v="23"/>
    <n v="76"/>
    <n v="70"/>
    <n v="82"/>
    <n v="84"/>
    <n v="86"/>
    <n v="43"/>
    <n v="0"/>
    <n v="1637569"/>
    <n v="136464.08333333334"/>
    <n v="0"/>
    <n v="136464.08333333334"/>
    <n v="0"/>
    <n v="0"/>
  </r>
  <r>
    <s v="Розенкранц Ларс"/>
    <x v="1"/>
    <s v="ЦЗ"/>
    <m/>
    <m/>
    <m/>
    <s v="Бел"/>
    <s v="Бел"/>
    <x v="73"/>
    <s v="Эвон"/>
    <m/>
    <n v="51.571428571428569"/>
    <n v="15"/>
    <n v="55"/>
    <n v="58"/>
    <n v="66"/>
    <n v="68"/>
    <n v="72"/>
    <n v="27"/>
    <n v="0"/>
    <n v="133074"/>
    <n v="11089.5"/>
    <n v="0"/>
    <n v="11089.5"/>
    <n v="0"/>
    <n v="0"/>
  </r>
  <r>
    <s v="Ферсуо (З)"/>
    <x v="1"/>
    <s v="ЦЗ"/>
    <m/>
    <m/>
    <s v="А.Н."/>
    <s v="А.Н."/>
    <s v="А.Н."/>
    <x v="73"/>
    <s v="Эвон"/>
    <m/>
    <n v="74.428571428571431"/>
    <n v="59"/>
    <n v="70"/>
    <n v="70"/>
    <n v="89"/>
    <n v="81"/>
    <n v="82"/>
    <n v="70"/>
    <n v="0"/>
    <n v="5216712"/>
    <n v="434726"/>
    <n v="0"/>
    <n v="434726"/>
    <n v="0"/>
    <n v="0"/>
  </r>
  <r>
    <s v="Жтальберг Уси"/>
    <x v="1"/>
    <s v="ЦЗ"/>
    <s v="ОПЗ"/>
    <m/>
    <m/>
    <s v="Бел"/>
    <s v="Бел"/>
    <x v="73"/>
    <s v="Эвон"/>
    <m/>
    <n v="59.571428571428569"/>
    <n v="16"/>
    <n v="66"/>
    <n v="64"/>
    <n v="78"/>
    <n v="80"/>
    <n v="81"/>
    <n v="32"/>
    <n v="0"/>
    <n v="562834"/>
    <n v="46902.833333333336"/>
    <n v="0"/>
    <n v="46902.833333333336"/>
    <n v="0"/>
    <n v="0"/>
  </r>
  <r>
    <s v="Лендинг"/>
    <x v="2"/>
    <s v="ЦН"/>
    <s v="АПЗ"/>
    <m/>
    <s v="Клю"/>
    <s v="Клю"/>
    <s v="Клю"/>
    <x v="73"/>
    <s v="Эвон"/>
    <m/>
    <n v="70.571428571428569"/>
    <n v="52"/>
    <n v="81"/>
    <n v="80"/>
    <n v="78"/>
    <n v="74"/>
    <n v="77"/>
    <n v="52"/>
    <n v="0"/>
    <n v="3064003"/>
    <n v="255333.58333333334"/>
    <n v="0"/>
    <n v="255333.58333333334"/>
    <n v="0"/>
    <n v="0"/>
  </r>
  <r>
    <s v="Рихтер Курт"/>
    <x v="2"/>
    <s v="ЦН"/>
    <s v="АПЗ"/>
    <m/>
    <m/>
    <s v="Бел"/>
    <s v="Бел"/>
    <x v="73"/>
    <s v="Эвон"/>
    <m/>
    <n v="71.714285714285708"/>
    <n v="48"/>
    <n v="82"/>
    <n v="80"/>
    <n v="81"/>
    <n v="82"/>
    <n v="85"/>
    <n v="44"/>
    <n v="7"/>
    <n v="5396946"/>
    <n v="449745.5"/>
    <n v="0"/>
    <n v="449745.5"/>
    <n v="0"/>
    <n v="0"/>
  </r>
  <r>
    <s v="Тогист"/>
    <x v="2"/>
    <s v="ЦН"/>
    <m/>
    <m/>
    <s v="Сар"/>
    <s v="Сар"/>
    <s v="Сар"/>
    <x v="73"/>
    <s v="Эвон"/>
    <m/>
    <n v="62"/>
    <n v="35"/>
    <n v="70"/>
    <n v="74"/>
    <n v="70"/>
    <n v="68"/>
    <n v="77"/>
    <n v="40"/>
    <n v="0"/>
    <n v="839300"/>
    <n v="69941.666666666672"/>
    <n v="0"/>
    <n v="69941.666666666672"/>
    <n v="0"/>
    <n v="0"/>
  </r>
  <r>
    <s v="Грайстер"/>
    <x v="3"/>
    <s v="АПЗ"/>
    <s v="ЦПЗ"/>
    <m/>
    <s v="Шах"/>
    <s v="Шах"/>
    <s v="Шах"/>
    <x v="73"/>
    <s v="Эвон"/>
    <m/>
    <n v="58.285714285714285"/>
    <n v="42"/>
    <n v="57"/>
    <n v="73"/>
    <n v="65"/>
    <n v="52"/>
    <n v="66"/>
    <n v="53"/>
    <n v="0"/>
    <n v="452503"/>
    <n v="37708.583333333336"/>
    <n v="0"/>
    <n v="37708.583333333336"/>
    <n v="0"/>
    <n v="0"/>
  </r>
  <r>
    <s v="Кальтенбруннер Дитер"/>
    <x v="3"/>
    <s v="ЦПЗ"/>
    <s v="ЛПЗ"/>
    <m/>
    <m/>
    <s v="Бел"/>
    <s v="Бел"/>
    <x v="73"/>
    <s v="Эвон"/>
    <m/>
    <n v="65.571428571428569"/>
    <n v="24"/>
    <n v="78"/>
    <n v="74"/>
    <n v="84"/>
    <n v="78"/>
    <n v="80"/>
    <n v="41"/>
    <n v="0"/>
    <n v="1469422"/>
    <n v="122451.83333333333"/>
    <n v="0"/>
    <n v="122451.83333333333"/>
    <n v="0"/>
    <n v="0"/>
  </r>
  <r>
    <s v="Л. Ханчик (П)"/>
    <x v="3"/>
    <s v="ППЗ"/>
    <s v="ЛПЗ"/>
    <m/>
    <s v="Бел"/>
    <s v="Бел"/>
    <s v="Бел"/>
    <x v="73"/>
    <s v="Эвон"/>
    <m/>
    <n v="87"/>
    <n v="84"/>
    <n v="92"/>
    <n v="89"/>
    <n v="90"/>
    <n v="83"/>
    <n v="83"/>
    <n v="88"/>
    <n v="23"/>
    <n v="37263513"/>
    <n v="3105292.75"/>
    <n v="0"/>
    <n v="3105292.75"/>
    <n v="0"/>
    <n v="0"/>
  </r>
  <r>
    <s v="П. Лоурет (П)"/>
    <x v="3"/>
    <s v="ЦПЗ"/>
    <s v="ЛПЗ"/>
    <m/>
    <s v="Бел"/>
    <s v="Бел"/>
    <s v="Бел"/>
    <x v="73"/>
    <s v="Эвон"/>
    <m/>
    <n v="88.285714285714292"/>
    <n v="86"/>
    <n v="91"/>
    <n v="87"/>
    <n v="96"/>
    <n v="87"/>
    <n v="84"/>
    <n v="87"/>
    <n v="23"/>
    <n v="43151472"/>
    <n v="3595956"/>
    <n v="0"/>
    <n v="3595956"/>
    <n v="0"/>
    <n v="0"/>
  </r>
  <r>
    <s v="Тормир (П)"/>
    <x v="3"/>
    <s v="ЦПЗ"/>
    <s v="ОПЗ"/>
    <s v="АПЗ"/>
    <s v="Вар"/>
    <s v="Вар"/>
    <s v="Вар"/>
    <x v="73"/>
    <s v="Эвон"/>
    <m/>
    <n v="84.428571428571431"/>
    <n v="78"/>
    <n v="81"/>
    <n v="81"/>
    <n v="84"/>
    <n v="94"/>
    <n v="95"/>
    <n v="78"/>
    <n v="18"/>
    <n v="27604868"/>
    <n v="2300405.6666666665"/>
    <n v="0"/>
    <n v="2300405.6666666665"/>
    <n v="0"/>
    <n v="0"/>
  </r>
  <r>
    <s v="Фалькенхаген Пауль"/>
    <x v="3"/>
    <s v="ППЗ"/>
    <s v="ЛПЗ"/>
    <m/>
    <m/>
    <s v="Бел"/>
    <s v="Бел"/>
    <x v="73"/>
    <s v="Эвон"/>
    <m/>
    <n v="54.714285714285715"/>
    <n v="16"/>
    <n v="60"/>
    <n v="64"/>
    <n v="72"/>
    <n v="70"/>
    <n v="73"/>
    <n v="28"/>
    <n v="0"/>
    <n v="240441"/>
    <n v="20036.75"/>
    <n v="0"/>
    <n v="20036.75"/>
    <n v="0"/>
    <n v="0"/>
  </r>
  <r>
    <s v="Хольцманн Макс"/>
    <x v="3"/>
    <s v="АПЗ"/>
    <s v="ЦПЗ"/>
    <m/>
    <m/>
    <s v="Бел"/>
    <s v="Бел"/>
    <x v="73"/>
    <s v="Эвон"/>
    <m/>
    <n v="57.142857142857146"/>
    <n v="18"/>
    <n v="64"/>
    <n v="66"/>
    <n v="74"/>
    <n v="72"/>
    <n v="75"/>
    <n v="31"/>
    <n v="0"/>
    <n v="371210"/>
    <n v="30934.166666666668"/>
    <n v="0"/>
    <n v="30934.166666666668"/>
    <n v="0"/>
    <n v="0"/>
  </r>
  <r>
    <s v="Штейнберг Эрих"/>
    <x v="3"/>
    <s v="ЦПЗ"/>
    <s v="ОПЗ"/>
    <m/>
    <m/>
    <s v="Бел"/>
    <s v="Бел"/>
    <x v="73"/>
    <s v="Эвон"/>
    <m/>
    <n v="61.571428571428569"/>
    <n v="21"/>
    <n v="72"/>
    <n v="68"/>
    <n v="80"/>
    <n v="76"/>
    <n v="78"/>
    <n v="36"/>
    <n v="0"/>
    <n v="783056"/>
    <n v="65254.666666666664"/>
    <n v="0"/>
    <n v="65254.666666666664"/>
    <n v="0"/>
    <n v="0"/>
  </r>
  <r>
    <s v="Щвагер (П)"/>
    <x v="3"/>
    <s v="ЦПЗ"/>
    <s v="ППЗ"/>
    <m/>
    <s v="Щеб"/>
    <s v="Щеб"/>
    <s v="Щеб"/>
    <x v="73"/>
    <s v="Эвон"/>
    <m/>
    <n v="52.142857142857146"/>
    <n v="32"/>
    <n v="59"/>
    <n v="66"/>
    <n v="57"/>
    <n v="55"/>
    <n v="66"/>
    <n v="30"/>
    <n v="0"/>
    <n v="148576"/>
    <n v="12381.333333333334"/>
    <n v="0"/>
    <n v="12381.333333333334"/>
    <n v="0"/>
    <n v="0"/>
  </r>
  <r>
    <s v="Кальетр"/>
    <x v="4"/>
    <s v="Т"/>
    <m/>
    <m/>
    <m/>
    <s v="Бел"/>
    <s v="Бел"/>
    <x v="73"/>
    <s v="Эвон"/>
    <m/>
    <n v="73.428571428571431"/>
    <n v="63"/>
    <n v="79"/>
    <n v="84"/>
    <n v="74"/>
    <n v="82"/>
    <n v="74"/>
    <n v="58"/>
    <n v="0"/>
    <n v="4556704"/>
    <n v="379725.33333333331"/>
    <n v="0"/>
    <n v="379725.33333333331"/>
    <n v="0"/>
    <n v="0"/>
  </r>
  <r>
    <s v="Власенко Радим"/>
    <x v="0"/>
    <s v="В"/>
    <m/>
    <m/>
    <m/>
    <s v="Мох"/>
    <s v="Мох"/>
    <x v="74"/>
    <s v="Эвон"/>
    <m/>
    <n v="75.285714285714292"/>
    <n v="70"/>
    <n v="74"/>
    <n v="73"/>
    <n v="79"/>
    <n v="81"/>
    <n v="78"/>
    <n v="72"/>
    <n v="0"/>
    <n v="5849595"/>
    <n v="487466.25"/>
    <n v="0"/>
    <n v="487466.25"/>
    <n v="0"/>
    <n v="0"/>
  </r>
  <r>
    <s v="Суиилла (В)"/>
    <x v="0"/>
    <s v="В"/>
    <m/>
    <m/>
    <s v="Вор"/>
    <s v="Вор"/>
    <s v="Вор"/>
    <x v="74"/>
    <s v="Эвон"/>
    <m/>
    <n v="87.142857142857139"/>
    <n v="83"/>
    <n v="84"/>
    <n v="82"/>
    <n v="86"/>
    <n v="90"/>
    <n v="94"/>
    <n v="91"/>
    <n v="31"/>
    <n v="37879934"/>
    <n v="3156661.1666666665"/>
    <n v="0"/>
    <n v="3156661.1666666665"/>
    <n v="0"/>
    <n v="0"/>
  </r>
  <r>
    <s v="Грайз (З)"/>
    <x v="1"/>
    <s v="ЦЗ"/>
    <s v="ОПЗ"/>
    <m/>
    <s v="С.К."/>
    <s v="С.К."/>
    <s v="С.К."/>
    <x v="74"/>
    <s v="Эвон"/>
    <m/>
    <n v="93.571428571428569"/>
    <n v="95"/>
    <n v="87"/>
    <n v="97"/>
    <n v="97"/>
    <n v="94"/>
    <n v="90"/>
    <n v="95"/>
    <n v="1"/>
    <n v="77183392"/>
    <n v="6431949.333333333"/>
    <n v="0"/>
    <n v="6431949.333333333"/>
    <n v="0"/>
    <n v="0"/>
  </r>
  <r>
    <s v="Зовар Крэм"/>
    <x v="1"/>
    <s v="ПЗ"/>
    <s v="ЦЗ"/>
    <m/>
    <m/>
    <s v="Мох"/>
    <s v="Мох"/>
    <x v="74"/>
    <s v="Эвон"/>
    <m/>
    <n v="76.285714285714292"/>
    <n v="72"/>
    <n v="75"/>
    <n v="80"/>
    <n v="78"/>
    <n v="76"/>
    <n v="79"/>
    <n v="74"/>
    <n v="0"/>
    <n v="6674707"/>
    <n v="556225.58333333337"/>
    <n v="0"/>
    <n v="556225.58333333337"/>
    <n v="0"/>
    <n v="0"/>
  </r>
  <r>
    <s v="Исаксен (З)"/>
    <x v="1"/>
    <s v="ЛЗ"/>
    <s v="ЦЗ"/>
    <s v="ОПЗ"/>
    <s v="Кирп"/>
    <s v="Кирп"/>
    <s v="Кирп"/>
    <x v="74"/>
    <s v="Эвон"/>
    <m/>
    <n v="93.571428571428569"/>
    <n v="92"/>
    <n v="95"/>
    <n v="92"/>
    <n v="95"/>
    <n v="95"/>
    <n v="91"/>
    <n v="95"/>
    <n v="1"/>
    <n v="77183392"/>
    <n v="6431949.333333333"/>
    <n v="0"/>
    <n v="6431949.333333333"/>
    <n v="0"/>
    <n v="0"/>
  </r>
  <r>
    <s v="Лисовский Богдан"/>
    <x v="1"/>
    <s v="ЛЗ"/>
    <s v="ЦЗ"/>
    <m/>
    <m/>
    <s v="Мох"/>
    <s v="Мох"/>
    <x v="74"/>
    <s v="Эвон"/>
    <m/>
    <n v="75.571428571428569"/>
    <n v="68"/>
    <n v="77"/>
    <n v="78"/>
    <n v="80"/>
    <n v="75"/>
    <n v="81"/>
    <n v="70"/>
    <n v="0"/>
    <n v="6075421"/>
    <n v="506285.08333333331"/>
    <n v="0"/>
    <n v="506285.08333333331"/>
    <n v="0"/>
    <n v="0"/>
  </r>
  <r>
    <s v="Михени (З)"/>
    <x v="1"/>
    <s v="ЦЗ"/>
    <s v="ЛЗ"/>
    <m/>
    <s v="Мох"/>
    <s v="Мох"/>
    <s v="Мох"/>
    <x v="74"/>
    <s v="Эвон"/>
    <m/>
    <n v="85.571428571428569"/>
    <n v="88"/>
    <n v="81"/>
    <n v="85"/>
    <n v="82"/>
    <n v="89"/>
    <n v="88"/>
    <n v="86"/>
    <n v="28"/>
    <n v="31577598"/>
    <n v="2631466.5"/>
    <n v="0"/>
    <n v="2631466.5"/>
    <n v="0"/>
    <n v="0"/>
  </r>
  <r>
    <s v="Сиилоол (з)"/>
    <x v="1"/>
    <s v="ЦЗ"/>
    <s v="ОПЗ"/>
    <s v="ЛЗ"/>
    <s v="Мох"/>
    <s v="Лив"/>
    <s v="Лив"/>
    <x v="74"/>
    <s v="Эвон"/>
    <m/>
    <n v="81.857142857142861"/>
    <n v="84"/>
    <n v="82"/>
    <n v="80"/>
    <n v="84"/>
    <n v="82"/>
    <n v="83"/>
    <n v="78"/>
    <n v="27"/>
    <n v="20260823"/>
    <n v="1688401.9166666667"/>
    <n v="0"/>
    <n v="1688401.9166666667"/>
    <n v="0"/>
    <n v="0"/>
  </r>
  <r>
    <s v="Стрельцов Мирослав"/>
    <x v="1"/>
    <s v="ЦЗ"/>
    <s v="ОПЗ"/>
    <m/>
    <m/>
    <s v="Мох"/>
    <s v="Мох"/>
    <x v="74"/>
    <s v="Эвон"/>
    <m/>
    <n v="75.571428571428569"/>
    <n v="71"/>
    <n v="73"/>
    <n v="79"/>
    <n v="77"/>
    <n v="80"/>
    <n v="78"/>
    <n v="71"/>
    <n v="0"/>
    <n v="6075421"/>
    <n v="506285.08333333331"/>
    <n v="0"/>
    <n v="506285.08333333331"/>
    <n v="0"/>
    <n v="0"/>
  </r>
  <r>
    <s v="Богумилов Ратибор"/>
    <x v="2"/>
    <s v="ОФ"/>
    <s v="ЛПЗ"/>
    <m/>
    <m/>
    <s v="Мох"/>
    <s v="Мох"/>
    <x v="74"/>
    <s v="Эвон"/>
    <m/>
    <n v="75.142857142857139"/>
    <n v="70"/>
    <n v="80"/>
    <n v="76"/>
    <n v="79"/>
    <n v="77"/>
    <n v="76"/>
    <n v="68"/>
    <n v="0"/>
    <n v="5739540"/>
    <n v="478295"/>
    <n v="0"/>
    <n v="478295"/>
    <n v="0"/>
    <n v="0"/>
  </r>
  <r>
    <s v="Даллакки (П)"/>
    <x v="2"/>
    <s v="ЦН"/>
    <s v="ОФ"/>
    <m/>
    <s v="Мох"/>
    <s v="Мох"/>
    <s v="Мох"/>
    <x v="74"/>
    <s v="Эвон"/>
    <m/>
    <n v="90.285714285714292"/>
    <n v="90"/>
    <n v="93"/>
    <n v="93"/>
    <n v="92"/>
    <n v="82"/>
    <n v="88"/>
    <n v="94"/>
    <n v="12"/>
    <n v="53986062"/>
    <n v="4498838.5"/>
    <n v="0"/>
    <n v="4498838.5"/>
    <n v="0"/>
    <n v="0"/>
  </r>
  <r>
    <s v="Дуглас (Н)"/>
    <x v="2"/>
    <s v="ЦН"/>
    <s v="АПЗ"/>
    <m/>
    <s v="Бел"/>
    <s v="Бел"/>
    <s v="Бел"/>
    <x v="74"/>
    <s v="Эвон"/>
    <m/>
    <n v="91.285714285714292"/>
    <n v="92"/>
    <n v="90"/>
    <n v="95"/>
    <n v="91"/>
    <n v="89"/>
    <n v="87"/>
    <n v="95"/>
    <n v="7"/>
    <n v="60272533"/>
    <n v="5022711.083333333"/>
    <n v="0"/>
    <n v="5022711.083333333"/>
    <n v="0"/>
    <n v="0"/>
  </r>
  <r>
    <s v="Еллоита (П)"/>
    <x v="2"/>
    <s v="ЦН"/>
    <s v="ОФ"/>
    <m/>
    <s v="Мох"/>
    <s v="Мох"/>
    <s v="Мох"/>
    <x v="74"/>
    <s v="Эвон"/>
    <m/>
    <n v="90.714285714285708"/>
    <n v="91"/>
    <n v="95"/>
    <n v="91"/>
    <n v="91"/>
    <n v="85"/>
    <n v="89"/>
    <n v="93"/>
    <n v="12"/>
    <n v="56604129"/>
    <n v="4717010.75"/>
    <n v="0"/>
    <n v="4717010.75"/>
    <n v="0"/>
    <n v="0"/>
  </r>
  <r>
    <s v="Хроум (Н)"/>
    <x v="2"/>
    <s v="ЦН"/>
    <m/>
    <m/>
    <s v="Мох"/>
    <s v="Мох"/>
    <s v="Мох"/>
    <x v="74"/>
    <s v="Эвон"/>
    <m/>
    <n v="77"/>
    <n v="64"/>
    <n v="71"/>
    <n v="88"/>
    <n v="80"/>
    <n v="84"/>
    <n v="92"/>
    <n v="60"/>
    <n v="6"/>
    <n v="10990021"/>
    <n v="915835.08333333337"/>
    <n v="0"/>
    <n v="915835.08333333337"/>
    <n v="0"/>
    <n v="0"/>
  </r>
  <r>
    <s v="Яромиров Святогор"/>
    <x v="2"/>
    <s v="ЦН"/>
    <s v="ОФ"/>
    <m/>
    <m/>
    <s v="Мох"/>
    <s v="Мох"/>
    <x v="74"/>
    <s v="Эвон"/>
    <m/>
    <n v="76.285714285714292"/>
    <n v="74"/>
    <n v="75"/>
    <n v="80"/>
    <n v="78"/>
    <n v="82"/>
    <n v="75"/>
    <n v="70"/>
    <n v="0"/>
    <n v="6674707"/>
    <n v="556225.58333333337"/>
    <n v="0"/>
    <n v="556225.58333333337"/>
    <n v="0"/>
    <n v="0"/>
  </r>
  <r>
    <s v="Войцеховский Светозар"/>
    <x v="3"/>
    <s v="ППЗ"/>
    <s v="АПЗ"/>
    <m/>
    <m/>
    <s v="Мох"/>
    <s v="Мох"/>
    <x v="74"/>
    <s v="Эвон"/>
    <m/>
    <n v="74"/>
    <n v="69"/>
    <n v="78"/>
    <n v="75"/>
    <n v="80"/>
    <n v="73"/>
    <n v="77"/>
    <n v="66"/>
    <n v="0"/>
    <n v="4923991"/>
    <n v="410332.58333333331"/>
    <n v="0"/>
    <n v="410332.58333333331"/>
    <n v="0"/>
    <n v="0"/>
  </r>
  <r>
    <s v="Гаширов (П)"/>
    <x v="3"/>
    <s v="ЦПЗ"/>
    <s v="ППЗ"/>
    <s v="ОПЗ"/>
    <s v="Мох"/>
    <s v="Мох"/>
    <s v="Мох"/>
    <x v="74"/>
    <s v="Эвон"/>
    <m/>
    <n v="85.714285714285708"/>
    <n v="84"/>
    <n v="85"/>
    <n v="89"/>
    <n v="82"/>
    <n v="87"/>
    <n v="93"/>
    <n v="80"/>
    <n v="26"/>
    <n v="32108748"/>
    <n v="2675729"/>
    <n v="0"/>
    <n v="2675729"/>
    <n v="0"/>
    <n v="0"/>
  </r>
  <r>
    <s v="Гонсалес (П)"/>
    <x v="3"/>
    <s v="ЦПЗ"/>
    <s v="ЛПЗ"/>
    <m/>
    <s v="Снег"/>
    <s v="Снег"/>
    <s v="Снег"/>
    <x v="74"/>
    <s v="Эвон"/>
    <m/>
    <n v="65"/>
    <n v="36"/>
    <n v="64"/>
    <n v="73"/>
    <n v="78"/>
    <n v="68"/>
    <n v="76"/>
    <n v="60"/>
    <n v="0"/>
    <n v="1346275"/>
    <n v="112189.58333333333"/>
    <n v="0"/>
    <n v="112189.58333333333"/>
    <n v="0"/>
    <n v="0"/>
  </r>
  <r>
    <s v="Ковалев Добрыня"/>
    <x v="3"/>
    <s v="ОПЗ"/>
    <s v="ЦПЗ"/>
    <m/>
    <m/>
    <s v="Мох"/>
    <s v="Мох"/>
    <x v="74"/>
    <s v="Эвон"/>
    <m/>
    <n v="78.142857142857139"/>
    <n v="73"/>
    <n v="79"/>
    <n v="83"/>
    <n v="81"/>
    <n v="80"/>
    <n v="79"/>
    <n v="72"/>
    <n v="0"/>
    <n v="8489711"/>
    <n v="707475.91666666663"/>
    <n v="0"/>
    <n v="707475.91666666663"/>
    <n v="0"/>
    <n v="0"/>
  </r>
  <r>
    <s v="Милодрагович Велеслав"/>
    <x v="3"/>
    <s v="ЛПЗ"/>
    <s v="ЦПЗ"/>
    <m/>
    <m/>
    <s v="Мох"/>
    <s v="Мох"/>
    <x v="74"/>
    <s v="Эвон"/>
    <m/>
    <n v="74.714285714285708"/>
    <n v="70"/>
    <n v="79"/>
    <n v="76"/>
    <n v="79"/>
    <n v="74"/>
    <n v="78"/>
    <n v="67"/>
    <n v="0"/>
    <n v="5420465"/>
    <n v="451705.41666666669"/>
    <n v="0"/>
    <n v="451705.41666666669"/>
    <n v="0"/>
    <n v="0"/>
  </r>
  <r>
    <s v="Миронскировва (П)"/>
    <x v="3"/>
    <s v="ППЗ"/>
    <s v="ОПЗ"/>
    <s v="АПЗ"/>
    <s v="Мох"/>
    <s v="Мох"/>
    <s v="Мох"/>
    <x v="74"/>
    <s v="Эвон"/>
    <m/>
    <n v="89.714285714285708"/>
    <n v="88"/>
    <n v="96"/>
    <n v="88"/>
    <n v="93"/>
    <n v="85"/>
    <n v="85"/>
    <n v="93"/>
    <n v="3"/>
    <n v="50664913"/>
    <n v="4222076.083333333"/>
    <n v="0"/>
    <n v="4222076.083333333"/>
    <n v="0"/>
    <n v="0"/>
  </r>
  <r>
    <s v="Мохнович (П)"/>
    <x v="3"/>
    <s v="АПЗ"/>
    <s v="ЦПЗ"/>
    <s v="ЦН"/>
    <s v="Мох"/>
    <s v="Мох"/>
    <s v="Мох"/>
    <x v="74"/>
    <s v="Эвон"/>
    <m/>
    <n v="88.714285714285708"/>
    <n v="86"/>
    <n v="84"/>
    <n v="94"/>
    <n v="90"/>
    <n v="87"/>
    <n v="90"/>
    <n v="90"/>
    <n v="21"/>
    <n v="45292560"/>
    <n v="3774380"/>
    <n v="0"/>
    <n v="3774380"/>
    <n v="0"/>
    <n v="0"/>
  </r>
  <r>
    <s v="Радзивилл Ярополк"/>
    <x v="3"/>
    <s v="ЦПЗ"/>
    <s v="АПЗ"/>
    <m/>
    <m/>
    <s v="Мох"/>
    <s v="Мох"/>
    <x v="74"/>
    <s v="Эвон"/>
    <m/>
    <n v="76"/>
    <n v="74"/>
    <n v="81"/>
    <n v="77"/>
    <n v="80"/>
    <n v="74"/>
    <n v="77"/>
    <n v="69"/>
    <n v="0"/>
    <n v="6428889"/>
    <n v="535740.75"/>
    <n v="0"/>
    <n v="535740.75"/>
    <n v="0"/>
    <n v="0"/>
  </r>
  <r>
    <s v="Рухна (П)"/>
    <x v="3"/>
    <s v="ОПЗ"/>
    <s v="ЦПЗ"/>
    <s v="ЦЗ"/>
    <s v="Мох"/>
    <s v="Мох"/>
    <s v="Мох"/>
    <x v="74"/>
    <s v="Эвон"/>
    <m/>
    <n v="89.857142857142861"/>
    <n v="90"/>
    <n v="87"/>
    <n v="90"/>
    <n v="88"/>
    <n v="89"/>
    <n v="95"/>
    <n v="90"/>
    <n v="18"/>
    <n v="51477485"/>
    <n v="4289790.416666667"/>
    <n v="0"/>
    <n v="4289790.416666667"/>
    <n v="0"/>
    <n v="0"/>
  </r>
  <r>
    <s v="Сырна (П)"/>
    <x v="3"/>
    <s v="ОПЗ"/>
    <s v="ЦПЗ"/>
    <s v="ЦЗ"/>
    <s v="Мох"/>
    <s v="Мох"/>
    <s v="Мох"/>
    <x v="74"/>
    <s v="Эвон"/>
    <m/>
    <n v="87.428571428571431"/>
    <n v="88"/>
    <n v="80"/>
    <n v="89"/>
    <n v="87"/>
    <n v="90"/>
    <n v="90"/>
    <n v="88"/>
    <n v="26"/>
    <n v="39140384"/>
    <n v="3261698.6666666665"/>
    <n v="0"/>
    <n v="3261698.6666666665"/>
    <n v="0"/>
    <n v="0"/>
  </r>
  <r>
    <s v="Руханов"/>
    <x v="4"/>
    <s v="Т"/>
    <m/>
    <m/>
    <m/>
    <s v="Мох"/>
    <s v="Мох"/>
    <x v="74"/>
    <s v="Эвон"/>
    <m/>
    <n v="85.571428571428569"/>
    <n v="80"/>
    <n v="85"/>
    <n v="82"/>
    <n v="92"/>
    <n v="83"/>
    <n v="93"/>
    <n v="84"/>
    <n v="0"/>
    <n v="21051732"/>
    <n v="1754311"/>
    <n v="0"/>
    <n v="1754311"/>
    <n v="0"/>
    <n v="0"/>
  </r>
  <r>
    <s v="Борнеб Рэйус"/>
    <x v="0"/>
    <s v="В"/>
    <m/>
    <m/>
    <m/>
    <s v="Мал"/>
    <s v="В.И."/>
    <x v="75"/>
    <s v="Эвон"/>
    <m/>
    <n v="35.142857142857146"/>
    <n v="13"/>
    <n v="43"/>
    <n v="37"/>
    <n v="41"/>
    <n v="43"/>
    <n v="45"/>
    <n v="24"/>
    <n v="0"/>
    <n v="2874"/>
    <n v="239.5"/>
    <n v="0"/>
    <n v="239.5"/>
    <n v="0"/>
    <n v="0"/>
  </r>
  <r>
    <s v="Жорнеб Арик"/>
    <x v="0"/>
    <s v="В"/>
    <m/>
    <m/>
    <m/>
    <s v="Мал"/>
    <s v="В.И."/>
    <x v="75"/>
    <s v="Эвон"/>
    <m/>
    <n v="39"/>
    <n v="15"/>
    <n v="49"/>
    <n v="41"/>
    <n v="45"/>
    <n v="47"/>
    <n v="49"/>
    <n v="27"/>
    <n v="0"/>
    <n v="8141"/>
    <n v="678.41666666666663"/>
    <n v="0"/>
    <n v="678.41666666666663"/>
    <n v="0"/>
    <n v="0"/>
  </r>
  <r>
    <s v="Щорнеб Аранеис"/>
    <x v="0"/>
    <s v="В"/>
    <m/>
    <m/>
    <m/>
    <s v="Мал"/>
    <s v="В.И."/>
    <x v="75"/>
    <s v="Эвон"/>
    <m/>
    <n v="35.428571428571431"/>
    <n v="13"/>
    <n v="45"/>
    <n v="37"/>
    <n v="41"/>
    <n v="43"/>
    <n v="45"/>
    <n v="24"/>
    <n v="0"/>
    <n v="3116"/>
    <n v="259.66666666666669"/>
    <n v="0"/>
    <n v="259.66666666666669"/>
    <n v="0"/>
    <n v="0"/>
  </r>
  <r>
    <s v="Гречко Арг"/>
    <x v="1"/>
    <s v="ЦЗ"/>
    <s v="ОПЗ"/>
    <m/>
    <m/>
    <s v="Мал"/>
    <s v="В.И."/>
    <x v="75"/>
    <s v="Эвон"/>
    <m/>
    <n v="31.714285714285715"/>
    <n v="11"/>
    <n v="39"/>
    <n v="33"/>
    <n v="37"/>
    <n v="39"/>
    <n v="41"/>
    <n v="22"/>
    <n v="0"/>
    <n v="1030"/>
    <n v="85.833333333333329"/>
    <n v="0"/>
    <n v="85.833333333333329"/>
    <n v="0"/>
    <n v="0"/>
  </r>
  <r>
    <s v="Дорнеб Алан"/>
    <x v="1"/>
    <s v="ЦЗ"/>
    <s v="ЛЗ"/>
    <m/>
    <m/>
    <s v="Мал"/>
    <s v="В.И."/>
    <x v="75"/>
    <s v="Эвон"/>
    <m/>
    <n v="42.714285714285715"/>
    <n v="17"/>
    <n v="55"/>
    <n v="45"/>
    <n v="49"/>
    <n v="51"/>
    <n v="53"/>
    <n v="29"/>
    <n v="0"/>
    <n v="20218"/>
    <n v="1684.8333333333333"/>
    <n v="0"/>
    <n v="1684.8333333333333"/>
    <n v="0"/>
    <n v="0"/>
  </r>
  <r>
    <s v="Корнеб Ран"/>
    <x v="1"/>
    <s v="ПЗ"/>
    <s v="ЦЗ"/>
    <m/>
    <m/>
    <s v="Мал"/>
    <s v="В.И."/>
    <x v="75"/>
    <s v="Эвон"/>
    <m/>
    <n v="38.714285714285715"/>
    <n v="14"/>
    <n v="49"/>
    <n v="41"/>
    <n v="45"/>
    <n v="47"/>
    <n v="49"/>
    <n v="26"/>
    <n v="0"/>
    <n v="7564"/>
    <n v="630.33333333333337"/>
    <n v="0"/>
    <n v="630.33333333333337"/>
    <n v="0"/>
    <n v="0"/>
  </r>
  <r>
    <s v="Лан Ар"/>
    <x v="1"/>
    <s v="ПЗ"/>
    <s v="ЛЗ"/>
    <m/>
    <m/>
    <s v="Мал"/>
    <s v="В.И."/>
    <x v="75"/>
    <s v="Эвон"/>
    <m/>
    <n v="61.142857142857146"/>
    <n v="45"/>
    <n v="88"/>
    <n v="53"/>
    <n v="65"/>
    <n v="67"/>
    <n v="53"/>
    <n v="57"/>
    <n v="0"/>
    <n v="730226"/>
    <n v="60852.166666666664"/>
    <n v="0"/>
    <n v="60852.166666666664"/>
    <n v="0"/>
    <n v="0"/>
  </r>
  <r>
    <s v="Манновзул Ран"/>
    <x v="1"/>
    <s v="ЛЗ"/>
    <s v="ЦЗ"/>
    <m/>
    <m/>
    <s v="Мал"/>
    <s v="В.И."/>
    <x v="75"/>
    <s v="Эвон"/>
    <m/>
    <n v="41"/>
    <n v="16"/>
    <n v="53"/>
    <n v="43"/>
    <n v="47"/>
    <n v="49"/>
    <n v="51"/>
    <n v="28"/>
    <n v="0"/>
    <n v="13423"/>
    <n v="1118.5833333333333"/>
    <n v="0"/>
    <n v="1118.5833333333333"/>
    <n v="0"/>
    <n v="0"/>
  </r>
  <r>
    <s v="Хан Рок"/>
    <x v="2"/>
    <s v="ОФ"/>
    <s v="ЦН"/>
    <m/>
    <m/>
    <s v="Мал"/>
    <s v="В.И."/>
    <x v="75"/>
    <s v="Эвон"/>
    <m/>
    <n v="71.285714285714292"/>
    <n v="65"/>
    <n v="80"/>
    <n v="81"/>
    <n v="75"/>
    <n v="70"/>
    <n v="73"/>
    <n v="55"/>
    <n v="7"/>
    <n v="5082956"/>
    <n v="209150.66666666666"/>
    <n v="0"/>
    <n v="423579.66666666669"/>
    <n v="-50.62"/>
    <n v="0"/>
  </r>
  <r>
    <s v="Цанновбер Анк"/>
    <x v="2"/>
    <s v="ОФ"/>
    <s v="ЦН"/>
    <m/>
    <m/>
    <s v="Мал"/>
    <s v="В.И."/>
    <x v="75"/>
    <s v="Эвон"/>
    <m/>
    <n v="39.714285714285715"/>
    <n v="15"/>
    <n v="49"/>
    <n v="41"/>
    <n v="47"/>
    <n v="49"/>
    <n v="51"/>
    <n v="26"/>
    <n v="0"/>
    <n v="9761"/>
    <n v="813.41666666666663"/>
    <n v="0"/>
    <n v="813.41666666666663"/>
    <n v="0"/>
    <n v="0"/>
  </r>
  <r>
    <s v="Чорнеб Рарнельд"/>
    <x v="2"/>
    <s v="ЦН"/>
    <s v="ОФ"/>
    <m/>
    <m/>
    <s v="Мал"/>
    <s v="В.И."/>
    <x v="75"/>
    <s v="Эвон"/>
    <m/>
    <n v="59"/>
    <n v="23"/>
    <n v="73"/>
    <n v="65"/>
    <n v="67"/>
    <n v="69"/>
    <n v="71"/>
    <n v="45"/>
    <n v="0"/>
    <n v="511117"/>
    <n v="42593.083333333336"/>
    <n v="0"/>
    <n v="42593.083333333336"/>
    <n v="0"/>
    <n v="0"/>
  </r>
  <r>
    <s v="Жаннов Д"/>
    <x v="3"/>
    <s v="ЦПЗ"/>
    <s v="АПЗ"/>
    <m/>
    <m/>
    <s v="Мал"/>
    <s v="В.И."/>
    <x v="75"/>
    <s v="Эвон"/>
    <m/>
    <n v="43.714285714285715"/>
    <n v="28"/>
    <n v="53"/>
    <n v="55"/>
    <n v="53"/>
    <n v="43"/>
    <n v="48"/>
    <n v="26"/>
    <n v="0"/>
    <n v="25483"/>
    <n v="2123.5833333333335"/>
    <n v="0"/>
    <n v="2123.5833333333335"/>
    <n v="0"/>
    <n v="0"/>
  </r>
  <r>
    <s v="Норнеб Рон"/>
    <x v="3"/>
    <s v="ОПЗ"/>
    <s v="ЦПЗ"/>
    <m/>
    <m/>
    <s v="Мал"/>
    <s v="В.И."/>
    <x v="75"/>
    <s v="Эвон"/>
    <m/>
    <n v="38"/>
    <n v="14"/>
    <n v="47"/>
    <n v="39"/>
    <n v="45"/>
    <n v="47"/>
    <n v="49"/>
    <n v="25"/>
    <n v="0"/>
    <n v="6279"/>
    <n v="523.25"/>
    <n v="0"/>
    <n v="523.25"/>
    <n v="0"/>
    <n v="0"/>
  </r>
  <r>
    <s v="Порнеб Ранто"/>
    <x v="3"/>
    <s v="ОПЗ"/>
    <s v="ЦЗ"/>
    <m/>
    <m/>
    <s v="Мал"/>
    <s v="В.И."/>
    <x v="75"/>
    <s v="Эвон"/>
    <m/>
    <n v="44.428571428571431"/>
    <n v="18"/>
    <n v="57"/>
    <n v="47"/>
    <n v="51"/>
    <n v="53"/>
    <n v="55"/>
    <n v="30"/>
    <n v="0"/>
    <n v="29966"/>
    <n v="2497.1666666666665"/>
    <n v="0"/>
    <n v="2497.1666666666665"/>
    <n v="0"/>
    <n v="0"/>
  </r>
  <r>
    <s v="Ран Ронис"/>
    <x v="3"/>
    <s v="ЦПЗ"/>
    <s v="ОПЗ"/>
    <m/>
    <m/>
    <s v="Мал"/>
    <s v="В.И."/>
    <x v="75"/>
    <s v="Эвон"/>
    <m/>
    <n v="31.571428571428573"/>
    <n v="11"/>
    <n v="39"/>
    <n v="33"/>
    <n v="37"/>
    <n v="39"/>
    <n v="41"/>
    <n v="21"/>
    <n v="0"/>
    <n v="984"/>
    <n v="82"/>
    <n v="0"/>
    <n v="82"/>
    <n v="0"/>
    <n v="0"/>
  </r>
  <r>
    <s v="Санновмир Ран"/>
    <x v="3"/>
    <s v="ЛПЗ"/>
    <s v="ОПЗ"/>
    <m/>
    <m/>
    <s v="Мал"/>
    <s v="В.И."/>
    <x v="75"/>
    <s v="Эвон"/>
    <m/>
    <n v="40.142857142857146"/>
    <n v="15"/>
    <n v="51"/>
    <n v="41"/>
    <n v="47"/>
    <n v="49"/>
    <n v="51"/>
    <n v="27"/>
    <n v="0"/>
    <n v="10867"/>
    <n v="905.58333333333337"/>
    <n v="0"/>
    <n v="905.58333333333337"/>
    <n v="0"/>
    <n v="0"/>
  </r>
  <r>
    <s v="Торнеб Ркон"/>
    <x v="3"/>
    <s v="ППЗ"/>
    <s v="АПЗ"/>
    <m/>
    <m/>
    <s v="Мал"/>
    <s v="В.И."/>
    <x v="75"/>
    <s v="Эвон"/>
    <m/>
    <n v="33.428571428571431"/>
    <n v="12"/>
    <n v="41"/>
    <n v="35"/>
    <n v="39"/>
    <n v="41"/>
    <n v="43"/>
    <n v="23"/>
    <n v="0"/>
    <n v="1743"/>
    <n v="145.25"/>
    <n v="0"/>
    <n v="145.25"/>
    <n v="0"/>
    <n v="0"/>
  </r>
  <r>
    <s v="Форнеб Анк"/>
    <x v="3"/>
    <s v="ППЗ"/>
    <s v="ЛПЗ"/>
    <m/>
    <m/>
    <s v="Мал"/>
    <s v="В.И."/>
    <x v="75"/>
    <s v="Эвон"/>
    <m/>
    <n v="41.857142857142854"/>
    <n v="16"/>
    <n v="53"/>
    <n v="43"/>
    <n v="49"/>
    <n v="51"/>
    <n v="53"/>
    <n v="28"/>
    <n v="0"/>
    <n v="16509"/>
    <n v="1375.75"/>
    <n v="0"/>
    <n v="1375.75"/>
    <n v="0"/>
    <n v="0"/>
  </r>
  <r>
    <s v="Шорнеб Рновьир"/>
    <x v="3"/>
    <s v="ППЗ"/>
    <s v="АПЗ"/>
    <m/>
    <m/>
    <s v="Мал"/>
    <s v="В.И."/>
    <x v="75"/>
    <s v="Эвон"/>
    <m/>
    <n v="55.714285714285715"/>
    <n v="20"/>
    <n v="67"/>
    <n v="61"/>
    <n v="65"/>
    <n v="67"/>
    <n v="69"/>
    <n v="41"/>
    <n v="0"/>
    <n v="288182"/>
    <n v="24015.166666666668"/>
    <n v="0"/>
    <n v="24015.166666666668"/>
    <n v="0"/>
    <n v="0"/>
  </r>
  <r>
    <s v="Тан Арт"/>
    <x v="4"/>
    <s v="Т"/>
    <m/>
    <m/>
    <m/>
    <s v="Мал"/>
    <s v="В.И."/>
    <x v="75"/>
    <s v="Эвон"/>
    <m/>
    <n v="75.285714285714292"/>
    <n v="65"/>
    <n v="70"/>
    <n v="75"/>
    <n v="80"/>
    <n v="82"/>
    <n v="80"/>
    <n v="75"/>
    <n v="0"/>
    <n v="5849595"/>
    <n v="416.5"/>
    <n v="0"/>
    <n v="487466.25"/>
    <n v="-99.91"/>
    <n v="0"/>
  </r>
  <r>
    <s v="Вел Ксав"/>
    <x v="0"/>
    <s v="В"/>
    <m/>
    <m/>
    <m/>
    <s v="В.И."/>
    <s v="В.И."/>
    <x v="76"/>
    <s v="Эвон"/>
    <m/>
    <n v="61"/>
    <n v="19"/>
    <n v="78"/>
    <n v="64"/>
    <n v="74"/>
    <n v="76"/>
    <n v="78"/>
    <n v="38"/>
    <n v="0"/>
    <n v="713343"/>
    <n v="59445.25"/>
    <n v="0"/>
    <n v="59445.25"/>
    <n v="0"/>
    <n v="0"/>
  </r>
  <r>
    <s v="Мокмор"/>
    <x v="0"/>
    <s v="В"/>
    <m/>
    <m/>
    <s v="Биссий"/>
    <s v="Биссий"/>
    <s v="Биссий"/>
    <x v="76"/>
    <s v="Эвон"/>
    <m/>
    <n v="58.428571428571431"/>
    <n v="20"/>
    <n v="69"/>
    <n v="54"/>
    <n v="75"/>
    <n v="60"/>
    <n v="65"/>
    <n v="66"/>
    <n v="0"/>
    <n v="463717"/>
    <n v="38643.083333333336"/>
    <n v="0"/>
    <n v="38643.083333333336"/>
    <n v="0"/>
    <n v="0"/>
  </r>
  <r>
    <s v="Буновик"/>
    <x v="1"/>
    <s v="ЦЗ"/>
    <m/>
    <m/>
    <s v="Нумб"/>
    <s v="Нумб"/>
    <s v="Нумб"/>
    <x v="76"/>
    <s v="Эвон"/>
    <m/>
    <n v="62.571428571428569"/>
    <n v="15"/>
    <n v="51"/>
    <n v="68"/>
    <n v="74"/>
    <n v="83"/>
    <n v="96"/>
    <n v="51"/>
    <n v="0"/>
    <n v="919943"/>
    <n v="76661.916666666672"/>
    <n v="0"/>
    <n v="76661.916666666672"/>
    <n v="0"/>
    <n v="0"/>
  </r>
  <r>
    <s v="Крафт Брал"/>
    <x v="1"/>
    <s v="ПЗ"/>
    <s v="ЦЗ"/>
    <m/>
    <m/>
    <s v="В.И."/>
    <s v="В.И."/>
    <x v="76"/>
    <s v="Эвон"/>
    <m/>
    <n v="55"/>
    <n v="16"/>
    <n v="76"/>
    <n v="61"/>
    <n v="65"/>
    <n v="67"/>
    <n v="70"/>
    <n v="30"/>
    <n v="0"/>
    <n v="253296"/>
    <n v="21108"/>
    <n v="0"/>
    <n v="21108"/>
    <n v="0"/>
    <n v="0"/>
  </r>
  <r>
    <s v="Мольд Зерф"/>
    <x v="1"/>
    <s v="ЛЗ"/>
    <s v="ЦЗ"/>
    <m/>
    <m/>
    <s v="В.И."/>
    <s v="В.И."/>
    <x v="76"/>
    <s v="Эвон"/>
    <m/>
    <n v="59.285714285714285"/>
    <n v="18"/>
    <n v="82"/>
    <n v="66"/>
    <n v="70"/>
    <n v="72"/>
    <n v="74"/>
    <n v="33"/>
    <n v="0"/>
    <n v="536415"/>
    <n v="44701.25"/>
    <n v="0"/>
    <n v="44701.25"/>
    <n v="0"/>
    <n v="0"/>
  </r>
  <r>
    <s v="Пиль-Траск"/>
    <x v="1"/>
    <s v="ЦЗ"/>
    <s v="ОПЗ"/>
    <m/>
    <m/>
    <s v="В.И."/>
    <s v="В.И."/>
    <x v="76"/>
    <s v="Эвон"/>
    <m/>
    <n v="57.857142857142854"/>
    <n v="17"/>
    <n v="79"/>
    <n v="65"/>
    <n v="73"/>
    <n v="69"/>
    <n v="71"/>
    <n v="31"/>
    <n v="0"/>
    <n v="420311"/>
    <n v="35025.916666666664"/>
    <n v="0"/>
    <n v="35025.916666666664"/>
    <n v="0"/>
    <n v="0"/>
  </r>
  <r>
    <s v="Грив Торн"/>
    <x v="2"/>
    <s v="ОФ"/>
    <s v="ЦН"/>
    <m/>
    <m/>
    <s v="В.И."/>
    <s v="В.И."/>
    <x v="76"/>
    <s v="Эвон"/>
    <m/>
    <n v="56.857142857142854"/>
    <n v="17"/>
    <n v="79"/>
    <n v="63"/>
    <n v="71"/>
    <n v="69"/>
    <n v="71"/>
    <n v="28"/>
    <n v="0"/>
    <n v="353062"/>
    <n v="29421.833333333332"/>
    <n v="0"/>
    <n v="29421.833333333332"/>
    <n v="0"/>
    <n v="0"/>
  </r>
  <r>
    <s v="Москот"/>
    <x v="2"/>
    <s v="ЦН"/>
    <m/>
    <m/>
    <s v="Лес"/>
    <s v="Лес"/>
    <s v="Лес"/>
    <x v="76"/>
    <s v="Эвон"/>
    <m/>
    <n v="64.142857142857139"/>
    <n v="38"/>
    <n v="73"/>
    <n v="68"/>
    <n v="65"/>
    <n v="71"/>
    <n v="78"/>
    <n v="56"/>
    <n v="0"/>
    <n v="1178917"/>
    <n v="98243.083333333328"/>
    <n v="0"/>
    <n v="98243.083333333328"/>
    <n v="0"/>
    <n v="0"/>
  </r>
  <r>
    <s v="Ролл"/>
    <x v="2"/>
    <s v="ЦН"/>
    <m/>
    <m/>
    <s v="Генуа"/>
    <s v="Генуа"/>
    <s v="Генуа"/>
    <x v="76"/>
    <s v="Эвон"/>
    <m/>
    <n v="60.428571428571431"/>
    <n v="25"/>
    <n v="68"/>
    <n v="71"/>
    <n v="70"/>
    <n v="65"/>
    <n v="68"/>
    <n v="56"/>
    <n v="0"/>
    <n v="649267"/>
    <n v="54105.583333333336"/>
    <n v="0"/>
    <n v="54105.583333333336"/>
    <n v="0"/>
    <n v="0"/>
  </r>
  <r>
    <s v="Скарн Мирт"/>
    <x v="2"/>
    <s v="ОФ"/>
    <s v="ЦН"/>
    <m/>
    <m/>
    <s v="В.И."/>
    <s v="В.И."/>
    <x v="76"/>
    <s v="Эвон"/>
    <m/>
    <n v="65.571428571428569"/>
    <n v="35"/>
    <n v="74"/>
    <n v="80"/>
    <n v="73"/>
    <n v="69"/>
    <n v="83"/>
    <n v="45"/>
    <n v="7"/>
    <n v="2204133"/>
    <n v="183677.75"/>
    <n v="0"/>
    <n v="183677.75"/>
    <n v="0"/>
    <n v="0"/>
  </r>
  <r>
    <s v="Трункелло Зерфо"/>
    <x v="2"/>
    <s v="ЦН"/>
    <s v="ОФ"/>
    <m/>
    <m/>
    <s v="В.И."/>
    <s v="В.И."/>
    <x v="76"/>
    <s v="Эвон"/>
    <m/>
    <n v="66.285714285714292"/>
    <n v="22"/>
    <n v="87"/>
    <n v="75"/>
    <n v="79"/>
    <n v="81"/>
    <n v="84"/>
    <n v="36"/>
    <n v="0"/>
    <n v="1637569"/>
    <n v="136464.08333333334"/>
    <n v="0"/>
    <n v="136464.08333333334"/>
    <n v="0"/>
    <n v="0"/>
  </r>
  <r>
    <s v="Брунтелло Ксавро"/>
    <x v="3"/>
    <s v="ППЗ"/>
    <s v="АПЗ"/>
    <m/>
    <m/>
    <s v="В.И."/>
    <s v="В.И."/>
    <x v="76"/>
    <s v="Эвон"/>
    <m/>
    <n v="68.571428571428569"/>
    <n v="23"/>
    <n v="88"/>
    <n v="76"/>
    <n v="82"/>
    <n v="85"/>
    <n v="87"/>
    <n v="39"/>
    <n v="0"/>
    <n v="2298434"/>
    <n v="191536.16666666666"/>
    <n v="0"/>
    <n v="191536.16666666666"/>
    <n v="0"/>
    <n v="0"/>
  </r>
  <r>
    <s v="Воль Ксав"/>
    <x v="3"/>
    <s v="ОПЗ"/>
    <s v="ЦПЗ"/>
    <m/>
    <m/>
    <s v="В.И."/>
    <s v="В.И."/>
    <x v="76"/>
    <s v="Эвон"/>
    <m/>
    <n v="57"/>
    <n v="16"/>
    <n v="78"/>
    <n v="63"/>
    <n v="69"/>
    <n v="71"/>
    <n v="73"/>
    <n v="29"/>
    <n v="0"/>
    <n v="362034"/>
    <n v="30169.5"/>
    <n v="0"/>
    <n v="30169.5"/>
    <n v="0"/>
    <n v="0"/>
  </r>
  <r>
    <s v="Друн Мирт"/>
    <x v="3"/>
    <s v="ЦПЗ"/>
    <s v="ОПЗ"/>
    <m/>
    <m/>
    <s v="В.И."/>
    <s v="В.И."/>
    <x v="76"/>
    <s v="Эвон"/>
    <m/>
    <n v="60"/>
    <n v="18"/>
    <n v="80"/>
    <n v="67"/>
    <n v="75"/>
    <n v="73"/>
    <n v="75"/>
    <n v="32"/>
    <n v="0"/>
    <n v="604662"/>
    <n v="50388.5"/>
    <n v="0"/>
    <n v="50388.5"/>
    <n v="0"/>
    <n v="0"/>
  </r>
  <r>
    <s v="Скар Эльв"/>
    <x v="3"/>
    <s v="АПЗ"/>
    <s v="ЦПЗ"/>
    <m/>
    <m/>
    <s v="В.И."/>
    <s v="В.И."/>
    <x v="76"/>
    <s v="Эвон"/>
    <m/>
    <n v="59"/>
    <n v="16"/>
    <n v="77"/>
    <n v="65"/>
    <n v="73"/>
    <n v="75"/>
    <n v="77"/>
    <n v="30"/>
    <n v="0"/>
    <n v="511117"/>
    <n v="42593.083333333336"/>
    <n v="0"/>
    <n v="42593.083333333336"/>
    <n v="0"/>
    <n v="0"/>
  </r>
  <r>
    <s v="Трив-Оск"/>
    <x v="3"/>
    <s v="АПЗ"/>
    <s v="ППЗ"/>
    <m/>
    <m/>
    <s v="В.И."/>
    <s v="В.И."/>
    <x v="76"/>
    <s v="Эвон"/>
    <m/>
    <n v="57.571428571428569"/>
    <n v="16"/>
    <n v="76"/>
    <n v="63"/>
    <n v="71"/>
    <n v="73"/>
    <n v="75"/>
    <n v="29"/>
    <n v="0"/>
    <n v="400010"/>
    <n v="33334.166666666664"/>
    <n v="0"/>
    <n v="33334.166666666664"/>
    <n v="0"/>
    <n v="0"/>
  </r>
  <r>
    <s v="Фальк Вельм"/>
    <x v="3"/>
    <s v="ЛПЗ"/>
    <s v="ОПЗ"/>
    <m/>
    <m/>
    <s v="В.И."/>
    <s v="В.И."/>
    <x v="76"/>
    <s v="Эвон"/>
    <m/>
    <n v="64.714285714285708"/>
    <n v="21"/>
    <n v="85"/>
    <n v="73"/>
    <n v="77"/>
    <n v="79"/>
    <n v="81"/>
    <n v="37"/>
    <n v="0"/>
    <n v="1288255"/>
    <n v="107354.58333333333"/>
    <n v="0"/>
    <n v="107354.58333333333"/>
    <n v="0"/>
    <n v="0"/>
  </r>
  <r>
    <s v="Фейшер"/>
    <x v="3"/>
    <s v="ЦПЗ"/>
    <m/>
    <m/>
    <s v="Биссий"/>
    <s v="Биссий"/>
    <s v="Биссий"/>
    <x v="76"/>
    <s v="Эвон"/>
    <m/>
    <n v="57.428571428571431"/>
    <n v="20"/>
    <n v="55"/>
    <n v="70"/>
    <n v="70"/>
    <n v="70"/>
    <n v="82"/>
    <n v="35"/>
    <n v="0"/>
    <n v="390194"/>
    <n v="32516.166666666668"/>
    <n v="0"/>
    <n v="32516.166666666668"/>
    <n v="0"/>
    <n v="0"/>
  </r>
  <r>
    <s v="Хируин"/>
    <x v="3"/>
    <s v="ППЗ"/>
    <s v="ОПЗ"/>
    <m/>
    <s v="Мал"/>
    <s v="В.И."/>
    <s v="В.И."/>
    <x v="76"/>
    <s v="Эвон"/>
    <m/>
    <n v="76"/>
    <n v="50"/>
    <n v="86"/>
    <n v="81"/>
    <n v="81"/>
    <n v="75"/>
    <n v="82"/>
    <n v="77"/>
    <n v="0"/>
    <n v="6428889"/>
    <n v="535740.75"/>
    <n v="0"/>
    <n v="535740.75"/>
    <n v="0"/>
    <n v="0"/>
  </r>
  <r>
    <s v="Трув Ольг"/>
    <x v="4"/>
    <s v="Т"/>
    <m/>
    <m/>
    <m/>
    <s v="В.И."/>
    <s v="В.И."/>
    <x v="76"/>
    <s v="Эвон"/>
    <m/>
    <n v="58.142857142857146"/>
    <n v="17"/>
    <n v="75"/>
    <n v="61"/>
    <n v="71"/>
    <n v="73"/>
    <n v="75"/>
    <n v="35"/>
    <n v="0"/>
    <n v="441534"/>
    <n v="36794.5"/>
    <n v="0"/>
    <n v="36794.5"/>
    <n v="0"/>
    <n v="0"/>
  </r>
  <r>
    <s v="Дом.Суарес"/>
    <x v="3"/>
    <s v="ЦПЗ"/>
    <s v="ОПЗ"/>
    <m/>
    <s v="В.И."/>
    <s v="В.И."/>
    <s v="В.И."/>
    <x v="77"/>
    <s v="Фин"/>
    <m/>
    <n v="96"/>
    <n v="98"/>
    <n v="95"/>
    <n v="98"/>
    <n v="97"/>
    <n v="95"/>
    <n v="91"/>
    <n v="98"/>
    <n v="10"/>
    <n v="99724896"/>
    <n v="8310408"/>
    <n v="0"/>
    <n v="8310408"/>
    <n v="0"/>
    <n v="0"/>
  </r>
  <r>
    <s v="Батинел Ругока"/>
    <x v="0"/>
    <s v="В"/>
    <m/>
    <m/>
    <m/>
    <s v="В.И."/>
    <s v="В.И."/>
    <x v="78"/>
    <s v="Эвон"/>
    <m/>
    <n v="47.428571428571431"/>
    <n v="27"/>
    <n v="56"/>
    <n v="48"/>
    <n v="54"/>
    <n v="56"/>
    <n v="58"/>
    <n v="33"/>
    <n v="0"/>
    <n v="57598"/>
    <n v="4799.833333333333"/>
    <n v="0"/>
    <n v="4799.833333333333"/>
    <n v="0"/>
    <n v="0"/>
  </r>
  <r>
    <s v="Домиза Лупе"/>
    <x v="0"/>
    <s v="В"/>
    <m/>
    <m/>
    <m/>
    <s v="В.И."/>
    <s v="В.И."/>
    <x v="78"/>
    <s v="Эвон"/>
    <m/>
    <n v="42.571428571428569"/>
    <n v="25"/>
    <n v="50"/>
    <n v="44"/>
    <n v="48"/>
    <n v="50"/>
    <n v="52"/>
    <n v="29"/>
    <n v="0"/>
    <n v="19552"/>
    <n v="1629.3333333333333"/>
    <n v="0"/>
    <n v="1629.3333333333333"/>
    <n v="0"/>
    <n v="0"/>
  </r>
  <r>
    <s v="Бертин Разул"/>
    <x v="1"/>
    <s v="ПЗ"/>
    <s v="ЦЗ"/>
    <m/>
    <m/>
    <s v="В.И."/>
    <s v="В.И."/>
    <x v="78"/>
    <s v="Эвон"/>
    <m/>
    <n v="46"/>
    <n v="26"/>
    <n v="54"/>
    <n v="48"/>
    <n v="52"/>
    <n v="54"/>
    <n v="56"/>
    <n v="32"/>
    <n v="0"/>
    <n v="42421"/>
    <n v="3535.0833333333335"/>
    <n v="0"/>
    <n v="3535.0833333333335"/>
    <n v="0"/>
    <n v="0"/>
  </r>
  <r>
    <s v="Валнис Каррел"/>
    <x v="1"/>
    <s v="ПЗ"/>
    <s v="ЦЗ"/>
    <m/>
    <m/>
    <s v="В.И."/>
    <s v="В.И."/>
    <x v="78"/>
    <s v="Эвон"/>
    <m/>
    <n v="48.285714285714285"/>
    <n v="28"/>
    <n v="58"/>
    <n v="50"/>
    <n v="54"/>
    <n v="56"/>
    <n v="58"/>
    <n v="34"/>
    <n v="0"/>
    <n v="68895"/>
    <n v="5741.25"/>
    <n v="0"/>
    <n v="5741.25"/>
    <n v="0"/>
    <n v="0"/>
  </r>
  <r>
    <s v="Зуфар Ганло"/>
    <x v="1"/>
    <s v="ЦЗ"/>
    <s v="ЛЗ"/>
    <m/>
    <m/>
    <s v="В.И."/>
    <s v="В.И."/>
    <x v="78"/>
    <s v="Эвон"/>
    <m/>
    <n v="50"/>
    <n v="29"/>
    <n v="60"/>
    <n v="52"/>
    <n v="56"/>
    <n v="58"/>
    <n v="60"/>
    <n v="35"/>
    <n v="0"/>
    <n v="97657"/>
    <n v="8138.083333333333"/>
    <n v="0"/>
    <n v="8138.083333333333"/>
    <n v="0"/>
    <n v="0"/>
  </r>
  <r>
    <s v="Куйгун Бастилло"/>
    <x v="1"/>
    <s v="ПЗ"/>
    <s v="ЛЗ"/>
    <m/>
    <m/>
    <s v="В.И."/>
    <s v="В.И."/>
    <x v="78"/>
    <s v="Эвон"/>
    <m/>
    <n v="42.428571428571431"/>
    <n v="24"/>
    <n v="50"/>
    <n v="44"/>
    <n v="48"/>
    <n v="50"/>
    <n v="52"/>
    <n v="29"/>
    <n v="0"/>
    <n v="18906"/>
    <n v="1575.5"/>
    <n v="0"/>
    <n v="1575.5"/>
    <n v="0"/>
    <n v="0"/>
  </r>
  <r>
    <s v="Келамо Рите"/>
    <x v="1"/>
    <s v="ЦЗ"/>
    <s v="ОПЗ"/>
    <m/>
    <m/>
    <s v="В.И."/>
    <s v="В.И."/>
    <x v="78"/>
    <s v="Эвон"/>
    <m/>
    <n v="39.142857142857146"/>
    <n v="23"/>
    <n v="46"/>
    <n v="40"/>
    <n v="44"/>
    <n v="46"/>
    <n v="48"/>
    <n v="27"/>
    <n v="0"/>
    <n v="8444"/>
    <n v="703.66666666666663"/>
    <n v="0"/>
    <n v="703.66666666666663"/>
    <n v="0"/>
    <n v="0"/>
  </r>
  <r>
    <s v="Мокрый Альберт"/>
    <x v="2"/>
    <s v="ОФ"/>
    <s v="АПЗ"/>
    <m/>
    <m/>
    <s v="В.И."/>
    <s v="В.И."/>
    <x v="78"/>
    <s v="Эвон"/>
    <m/>
    <n v="38.428571428571431"/>
    <n v="36"/>
    <n v="67"/>
    <n v="45"/>
    <n v="42"/>
    <n v="31"/>
    <n v="32"/>
    <n v="16"/>
    <n v="0"/>
    <n v="7024"/>
    <n v="585.33333333333337"/>
    <n v="0"/>
    <n v="585.33333333333337"/>
    <n v="0"/>
    <n v="0"/>
  </r>
  <r>
    <s v="Мориззе Гогна"/>
    <x v="2"/>
    <s v="ЦН"/>
    <s v="ОФ"/>
    <m/>
    <m/>
    <s v="В.И."/>
    <s v="В.И."/>
    <x v="78"/>
    <s v="Эвон"/>
    <m/>
    <n v="67.142857142857139"/>
    <n v="37"/>
    <n v="80"/>
    <n v="72"/>
    <n v="74"/>
    <n v="76"/>
    <n v="78"/>
    <n v="53"/>
    <n v="0"/>
    <n v="1862080"/>
    <n v="155173.33333333334"/>
    <n v="0"/>
    <n v="155173.33333333334"/>
    <n v="0"/>
    <n v="0"/>
  </r>
  <r>
    <s v="Тувино Кела"/>
    <x v="2"/>
    <s v="ОФ"/>
    <s v="ЦН"/>
    <m/>
    <m/>
    <s v="В.И."/>
    <s v="В.И."/>
    <x v="78"/>
    <s v="Эвон"/>
    <m/>
    <n v="47.428571428571431"/>
    <n v="27"/>
    <n v="56"/>
    <n v="48"/>
    <n v="54"/>
    <n v="56"/>
    <n v="58"/>
    <n v="33"/>
    <n v="0"/>
    <n v="57598"/>
    <n v="4799.833333333333"/>
    <n v="0"/>
    <n v="4799.833333333333"/>
    <n v="0"/>
    <n v="0"/>
  </r>
  <r>
    <s v="Бонфир Ландос"/>
    <x v="3"/>
    <s v="ЦПЗ"/>
    <s v="ОПЗ"/>
    <m/>
    <m/>
    <s v="В.И."/>
    <s v="В.И."/>
    <x v="78"/>
    <s v="Эвон"/>
    <m/>
    <n v="37.714285714285715"/>
    <n v="22"/>
    <n v="46"/>
    <n v="38"/>
    <n v="42"/>
    <n v="44"/>
    <n v="46"/>
    <n v="26"/>
    <n v="0"/>
    <n v="5822"/>
    <n v="485.16666666666669"/>
    <n v="0"/>
    <n v="485.16666666666669"/>
    <n v="0"/>
    <n v="0"/>
  </r>
  <r>
    <s v="Ганло Бертин"/>
    <x v="3"/>
    <s v="ППЗ"/>
    <s v="АПЗ"/>
    <m/>
    <m/>
    <s v="В.И."/>
    <s v="В.И."/>
    <x v="78"/>
    <s v="Эвон"/>
    <m/>
    <n v="63.857142857142854"/>
    <n v="34"/>
    <n v="74"/>
    <n v="68"/>
    <n v="72"/>
    <n v="74"/>
    <n v="76"/>
    <n v="49"/>
    <n v="0"/>
    <n v="1127444"/>
    <n v="93953.666666666672"/>
    <n v="0"/>
    <n v="93953.666666666672"/>
    <n v="0"/>
    <n v="0"/>
  </r>
  <r>
    <s v="Гетрин Балсун"/>
    <x v="3"/>
    <s v="ЦПЗ"/>
    <s v="ЛПЗ"/>
    <m/>
    <m/>
    <s v="В.И."/>
    <s v="В.И."/>
    <x v="78"/>
    <s v="Эвон"/>
    <m/>
    <n v="48.285714285714285"/>
    <n v="28"/>
    <n v="58"/>
    <n v="50"/>
    <n v="54"/>
    <n v="56"/>
    <n v="58"/>
    <n v="34"/>
    <n v="0"/>
    <n v="68895"/>
    <n v="5741.25"/>
    <n v="0"/>
    <n v="5741.25"/>
    <n v="0"/>
    <n v="0"/>
  </r>
  <r>
    <s v="Донмас Пиргол"/>
    <x v="3"/>
    <s v="ОПЗ"/>
    <s v="ЦПЗ"/>
    <m/>
    <m/>
    <s v="В.И."/>
    <s v="В.И."/>
    <x v="78"/>
    <s v="Эвон"/>
    <m/>
    <n v="45.571428571428569"/>
    <n v="26"/>
    <n v="54"/>
    <n v="46"/>
    <n v="52"/>
    <n v="54"/>
    <n v="56"/>
    <n v="31"/>
    <n v="0"/>
    <n v="38631"/>
    <n v="3219.25"/>
    <n v="0"/>
    <n v="3219.25"/>
    <n v="0"/>
    <n v="0"/>
  </r>
  <r>
    <s v="Залупе Роса"/>
    <x v="3"/>
    <s v="ППЗ"/>
    <s v="АПЗ"/>
    <m/>
    <m/>
    <s v="В.И."/>
    <s v="В.И."/>
    <x v="78"/>
    <s v="Эвон"/>
    <m/>
    <n v="53.714285714285715"/>
    <n v="32"/>
    <n v="64"/>
    <n v="56"/>
    <n v="60"/>
    <n v="62"/>
    <n v="64"/>
    <n v="38"/>
    <n v="0"/>
    <n v="199940"/>
    <n v="16661.666666666668"/>
    <n v="0"/>
    <n v="16661.666666666668"/>
    <n v="0"/>
    <n v="0"/>
  </r>
  <r>
    <s v="Разул Кандер"/>
    <x v="3"/>
    <s v="ОПЗ"/>
    <s v="ЦПЗ"/>
    <m/>
    <m/>
    <s v="В.И."/>
    <s v="В.И."/>
    <x v="78"/>
    <s v="Эвон"/>
    <m/>
    <n v="43"/>
    <n v="25"/>
    <n v="52"/>
    <n v="44"/>
    <n v="48"/>
    <n v="50"/>
    <n v="52"/>
    <n v="30"/>
    <n v="0"/>
    <n v="21612"/>
    <n v="1801"/>
    <n v="0"/>
    <n v="1801"/>
    <n v="0"/>
    <n v="0"/>
  </r>
  <r>
    <s v="Рунсан Таркел"/>
    <x v="3"/>
    <s v="ОПЗ"/>
    <s v="ЦЗ"/>
    <m/>
    <m/>
    <s v="В.И."/>
    <s v="В.И."/>
    <x v="78"/>
    <s v="Эвон"/>
    <m/>
    <n v="51.714285714285715"/>
    <n v="30"/>
    <n v="62"/>
    <n v="54"/>
    <n v="58"/>
    <n v="60"/>
    <n v="62"/>
    <n v="36"/>
    <n v="0"/>
    <n v="136807"/>
    <n v="11400.583333333334"/>
    <n v="0"/>
    <n v="11400.583333333334"/>
    <n v="0"/>
    <n v="0"/>
  </r>
  <r>
    <s v="Тикару Доми"/>
    <x v="3"/>
    <s v="ЛПЗ"/>
    <s v="ОПЗ"/>
    <m/>
    <m/>
    <s v="В.И."/>
    <s v="В.И."/>
    <x v="78"/>
    <s v="Эвон"/>
    <m/>
    <n v="50"/>
    <n v="29"/>
    <n v="60"/>
    <n v="52"/>
    <n v="56"/>
    <n v="58"/>
    <n v="60"/>
    <n v="35"/>
    <n v="0"/>
    <n v="97657"/>
    <n v="8138.083333333333"/>
    <n v="0"/>
    <n v="8138.083333333333"/>
    <n v="0"/>
    <n v="0"/>
  </r>
  <r>
    <s v="Токба Ринел"/>
    <x v="3"/>
    <s v="АПЗ"/>
    <s v="ЦПЗ"/>
    <m/>
    <m/>
    <s v="В.И."/>
    <s v="В.И."/>
    <x v="78"/>
    <s v="Эвон"/>
    <m/>
    <n v="40.857142857142854"/>
    <n v="24"/>
    <n v="48"/>
    <n v="42"/>
    <n v="46"/>
    <n v="48"/>
    <n v="50"/>
    <n v="28"/>
    <n v="0"/>
    <n v="12963"/>
    <n v="1080.25"/>
    <n v="0"/>
    <n v="1080.25"/>
    <n v="0"/>
    <n v="0"/>
  </r>
  <r>
    <s v="Росату Вино"/>
    <x v="4"/>
    <s v="Т"/>
    <m/>
    <m/>
    <m/>
    <s v="В.И."/>
    <s v="В.И."/>
    <x v="78"/>
    <s v="Эвон"/>
    <m/>
    <n v="44.714285714285715"/>
    <n v="26"/>
    <n v="54"/>
    <n v="46"/>
    <n v="50"/>
    <n v="52"/>
    <n v="54"/>
    <n v="31"/>
    <n v="0"/>
    <n v="31950"/>
    <n v="2662.5"/>
    <n v="0"/>
    <n v="2662.5"/>
    <n v="0"/>
    <n v="0"/>
  </r>
  <r>
    <s v="Ош Кай"/>
    <x v="0"/>
    <s v="В"/>
    <m/>
    <m/>
    <m/>
    <s v="Ост"/>
    <s v="Ост"/>
    <x v="79"/>
    <s v="Эвон"/>
    <m/>
    <n v="57.428571428571431"/>
    <n v="14"/>
    <n v="73"/>
    <n v="59"/>
    <n v="69"/>
    <n v="81"/>
    <n v="73"/>
    <n v="33"/>
    <n v="0"/>
    <n v="390194"/>
    <n v="32516.166666666668"/>
    <n v="0"/>
    <n v="32516.166666666668"/>
    <n v="0"/>
    <n v="0"/>
  </r>
  <r>
    <s v="Альтруи"/>
    <x v="1"/>
    <s v="ЦЗ"/>
    <s v="ЛЗ"/>
    <m/>
    <s v="Генуа"/>
    <s v="Генуа"/>
    <s v="Генуа"/>
    <x v="79"/>
    <s v="Эвон"/>
    <m/>
    <n v="68.142857142857139"/>
    <n v="65"/>
    <n v="71"/>
    <n v="67"/>
    <n v="60"/>
    <n v="67"/>
    <n v="77"/>
    <n v="70"/>
    <n v="0"/>
    <n v="2158756"/>
    <n v="179896.33333333334"/>
    <n v="0"/>
    <n v="179896.33333333334"/>
    <n v="0"/>
    <n v="0"/>
  </r>
  <r>
    <s v="Брунвель Ларс"/>
    <x v="1"/>
    <s v="ПЗ"/>
    <s v="ЦЗ"/>
    <m/>
    <m/>
    <s v="Ост"/>
    <s v="Ост"/>
    <x v="79"/>
    <s v="Эвон"/>
    <m/>
    <n v="55.714285714285715"/>
    <n v="13"/>
    <n v="77"/>
    <n v="61"/>
    <n v="65"/>
    <n v="77"/>
    <n v="69"/>
    <n v="28"/>
    <n v="0"/>
    <n v="288182"/>
    <n v="24015.166666666668"/>
    <n v="0"/>
    <n v="24015.166666666668"/>
    <n v="0"/>
    <n v="0"/>
  </r>
  <r>
    <s v="Гвиндус Марк"/>
    <x v="1"/>
    <s v="ЦЗ"/>
    <s v="ЛЗ"/>
    <m/>
    <m/>
    <s v="Ост"/>
    <s v="Ост"/>
    <x v="79"/>
    <s v="Эвон"/>
    <m/>
    <n v="54.285714285714285"/>
    <n v="12"/>
    <n v="74"/>
    <n v="60"/>
    <n v="68"/>
    <n v="74"/>
    <n v="66"/>
    <n v="26"/>
    <n v="0"/>
    <n v="222258"/>
    <n v="18521.5"/>
    <n v="0"/>
    <n v="18521.5"/>
    <n v="0"/>
    <n v="0"/>
  </r>
  <r>
    <s v="Оллош"/>
    <x v="1"/>
    <s v="ЛЗ"/>
    <m/>
    <m/>
    <s v="Биссий"/>
    <s v="Биссий"/>
    <s v="Биссий"/>
    <x v="79"/>
    <s v="Эвон"/>
    <m/>
    <n v="73.428571428571431"/>
    <n v="63"/>
    <n v="75"/>
    <n v="88"/>
    <n v="72"/>
    <n v="65"/>
    <n v="68"/>
    <n v="83"/>
    <n v="0"/>
    <n v="4556704"/>
    <n v="379725.33333333331"/>
    <n v="0"/>
    <n v="379725.33333333331"/>
    <n v="0"/>
    <n v="0"/>
  </r>
  <r>
    <s v="Тарн Эрик"/>
    <x v="1"/>
    <s v="ПЗ"/>
    <s v="ЦЗ"/>
    <m/>
    <m/>
    <s v="Ост"/>
    <s v="Ост"/>
    <x v="79"/>
    <s v="Эвон"/>
    <m/>
    <n v="51.428571428571431"/>
    <n v="11"/>
    <n v="71"/>
    <n v="56"/>
    <n v="60"/>
    <n v="72"/>
    <n v="65"/>
    <n v="25"/>
    <n v="0"/>
    <n v="129433"/>
    <n v="10786.083333333334"/>
    <n v="0"/>
    <n v="10786.083333333334"/>
    <n v="0"/>
    <n v="0"/>
  </r>
  <r>
    <s v="Веллур Эрик"/>
    <x v="2"/>
    <s v="ОФ"/>
    <s v="ЦН"/>
    <m/>
    <m/>
    <s v="Ост"/>
    <s v="Ост"/>
    <x v="79"/>
    <s v="Эвон"/>
    <m/>
    <n v="53.285714285714285"/>
    <n v="12"/>
    <n v="74"/>
    <n v="58"/>
    <n v="66"/>
    <n v="74"/>
    <n v="66"/>
    <n v="23"/>
    <n v="0"/>
    <n v="184548"/>
    <n v="15379"/>
    <n v="0"/>
    <n v="15379"/>
    <n v="0"/>
    <n v="0"/>
  </r>
  <r>
    <s v="Ирми Пол"/>
    <x v="2"/>
    <s v="ЦН"/>
    <s v="ОФ"/>
    <m/>
    <m/>
    <s v="Ост"/>
    <s v="Ост"/>
    <x v="79"/>
    <s v="Эвон"/>
    <m/>
    <n v="53.714285714285715"/>
    <n v="11"/>
    <n v="71"/>
    <n v="58"/>
    <n v="66"/>
    <n v="76"/>
    <n v="70"/>
    <n v="24"/>
    <n v="0"/>
    <n v="199940"/>
    <n v="16661.666666666668"/>
    <n v="0"/>
    <n v="16661.666666666668"/>
    <n v="0"/>
    <n v="0"/>
  </r>
  <r>
    <s v="Крон Марк"/>
    <x v="2"/>
    <s v="ОФ"/>
    <s v="ЦН"/>
    <m/>
    <m/>
    <s v="Ост"/>
    <s v="Ост"/>
    <x v="79"/>
    <s v="Эвон"/>
    <m/>
    <n v="50.714285714285715"/>
    <n v="10"/>
    <n v="69"/>
    <n v="54"/>
    <n v="62"/>
    <n v="72"/>
    <n v="66"/>
    <n v="22"/>
    <n v="0"/>
    <n v="112540"/>
    <n v="9378.3333333333339"/>
    <n v="0"/>
    <n v="9378.3333333333339"/>
    <n v="0"/>
    <n v="0"/>
  </r>
  <r>
    <s v="Скунда (Н)"/>
    <x v="2"/>
    <s v="ЦН"/>
    <m/>
    <m/>
    <s v="Б.Л."/>
    <s v="Б.Л."/>
    <s v="Б.Л."/>
    <x v="79"/>
    <s v="Эвон"/>
    <m/>
    <n v="75.428571428571431"/>
    <n v="64"/>
    <n v="85"/>
    <n v="79"/>
    <n v="72"/>
    <n v="76"/>
    <n v="77"/>
    <n v="75"/>
    <n v="3"/>
    <n v="8942318"/>
    <n v="745193.16666666663"/>
    <n v="0"/>
    <n v="745193.16666666663"/>
    <n v="0"/>
    <n v="0"/>
  </r>
  <r>
    <s v="Хольмгард Тим"/>
    <x v="2"/>
    <s v="ЦН"/>
    <s v="ОФ"/>
    <m/>
    <m/>
    <s v="Ост"/>
    <s v="Ост"/>
    <x v="79"/>
    <s v="Эвон"/>
    <m/>
    <n v="62.714285714285715"/>
    <n v="17"/>
    <n v="82"/>
    <n v="70"/>
    <n v="74"/>
    <n v="86"/>
    <n v="79"/>
    <n v="31"/>
    <n v="0"/>
    <n v="941163"/>
    <n v="78430.25"/>
    <n v="0"/>
    <n v="78430.25"/>
    <n v="0"/>
    <n v="0"/>
  </r>
  <r>
    <s v="Брэн Кай"/>
    <x v="3"/>
    <s v="ЛПЗ"/>
    <s v="ЦПЗ"/>
    <m/>
    <m/>
    <s v="Ост"/>
    <s v="Ост"/>
    <x v="79"/>
    <s v="Эвон"/>
    <m/>
    <n v="53.714285714285715"/>
    <n v="11"/>
    <n v="71"/>
    <n v="58"/>
    <n v="66"/>
    <n v="76"/>
    <n v="70"/>
    <n v="24"/>
    <n v="0"/>
    <n v="199940"/>
    <n v="16661.666666666668"/>
    <n v="0"/>
    <n v="16661.666666666668"/>
    <n v="0"/>
    <n v="0"/>
  </r>
  <r>
    <s v="Вергун Олаф"/>
    <x v="3"/>
    <s v="ППЗ"/>
    <s v="АПЗ"/>
    <m/>
    <m/>
    <s v="Ост"/>
    <s v="Ост"/>
    <x v="79"/>
    <s v="Эвон"/>
    <m/>
    <n v="61.142857142857146"/>
    <n v="16"/>
    <n v="80"/>
    <n v="68"/>
    <n v="72"/>
    <n v="84"/>
    <n v="76"/>
    <n v="32"/>
    <n v="0"/>
    <n v="730226"/>
    <n v="60852.166666666664"/>
    <n v="0"/>
    <n v="60852.166666666664"/>
    <n v="0"/>
    <n v="0"/>
  </r>
  <r>
    <s v="Дарно Тим"/>
    <x v="3"/>
    <s v="АПЗ"/>
    <s v="ППЗ"/>
    <m/>
    <m/>
    <s v="Ост"/>
    <s v="Ост"/>
    <x v="79"/>
    <s v="Эвон"/>
    <m/>
    <n v="56.428571428571431"/>
    <n v="13"/>
    <n v="75"/>
    <n v="62"/>
    <n v="70"/>
    <n v="78"/>
    <n v="70"/>
    <n v="27"/>
    <n v="0"/>
    <n v="327334"/>
    <n v="27277.833333333332"/>
    <n v="0"/>
    <n v="27277.833333333332"/>
    <n v="0"/>
    <n v="0"/>
  </r>
  <r>
    <s v="Икис (П)"/>
    <x v="3"/>
    <s v="ОПЗ"/>
    <s v="ЦПЗ"/>
    <m/>
    <s v="Ост"/>
    <s v="Ост"/>
    <s v="Ост"/>
    <x v="79"/>
    <s v="Эвон"/>
    <m/>
    <n v="67"/>
    <n v="46"/>
    <n v="65"/>
    <n v="76"/>
    <n v="72"/>
    <n v="81"/>
    <n v="73"/>
    <n v="56"/>
    <n v="0"/>
    <n v="1822838"/>
    <n v="151903.16666666666"/>
    <n v="0"/>
    <n v="151903.16666666666"/>
    <n v="0"/>
    <n v="0"/>
  </r>
  <r>
    <s v="Маллус Ян"/>
    <x v="3"/>
    <s v="ЛПЗ"/>
    <s v="ОПЗ"/>
    <m/>
    <m/>
    <s v="Ост"/>
    <s v="Ост"/>
    <x v="79"/>
    <s v="Эвон"/>
    <m/>
    <n v="55.428571428571431"/>
    <n v="11"/>
    <n v="72"/>
    <n v="60"/>
    <n v="68"/>
    <n v="80"/>
    <n v="72"/>
    <n v="25"/>
    <n v="0"/>
    <n v="273740"/>
    <n v="22811.666666666668"/>
    <n v="0"/>
    <n v="22811.666666666668"/>
    <n v="0"/>
    <n v="0"/>
  </r>
  <r>
    <s v="Скарнвел Оси"/>
    <x v="3"/>
    <s v="ППЗ"/>
    <s v="ЛПЗ"/>
    <m/>
    <m/>
    <s v="Ост"/>
    <s v="Ост"/>
    <x v="79"/>
    <s v="Эвон"/>
    <m/>
    <n v="71.857142857142861"/>
    <n v="50"/>
    <n v="83"/>
    <n v="71"/>
    <n v="77"/>
    <n v="90"/>
    <n v="82"/>
    <n v="50"/>
    <n v="18"/>
    <n v="5505424"/>
    <n v="458785.33333333331"/>
    <n v="0"/>
    <n v="458785.33333333331"/>
    <n v="0"/>
    <n v="0"/>
  </r>
  <r>
    <s v="Танги (П)"/>
    <x v="3"/>
    <s v="ОПЗ"/>
    <s v="ЦЗ"/>
    <s v="ЦПЗ"/>
    <s v="Ост"/>
    <s v="Ост"/>
    <s v="Ост"/>
    <x v="79"/>
    <s v="Эвон"/>
    <m/>
    <n v="66.285714285714292"/>
    <n v="42"/>
    <n v="67"/>
    <n v="78"/>
    <n v="71"/>
    <n v="83"/>
    <n v="75"/>
    <n v="48"/>
    <n v="0"/>
    <n v="1637569"/>
    <n v="136464.08333333334"/>
    <n v="0"/>
    <n v="136464.08333333334"/>
    <n v="0"/>
    <n v="0"/>
  </r>
  <r>
    <s v="Фер Пол"/>
    <x v="3"/>
    <s v="АПЗ"/>
    <s v="ЦПЗ"/>
    <m/>
    <m/>
    <s v="Ост"/>
    <s v="Ост"/>
    <x v="79"/>
    <s v="Эвон"/>
    <m/>
    <n v="66.285714285714292"/>
    <n v="30"/>
    <n v="80"/>
    <n v="69"/>
    <n v="81"/>
    <n v="76"/>
    <n v="68"/>
    <n v="60"/>
    <n v="8"/>
    <n v="2456353"/>
    <n v="204696.08333333334"/>
    <n v="0"/>
    <n v="204696.08333333334"/>
    <n v="0"/>
    <n v="0"/>
  </r>
  <r>
    <s v="Звер Одор"/>
    <x v="4"/>
    <s v="Т"/>
    <m/>
    <m/>
    <m/>
    <s v="Ост"/>
    <s v="Ост"/>
    <x v="79"/>
    <s v="Эвон"/>
    <m/>
    <n v="54.571428571428569"/>
    <n v="12"/>
    <n v="70"/>
    <n v="56"/>
    <n v="66"/>
    <n v="78"/>
    <n v="70"/>
    <n v="30"/>
    <n v="0"/>
    <n v="234236"/>
    <n v="19519.666666666668"/>
    <n v="0"/>
    <n v="19519.666666666668"/>
    <n v="0"/>
    <n v="0"/>
  </r>
  <r>
    <s v="Вельгор Остин"/>
    <x v="0"/>
    <s v="В"/>
    <m/>
    <m/>
    <m/>
    <s v="В.И."/>
    <s v="В.И."/>
    <x v="80"/>
    <s v="Эвон"/>
    <m/>
    <n v="52.714285714285715"/>
    <n v="10"/>
    <n v="67"/>
    <n v="59"/>
    <n v="65"/>
    <n v="67"/>
    <n v="69"/>
    <n v="32"/>
    <n v="0"/>
    <n v="165686"/>
    <n v="13807.166666666666"/>
    <n v="0"/>
    <n v="13807.166666666666"/>
    <n v="0"/>
    <n v="0"/>
  </r>
  <r>
    <s v="Кранцль Рэй"/>
    <x v="0"/>
    <s v="В"/>
    <m/>
    <m/>
    <m/>
    <s v="В.И."/>
    <s v="В.И."/>
    <x v="80"/>
    <s v="Эвон"/>
    <m/>
    <n v="50.285714285714285"/>
    <n v="8"/>
    <n v="64"/>
    <n v="56"/>
    <n v="63"/>
    <n v="65"/>
    <n v="67"/>
    <n v="29"/>
    <n v="0"/>
    <n v="103383"/>
    <n v="8615.25"/>
    <n v="0"/>
    <n v="8615.25"/>
    <n v="0"/>
    <n v="0"/>
  </r>
  <r>
    <s v="Хагенвик Остин"/>
    <x v="0"/>
    <s v="В"/>
    <m/>
    <m/>
    <m/>
    <s v="В.И."/>
    <s v="В.И."/>
    <x v="80"/>
    <s v="Эвон"/>
    <m/>
    <n v="50.857142857142854"/>
    <n v="8"/>
    <n v="65"/>
    <n v="58"/>
    <n v="63"/>
    <n v="65"/>
    <n v="67"/>
    <n v="30"/>
    <n v="0"/>
    <n v="115750"/>
    <n v="9645.8333333333339"/>
    <n v="0"/>
    <n v="9645.8333333333339"/>
    <n v="0"/>
    <n v="0"/>
  </r>
  <r>
    <s v="Граловец Люк"/>
    <x v="1"/>
    <s v="ЦЗ"/>
    <s v="ОПЗ"/>
    <m/>
    <m/>
    <s v="В.И."/>
    <s v="В.И."/>
    <x v="80"/>
    <s v="Эвон"/>
    <m/>
    <n v="47.428571428571431"/>
    <n v="6"/>
    <n v="61"/>
    <n v="54"/>
    <n v="60"/>
    <n v="62"/>
    <n v="64"/>
    <n v="25"/>
    <n v="0"/>
    <n v="57598"/>
    <n v="4799.833333333333"/>
    <n v="0"/>
    <n v="4799.833333333333"/>
    <n v="0"/>
    <n v="0"/>
  </r>
  <r>
    <s v="Гунито Ян"/>
    <x v="1"/>
    <s v="ПЗ"/>
    <s v="ЛЗ"/>
    <m/>
    <m/>
    <s v="В.И."/>
    <s v="В.И."/>
    <x v="80"/>
    <s v="Эвон"/>
    <m/>
    <n v="50.428571428571431"/>
    <n v="7"/>
    <n v="65"/>
    <n v="58"/>
    <n v="63"/>
    <n v="65"/>
    <n v="67"/>
    <n v="28"/>
    <n v="0"/>
    <n v="106358"/>
    <n v="8863.1666666666661"/>
    <n v="0"/>
    <n v="8863.1666666666661"/>
    <n v="0"/>
    <n v="0"/>
  </r>
  <r>
    <s v="Дельгаро Рой"/>
    <x v="1"/>
    <s v="ЦЗ"/>
    <s v="ЛЗ"/>
    <m/>
    <m/>
    <s v="В.И."/>
    <s v="В.И."/>
    <x v="80"/>
    <s v="Эвон"/>
    <m/>
    <n v="55.428571428571431"/>
    <n v="12"/>
    <n v="71"/>
    <n v="63"/>
    <n v="67"/>
    <n v="69"/>
    <n v="71"/>
    <n v="35"/>
    <n v="0"/>
    <n v="273740"/>
    <n v="22811.666666666668"/>
    <n v="0"/>
    <n v="22811.666666666668"/>
    <n v="0"/>
    <n v="0"/>
  </r>
  <r>
    <s v="Линдрум Кир"/>
    <x v="1"/>
    <s v="ЛЗ"/>
    <s v="ЦЗ"/>
    <m/>
    <m/>
    <s v="В.И."/>
    <s v="В.И."/>
    <x v="80"/>
    <s v="Эвон"/>
    <m/>
    <n v="54.428571428571431"/>
    <n v="11"/>
    <n v="70"/>
    <n v="62"/>
    <n v="66"/>
    <n v="68"/>
    <n v="70"/>
    <n v="34"/>
    <n v="0"/>
    <n v="228176"/>
    <n v="19014.666666666668"/>
    <n v="0"/>
    <n v="19014.666666666668"/>
    <n v="0"/>
    <n v="0"/>
  </r>
  <r>
    <s v="Строжин Тим"/>
    <x v="1"/>
    <s v="ПЗ"/>
    <s v="ЦЗ"/>
    <m/>
    <m/>
    <s v="В.И."/>
    <s v="В.И."/>
    <x v="80"/>
    <s v="Эвон"/>
    <m/>
    <n v="52.857142857142854"/>
    <n v="9"/>
    <n v="69"/>
    <n v="60"/>
    <n v="65"/>
    <n v="67"/>
    <n v="69"/>
    <n v="31"/>
    <n v="0"/>
    <n v="170231"/>
    <n v="14185.916666666666"/>
    <n v="0"/>
    <n v="14185.916666666666"/>
    <n v="0"/>
    <n v="0"/>
  </r>
  <r>
    <s v="Дорн Хехем"/>
    <x v="2"/>
    <s v="ОФ"/>
    <s v="ЦН"/>
    <m/>
    <m/>
    <s v="В.И."/>
    <s v="В.И."/>
    <x v="80"/>
    <s v="Эвон"/>
    <m/>
    <n v="60"/>
    <n v="14"/>
    <n v="75"/>
    <n v="68"/>
    <n v="73"/>
    <n v="75"/>
    <n v="77"/>
    <n v="38"/>
    <n v="0"/>
    <n v="604662"/>
    <n v="50388.5"/>
    <n v="0"/>
    <n v="50388.5"/>
    <n v="0"/>
    <n v="0"/>
  </r>
  <r>
    <s v="Торгорн Атэм"/>
    <x v="2"/>
    <s v="ОФ"/>
    <s v="ЦН"/>
    <m/>
    <m/>
    <s v="В.И."/>
    <s v="В.И."/>
    <x v="80"/>
    <s v="Эвон"/>
    <m/>
    <n v="55"/>
    <n v="10"/>
    <n v="70"/>
    <n v="63"/>
    <n v="68"/>
    <n v="70"/>
    <n v="72"/>
    <n v="32"/>
    <n v="0"/>
    <n v="253296"/>
    <n v="21108"/>
    <n v="0"/>
    <n v="21108"/>
    <n v="0"/>
    <n v="0"/>
  </r>
  <r>
    <s v="Ааорно Ценли"/>
    <x v="2"/>
    <s v="ЦН"/>
    <s v="ОФ"/>
    <m/>
    <m/>
    <s v="В.И."/>
    <s v="В.И."/>
    <x v="80"/>
    <s v="Эвон"/>
    <m/>
    <n v="63.857142857142854"/>
    <n v="15"/>
    <n v="75"/>
    <n v="80"/>
    <n v="75"/>
    <n v="77"/>
    <n v="80"/>
    <n v="45"/>
    <n v="0"/>
    <n v="1127444"/>
    <n v="93953.666666666672"/>
    <n v="0"/>
    <n v="93953.666666666672"/>
    <n v="0"/>
    <n v="0"/>
  </r>
  <r>
    <s v="Бублятор Тута"/>
    <x v="3"/>
    <s v="АПЗ"/>
    <s v="ЦПЗ"/>
    <m/>
    <m/>
    <s v="В.И."/>
    <s v="В.И."/>
    <x v="80"/>
    <s v="Эвон"/>
    <m/>
    <n v="48"/>
    <n v="6"/>
    <n v="60"/>
    <n v="54"/>
    <n v="62"/>
    <n v="64"/>
    <n v="66"/>
    <n v="24"/>
    <n v="0"/>
    <n v="64926"/>
    <n v="5410.5"/>
    <n v="0"/>
    <n v="5410.5"/>
    <n v="0"/>
    <n v="0"/>
  </r>
  <r>
    <s v="Вендел"/>
    <x v="3"/>
    <s v="ОПЗ"/>
    <s v="ЦЗ"/>
    <s v="ЦПЗ"/>
    <m/>
    <s v="Мох"/>
    <s v="Мох"/>
    <x v="80"/>
    <s v="Эвон"/>
    <m/>
    <n v="80"/>
    <n v="66"/>
    <n v="83"/>
    <n v="83"/>
    <n v="84"/>
    <n v="85"/>
    <n v="90"/>
    <n v="69"/>
    <n v="26"/>
    <n v="16106128"/>
    <n v="1041972"/>
    <n v="0"/>
    <n v="1342177.3333333333"/>
    <n v="-22.37"/>
    <n v="0"/>
  </r>
  <r>
    <s v="Клосберри Хели"/>
    <x v="3"/>
    <s v="ЦПЗ"/>
    <s v="ОПЗ"/>
    <m/>
    <m/>
    <s v="В.И."/>
    <s v="В.И."/>
    <x v="80"/>
    <s v="Эвон"/>
    <m/>
    <n v="58.285714285714285"/>
    <n v="13"/>
    <n v="73"/>
    <n v="66"/>
    <n v="71"/>
    <n v="73"/>
    <n v="75"/>
    <n v="37"/>
    <n v="0"/>
    <n v="452503"/>
    <n v="37708.583333333336"/>
    <n v="0"/>
    <n v="37708.583333333336"/>
    <n v="0"/>
    <n v="0"/>
  </r>
  <r>
    <s v="Горваль Забмер"/>
    <x v="3"/>
    <s v="АПЗ"/>
    <s v="ППЗ"/>
    <m/>
    <m/>
    <s v="В.И."/>
    <s v="В.И."/>
    <x v="80"/>
    <s v="Эвон"/>
    <m/>
    <n v="54.428571428571431"/>
    <n v="10"/>
    <n v="69"/>
    <n v="62"/>
    <n v="67"/>
    <n v="69"/>
    <n v="71"/>
    <n v="33"/>
    <n v="0"/>
    <n v="228176"/>
    <n v="19014.666666666668"/>
    <n v="0"/>
    <n v="19014.666666666668"/>
    <n v="0"/>
    <n v="0"/>
  </r>
  <r>
    <s v="Морендо Дар"/>
    <x v="3"/>
    <s v="ОПЗ"/>
    <s v="ЦПЗ"/>
    <m/>
    <m/>
    <s v="В.И."/>
    <s v="В.И."/>
    <x v="80"/>
    <s v="Эвон"/>
    <m/>
    <n v="53.428571428571431"/>
    <n v="9"/>
    <n v="68"/>
    <n v="60"/>
    <n v="67"/>
    <n v="69"/>
    <n v="71"/>
    <n v="30"/>
    <n v="0"/>
    <n v="189556"/>
    <n v="15796.333333333334"/>
    <n v="0"/>
    <n v="15796.333333333334"/>
    <n v="0"/>
    <n v="0"/>
  </r>
  <r>
    <s v="Салмиаго Ирж"/>
    <x v="3"/>
    <s v="ППЗ"/>
    <s v="АПЗ"/>
    <m/>
    <m/>
    <s v="В.И."/>
    <s v="В.И."/>
    <x v="80"/>
    <s v="Эвон"/>
    <m/>
    <n v="56.142857142857146"/>
    <n v="11"/>
    <n v="71"/>
    <n v="64"/>
    <n v="69"/>
    <n v="71"/>
    <n v="73"/>
    <n v="34"/>
    <n v="0"/>
    <n v="311133"/>
    <n v="25927.75"/>
    <n v="0"/>
    <n v="25927.75"/>
    <n v="0"/>
    <n v="0"/>
  </r>
  <r>
    <s v="Соржень Григор"/>
    <x v="3"/>
    <s v="ЛПЗ"/>
    <s v="ОПЗ"/>
    <m/>
    <m/>
    <s v="В.И."/>
    <s v="В.И."/>
    <x v="80"/>
    <s v="Эвон"/>
    <m/>
    <n v="49.857142857142854"/>
    <n v="7"/>
    <n v="64"/>
    <n v="57"/>
    <n v="63"/>
    <n v="65"/>
    <n v="67"/>
    <n v="26"/>
    <n v="0"/>
    <n v="94902"/>
    <n v="7908.5"/>
    <n v="0"/>
    <n v="7908.5"/>
    <n v="0"/>
    <n v="0"/>
  </r>
  <r>
    <s v="Сорабео Ксон"/>
    <x v="3"/>
    <s v="ППЗ"/>
    <s v="АПЗ"/>
    <m/>
    <m/>
    <s v="В.И."/>
    <s v="В.И."/>
    <x v="80"/>
    <s v="Эвон"/>
    <m/>
    <n v="62.571428571428569"/>
    <n v="14"/>
    <n v="73"/>
    <n v="77"/>
    <n v="75"/>
    <n v="77"/>
    <n v="79"/>
    <n v="43"/>
    <n v="0"/>
    <n v="919943"/>
    <n v="76661.916666666672"/>
    <n v="0"/>
    <n v="76661.916666666672"/>
    <n v="0"/>
    <n v="0"/>
  </r>
  <r>
    <s v="Торнбю Элд"/>
    <x v="4"/>
    <s v="Т"/>
    <m/>
    <m/>
    <m/>
    <s v="В.И."/>
    <s v="В.И."/>
    <x v="80"/>
    <s v="Эвон"/>
    <m/>
    <n v="51.285714285714285"/>
    <n v="9"/>
    <n v="65"/>
    <n v="57"/>
    <n v="64"/>
    <n v="66"/>
    <n v="68"/>
    <n v="30"/>
    <n v="0"/>
    <n v="125883"/>
    <n v="10490.25"/>
    <n v="0"/>
    <n v="10490.25"/>
    <n v="0"/>
    <n v="0"/>
  </r>
  <r>
    <s v="М.Кеовн"/>
    <x v="2"/>
    <s v="ЦН"/>
    <s v="АПЗ"/>
    <m/>
    <s v="А.Н."/>
    <s v="А.Н."/>
    <s v="А.Н."/>
    <x v="81"/>
    <s v="Кеор"/>
    <m/>
    <n v="80.714285714285708"/>
    <n v="75"/>
    <n v="83"/>
    <n v="90"/>
    <n v="82"/>
    <n v="80"/>
    <n v="85"/>
    <n v="70"/>
    <n v="7"/>
    <n v="17603351"/>
    <n v="1466945.9166666667"/>
    <n v="0"/>
    <n v="1466945.9166666667"/>
    <n v="0"/>
    <n v="0"/>
  </r>
  <r>
    <s v="Барунел Тимока"/>
    <x v="0"/>
    <s v="В"/>
    <m/>
    <m/>
    <m/>
    <s v="Биссий"/>
    <s v="Биссий"/>
    <x v="82"/>
    <s v="Эвон"/>
    <m/>
    <n v="31.857142857142858"/>
    <n v="10"/>
    <n v="41"/>
    <n v="33"/>
    <n v="37"/>
    <n v="39"/>
    <n v="41"/>
    <n v="22"/>
    <n v="0"/>
    <n v="1077"/>
    <n v="89.75"/>
    <n v="0"/>
    <n v="89.75"/>
    <n v="0"/>
    <n v="0"/>
  </r>
  <r>
    <s v="Дозалу Пе"/>
    <x v="0"/>
    <s v="В"/>
    <m/>
    <m/>
    <m/>
    <s v="Биссий"/>
    <s v="Биссий"/>
    <x v="82"/>
    <s v="Эвон"/>
    <m/>
    <n v="28"/>
    <n v="8"/>
    <n v="35"/>
    <n v="29"/>
    <n v="33"/>
    <n v="35"/>
    <n v="37"/>
    <n v="19"/>
    <n v="0"/>
    <n v="297"/>
    <n v="24.75"/>
    <n v="0"/>
    <n v="24.75"/>
    <n v="0"/>
    <n v="0"/>
  </r>
  <r>
    <s v="Бертинра Зул"/>
    <x v="1"/>
    <s v="ПЗ"/>
    <s v="ЦЗ"/>
    <m/>
    <m/>
    <s v="Биссий"/>
    <s v="Биссий"/>
    <x v="82"/>
    <s v="Эвон"/>
    <m/>
    <n v="31.571428571428573"/>
    <n v="9"/>
    <n v="41"/>
    <n v="33"/>
    <n v="37"/>
    <n v="39"/>
    <n v="41"/>
    <n v="21"/>
    <n v="0"/>
    <n v="984"/>
    <n v="82"/>
    <n v="0"/>
    <n v="82"/>
    <n v="0"/>
    <n v="0"/>
  </r>
  <r>
    <s v="Валнискар Рел"/>
    <x v="1"/>
    <s v="ЛЗ"/>
    <s v="ЦЗ"/>
    <m/>
    <m/>
    <s v="Биссий"/>
    <s v="Биссий"/>
    <x v="82"/>
    <s v="Эвон"/>
    <m/>
    <n v="33.857142857142854"/>
    <n v="11"/>
    <n v="45"/>
    <n v="35"/>
    <n v="39"/>
    <n v="41"/>
    <n v="43"/>
    <n v="23"/>
    <n v="0"/>
    <n v="1980"/>
    <n v="165"/>
    <n v="0"/>
    <n v="165"/>
    <n v="0"/>
    <n v="0"/>
  </r>
  <r>
    <s v="Зуфарган Ломин"/>
    <x v="1"/>
    <s v="ЦЗ"/>
    <s v="ЛЗ"/>
    <m/>
    <m/>
    <s v="Биссий"/>
    <s v="Биссий"/>
    <x v="82"/>
    <s v="Эвон"/>
    <m/>
    <n v="35.571428571428569"/>
    <n v="12"/>
    <n v="47"/>
    <n v="37"/>
    <n v="41"/>
    <n v="43"/>
    <n v="45"/>
    <n v="24"/>
    <n v="0"/>
    <n v="3244"/>
    <n v="270.33333333333331"/>
    <n v="0"/>
    <n v="270.33333333333331"/>
    <n v="0"/>
    <n v="0"/>
  </r>
  <r>
    <s v="Кандерми Минтор"/>
    <x v="1"/>
    <s v="ПЗ"/>
    <s v="ЛЗ"/>
    <m/>
    <m/>
    <s v="Биссий"/>
    <s v="Биссий"/>
    <x v="82"/>
    <s v="Эвон"/>
    <m/>
    <n v="27.714285714285715"/>
    <n v="7"/>
    <n v="35"/>
    <n v="29"/>
    <n v="33"/>
    <n v="35"/>
    <n v="37"/>
    <n v="18"/>
    <n v="0"/>
    <n v="268"/>
    <n v="22.333333333333332"/>
    <n v="0"/>
    <n v="22.333333333333332"/>
    <n v="0"/>
    <n v="0"/>
  </r>
  <r>
    <s v="Каш Зом"/>
    <x v="1"/>
    <s v="ЦЗ"/>
    <m/>
    <m/>
    <m/>
    <s v="Биссий"/>
    <s v="Биссий"/>
    <x v="82"/>
    <s v="Эвон"/>
    <m/>
    <n v="29.714285714285715"/>
    <n v="13"/>
    <n v="25"/>
    <n v="37"/>
    <n v="26"/>
    <n v="36"/>
    <n v="50"/>
    <n v="21"/>
    <n v="0"/>
    <n v="537"/>
    <n v="44.75"/>
    <n v="0"/>
    <n v="44.75"/>
    <n v="0"/>
    <n v="0"/>
  </r>
  <r>
    <s v="Келамон Ритеза"/>
    <x v="1"/>
    <s v="ЦЗ"/>
    <s v="ОПЗ"/>
    <m/>
    <m/>
    <s v="Биссий"/>
    <s v="Биссий"/>
    <x v="82"/>
    <s v="Эвон"/>
    <m/>
    <n v="24.571428571428573"/>
    <n v="6"/>
    <n v="31"/>
    <n v="25"/>
    <n v="29"/>
    <n v="31"/>
    <n v="33"/>
    <n v="17"/>
    <n v="0"/>
    <n v="81"/>
    <n v="6.75"/>
    <n v="0"/>
    <n v="6.75"/>
    <n v="0"/>
    <n v="0"/>
  </r>
  <r>
    <s v="Ганлобер Тинра"/>
    <x v="2"/>
    <s v="ЦН"/>
    <s v="ОФ"/>
    <m/>
    <m/>
    <s v="Биссий"/>
    <s v="Биссий"/>
    <x v="82"/>
    <s v="Эвон"/>
    <m/>
    <n v="51.857142857142854"/>
    <n v="18"/>
    <n v="65"/>
    <n v="57"/>
    <n v="59"/>
    <n v="61"/>
    <n v="63"/>
    <n v="40"/>
    <n v="0"/>
    <n v="140633"/>
    <n v="11719.416666666666"/>
    <n v="0"/>
    <n v="11719.416666666666"/>
    <n v="0"/>
    <n v="0"/>
  </r>
  <r>
    <s v="Моритезу Фар"/>
    <x v="2"/>
    <s v="ОФ"/>
    <s v="ЦН"/>
    <m/>
    <m/>
    <s v="Биссий"/>
    <s v="Биссий"/>
    <x v="82"/>
    <s v="Эвон"/>
    <m/>
    <n v="32.571428571428569"/>
    <n v="10"/>
    <n v="41"/>
    <n v="33"/>
    <n v="39"/>
    <n v="41"/>
    <n v="43"/>
    <n v="21"/>
    <n v="0"/>
    <n v="1344"/>
    <n v="112"/>
    <n v="0"/>
    <n v="112"/>
    <n v="0"/>
    <n v="0"/>
  </r>
  <r>
    <s v="Балсунток Ба"/>
    <x v="3"/>
    <s v="ЦПЗ"/>
    <s v="ЛПЗ"/>
    <m/>
    <m/>
    <s v="Биссий"/>
    <s v="Биссий"/>
    <x v="82"/>
    <s v="Эвон"/>
    <m/>
    <n v="33"/>
    <n v="10"/>
    <n v="43"/>
    <n v="33"/>
    <n v="39"/>
    <n v="41"/>
    <n v="43"/>
    <n v="22"/>
    <n v="0"/>
    <n v="1532"/>
    <n v="127.66666666666667"/>
    <n v="0"/>
    <n v="127.66666666666667"/>
    <n v="0"/>
    <n v="0"/>
  </r>
  <r>
    <s v="Домизалу Песа"/>
    <x v="3"/>
    <s v="АПЗ"/>
    <s v="ППЗ"/>
    <m/>
    <m/>
    <s v="Биссий"/>
    <s v="Биссий"/>
    <x v="82"/>
    <s v="Эвон"/>
    <m/>
    <n v="34.714285714285715"/>
    <n v="11"/>
    <n v="45"/>
    <n v="35"/>
    <n v="41"/>
    <n v="43"/>
    <n v="45"/>
    <n v="23"/>
    <n v="0"/>
    <n v="2542"/>
    <n v="211.83333333333334"/>
    <n v="0"/>
    <n v="211.83333333333334"/>
    <n v="0"/>
    <n v="0"/>
  </r>
  <r>
    <s v="Донмаспир Голрун"/>
    <x v="3"/>
    <s v="ОПЗ"/>
    <s v="ЦПЗ"/>
    <m/>
    <m/>
    <s v="Биссий"/>
    <s v="Биссий"/>
    <x v="82"/>
    <s v="Эвон"/>
    <m/>
    <n v="30.857142857142858"/>
    <n v="9"/>
    <n v="39"/>
    <n v="31"/>
    <n v="37"/>
    <n v="39"/>
    <n v="41"/>
    <n v="20"/>
    <n v="0"/>
    <n v="783"/>
    <n v="65.25"/>
    <n v="0"/>
    <n v="65.25"/>
    <n v="0"/>
    <n v="0"/>
  </r>
  <r>
    <s v="Зулкандер Мин"/>
    <x v="3"/>
    <s v="ППЗ"/>
    <s v="АПЗ"/>
    <m/>
    <m/>
    <s v="Биссий"/>
    <s v="Биссий"/>
    <x v="82"/>
    <s v="Эвон"/>
    <m/>
    <n v="48.571428571428569"/>
    <n v="15"/>
    <n v="59"/>
    <n v="53"/>
    <n v="57"/>
    <n v="59"/>
    <n v="61"/>
    <n v="36"/>
    <n v="0"/>
    <n v="73082"/>
    <n v="6090.166666666667"/>
    <n v="0"/>
    <n v="6090.166666666667"/>
    <n v="0"/>
    <n v="0"/>
  </r>
  <r>
    <s v="Разулти Кандер"/>
    <x v="3"/>
    <s v="ОПЗ"/>
    <s v="ЦПЗ"/>
    <m/>
    <m/>
    <s v="Биссий"/>
    <s v="Биссий"/>
    <x v="82"/>
    <s v="Эвон"/>
    <m/>
    <n v="28.285714285714285"/>
    <n v="8"/>
    <n v="37"/>
    <n v="29"/>
    <n v="33"/>
    <n v="35"/>
    <n v="37"/>
    <n v="19"/>
    <n v="0"/>
    <n v="328"/>
    <n v="27.333333333333332"/>
    <n v="0"/>
    <n v="27.333333333333332"/>
    <n v="0"/>
    <n v="0"/>
  </r>
  <r>
    <s v="Ринелти Кару"/>
    <x v="3"/>
    <s v="АПЗ"/>
    <s v="ЦПЗ"/>
    <m/>
    <m/>
    <s v="Биссий"/>
    <s v="Биссий"/>
    <x v="82"/>
    <s v="Эвон"/>
    <m/>
    <n v="26.285714285714285"/>
    <n v="7"/>
    <n v="33"/>
    <n v="27"/>
    <n v="31"/>
    <n v="33"/>
    <n v="35"/>
    <n v="18"/>
    <n v="0"/>
    <n v="158"/>
    <n v="13.166666666666666"/>
    <n v="0"/>
    <n v="13.166666666666666"/>
    <n v="0"/>
    <n v="0"/>
  </r>
  <r>
    <s v="Сантаркел Бон"/>
    <x v="3"/>
    <s v="ОПЗ"/>
    <s v="ЦЗ"/>
    <m/>
    <m/>
    <s v="Биссий"/>
    <s v="Биссий"/>
    <x v="82"/>
    <s v="Эвон"/>
    <m/>
    <n v="37.285714285714285"/>
    <n v="13"/>
    <n v="49"/>
    <n v="39"/>
    <n v="43"/>
    <n v="45"/>
    <n v="47"/>
    <n v="25"/>
    <n v="0"/>
    <n v="5194"/>
    <n v="432.83333333333331"/>
    <n v="0"/>
    <n v="432.83333333333331"/>
    <n v="0"/>
    <n v="0"/>
  </r>
  <r>
    <s v="Тувиноми Кела"/>
    <x v="3"/>
    <s v="ЛПЗ"/>
    <s v="ОПЗ"/>
    <m/>
    <m/>
    <s v="Биссий"/>
    <s v="Биссий"/>
    <x v="82"/>
    <s v="Эвон"/>
    <m/>
    <n v="39"/>
    <n v="14"/>
    <n v="51"/>
    <n v="41"/>
    <n v="45"/>
    <n v="47"/>
    <n v="49"/>
    <n v="26"/>
    <n v="0"/>
    <n v="8141"/>
    <n v="678.41666666666663"/>
    <n v="0"/>
    <n v="678.41666666666663"/>
    <n v="0"/>
    <n v="0"/>
  </r>
  <r>
    <s v="Фирландос Гетрин"/>
    <x v="3"/>
    <s v="ЦПЗ"/>
    <s v="ОПЗ"/>
    <m/>
    <m/>
    <s v="Биссий"/>
    <s v="Биссий"/>
    <x v="82"/>
    <s v="Эвон"/>
    <m/>
    <n v="24.428571428571427"/>
    <n v="6"/>
    <n v="31"/>
    <n v="25"/>
    <n v="29"/>
    <n v="31"/>
    <n v="33"/>
    <n v="16"/>
    <n v="0"/>
    <n v="76"/>
    <n v="6.333333333333333"/>
    <n v="0"/>
    <n v="6.333333333333333"/>
    <n v="0"/>
    <n v="0"/>
  </r>
  <r>
    <s v="Росатуми Вино"/>
    <x v="4"/>
    <s v="Т"/>
    <m/>
    <m/>
    <m/>
    <s v="Биссий"/>
    <s v="Биссий"/>
    <x v="82"/>
    <s v="Эвон"/>
    <m/>
    <n v="30"/>
    <n v="9"/>
    <n v="39"/>
    <n v="31"/>
    <n v="35"/>
    <n v="37"/>
    <n v="39"/>
    <n v="20"/>
    <n v="0"/>
    <n v="591"/>
    <n v="49.25"/>
    <n v="0"/>
    <n v="49.25"/>
    <n v="0"/>
    <n v="0"/>
  </r>
  <r>
    <s v="Варгас Диего"/>
    <x v="0"/>
    <s v="В"/>
    <m/>
    <m/>
    <m/>
    <s v="В.И."/>
    <s v="В.И."/>
    <x v="83"/>
    <s v="Эвон"/>
    <m/>
    <n v="74.428571428571431"/>
    <n v="68"/>
    <n v="72"/>
    <n v="75"/>
    <n v="78"/>
    <n v="82"/>
    <n v="76"/>
    <n v="70"/>
    <n v="0"/>
    <n v="5216712"/>
    <n v="434726"/>
    <n v="0"/>
    <n v="434726"/>
    <n v="0"/>
    <n v="0"/>
  </r>
  <r>
    <s v="Майконе"/>
    <x v="0"/>
    <s v="В"/>
    <m/>
    <m/>
    <s v="Сув"/>
    <s v="В.И."/>
    <s v="В.И."/>
    <x v="83"/>
    <s v="Эвон"/>
    <m/>
    <n v="91.714285714285708"/>
    <n v="92"/>
    <n v="98"/>
    <n v="90"/>
    <n v="94"/>
    <n v="92"/>
    <n v="91"/>
    <n v="85"/>
    <n v="30"/>
    <n v="63162766"/>
    <n v="5263563.833333333"/>
    <n v="0"/>
    <n v="5263563.833333333"/>
    <n v="0"/>
    <n v="0"/>
  </r>
  <r>
    <s v="Ави (З)"/>
    <x v="1"/>
    <s v="ЦЗ"/>
    <s v="ПЗ"/>
    <m/>
    <s v="Нумб"/>
    <s v="Мель"/>
    <s v="Мель"/>
    <x v="83"/>
    <s v="Эвон"/>
    <m/>
    <n v="83.285714285714292"/>
    <n v="82"/>
    <n v="81"/>
    <n v="82"/>
    <n v="85"/>
    <n v="88"/>
    <n v="84"/>
    <n v="81"/>
    <n v="26"/>
    <n v="24087760"/>
    <n v="2007313.3333333333"/>
    <n v="0"/>
    <n v="2007313.3333333333"/>
    <n v="0"/>
    <n v="0"/>
  </r>
  <r>
    <s v="Альмаш (З)"/>
    <x v="1"/>
    <s v="ЦЗ"/>
    <s v="ОПЗ"/>
    <m/>
    <s v="Сув"/>
    <s v="В.И."/>
    <s v="В.И."/>
    <x v="83"/>
    <s v="Эвон"/>
    <m/>
    <n v="84.142857142857139"/>
    <n v="70"/>
    <n v="80"/>
    <n v="90"/>
    <n v="87"/>
    <n v="93"/>
    <n v="98"/>
    <n v="71"/>
    <n v="28"/>
    <n v="26684792"/>
    <n v="2223732.6666666665"/>
    <n v="0"/>
    <n v="2223732.6666666665"/>
    <n v="0"/>
    <n v="0"/>
  </r>
  <r>
    <s v="Д. Зуев (З)"/>
    <x v="1"/>
    <s v="ЛЗ"/>
    <s v="ПЗ"/>
    <s v="ОПЗ"/>
    <s v="Сув"/>
    <s v="В.И."/>
    <s v="В.И."/>
    <x v="83"/>
    <s v="Эвон"/>
    <m/>
    <n v="84.571428571428569"/>
    <n v="85"/>
    <n v="90"/>
    <n v="85"/>
    <n v="88"/>
    <n v="80"/>
    <n v="84"/>
    <n v="80"/>
    <n v="28"/>
    <n v="28075528"/>
    <n v="2339627.3333333335"/>
    <n v="0"/>
    <n v="2339627.3333333335"/>
    <n v="0"/>
    <n v="0"/>
  </r>
  <r>
    <s v="Закин (З)"/>
    <x v="1"/>
    <s v="ЦЗ"/>
    <s v="ЛЗ"/>
    <m/>
    <s v="Вод"/>
    <s v="Вод"/>
    <s v="Вод"/>
    <x v="83"/>
    <s v="Эвон"/>
    <m/>
    <n v="83.428571428571431"/>
    <n v="71"/>
    <n v="80"/>
    <n v="90"/>
    <n v="85"/>
    <n v="80"/>
    <n v="98"/>
    <n v="80"/>
    <n v="0"/>
    <n v="16336089"/>
    <n v="1361340.75"/>
    <n v="0"/>
    <n v="1361340.75"/>
    <n v="0"/>
    <n v="0"/>
  </r>
  <r>
    <s v="Кротс Томаш"/>
    <x v="1"/>
    <s v="ПЗ"/>
    <s v="ЦЗ"/>
    <m/>
    <m/>
    <s v="В.И."/>
    <s v="В.И."/>
    <x v="83"/>
    <s v="Эвон"/>
    <m/>
    <n v="74.857142857142861"/>
    <n v="70"/>
    <n v="74"/>
    <n v="79"/>
    <n v="76"/>
    <n v="75"/>
    <n v="78"/>
    <n v="72"/>
    <n v="0"/>
    <n v="5525003"/>
    <n v="460416.91666666669"/>
    <n v="0"/>
    <n v="460416.91666666669"/>
    <n v="0"/>
    <n v="0"/>
  </r>
  <r>
    <s v="Орондов (З)"/>
    <x v="1"/>
    <s v="ЦЗ"/>
    <s v="ЛЗ"/>
    <m/>
    <s v="Орл"/>
    <s v="Орл"/>
    <s v="Орл"/>
    <x v="83"/>
    <s v="Эвон"/>
    <m/>
    <n v="78.571428571428569"/>
    <n v="70"/>
    <n v="78"/>
    <n v="80"/>
    <n v="81"/>
    <n v="80"/>
    <n v="86"/>
    <n v="75"/>
    <n v="0"/>
    <n v="8966987"/>
    <n v="747248.91666666663"/>
    <n v="0"/>
    <n v="747248.91666666663"/>
    <n v="0"/>
    <n v="0"/>
  </r>
  <r>
    <s v="Фернандес Луис"/>
    <x v="1"/>
    <s v="ЛЗ"/>
    <s v="ЦЗ"/>
    <m/>
    <m/>
    <s v="В.И."/>
    <s v="В.И."/>
    <x v="83"/>
    <s v="Эвон"/>
    <m/>
    <n v="74.285714285714292"/>
    <n v="66"/>
    <n v="76"/>
    <n v="77"/>
    <n v="79"/>
    <n v="74"/>
    <n v="80"/>
    <n v="68"/>
    <n v="0"/>
    <n v="5117444"/>
    <n v="426453.66666666669"/>
    <n v="0"/>
    <n v="426453.66666666669"/>
    <n v="0"/>
    <n v="0"/>
  </r>
  <r>
    <s v="Аджаи Кевин"/>
    <x v="2"/>
    <s v="ЦН"/>
    <s v="ОФ"/>
    <m/>
    <m/>
    <s v="В.И."/>
    <s v="В.И."/>
    <x v="83"/>
    <s v="Эвон"/>
    <m/>
    <n v="74.714285714285708"/>
    <n v="73"/>
    <n v="74"/>
    <n v="78"/>
    <n v="77"/>
    <n v="80"/>
    <n v="73"/>
    <n v="68"/>
    <n v="0"/>
    <n v="5420465"/>
    <n v="451705.41666666669"/>
    <n v="0"/>
    <n v="451705.41666666669"/>
    <n v="0"/>
    <n v="0"/>
  </r>
  <r>
    <s v="Ллида"/>
    <x v="2"/>
    <s v="ОФ"/>
    <m/>
    <m/>
    <s v="Нумб"/>
    <s v="В.И."/>
    <s v="В.И."/>
    <x v="83"/>
    <s v="Эвон"/>
    <m/>
    <n v="81"/>
    <n v="75"/>
    <n v="96"/>
    <n v="80"/>
    <n v="84"/>
    <n v="76"/>
    <n v="76"/>
    <n v="80"/>
    <n v="3"/>
    <n v="18236499"/>
    <n v="1519708.25"/>
    <n v="0"/>
    <n v="1519708.25"/>
    <n v="0"/>
    <n v="0"/>
  </r>
  <r>
    <s v="Петролл (Н)"/>
    <x v="2"/>
    <s v="ЦН"/>
    <s v="АПЗ"/>
    <s v="ОФ"/>
    <s v="Сув"/>
    <s v="В.И."/>
    <s v="В.И."/>
    <x v="83"/>
    <s v="Эвон"/>
    <m/>
    <n v="81.714285714285708"/>
    <n v="72"/>
    <n v="81"/>
    <n v="86"/>
    <n v="80"/>
    <n v="88"/>
    <n v="94"/>
    <n v="71"/>
    <n v="6"/>
    <n v="19909995"/>
    <n v="1659166.25"/>
    <n v="0"/>
    <n v="1659166.25"/>
    <n v="0"/>
    <n v="0"/>
  </r>
  <r>
    <s v="Ракитов (Н)"/>
    <x v="2"/>
    <s v="ЦН"/>
    <s v="АПЗ"/>
    <m/>
    <s v="Зем"/>
    <s v="Зем"/>
    <s v="Зем"/>
    <x v="83"/>
    <s v="Эвон"/>
    <m/>
    <n v="87.714285714285708"/>
    <n v="84"/>
    <n v="88"/>
    <n v="92"/>
    <n v="86"/>
    <n v="90"/>
    <n v="84"/>
    <n v="90"/>
    <n v="5"/>
    <n v="40438457"/>
    <n v="3369871.4166666665"/>
    <n v="0"/>
    <n v="3369871.4166666665"/>
    <n v="0"/>
    <n v="0"/>
  </r>
  <r>
    <s v="Саирэс (Н)"/>
    <x v="2"/>
    <s v="ОФ"/>
    <s v="ППЗ"/>
    <m/>
    <s v="Сув"/>
    <s v="В.И."/>
    <s v="В.И."/>
    <x v="83"/>
    <s v="Эвон"/>
    <m/>
    <n v="80.428571428571431"/>
    <n v="70"/>
    <n v="90"/>
    <n v="77"/>
    <n v="83"/>
    <n v="85"/>
    <n v="80"/>
    <n v="78"/>
    <n v="3"/>
    <n v="16990056"/>
    <n v="1415838"/>
    <n v="0"/>
    <n v="1415838"/>
    <n v="0"/>
    <n v="0"/>
  </r>
  <r>
    <s v="Скайрим (Н)"/>
    <x v="2"/>
    <s v="ОФ"/>
    <s v="ЛПЗ"/>
    <m/>
    <s v="Вал"/>
    <s v="Вал"/>
    <s v="Вал"/>
    <x v="83"/>
    <s v="Эвон"/>
    <m/>
    <n v="81.142857142857139"/>
    <n v="75"/>
    <n v="96"/>
    <n v="83"/>
    <n v="84"/>
    <n v="75"/>
    <n v="75"/>
    <n v="80"/>
    <n v="19"/>
    <n v="18560695"/>
    <n v="1546724.5833333333"/>
    <n v="0"/>
    <n v="1546724.5833333333"/>
    <n v="0"/>
    <n v="0"/>
  </r>
  <r>
    <s v="Альзирос (П)"/>
    <x v="3"/>
    <s v="ОПЗ"/>
    <s v="ЦЗ"/>
    <m/>
    <s v="Мал"/>
    <s v="В.И."/>
    <s v="В.И."/>
    <x v="83"/>
    <s v="Эвон"/>
    <m/>
    <n v="75.571428571428569"/>
    <n v="51"/>
    <n v="85"/>
    <n v="77"/>
    <n v="81"/>
    <n v="77"/>
    <n v="90"/>
    <n v="68"/>
    <n v="0"/>
    <n v="6075421"/>
    <n v="506285.08333333331"/>
    <n v="0"/>
    <n v="506285.08333333331"/>
    <n v="0"/>
    <n v="0"/>
  </r>
  <r>
    <s v="Браньер (П)"/>
    <x v="3"/>
    <s v="ЦПЗ"/>
    <s v="ППЗ"/>
    <m/>
    <s v="Нумб"/>
    <s v="Нумб"/>
    <s v="Нумб"/>
    <x v="83"/>
    <s v="Эвон"/>
    <m/>
    <n v="73.857142857142861"/>
    <n v="67"/>
    <n v="75"/>
    <n v="83"/>
    <n v="84"/>
    <n v="73"/>
    <n v="79"/>
    <n v="56"/>
    <n v="0"/>
    <n v="4829755"/>
    <n v="402479.58333333331"/>
    <n v="0"/>
    <n v="402479.58333333331"/>
    <n v="0"/>
    <n v="0"/>
  </r>
  <r>
    <s v="Инсуньер (П)"/>
    <x v="3"/>
    <s v="АПЗ"/>
    <s v="ЦПЗ"/>
    <s v="ППЗ"/>
    <s v="Генуа"/>
    <s v="Генуа"/>
    <s v="Генуа"/>
    <x v="83"/>
    <s v="Эвон"/>
    <m/>
    <n v="82.857142857142861"/>
    <n v="80"/>
    <n v="84"/>
    <n v="88"/>
    <n v="84"/>
    <n v="85"/>
    <n v="84"/>
    <n v="75"/>
    <n v="12"/>
    <n v="22876564"/>
    <n v="1906380.3333333333"/>
    <n v="0"/>
    <n v="1906380.3333333333"/>
    <n v="0"/>
    <n v="0"/>
  </r>
  <r>
    <s v="Окафор Дэвид"/>
    <x v="3"/>
    <s v="ОПЗ"/>
    <s v="ЦПЗ"/>
    <m/>
    <m/>
    <s v="В.И."/>
    <s v="В.И."/>
    <x v="83"/>
    <s v="Эвон"/>
    <m/>
    <n v="76.428571428571431"/>
    <n v="69"/>
    <n v="78"/>
    <n v="82"/>
    <n v="80"/>
    <n v="79"/>
    <n v="77"/>
    <n v="70"/>
    <n v="0"/>
    <n v="6800760"/>
    <n v="566730"/>
    <n v="0"/>
    <n v="566730"/>
    <n v="0"/>
    <n v="0"/>
  </r>
  <r>
    <s v="Р.Чарнинг (П)"/>
    <x v="3"/>
    <s v="ЦПЗ"/>
    <s v="ОПЗ"/>
    <s v="АПЗ"/>
    <s v="С.К."/>
    <s v="С.К."/>
    <s v="С.К."/>
    <x v="83"/>
    <s v="Эвон"/>
    <m/>
    <n v="93.714285714285708"/>
    <n v="95"/>
    <n v="94"/>
    <n v="94"/>
    <n v="97"/>
    <n v="91"/>
    <n v="90"/>
    <n v="95"/>
    <n v="10"/>
    <n v="78369893"/>
    <n v="6530824.416666667"/>
    <n v="0"/>
    <n v="6530824.416666667"/>
    <n v="0"/>
    <n v="0"/>
  </r>
  <r>
    <s v="Саирс (П)"/>
    <x v="3"/>
    <s v="ППЗ"/>
    <s v="АПЗ"/>
    <s v="ЦПЗ"/>
    <s v="Мал"/>
    <s v="В.И."/>
    <s v="В.И."/>
    <x v="83"/>
    <s v="Эвон"/>
    <m/>
    <n v="74.142857142857139"/>
    <n v="52"/>
    <n v="83"/>
    <n v="78"/>
    <n v="80"/>
    <n v="78"/>
    <n v="78"/>
    <n v="70"/>
    <n v="0"/>
    <n v="5019879"/>
    <n v="418323.25"/>
    <n v="0"/>
    <n v="418323.25"/>
    <n v="0"/>
    <n v="0"/>
  </r>
  <r>
    <s v="Сантос Рафаэль"/>
    <x v="3"/>
    <s v="ППЗ"/>
    <s v="АПЗ"/>
    <m/>
    <m/>
    <s v="В.И."/>
    <s v="В.И."/>
    <x v="83"/>
    <s v="Эвон"/>
    <m/>
    <n v="72.857142857142861"/>
    <n v="68"/>
    <n v="77"/>
    <n v="74"/>
    <n v="79"/>
    <n v="72"/>
    <n v="76"/>
    <n v="64"/>
    <n v="0"/>
    <n v="4214261"/>
    <n v="351188.41666666669"/>
    <n v="0"/>
    <n v="351188.41666666669"/>
    <n v="0"/>
    <n v="0"/>
  </r>
  <r>
    <s v="Шнайдер Марк"/>
    <x v="3"/>
    <s v="ЦПЗ"/>
    <s v="АПЗ"/>
    <m/>
    <m/>
    <s v="В.И."/>
    <s v="В.И."/>
    <x v="83"/>
    <s v="Эвон"/>
    <m/>
    <n v="74.285714285714292"/>
    <n v="72"/>
    <n v="80"/>
    <n v="76"/>
    <n v="78"/>
    <n v="73"/>
    <n v="75"/>
    <n v="66"/>
    <n v="0"/>
    <n v="5117444"/>
    <n v="426453.66666666669"/>
    <n v="0"/>
    <n v="426453.66666666669"/>
    <n v="0"/>
    <n v="0"/>
  </r>
  <r>
    <s v="Филл Яргус"/>
    <x v="4"/>
    <s v="Т"/>
    <m/>
    <m/>
    <m/>
    <s v="В.И."/>
    <s v="В.И."/>
    <x v="83"/>
    <s v="Эвон"/>
    <m/>
    <n v="82.714285714285708"/>
    <n v="63"/>
    <n v="98"/>
    <n v="86"/>
    <n v="88"/>
    <n v="81"/>
    <n v="85"/>
    <n v="78"/>
    <n v="0"/>
    <n v="14990125"/>
    <n v="1249177.0833333333"/>
    <n v="0"/>
    <n v="1249177.0833333333"/>
    <n v="0"/>
    <n v="0"/>
  </r>
  <r>
    <s v="Гронлунд Эрик"/>
    <x v="0"/>
    <s v="В"/>
    <m/>
    <m/>
    <m/>
    <s v="Снег"/>
    <s v="Снег"/>
    <x v="84"/>
    <s v="Эвон"/>
    <m/>
    <n v="62"/>
    <n v="16"/>
    <n v="62"/>
    <n v="68"/>
    <n v="72"/>
    <n v="80"/>
    <n v="87"/>
    <n v="49"/>
    <n v="0"/>
    <n v="839300"/>
    <n v="69941.666666666672"/>
    <n v="0"/>
    <n v="69941.666666666672"/>
    <n v="0"/>
    <n v="0"/>
  </r>
  <r>
    <s v="Косулин"/>
    <x v="0"/>
    <s v="В"/>
    <m/>
    <m/>
    <s v="Снег"/>
    <s v="Снег"/>
    <s v="Снег"/>
    <x v="84"/>
    <s v="Эвон"/>
    <m/>
    <n v="63.142857142857146"/>
    <n v="15"/>
    <n v="60"/>
    <n v="70"/>
    <n v="74"/>
    <n v="83"/>
    <n v="90"/>
    <n v="50"/>
    <n v="0"/>
    <n v="1007494"/>
    <n v="83957.833333333328"/>
    <n v="0"/>
    <n v="83957.833333333328"/>
    <n v="0"/>
    <n v="0"/>
  </r>
  <r>
    <s v="Хавка"/>
    <x v="0"/>
    <s v="В"/>
    <m/>
    <m/>
    <s v="Снег"/>
    <s v="Снег"/>
    <s v="Снег"/>
    <x v="84"/>
    <s v="Эвон"/>
    <m/>
    <n v="63.285714285714285"/>
    <n v="18"/>
    <n v="71"/>
    <n v="67"/>
    <n v="70"/>
    <n v="74"/>
    <n v="91"/>
    <n v="52"/>
    <n v="0"/>
    <n v="1030522"/>
    <n v="85876.833333333328"/>
    <n v="0"/>
    <n v="85876.833333333328"/>
    <n v="0"/>
    <n v="0"/>
  </r>
  <r>
    <s v="Винтер Клаус"/>
    <x v="1"/>
    <s v="ЦЗ"/>
    <s v="ЛЗ"/>
    <m/>
    <m/>
    <s v="Снег"/>
    <s v="Снег"/>
    <x v="84"/>
    <s v="Эвон"/>
    <m/>
    <n v="63.285714285714285"/>
    <n v="27"/>
    <n v="78"/>
    <n v="55"/>
    <n v="74"/>
    <n v="76"/>
    <n v="79"/>
    <n v="54"/>
    <n v="0"/>
    <n v="1030522"/>
    <n v="85876.833333333328"/>
    <n v="0"/>
    <n v="85876.833333333328"/>
    <n v="0"/>
    <n v="0"/>
  </r>
  <r>
    <s v="Гранквист (З)"/>
    <x v="1"/>
    <s v="ЦЗ"/>
    <s v="ОПЗ"/>
    <m/>
    <s v="Снег"/>
    <s v="Дант"/>
    <s v="Дант"/>
    <x v="84"/>
    <s v="Эвон"/>
    <m/>
    <n v="84.142857142857139"/>
    <n v="80"/>
    <n v="80"/>
    <n v="87"/>
    <n v="84"/>
    <n v="89"/>
    <n v="88"/>
    <n v="81"/>
    <n v="26"/>
    <n v="26684792"/>
    <n v="2223732.6666666665"/>
    <n v="0"/>
    <n v="2223732.6666666665"/>
    <n v="0"/>
    <n v="0"/>
  </r>
  <r>
    <s v="Имминур"/>
    <x v="1"/>
    <s v="ЛЗ"/>
    <s v="ОПЗ"/>
    <m/>
    <s v="Снег"/>
    <s v="Снег"/>
    <s v="Снег"/>
    <x v="84"/>
    <s v="Эвон"/>
    <m/>
    <n v="69.571428571428569"/>
    <n v="40"/>
    <n v="92"/>
    <n v="65"/>
    <n v="74"/>
    <n v="73"/>
    <n v="75"/>
    <n v="68"/>
    <n v="0"/>
    <n v="2656497"/>
    <n v="221374.75"/>
    <n v="0"/>
    <n v="221374.75"/>
    <n v="0"/>
    <n v="0"/>
  </r>
  <r>
    <s v="Клоза (З)"/>
    <x v="1"/>
    <s v="ЦЗ"/>
    <m/>
    <m/>
    <s v="Снег"/>
    <s v="Снег"/>
    <s v="Снег"/>
    <x v="84"/>
    <s v="Эвон"/>
    <m/>
    <n v="76"/>
    <n v="60"/>
    <n v="76"/>
    <n v="78"/>
    <n v="78"/>
    <n v="81"/>
    <n v="84"/>
    <n v="75"/>
    <n v="0"/>
    <n v="6428889"/>
    <n v="535740.75"/>
    <n v="0"/>
    <n v="535740.75"/>
    <n v="0"/>
    <n v="0"/>
  </r>
  <r>
    <s v="Клозен Матс"/>
    <x v="1"/>
    <s v="ЛЗ"/>
    <s v="ОПЗ"/>
    <m/>
    <m/>
    <s v="Снег"/>
    <s v="Снег"/>
    <x v="84"/>
    <s v="Эвон"/>
    <m/>
    <n v="59.285714285714285"/>
    <n v="21"/>
    <n v="83"/>
    <n v="48"/>
    <n v="68"/>
    <n v="71"/>
    <n v="73"/>
    <n v="51"/>
    <n v="0"/>
    <n v="536415"/>
    <n v="44701.25"/>
    <n v="0"/>
    <n v="44701.25"/>
    <n v="0"/>
    <n v="0"/>
  </r>
  <r>
    <s v="Рубийс"/>
    <x v="1"/>
    <s v="ЦЗ"/>
    <m/>
    <m/>
    <s v="Снег"/>
    <s v="Снег"/>
    <s v="Снег"/>
    <x v="84"/>
    <s v="Эвон"/>
    <m/>
    <n v="76.285714285714292"/>
    <n v="60"/>
    <n v="74"/>
    <n v="80"/>
    <n v="77"/>
    <n v="82"/>
    <n v="88"/>
    <n v="73"/>
    <n v="0"/>
    <n v="6674707"/>
    <n v="556225.58333333337"/>
    <n v="0"/>
    <n v="556225.58333333337"/>
    <n v="0"/>
    <n v="0"/>
  </r>
  <r>
    <s v="Соль Баллир"/>
    <x v="1"/>
    <s v="ЦЗ"/>
    <s v="ОПЗ"/>
    <m/>
    <m/>
    <s v="Снег"/>
    <s v="Снег"/>
    <x v="84"/>
    <s v="Эвон"/>
    <m/>
    <n v="66.714285714285708"/>
    <n v="34"/>
    <n v="71"/>
    <n v="63"/>
    <n v="79"/>
    <n v="80"/>
    <n v="82"/>
    <n v="58"/>
    <n v="0"/>
    <n v="1746580"/>
    <n v="145548.33333333334"/>
    <n v="0"/>
    <n v="145548.33333333334"/>
    <n v="0"/>
    <n v="0"/>
  </r>
  <r>
    <s v="Турвалд Нильс"/>
    <x v="1"/>
    <s v="ЦЗ"/>
    <m/>
    <m/>
    <m/>
    <s v="Снег"/>
    <s v="Снег"/>
    <x v="84"/>
    <s v="Эвон"/>
    <m/>
    <n v="65.857142857142861"/>
    <n v="40"/>
    <n v="64"/>
    <n v="66"/>
    <n v="73"/>
    <n v="82"/>
    <n v="77"/>
    <n v="59"/>
    <n v="0"/>
    <n v="1534719"/>
    <n v="127893.25"/>
    <n v="0"/>
    <n v="127893.25"/>
    <n v="0"/>
    <n v="0"/>
  </r>
  <r>
    <s v="Белли Астор"/>
    <x v="2"/>
    <s v="ЦН"/>
    <m/>
    <m/>
    <s v="Биссий"/>
    <s v="Биссий"/>
    <s v="Биссий"/>
    <x v="84"/>
    <s v="Эвон"/>
    <m/>
    <n v="60.428571428571431"/>
    <n v="40"/>
    <n v="91"/>
    <n v="80"/>
    <n v="70"/>
    <n v="50"/>
    <n v="52"/>
    <n v="40"/>
    <n v="0"/>
    <n v="649267"/>
    <n v="54105.583333333336"/>
    <n v="0"/>
    <n v="54105.583333333336"/>
    <n v="0"/>
    <n v="0"/>
  </r>
  <r>
    <s v="Дайволов"/>
    <x v="2"/>
    <s v="ЦН"/>
    <m/>
    <m/>
    <s v="Генуа"/>
    <s v="Генуа"/>
    <s v="Генуа"/>
    <x v="84"/>
    <s v="Эвон"/>
    <m/>
    <n v="71.857142857142861"/>
    <n v="40"/>
    <n v="76"/>
    <n v="83"/>
    <n v="75"/>
    <n v="80"/>
    <n v="84"/>
    <n v="65"/>
    <n v="0"/>
    <n v="3670283"/>
    <n v="305856.91666666669"/>
    <n v="0"/>
    <n v="305856.91666666669"/>
    <n v="0"/>
    <n v="0"/>
  </r>
  <r>
    <s v="Фрост Кай"/>
    <x v="2"/>
    <s v="ЦН"/>
    <s v="ОФ"/>
    <m/>
    <m/>
    <s v="Снег"/>
    <s v="Снег"/>
    <x v="84"/>
    <s v="Эвон"/>
    <m/>
    <n v="62.857142857142854"/>
    <n v="29"/>
    <n v="75"/>
    <n v="61"/>
    <n v="70"/>
    <n v="79"/>
    <n v="74"/>
    <n v="52"/>
    <n v="0"/>
    <n v="962823"/>
    <n v="80235.25"/>
    <n v="0"/>
    <n v="80235.25"/>
    <n v="0"/>
    <n v="0"/>
  </r>
  <r>
    <s v="Эсвандель"/>
    <x v="2"/>
    <s v="ЦН"/>
    <s v="ОФ"/>
    <m/>
    <s v="Снег"/>
    <s v="Снег"/>
    <s v="Снег"/>
    <x v="84"/>
    <s v="Эвон"/>
    <m/>
    <n v="68.142857142857139"/>
    <n v="50"/>
    <n v="80"/>
    <n v="81"/>
    <n v="68"/>
    <n v="70"/>
    <n v="78"/>
    <n v="50"/>
    <n v="0"/>
    <n v="2158756"/>
    <n v="179896.33333333334"/>
    <n v="0"/>
    <n v="179896.33333333334"/>
    <n v="0"/>
    <n v="0"/>
  </r>
  <r>
    <s v="Бекман"/>
    <x v="3"/>
    <s v="ОПЗ"/>
    <m/>
    <m/>
    <s v="Снег"/>
    <s v="Снег"/>
    <s v="Снег"/>
    <x v="84"/>
    <s v="Эвон"/>
    <m/>
    <n v="60.571428571428569"/>
    <n v="47"/>
    <n v="61"/>
    <n v="64"/>
    <n v="65"/>
    <n v="72"/>
    <n v="72"/>
    <n v="43"/>
    <n v="0"/>
    <n v="664781"/>
    <n v="55398.416666666664"/>
    <n v="0"/>
    <n v="55398.416666666664"/>
    <n v="0"/>
    <n v="0"/>
  </r>
  <r>
    <s v="Берглин Ола"/>
    <x v="3"/>
    <s v="ОПЗ"/>
    <s v="ЦПЗ"/>
    <m/>
    <m/>
    <s v="Снег"/>
    <s v="Снег"/>
    <x v="84"/>
    <s v="Эвон"/>
    <m/>
    <n v="65.857142857142861"/>
    <n v="40"/>
    <n v="64"/>
    <n v="66"/>
    <n v="73"/>
    <n v="82"/>
    <n v="77"/>
    <n v="59"/>
    <n v="0"/>
    <n v="1534719"/>
    <n v="127893.25"/>
    <n v="0"/>
    <n v="127893.25"/>
    <n v="0"/>
    <n v="0"/>
  </r>
  <r>
    <s v="Гармунд Ларс"/>
    <x v="3"/>
    <s v="ППЗ"/>
    <s v="АПЗ"/>
    <m/>
    <m/>
    <s v="Снег"/>
    <s v="Снег"/>
    <x v="84"/>
    <s v="Эвон"/>
    <m/>
    <n v="58.428571428571431"/>
    <n v="24"/>
    <n v="77"/>
    <n v="52"/>
    <n v="66"/>
    <n v="70"/>
    <n v="70"/>
    <n v="50"/>
    <n v="0"/>
    <n v="463717"/>
    <n v="38643.083333333336"/>
    <n v="0"/>
    <n v="38643.083333333336"/>
    <n v="0"/>
    <n v="0"/>
  </r>
  <r>
    <s v="Дальвин Свен"/>
    <x v="3"/>
    <s v="ЛПЗ"/>
    <s v="ЦПЗ"/>
    <m/>
    <m/>
    <s v="Снег"/>
    <s v="Снег"/>
    <x v="84"/>
    <s v="Эвон"/>
    <m/>
    <n v="62.142857142857146"/>
    <n v="36"/>
    <n v="73"/>
    <n v="58"/>
    <n v="71"/>
    <n v="73"/>
    <n v="69"/>
    <n v="55"/>
    <n v="0"/>
    <n v="858840"/>
    <n v="71570"/>
    <n v="0"/>
    <n v="71570"/>
    <n v="0"/>
    <n v="0"/>
  </r>
  <r>
    <s v="Карми"/>
    <x v="3"/>
    <s v="ППЗ"/>
    <s v="ЦПЗ"/>
    <m/>
    <s v="Снег"/>
    <s v="Снег"/>
    <s v="Снег"/>
    <x v="84"/>
    <s v="Эвон"/>
    <m/>
    <n v="61.857142857142854"/>
    <n v="36"/>
    <n v="75"/>
    <n v="60"/>
    <n v="65"/>
    <n v="72"/>
    <n v="70"/>
    <n v="55"/>
    <n v="0"/>
    <n v="820160"/>
    <n v="68346.666666666672"/>
    <n v="0"/>
    <n v="68346.666666666672"/>
    <n v="0"/>
    <n v="0"/>
  </r>
  <r>
    <s v="Косерия (П)"/>
    <x v="3"/>
    <s v="ОПЗ"/>
    <s v="ЦПЗ"/>
    <m/>
    <s v="Тури"/>
    <s v="Тури"/>
    <s v="Тури"/>
    <x v="84"/>
    <s v="Эвон"/>
    <m/>
    <n v="57.428571428571431"/>
    <n v="34"/>
    <n v="55"/>
    <n v="67"/>
    <n v="62"/>
    <n v="67"/>
    <n v="73"/>
    <n v="44"/>
    <n v="0"/>
    <n v="390194"/>
    <n v="32516.166666666668"/>
    <n v="0"/>
    <n v="32516.166666666668"/>
    <n v="0"/>
    <n v="0"/>
  </r>
  <r>
    <s v="Титан (П)"/>
    <x v="3"/>
    <s v="ОПЗ"/>
    <m/>
    <m/>
    <s v="Снег"/>
    <s v="Эстон"/>
    <s v="Эстон"/>
    <x v="84"/>
    <s v="Эвон"/>
    <m/>
    <n v="70"/>
    <n v="64"/>
    <n v="75"/>
    <n v="62"/>
    <n v="70"/>
    <n v="74"/>
    <n v="90"/>
    <n v="55"/>
    <n v="0"/>
    <n v="2824753"/>
    <n v="80235.25"/>
    <n v="0"/>
    <n v="235396.08333333334"/>
    <n v="-65.91"/>
    <n v="0"/>
  </r>
  <r>
    <s v="Поготта"/>
    <x v="3"/>
    <s v="ППЗ"/>
    <s v="ОПЗ"/>
    <m/>
    <s v="Снег"/>
    <s v="Снег"/>
    <s v="Снег"/>
    <x v="84"/>
    <s v="Эвон"/>
    <m/>
    <n v="64"/>
    <n v="54"/>
    <n v="76"/>
    <n v="69"/>
    <n v="74"/>
    <n v="66"/>
    <n v="70"/>
    <n v="39"/>
    <n v="0"/>
    <n v="1152922"/>
    <n v="96076.833333333328"/>
    <n v="0"/>
    <n v="96076.833333333328"/>
    <n v="0"/>
    <n v="0"/>
  </r>
  <r>
    <s v="Полментравр"/>
    <x v="3"/>
    <s v="ЦПЗ"/>
    <s v="АПЗ"/>
    <m/>
    <s v="Снег"/>
    <s v="Снег"/>
    <s v="Снег"/>
    <x v="84"/>
    <s v="Эвон"/>
    <m/>
    <n v="59.142857142857146"/>
    <n v="49"/>
    <n v="66"/>
    <n v="55"/>
    <n v="63"/>
    <n v="69"/>
    <n v="80"/>
    <n v="32"/>
    <n v="0"/>
    <n v="523629"/>
    <n v="43635.75"/>
    <n v="0"/>
    <n v="43635.75"/>
    <n v="0"/>
    <n v="0"/>
  </r>
  <r>
    <s v="Снелль Пьер"/>
    <x v="3"/>
    <s v="ЦПЗ"/>
    <s v="АПЗ"/>
    <m/>
    <m/>
    <s v="Снег"/>
    <s v="Снег"/>
    <x v="84"/>
    <s v="Эвон"/>
    <m/>
    <n v="60.714285714285715"/>
    <n v="31"/>
    <n v="70"/>
    <n v="56"/>
    <n v="75"/>
    <n v="68"/>
    <n v="72"/>
    <n v="53"/>
    <n v="0"/>
    <n v="680627"/>
    <n v="56718.916666666664"/>
    <n v="0"/>
    <n v="56718.916666666664"/>
    <n v="0"/>
    <n v="0"/>
  </r>
  <r>
    <s v="Тусье"/>
    <x v="3"/>
    <s v="ЦПЗ"/>
    <s v="ППЗ"/>
    <m/>
    <s v="Снег"/>
    <s v="Снег"/>
    <s v="Снег"/>
    <x v="84"/>
    <s v="Эвон"/>
    <m/>
    <n v="59.714285714285715"/>
    <n v="47"/>
    <n v="57"/>
    <n v="57"/>
    <n v="76"/>
    <n v="76"/>
    <n v="74"/>
    <n v="31"/>
    <n v="0"/>
    <n v="576478"/>
    <n v="48039.833333333336"/>
    <n v="0"/>
    <n v="48039.833333333336"/>
    <n v="0"/>
    <n v="0"/>
  </r>
  <r>
    <s v="Апачиков"/>
    <x v="0"/>
    <s v="В"/>
    <m/>
    <m/>
    <s v="Заг"/>
    <s v="Заг"/>
    <s v="Заг"/>
    <x v="85"/>
    <s v="Эвон"/>
    <m/>
    <n v="59.714285714285715"/>
    <n v="33"/>
    <n v="62"/>
    <n v="87"/>
    <n v="26"/>
    <n v="75"/>
    <n v="80"/>
    <n v="55"/>
    <n v="0"/>
    <n v="576478"/>
    <n v="48039.833333333336"/>
    <n v="0"/>
    <n v="48039.833333333336"/>
    <n v="0"/>
    <n v="0"/>
  </r>
  <r>
    <s v="Чербис"/>
    <x v="0"/>
    <s v="В"/>
    <m/>
    <m/>
    <s v="Перс"/>
    <s v="Перс"/>
    <s v="Перс"/>
    <x v="85"/>
    <s v="Эвон"/>
    <m/>
    <n v="65.714285714285708"/>
    <n v="38"/>
    <n v="65"/>
    <n v="86"/>
    <n v="54"/>
    <n v="74"/>
    <n v="84"/>
    <n v="59"/>
    <n v="0"/>
    <n v="1501751"/>
    <n v="125145.91666666667"/>
    <n v="0"/>
    <n v="125145.91666666667"/>
    <n v="0"/>
    <n v="0"/>
  </r>
  <r>
    <s v="Агамис"/>
    <x v="1"/>
    <s v="ЦЗ"/>
    <m/>
    <m/>
    <s v="Перс"/>
    <s v="Перс"/>
    <s v="Перс"/>
    <x v="85"/>
    <s v="Эвон"/>
    <m/>
    <n v="65.714285714285708"/>
    <n v="42"/>
    <n v="59"/>
    <n v="69"/>
    <n v="80"/>
    <n v="82"/>
    <n v="88"/>
    <n v="40"/>
    <n v="0"/>
    <n v="1501751"/>
    <n v="125145.91666666667"/>
    <n v="0"/>
    <n v="125145.91666666667"/>
    <n v="0"/>
    <n v="0"/>
  </r>
  <r>
    <s v="Гардук"/>
    <x v="1"/>
    <s v="ЦЗ"/>
    <m/>
    <m/>
    <s v="Перс"/>
    <s v="Перс"/>
    <s v="Перс"/>
    <x v="85"/>
    <s v="Эвон"/>
    <m/>
    <n v="63.285714285714285"/>
    <n v="37"/>
    <n v="71"/>
    <n v="65"/>
    <n v="74"/>
    <n v="74"/>
    <n v="89"/>
    <n v="33"/>
    <n v="0"/>
    <n v="1030522"/>
    <n v="85876.833333333328"/>
    <n v="0"/>
    <n v="85876.833333333328"/>
    <n v="0"/>
    <n v="0"/>
  </r>
  <r>
    <s v="Тавильд"/>
    <x v="1"/>
    <s v="ЦЗ"/>
    <m/>
    <m/>
    <s v="Перс"/>
    <s v="Перс"/>
    <s v="Перс"/>
    <x v="85"/>
    <s v="Эвон"/>
    <m/>
    <n v="63.428571428571431"/>
    <n v="38"/>
    <n v="62"/>
    <n v="76"/>
    <n v="71"/>
    <n v="77"/>
    <n v="78"/>
    <n v="42"/>
    <n v="0"/>
    <n v="1054022"/>
    <n v="87835.166666666672"/>
    <n v="0"/>
    <n v="87835.166666666672"/>
    <n v="0"/>
    <n v="0"/>
  </r>
  <r>
    <s v="Чахти"/>
    <x v="1"/>
    <s v="ЦЗ"/>
    <m/>
    <m/>
    <s v="Перс"/>
    <s v="Перс"/>
    <s v="Перс"/>
    <x v="85"/>
    <s v="Эвон"/>
    <m/>
    <n v="62.857142857142854"/>
    <n v="30"/>
    <n v="61"/>
    <n v="59"/>
    <n v="81"/>
    <n v="82"/>
    <n v="83"/>
    <n v="44"/>
    <n v="0"/>
    <n v="962823"/>
    <n v="80235.25"/>
    <n v="0"/>
    <n v="80235.25"/>
    <n v="0"/>
    <n v="0"/>
  </r>
  <r>
    <s v="Югус"/>
    <x v="1"/>
    <s v="ЦЗ"/>
    <s v="ЛЗ"/>
    <m/>
    <s v="Перс"/>
    <s v="Перс"/>
    <s v="Перс"/>
    <x v="85"/>
    <s v="Эвон"/>
    <m/>
    <n v="64.142857142857139"/>
    <n v="41"/>
    <n v="66"/>
    <n v="68"/>
    <n v="72"/>
    <n v="81"/>
    <n v="81"/>
    <n v="40"/>
    <n v="0"/>
    <n v="1178917"/>
    <n v="98243.083333333328"/>
    <n v="0"/>
    <n v="98243.083333333328"/>
    <n v="0"/>
    <n v="0"/>
  </r>
  <r>
    <s v="Вэлли"/>
    <x v="2"/>
    <s v="ЦН"/>
    <s v="ОФ"/>
    <m/>
    <s v="Вал"/>
    <s v="Вал"/>
    <s v="Вал"/>
    <x v="85"/>
    <s v="Эвон"/>
    <m/>
    <n v="73.714285714285708"/>
    <n v="60"/>
    <n v="94"/>
    <n v="79"/>
    <n v="73"/>
    <n v="71"/>
    <n v="70"/>
    <n v="69"/>
    <n v="0"/>
    <n v="4737145"/>
    <n v="394762.08333333331"/>
    <n v="0"/>
    <n v="394762.08333333331"/>
    <n v="0"/>
    <n v="0"/>
  </r>
  <r>
    <s v="Ивергон"/>
    <x v="2"/>
    <s v="ЦН"/>
    <m/>
    <m/>
    <s v="Перс"/>
    <s v="Перс"/>
    <s v="Перс"/>
    <x v="85"/>
    <s v="Эвон"/>
    <m/>
    <n v="66.857142857142861"/>
    <n v="31"/>
    <n v="77"/>
    <n v="83"/>
    <n v="76"/>
    <n v="77"/>
    <n v="80"/>
    <n v="44"/>
    <n v="0"/>
    <n v="1784343"/>
    <n v="148695.25"/>
    <n v="0"/>
    <n v="148695.25"/>
    <n v="0"/>
    <n v="0"/>
  </r>
  <r>
    <s v="Фургат"/>
    <x v="2"/>
    <s v="ЦН"/>
    <m/>
    <m/>
    <s v="Перс"/>
    <s v="Перс"/>
    <s v="Перс"/>
    <x v="85"/>
    <s v="Эвон"/>
    <m/>
    <n v="64.428571428571431"/>
    <n v="26"/>
    <n v="70"/>
    <n v="81"/>
    <n v="70"/>
    <n v="78"/>
    <n v="85"/>
    <n v="41"/>
    <n v="0"/>
    <n v="1232495"/>
    <n v="102707.91666666667"/>
    <n v="0"/>
    <n v="102707.91666666667"/>
    <n v="0"/>
    <n v="0"/>
  </r>
  <r>
    <s v="Брангульдин"/>
    <x v="3"/>
    <s v="ППЗ"/>
    <s v="АПЗ"/>
    <m/>
    <s v="Перс"/>
    <s v="Перс"/>
    <s v="Перс"/>
    <x v="85"/>
    <s v="Эвон"/>
    <m/>
    <n v="68"/>
    <n v="46"/>
    <n v="80"/>
    <n v="79"/>
    <n v="74"/>
    <n v="72"/>
    <n v="73"/>
    <n v="52"/>
    <n v="0"/>
    <n v="2113923"/>
    <n v="176160.25"/>
    <n v="0"/>
    <n v="176160.25"/>
    <n v="0"/>
    <n v="0"/>
  </r>
  <r>
    <s v="Бьегон"/>
    <x v="3"/>
    <s v="ЦПЗ"/>
    <m/>
    <m/>
    <s v="Перс"/>
    <s v="Перс"/>
    <s v="Перс"/>
    <x v="85"/>
    <s v="Эвон"/>
    <m/>
    <n v="62.428571428571431"/>
    <n v="60"/>
    <n v="67"/>
    <n v="66"/>
    <n v="73"/>
    <n v="65"/>
    <n v="62"/>
    <n v="44"/>
    <n v="0"/>
    <n v="899154"/>
    <n v="74929.5"/>
    <n v="0"/>
    <n v="74929.5"/>
    <n v="0"/>
    <n v="0"/>
  </r>
  <r>
    <s v="Макси"/>
    <x v="3"/>
    <s v="ЦПЗ"/>
    <m/>
    <m/>
    <s v="Своб"/>
    <s v="Своб"/>
    <s v="Своб"/>
    <x v="85"/>
    <s v="Эвон"/>
    <m/>
    <n v="61.142857142857146"/>
    <n v="41"/>
    <n v="61"/>
    <n v="79"/>
    <n v="72"/>
    <n v="72"/>
    <n v="65"/>
    <n v="38"/>
    <n v="0"/>
    <n v="730226"/>
    <n v="60852.166666666664"/>
    <n v="0"/>
    <n v="60852.166666666664"/>
    <n v="0"/>
    <n v="0"/>
  </r>
  <r>
    <s v="Назурбук (П)"/>
    <x v="3"/>
    <s v="ОПЗ"/>
    <s v="ЦПЗ"/>
    <m/>
    <s v="Перс"/>
    <s v="Перс"/>
    <s v="Перс"/>
    <x v="85"/>
    <s v="Эвон"/>
    <m/>
    <n v="78.857142857142861"/>
    <n v="65"/>
    <n v="75"/>
    <n v="80"/>
    <n v="81"/>
    <n v="85"/>
    <n v="86"/>
    <n v="80"/>
    <n v="17"/>
    <n v="13947670"/>
    <n v="1162305.8333333333"/>
    <n v="0"/>
    <n v="1162305.8333333333"/>
    <n v="0"/>
    <n v="0"/>
  </r>
  <r>
    <s v="Сэмульер"/>
    <x v="3"/>
    <s v="ЦПЗ"/>
    <s v="ЛПЗ"/>
    <m/>
    <s v="Перс"/>
    <s v="Перс"/>
    <s v="Перс"/>
    <x v="85"/>
    <s v="Эвон"/>
    <m/>
    <n v="67.142857142857139"/>
    <n v="56"/>
    <n v="65"/>
    <n v="76"/>
    <n v="78"/>
    <n v="66"/>
    <n v="69"/>
    <n v="60"/>
    <n v="0"/>
    <n v="1862080"/>
    <n v="155173.33333333334"/>
    <n v="0"/>
    <n v="155173.33333333334"/>
    <n v="0"/>
    <n v="0"/>
  </r>
  <r>
    <s v="Цурмиатор"/>
    <x v="3"/>
    <s v="ЦПЗ"/>
    <s v="АПЗ"/>
    <s v="ОПЗ"/>
    <s v="С.К."/>
    <s v="С.К."/>
    <s v="С.К."/>
    <x v="85"/>
    <s v="Эвон"/>
    <m/>
    <n v="83.428571428571431"/>
    <n v="70"/>
    <n v="85"/>
    <n v="88"/>
    <n v="85"/>
    <n v="90"/>
    <n v="96"/>
    <n v="70"/>
    <n v="26"/>
    <n v="24504133"/>
    <n v="2042011.0833333333"/>
    <n v="0"/>
    <n v="2042011.0833333333"/>
    <n v="0"/>
    <n v="0"/>
  </r>
  <r>
    <s v="Шех"/>
    <x v="3"/>
    <s v="ЦПЗ"/>
    <m/>
    <m/>
    <s v="К.С."/>
    <s v="К.С."/>
    <s v="К.С."/>
    <x v="85"/>
    <s v="Эвон"/>
    <m/>
    <n v="71.142857142857139"/>
    <n v="45"/>
    <n v="82"/>
    <n v="78"/>
    <n v="76"/>
    <n v="72"/>
    <n v="83"/>
    <n v="62"/>
    <n v="0"/>
    <n v="3321338"/>
    <n v="276778.16666666669"/>
    <n v="0"/>
    <n v="276778.16666666669"/>
    <n v="0"/>
    <n v="0"/>
  </r>
  <r>
    <s v="Яомов"/>
    <x v="3"/>
    <s v="ЛПЗ"/>
    <m/>
    <m/>
    <s v="Перс"/>
    <s v="Перс"/>
    <s v="Перс"/>
    <x v="85"/>
    <s v="Эвон"/>
    <m/>
    <n v="61"/>
    <n v="31"/>
    <n v="79"/>
    <n v="72"/>
    <n v="75"/>
    <n v="64"/>
    <n v="67"/>
    <n v="39"/>
    <n v="0"/>
    <n v="713343"/>
    <n v="59445.25"/>
    <n v="0"/>
    <n v="59445.25"/>
    <n v="0"/>
    <n v="0"/>
  </r>
  <r>
    <s v="Беггус"/>
    <x v="4"/>
    <s v="Т"/>
    <m/>
    <m/>
    <m/>
    <s v="Перс"/>
    <s v="Перс"/>
    <x v="85"/>
    <s v="Эвон"/>
    <m/>
    <n v="71.714285714285708"/>
    <n v="61"/>
    <n v="66"/>
    <n v="81"/>
    <n v="67"/>
    <n v="80"/>
    <n v="82"/>
    <n v="65"/>
    <n v="0"/>
    <n v="3597964"/>
    <n v="299830.33333333331"/>
    <n v="0"/>
    <n v="299830.33333333331"/>
    <n v="0"/>
    <n v="0"/>
  </r>
  <r>
    <s v="Скиндерс (В)"/>
    <x v="0"/>
    <s v="В"/>
    <m/>
    <m/>
    <s v="Сул"/>
    <s v="Сул"/>
    <s v="Сул"/>
    <x v="86"/>
    <s v="Эвон"/>
    <m/>
    <n v="95"/>
    <n v="95"/>
    <n v="96"/>
    <n v="94"/>
    <n v="92"/>
    <n v="95"/>
    <n v="100"/>
    <n v="93"/>
    <n v="29"/>
    <n v="89810541"/>
    <n v="7484211.75"/>
    <n v="0"/>
    <n v="7484211.75"/>
    <n v="0"/>
    <n v="0"/>
  </r>
  <r>
    <s v="Болонье"/>
    <x v="1"/>
    <s v="ЛЗ"/>
    <m/>
    <m/>
    <s v="Сул"/>
    <s v="Сул"/>
    <s v="Сул"/>
    <x v="86"/>
    <s v="Эвон"/>
    <m/>
    <n v="76"/>
    <n v="40"/>
    <n v="78"/>
    <n v="78"/>
    <n v="82"/>
    <n v="82"/>
    <n v="92"/>
    <n v="80"/>
    <n v="0"/>
    <n v="6428889"/>
    <n v="535740.75"/>
    <n v="0"/>
    <n v="535740.75"/>
    <n v="0"/>
    <n v="0"/>
  </r>
  <r>
    <s v="Глоншер Толли"/>
    <x v="1"/>
    <s v="ЛЗ"/>
    <s v="ЦЗ"/>
    <m/>
    <m/>
    <s v="Сул"/>
    <s v="Сул"/>
    <x v="86"/>
    <s v="Эвон"/>
    <m/>
    <n v="74.857142857142861"/>
    <n v="43"/>
    <n v="80"/>
    <n v="78"/>
    <n v="81"/>
    <n v="85"/>
    <n v="85"/>
    <n v="72"/>
    <n v="0"/>
    <n v="5525003"/>
    <n v="460416.91666666669"/>
    <n v="0"/>
    <n v="460416.91666666669"/>
    <n v="0"/>
    <n v="0"/>
  </r>
  <r>
    <s v="Кешкер (З)"/>
    <x v="1"/>
    <s v="ЦЗ"/>
    <s v="ОПЗ"/>
    <s v="ЛЗ"/>
    <s v="Сул"/>
    <s v="Сул"/>
    <s v="Сул"/>
    <x v="86"/>
    <s v="Эвон"/>
    <m/>
    <n v="90.714285714285708"/>
    <n v="80"/>
    <n v="85"/>
    <n v="91"/>
    <n v="94"/>
    <n v="92"/>
    <n v="99"/>
    <n v="94"/>
    <n v="27"/>
    <n v="56604129"/>
    <n v="4717010.75"/>
    <n v="0"/>
    <n v="4717010.75"/>
    <n v="0"/>
    <n v="0"/>
  </r>
  <r>
    <s v="Лацио"/>
    <x v="1"/>
    <s v="ЦЗ"/>
    <s v="ПЗ"/>
    <m/>
    <s v="Сул"/>
    <s v="Лион"/>
    <s v="Лион"/>
    <x v="86"/>
    <s v="Эвон"/>
    <m/>
    <n v="92.714285714285708"/>
    <n v="90"/>
    <n v="88"/>
    <n v="94"/>
    <n v="95"/>
    <n v="91"/>
    <n v="94"/>
    <n v="97"/>
    <n v="26"/>
    <n v="70397596"/>
    <n v="5866466.333333333"/>
    <n v="0"/>
    <n v="5866466.333333333"/>
    <n v="0"/>
    <n v="0"/>
  </r>
  <r>
    <s v="Ноиз (З)"/>
    <x v="1"/>
    <s v="ЦЗ"/>
    <s v="ОПЗ"/>
    <m/>
    <s v="Сул"/>
    <s v="Сул"/>
    <s v="Сул"/>
    <x v="86"/>
    <s v="Эвон"/>
    <m/>
    <n v="92.571428571428569"/>
    <n v="86"/>
    <n v="83"/>
    <n v="94"/>
    <n v="98"/>
    <n v="93"/>
    <n v="99"/>
    <n v="95"/>
    <n v="28"/>
    <n v="69320378"/>
    <n v="5776698.166666667"/>
    <n v="0"/>
    <n v="5776698.166666667"/>
    <n v="0"/>
    <n v="0"/>
  </r>
  <r>
    <s v="Торкан"/>
    <x v="1"/>
    <s v="ЦЗ"/>
    <m/>
    <m/>
    <s v="Сул"/>
    <s v="Сул"/>
    <s v="Сул"/>
    <x v="86"/>
    <s v="Эвон"/>
    <m/>
    <n v="75.714285714285708"/>
    <n v="40"/>
    <n v="75"/>
    <n v="80"/>
    <n v="81"/>
    <n v="84"/>
    <n v="95"/>
    <n v="75"/>
    <n v="0"/>
    <n v="6191250"/>
    <n v="515937.5"/>
    <n v="0"/>
    <n v="515937.5"/>
    <n v="0"/>
    <n v="0"/>
  </r>
  <r>
    <s v="Уксуль"/>
    <x v="1"/>
    <s v="ПЗ"/>
    <m/>
    <m/>
    <s v="Сул"/>
    <s v="Сул"/>
    <s v="Сул"/>
    <x v="86"/>
    <s v="Эвон"/>
    <m/>
    <n v="73.285714285714292"/>
    <n v="35"/>
    <n v="79"/>
    <n v="78"/>
    <n v="80"/>
    <n v="80"/>
    <n v="90"/>
    <n v="71"/>
    <n v="0"/>
    <n v="4468825"/>
    <n v="372402.08333333331"/>
    <n v="0"/>
    <n v="372402.08333333331"/>
    <n v="0"/>
    <n v="0"/>
  </r>
  <r>
    <s v="Хазилли Тус"/>
    <x v="1"/>
    <s v="ПЗ"/>
    <s v="ЦЗ"/>
    <m/>
    <m/>
    <s v="Сул"/>
    <s v="Сул"/>
    <x v="86"/>
    <s v="Эвон"/>
    <m/>
    <n v="73.857142857142861"/>
    <n v="34"/>
    <n v="78"/>
    <n v="84"/>
    <n v="80"/>
    <n v="84"/>
    <n v="86"/>
    <n v="71"/>
    <n v="0"/>
    <n v="4829755"/>
    <n v="402479.58333333331"/>
    <n v="0"/>
    <n v="402479.58333333331"/>
    <n v="0"/>
    <n v="0"/>
  </r>
  <r>
    <s v="Аронда (Н)"/>
    <x v="2"/>
    <s v="ОФ"/>
    <s v="ЦН"/>
    <s v="ЛПЗ"/>
    <s v="Сул"/>
    <s v="Сул"/>
    <s v="Сул"/>
    <x v="86"/>
    <s v="Эвон"/>
    <m/>
    <n v="94.428571428571431"/>
    <n v="95"/>
    <n v="96"/>
    <n v="96"/>
    <n v="99"/>
    <n v="90"/>
    <n v="86"/>
    <n v="99"/>
    <n v="10"/>
    <n v="84552306"/>
    <n v="7046025.5"/>
    <n v="0"/>
    <n v="7046025.5"/>
    <n v="0"/>
    <n v="0"/>
  </r>
  <r>
    <s v="Грецан"/>
    <x v="2"/>
    <s v="ЦН"/>
    <m/>
    <m/>
    <s v="Сар"/>
    <s v="Сар"/>
    <s v="Сар"/>
    <x v="86"/>
    <s v="Эвон"/>
    <m/>
    <n v="76.428571428571431"/>
    <n v="45"/>
    <n v="78"/>
    <n v="85"/>
    <n v="78"/>
    <n v="85"/>
    <n v="94"/>
    <n v="70"/>
    <n v="6"/>
    <n v="10201140"/>
    <n v="850095"/>
    <n v="0"/>
    <n v="850095"/>
    <n v="0"/>
    <n v="0"/>
  </r>
  <r>
    <s v="Инфинер (Н)"/>
    <x v="2"/>
    <s v="ЦН"/>
    <s v="АПЗ"/>
    <m/>
    <s v="Сул"/>
    <s v="Сул"/>
    <s v="Сул"/>
    <x v="86"/>
    <s v="Эвон"/>
    <m/>
    <n v="91.857142857142861"/>
    <n v="85"/>
    <n v="97"/>
    <n v="93"/>
    <n v="93"/>
    <n v="88"/>
    <n v="92"/>
    <n v="95"/>
    <n v="17"/>
    <n v="64153535"/>
    <n v="5346127.916666667"/>
    <n v="0"/>
    <n v="5346127.916666667"/>
    <n v="0"/>
    <n v="0"/>
  </r>
  <r>
    <s v="Хидейна"/>
    <x v="2"/>
    <s v="ЦН"/>
    <s v="ОФ"/>
    <m/>
    <s v="Сул"/>
    <s v="Сул"/>
    <s v="Сул"/>
    <x v="86"/>
    <s v="Эвон"/>
    <m/>
    <n v="91.714285714285708"/>
    <n v="85"/>
    <n v="95"/>
    <n v="94"/>
    <n v="94"/>
    <n v="89"/>
    <n v="91"/>
    <n v="94"/>
    <n v="19"/>
    <n v="63162766"/>
    <n v="5263563.833333333"/>
    <n v="0"/>
    <n v="5263563.833333333"/>
    <n v="0"/>
    <n v="0"/>
  </r>
  <r>
    <s v="Аксоль Рикардо"/>
    <x v="3"/>
    <s v="ЛПЗ"/>
    <s v="АПЗ"/>
    <m/>
    <s v="Сул"/>
    <s v="Сул"/>
    <s v="Сул"/>
    <x v="86"/>
    <s v="Эвон"/>
    <m/>
    <n v="76.857142857142861"/>
    <n v="50"/>
    <n v="82"/>
    <n v="80"/>
    <n v="85"/>
    <n v="76"/>
    <n v="80"/>
    <n v="85"/>
    <n v="17"/>
    <n v="10787819"/>
    <n v="898984.91666666663"/>
    <n v="0"/>
    <n v="898984.91666666663"/>
    <n v="0"/>
    <n v="0"/>
  </r>
  <r>
    <s v="Аптье Жод"/>
    <x v="3"/>
    <s v="ЛПЗ"/>
    <s v="АПЗ"/>
    <m/>
    <m/>
    <s v="Сул"/>
    <s v="Сул"/>
    <x v="86"/>
    <s v="Эвон"/>
    <m/>
    <n v="73.857142857142861"/>
    <n v="44"/>
    <n v="85"/>
    <n v="85"/>
    <n v="78"/>
    <n v="81"/>
    <n v="76"/>
    <n v="68"/>
    <n v="0"/>
    <n v="4829755"/>
    <n v="402479.58333333331"/>
    <n v="0"/>
    <n v="402479.58333333331"/>
    <n v="0"/>
    <n v="0"/>
  </r>
  <r>
    <s v="Баситон (П)"/>
    <x v="3"/>
    <s v="ОПЗ"/>
    <s v="ЦПЗ"/>
    <m/>
    <s v="Сул"/>
    <s v="Лив"/>
    <s v="Лив"/>
    <x v="86"/>
    <s v="Эвон"/>
    <m/>
    <n v="88.285714285714292"/>
    <n v="83"/>
    <n v="84"/>
    <n v="90"/>
    <n v="87"/>
    <n v="95"/>
    <n v="97"/>
    <n v="82"/>
    <n v="18"/>
    <n v="43151472"/>
    <n v="3595956"/>
    <n v="0"/>
    <n v="3595956"/>
    <n v="0"/>
    <n v="0"/>
  </r>
  <r>
    <s v="Злаксем (П)"/>
    <x v="3"/>
    <s v="ОПЗ"/>
    <s v="ЦПЗ"/>
    <m/>
    <s v="Сул"/>
    <s v="Сул"/>
    <s v="Сул"/>
    <x v="86"/>
    <s v="Эвон"/>
    <m/>
    <n v="85.428571428571431"/>
    <n v="80"/>
    <n v="85"/>
    <n v="88"/>
    <n v="86"/>
    <n v="89"/>
    <n v="90"/>
    <n v="80"/>
    <n v="22"/>
    <n v="31054369"/>
    <n v="2587864.0833333335"/>
    <n v="0"/>
    <n v="2587864.0833333335"/>
    <n v="0"/>
    <n v="0"/>
  </r>
  <r>
    <s v="Ромьера"/>
    <x v="3"/>
    <s v="ППЗ"/>
    <s v="ЦПЗ"/>
    <m/>
    <s v="Сул"/>
    <s v="Сул"/>
    <s v="Сул"/>
    <x v="86"/>
    <s v="Эвон"/>
    <m/>
    <n v="76.857142857142861"/>
    <n v="50"/>
    <n v="81"/>
    <n v="81"/>
    <n v="86"/>
    <n v="75"/>
    <n v="80"/>
    <n v="85"/>
    <n v="17"/>
    <n v="10787819"/>
    <n v="898984.91666666663"/>
    <n v="0"/>
    <n v="898984.91666666663"/>
    <n v="0"/>
    <n v="0"/>
  </r>
  <r>
    <s v="Саикар (П)"/>
    <x v="3"/>
    <s v="ЦПЗ"/>
    <s v="ОПЗ"/>
    <m/>
    <s v="Сул"/>
    <s v="Сул"/>
    <s v="Сул"/>
    <x v="86"/>
    <s v="Эвон"/>
    <m/>
    <n v="80.285714285714292"/>
    <n v="78"/>
    <n v="82"/>
    <n v="80"/>
    <n v="78"/>
    <n v="84"/>
    <n v="94"/>
    <n v="66"/>
    <n v="0"/>
    <n v="11127120"/>
    <n v="927260"/>
    <n v="0"/>
    <n v="927260"/>
    <n v="0"/>
    <n v="0"/>
  </r>
  <r>
    <s v="Хварси Анлисер"/>
    <x v="3"/>
    <s v="ППЗ"/>
    <s v="ЦПЗ"/>
    <m/>
    <m/>
    <s v="Сул"/>
    <s v="Сул"/>
    <x v="86"/>
    <s v="Эвон"/>
    <m/>
    <n v="71.857142857142861"/>
    <n v="34"/>
    <n v="83"/>
    <n v="80"/>
    <n v="82"/>
    <n v="80"/>
    <n v="78"/>
    <n v="66"/>
    <n v="0"/>
    <n v="3670283"/>
    <n v="305856.91666666669"/>
    <n v="0"/>
    <n v="305856.91666666669"/>
    <n v="0"/>
    <n v="0"/>
  </r>
  <r>
    <s v="Хемельди Сальдо"/>
    <x v="4"/>
    <m/>
    <m/>
    <m/>
    <s v="Сул"/>
    <s v="Сул"/>
    <s v="Сул"/>
    <x v="86"/>
    <s v="Эвон"/>
    <m/>
    <n v="80.428571428571431"/>
    <n v="63"/>
    <n v="85"/>
    <n v="80"/>
    <n v="80"/>
    <n v="85"/>
    <n v="85"/>
    <n v="85"/>
    <n v="0"/>
    <n v="11326704"/>
    <n v="943892"/>
    <n v="0"/>
    <n v="943892"/>
    <n v="0"/>
    <n v="0"/>
  </r>
  <r>
    <s v="Д.Макраер"/>
    <x v="2"/>
    <s v="ОФ"/>
    <s v="ППЗ"/>
    <m/>
    <s v="В.И."/>
    <s v="В.И."/>
    <s v="В.И."/>
    <x v="87"/>
    <s v="Тевт"/>
    <m/>
    <n v="92.857142857142861"/>
    <n v="93"/>
    <n v="95"/>
    <n v="93"/>
    <n v="98"/>
    <n v="87"/>
    <n v="86"/>
    <n v="98"/>
    <n v="14"/>
    <n v="71489857"/>
    <n v="5957488.083333333"/>
    <n v="0"/>
    <n v="5957488.083333333"/>
    <n v="0"/>
    <n v="0"/>
  </r>
  <r>
    <s v="Крамрук"/>
    <x v="3"/>
    <s v="ЦПЗ"/>
    <s v="АПЗ"/>
    <s v="ОПЗ"/>
    <s v="Заг"/>
    <s v="Лищ"/>
    <s v="Лищ"/>
    <x v="87"/>
    <s v="Тевт"/>
    <m/>
    <n v="89.428571428571431"/>
    <n v="88"/>
    <n v="84"/>
    <n v="89"/>
    <n v="98"/>
    <n v="85"/>
    <n v="89"/>
    <n v="93"/>
    <n v="24"/>
    <n v="49074309"/>
    <n v="4089525.75"/>
    <n v="0"/>
    <n v="4089525.75"/>
    <n v="0"/>
    <n v="0"/>
  </r>
  <r>
    <s v="Власов Олег"/>
    <x v="0"/>
    <s v="В"/>
    <m/>
    <m/>
    <m/>
    <s v="Зел.Хол"/>
    <s v="Зел.Хол"/>
    <x v="88"/>
    <s v="Эвон"/>
    <m/>
    <n v="31.857142857142858"/>
    <n v="10"/>
    <n v="41"/>
    <n v="33"/>
    <n v="37"/>
    <n v="39"/>
    <n v="41"/>
    <n v="22"/>
    <n v="0"/>
    <n v="1077"/>
    <n v="89.75"/>
    <n v="0"/>
    <n v="89.75"/>
    <n v="0"/>
    <n v="0"/>
  </r>
  <r>
    <s v="Кузнецов Артём"/>
    <x v="0"/>
    <s v="В"/>
    <m/>
    <m/>
    <m/>
    <s v="Зел.Хол"/>
    <s v="Зел.Хол"/>
    <x v="88"/>
    <s v="Эвон"/>
    <m/>
    <n v="28"/>
    <n v="8"/>
    <n v="35"/>
    <n v="29"/>
    <n v="33"/>
    <n v="35"/>
    <n v="37"/>
    <n v="19"/>
    <n v="0"/>
    <n v="297"/>
    <n v="24.75"/>
    <n v="0"/>
    <n v="24.75"/>
    <n v="0"/>
    <n v="0"/>
  </r>
  <r>
    <s v="Шмидт Дитер"/>
    <x v="0"/>
    <s v="В"/>
    <m/>
    <m/>
    <m/>
    <s v="Зел.Хол"/>
    <s v="Зел.Хол"/>
    <x v="88"/>
    <s v="Эвон"/>
    <m/>
    <n v="28.285714285714285"/>
    <n v="8"/>
    <n v="37"/>
    <n v="29"/>
    <n v="33"/>
    <n v="35"/>
    <n v="37"/>
    <n v="19"/>
    <n v="0"/>
    <n v="328"/>
    <n v="27.333333333333332"/>
    <n v="0"/>
    <n v="27.333333333333332"/>
    <n v="0"/>
    <n v="0"/>
  </r>
  <r>
    <s v="КСоколов Сергей"/>
    <x v="1"/>
    <s v="ПЗ"/>
    <s v="ЛЗ"/>
    <m/>
    <m/>
    <s v="Зел.Хол"/>
    <s v="Зел.Хол"/>
    <x v="88"/>
    <s v="Эвон"/>
    <m/>
    <n v="27.714285714285715"/>
    <n v="7"/>
    <n v="35"/>
    <n v="29"/>
    <n v="33"/>
    <n v="35"/>
    <n v="37"/>
    <n v="18"/>
    <n v="0"/>
    <n v="268"/>
    <n v="22.333333333333332"/>
    <n v="0"/>
    <n v="22.333333333333332"/>
    <n v="0"/>
    <n v="0"/>
  </r>
  <r>
    <s v="Морозов Павел"/>
    <x v="1"/>
    <s v="ПЗ"/>
    <s v="ЦЗ"/>
    <m/>
    <m/>
    <s v="Зел.Хол"/>
    <s v="Зел.Хол"/>
    <x v="88"/>
    <s v="Эвон"/>
    <m/>
    <n v="31.571428571428573"/>
    <n v="9"/>
    <n v="41"/>
    <n v="33"/>
    <n v="37"/>
    <n v="39"/>
    <n v="41"/>
    <n v="21"/>
    <n v="0"/>
    <n v="984"/>
    <n v="82"/>
    <n v="0"/>
    <n v="82"/>
    <n v="0"/>
    <n v="0"/>
  </r>
  <r>
    <s v="Попов Денис"/>
    <x v="1"/>
    <s v="ЦЗ"/>
    <s v="ОПЗ"/>
    <m/>
    <m/>
    <s v="Зел.Хол"/>
    <s v="Зел.Хол"/>
    <x v="88"/>
    <s v="Эвон"/>
    <m/>
    <n v="24.571428571428573"/>
    <n v="6"/>
    <n v="31"/>
    <n v="25"/>
    <n v="29"/>
    <n v="31"/>
    <n v="33"/>
    <n v="17"/>
    <n v="0"/>
    <n v="81"/>
    <n v="6.75"/>
    <n v="0"/>
    <n v="6.75"/>
    <n v="0"/>
    <n v="0"/>
  </r>
  <r>
    <s v="Соколов Максим"/>
    <x v="1"/>
    <s v="ЦЗ"/>
    <s v="ЛЗ"/>
    <m/>
    <m/>
    <s v="Зел.Хол"/>
    <s v="Зел.Хол"/>
    <x v="88"/>
    <s v="Эвон"/>
    <m/>
    <n v="35.571428571428569"/>
    <n v="12"/>
    <n v="47"/>
    <n v="37"/>
    <n v="41"/>
    <n v="43"/>
    <n v="45"/>
    <n v="24"/>
    <n v="0"/>
    <n v="3244"/>
    <n v="270.33333333333331"/>
    <n v="0"/>
    <n v="270.33333333333331"/>
    <n v="0"/>
    <n v="0"/>
  </r>
  <r>
    <s v="Хватов Олег"/>
    <x v="1"/>
    <s v="ЛЗ"/>
    <s v="ЛПЗ"/>
    <m/>
    <m/>
    <s v="Зел.Хол"/>
    <s v="Зел.Хол"/>
    <x v="88"/>
    <s v="Эвон"/>
    <m/>
    <n v="39.142857142857146"/>
    <n v="22"/>
    <n v="63"/>
    <n v="35"/>
    <n v="37"/>
    <n v="51"/>
    <n v="46"/>
    <n v="20"/>
    <n v="0"/>
    <n v="8444"/>
    <n v="703.66666666666663"/>
    <n v="0"/>
    <n v="703.66666666666663"/>
    <n v="0"/>
    <n v="0"/>
  </r>
  <r>
    <s v="Белов Аркадий"/>
    <x v="2"/>
    <s v="ОФ"/>
    <s v="ЦН"/>
    <m/>
    <s v="Зел.Хол"/>
    <s v="Зел.Хол"/>
    <s v="Зел.Хол"/>
    <x v="88"/>
    <s v="Эвон"/>
    <m/>
    <n v="51.857142857142854"/>
    <n v="18"/>
    <n v="65"/>
    <n v="57"/>
    <n v="59"/>
    <n v="61"/>
    <n v="63"/>
    <n v="40"/>
    <n v="0"/>
    <n v="140633"/>
    <n v="11719.416666666666"/>
    <n v="0"/>
    <n v="11719.416666666666"/>
    <n v="0"/>
    <n v="0"/>
  </r>
  <r>
    <s v="Ковальский Ян"/>
    <x v="2"/>
    <s v="ЦН"/>
    <s v="ОФ"/>
    <m/>
    <s v="Зел.Хол"/>
    <s v="Зел.Хол"/>
    <s v="Зел.Хол"/>
    <x v="88"/>
    <s v="Эвон"/>
    <m/>
    <n v="48.571428571428569"/>
    <n v="15"/>
    <n v="59"/>
    <n v="53"/>
    <n v="57"/>
    <n v="59"/>
    <n v="61"/>
    <n v="36"/>
    <n v="0"/>
    <n v="73082"/>
    <n v="6090.166666666667"/>
    <n v="0"/>
    <n v="6090.166666666667"/>
    <n v="0"/>
    <n v="0"/>
  </r>
  <r>
    <s v="Тарасов Егор"/>
    <x v="2"/>
    <s v="ОФ"/>
    <s v="ЦН"/>
    <m/>
    <m/>
    <s v="Зел.Хол"/>
    <s v="Зел.Хол"/>
    <x v="88"/>
    <s v="Эвон"/>
    <m/>
    <n v="32.571428571428569"/>
    <n v="10"/>
    <n v="41"/>
    <n v="33"/>
    <n v="39"/>
    <n v="41"/>
    <n v="43"/>
    <n v="21"/>
    <n v="0"/>
    <n v="1344"/>
    <n v="112"/>
    <n v="0"/>
    <n v="112"/>
    <n v="0"/>
    <n v="0"/>
  </r>
  <r>
    <s v="Воробьёв Лев"/>
    <x v="3"/>
    <s v="АПЗ"/>
    <s v="ППЗ"/>
    <m/>
    <m/>
    <s v="Зел.Хол"/>
    <s v="Зел.Хол"/>
    <x v="88"/>
    <s v="Эвон"/>
    <m/>
    <n v="47.428571428571431"/>
    <n v="40"/>
    <n v="50"/>
    <n v="52"/>
    <n v="50"/>
    <n v="50"/>
    <n v="50"/>
    <n v="40"/>
    <n v="0"/>
    <n v="57598"/>
    <n v="13.166666666666666"/>
    <n v="0"/>
    <n v="4799.833333333333"/>
    <n v="-99.73"/>
    <n v="0"/>
  </r>
  <r>
    <s v="Голубев Тимур"/>
    <x v="3"/>
    <s v="АПЗ"/>
    <s v="ЦПЗ"/>
    <m/>
    <m/>
    <s v="Зел.Хол"/>
    <s v="Зел.Хол"/>
    <x v="88"/>
    <s v="Эвон"/>
    <m/>
    <n v="33"/>
    <n v="10"/>
    <n v="43"/>
    <n v="33"/>
    <n v="39"/>
    <n v="41"/>
    <n v="43"/>
    <n v="22"/>
    <n v="0"/>
    <n v="1532"/>
    <n v="127.66666666666667"/>
    <n v="0"/>
    <n v="127.66666666666667"/>
    <n v="0"/>
    <n v="0"/>
  </r>
  <r>
    <s v="Егоров Никита"/>
    <x v="3"/>
    <s v="ОПЗ"/>
    <s v="ЦЗ"/>
    <m/>
    <m/>
    <s v="Зел.Хол"/>
    <s v="Зел.Хол"/>
    <x v="88"/>
    <s v="Эвон"/>
    <m/>
    <n v="30.857142857142858"/>
    <n v="9"/>
    <n v="39"/>
    <n v="31"/>
    <n v="37"/>
    <n v="39"/>
    <n v="41"/>
    <n v="20"/>
    <n v="0"/>
    <n v="783"/>
    <n v="65.25"/>
    <n v="0"/>
    <n v="65.25"/>
    <n v="0"/>
    <n v="0"/>
  </r>
  <r>
    <s v="Михайлов Савва"/>
    <x v="3"/>
    <s v="ППЗ"/>
    <s v="АПЗ"/>
    <m/>
    <m/>
    <s v="Зел.Хол"/>
    <s v="Зел.Хол"/>
    <x v="88"/>
    <s v="Эвон"/>
    <m/>
    <n v="39"/>
    <n v="14"/>
    <n v="51"/>
    <n v="41"/>
    <n v="45"/>
    <n v="47"/>
    <n v="49"/>
    <n v="26"/>
    <n v="0"/>
    <n v="8141"/>
    <n v="678.41666666666663"/>
    <n v="0"/>
    <n v="678.41666666666663"/>
    <n v="0"/>
    <n v="0"/>
  </r>
  <r>
    <s v="Новиков Андрей"/>
    <x v="3"/>
    <s v="ОПЗ"/>
    <s v="ЦПЗ"/>
    <m/>
    <m/>
    <s v="Зел.Хол"/>
    <s v="Зел.Хол"/>
    <x v="88"/>
    <s v="Эвон"/>
    <m/>
    <n v="33.857142857142854"/>
    <n v="11"/>
    <n v="45"/>
    <n v="35"/>
    <n v="39"/>
    <n v="41"/>
    <n v="43"/>
    <n v="23"/>
    <n v="0"/>
    <n v="1980"/>
    <n v="165"/>
    <n v="0"/>
    <n v="165"/>
    <n v="0"/>
    <n v="0"/>
  </r>
  <r>
    <s v="Павлов Роман"/>
    <x v="3"/>
    <s v="ЦПЗ"/>
    <s v="ОПЗ"/>
    <m/>
    <m/>
    <s v="Зел.Хол"/>
    <s v="Зел.Хол"/>
    <x v="88"/>
    <s v="Эвон"/>
    <m/>
    <n v="37.285714285714285"/>
    <n v="13"/>
    <n v="49"/>
    <n v="39"/>
    <n v="43"/>
    <n v="45"/>
    <n v="47"/>
    <n v="25"/>
    <n v="0"/>
    <n v="5194"/>
    <n v="432.83333333333331"/>
    <n v="0"/>
    <n v="432.83333333333331"/>
    <n v="0"/>
    <n v="0"/>
  </r>
  <r>
    <s v="Семёнов Виктор"/>
    <x v="3"/>
    <s v="ЦПЗ"/>
    <s v="ЛПЗ"/>
    <m/>
    <m/>
    <s v="Зел.Хол"/>
    <s v="Зел.Хол"/>
    <x v="88"/>
    <s v="Эвон"/>
    <m/>
    <n v="24.428571428571427"/>
    <n v="6"/>
    <n v="31"/>
    <n v="25"/>
    <n v="29"/>
    <n v="31"/>
    <n v="33"/>
    <n v="16"/>
    <n v="0"/>
    <n v="76"/>
    <n v="6.333333333333333"/>
    <n v="0"/>
    <n v="6.333333333333333"/>
    <n v="0"/>
    <n v="0"/>
  </r>
  <r>
    <s v="Фёдоров Глеб"/>
    <x v="3"/>
    <s v="ЛПЗ"/>
    <s v="ОПЗ"/>
    <m/>
    <m/>
    <s v="Зел.Хол"/>
    <s v="Зел.Хол"/>
    <x v="88"/>
    <s v="Эвон"/>
    <m/>
    <n v="34.714285714285715"/>
    <n v="11"/>
    <n v="45"/>
    <n v="35"/>
    <n v="41"/>
    <n v="43"/>
    <n v="45"/>
    <n v="23"/>
    <n v="0"/>
    <n v="2542"/>
    <n v="211.83333333333334"/>
    <n v="0"/>
    <n v="211.83333333333334"/>
    <n v="0"/>
    <n v="0"/>
  </r>
  <r>
    <s v="Смирнов Игорь"/>
    <x v="4"/>
    <s v="Т"/>
    <m/>
    <m/>
    <m/>
    <s v="Зел.Хол"/>
    <s v="Зел.Хол"/>
    <x v="88"/>
    <s v="Эвон"/>
    <m/>
    <n v="30"/>
    <n v="9"/>
    <n v="39"/>
    <n v="31"/>
    <n v="35"/>
    <n v="37"/>
    <n v="39"/>
    <n v="20"/>
    <n v="0"/>
    <n v="591"/>
    <n v="49.25"/>
    <n v="0"/>
    <n v="49.25"/>
    <n v="0"/>
    <n v="0"/>
  </r>
  <r>
    <s v="Кентуков"/>
    <x v="0"/>
    <s v="В"/>
    <m/>
    <m/>
    <s v="Кедр"/>
    <s v="Кедр"/>
    <s v="Кедр"/>
    <x v="89"/>
    <s v="Эвон"/>
    <m/>
    <n v="63.285714285714285"/>
    <n v="41"/>
    <n v="65"/>
    <n v="66"/>
    <n v="65"/>
    <n v="65"/>
    <n v="65"/>
    <n v="76"/>
    <n v="0"/>
    <n v="1030522"/>
    <n v="85876.833333333328"/>
    <n v="0"/>
    <n v="85876.833333333328"/>
    <n v="0"/>
    <n v="0"/>
  </r>
  <r>
    <s v="Буггута Хога"/>
    <x v="1"/>
    <s v="ЦЗ"/>
    <s v="ПЗ"/>
    <m/>
    <s v="Кедр"/>
    <s v="Кедр"/>
    <s v="Кедр"/>
    <x v="89"/>
    <s v="Эвон"/>
    <m/>
    <n v="53.285714285714285"/>
    <n v="21"/>
    <n v="39"/>
    <n v="41"/>
    <n v="56"/>
    <n v="70"/>
    <n v="75"/>
    <n v="71"/>
    <n v="0"/>
    <n v="184548"/>
    <n v="15379"/>
    <n v="0"/>
    <n v="15379"/>
    <n v="0"/>
    <n v="0"/>
  </r>
  <r>
    <s v="Гаруа Номба"/>
    <x v="1"/>
    <s v="ПЗ"/>
    <s v="ЦЗ"/>
    <m/>
    <s v="Кедр"/>
    <s v="Кедр"/>
    <s v="Кедр"/>
    <x v="89"/>
    <s v="Эвон"/>
    <m/>
    <n v="63"/>
    <n v="40"/>
    <n v="70"/>
    <n v="70"/>
    <n v="70"/>
    <n v="69"/>
    <n v="72"/>
    <n v="50"/>
    <n v="0"/>
    <n v="984931"/>
    <n v="13437.5"/>
    <n v="0"/>
    <n v="82077.583333333328"/>
    <n v="-83.63"/>
    <n v="0"/>
  </r>
  <r>
    <s v="Ерепин"/>
    <x v="1"/>
    <s v="ЦЗ"/>
    <m/>
    <m/>
    <s v="Кедр"/>
    <s v="Кедр"/>
    <s v="Кедр"/>
    <x v="89"/>
    <s v="Эвон"/>
    <m/>
    <n v="69.857142857142861"/>
    <n v="52"/>
    <n v="65"/>
    <n v="60"/>
    <n v="65"/>
    <n v="80"/>
    <n v="89"/>
    <n v="78"/>
    <n v="26"/>
    <n v="4151447"/>
    <n v="345953.91666666669"/>
    <n v="0"/>
    <n v="345953.91666666669"/>
    <n v="0"/>
    <n v="0"/>
  </r>
  <r>
    <s v="Зонский"/>
    <x v="1"/>
    <s v="ЦЗ"/>
    <m/>
    <m/>
    <s v="Кедр"/>
    <s v="Кедр"/>
    <s v="Кедр"/>
    <x v="89"/>
    <s v="Эвон"/>
    <m/>
    <n v="53.285714285714285"/>
    <n v="41"/>
    <n v="40"/>
    <n v="77"/>
    <n v="25"/>
    <n v="73"/>
    <n v="95"/>
    <n v="22"/>
    <n v="0"/>
    <n v="184548"/>
    <n v="15379"/>
    <n v="0"/>
    <n v="15379"/>
    <n v="0"/>
    <n v="0"/>
  </r>
  <r>
    <s v="Орокаи Вани"/>
    <x v="1"/>
    <s v="ЛЗ"/>
    <s v="ЦЗ"/>
    <m/>
    <s v="Кедр"/>
    <s v="Кедр"/>
    <s v="Кедр"/>
    <x v="89"/>
    <s v="Эвон"/>
    <m/>
    <n v="55.285714285714285"/>
    <n v="16"/>
    <n v="61"/>
    <n v="57"/>
    <n v="69"/>
    <n v="75"/>
    <n v="77"/>
    <n v="32"/>
    <n v="0"/>
    <n v="266766"/>
    <n v="22230.5"/>
    <n v="0"/>
    <n v="22230.5"/>
    <n v="0"/>
    <n v="0"/>
  </r>
  <r>
    <s v="Рубинштерн"/>
    <x v="1"/>
    <s v="ЦЗ"/>
    <s v="ПЗ"/>
    <s v="ОПЗ"/>
    <s v="Кедр"/>
    <s v="Кедр"/>
    <s v="Кедр"/>
    <x v="89"/>
    <s v="Эвон"/>
    <m/>
    <n v="76.857142857142861"/>
    <n v="70"/>
    <n v="65"/>
    <n v="68"/>
    <n v="75"/>
    <n v="83"/>
    <n v="87"/>
    <n v="90"/>
    <n v="6"/>
    <n v="10787819"/>
    <n v="898984.91666666663"/>
    <n v="0"/>
    <n v="898984.91666666663"/>
    <n v="0"/>
    <n v="0"/>
  </r>
  <r>
    <s v="Тувара Матаи"/>
    <x v="1"/>
    <s v="ЦЗ"/>
    <s v="ОПЗ"/>
    <m/>
    <s v="Кедр"/>
    <s v="Кедр"/>
    <s v="Кедр"/>
    <x v="89"/>
    <s v="Эвон"/>
    <m/>
    <n v="62.714285714285715"/>
    <n v="23"/>
    <n v="71"/>
    <n v="65"/>
    <n v="77"/>
    <n v="79"/>
    <n v="81"/>
    <n v="43"/>
    <n v="0"/>
    <n v="941163"/>
    <n v="78430.25"/>
    <n v="0"/>
    <n v="78430.25"/>
    <n v="0"/>
    <n v="0"/>
  </r>
  <r>
    <s v="Вот Атта"/>
    <x v="2"/>
    <s v="ЦН"/>
    <m/>
    <m/>
    <s v="Кедр"/>
    <s v="Кедр"/>
    <s v="Кедр"/>
    <x v="89"/>
    <s v="Эвон"/>
    <m/>
    <n v="57.714285714285715"/>
    <n v="35"/>
    <n v="72"/>
    <n v="65"/>
    <n v="65"/>
    <n v="67"/>
    <n v="60"/>
    <n v="40"/>
    <n v="0"/>
    <n v="410047"/>
    <n v="34170.583333333336"/>
    <n v="0"/>
    <n v="34170.583333333336"/>
    <n v="0"/>
    <n v="0"/>
  </r>
  <r>
    <s v="Жуппленг"/>
    <x v="2"/>
    <s v="ОФ"/>
    <m/>
    <m/>
    <s v="Кедр"/>
    <s v="Кедр"/>
    <s v="Кедр"/>
    <x v="89"/>
    <s v="Эвон"/>
    <m/>
    <n v="55.285714285714285"/>
    <n v="20"/>
    <n v="75"/>
    <n v="63"/>
    <n v="67"/>
    <n v="63"/>
    <n v="58"/>
    <n v="41"/>
    <n v="0"/>
    <n v="266766"/>
    <n v="22230.5"/>
    <n v="0"/>
    <n v="22230.5"/>
    <n v="0"/>
    <n v="0"/>
  </r>
  <r>
    <s v="Науаи Купу"/>
    <x v="2"/>
    <s v="ЦН"/>
    <s v="ОФ"/>
    <m/>
    <s v="Кедр"/>
    <s v="Кедр"/>
    <s v="Кедр"/>
    <x v="89"/>
    <s v="Эвон"/>
    <m/>
    <n v="64.428571428571431"/>
    <n v="24"/>
    <n v="75"/>
    <n v="75"/>
    <n v="76"/>
    <n v="77"/>
    <n v="80"/>
    <n v="44"/>
    <n v="0"/>
    <n v="1232495"/>
    <n v="102707.91666666667"/>
    <n v="0"/>
    <n v="102707.91666666667"/>
    <n v="0"/>
    <n v="0"/>
  </r>
  <r>
    <s v="Ванимо Аруа"/>
    <x v="3"/>
    <s v="ЛПЗ"/>
    <s v="ОПЗ"/>
    <m/>
    <s v="Кедр"/>
    <s v="Кедр"/>
    <s v="Кедр"/>
    <x v="89"/>
    <s v="Эвон"/>
    <m/>
    <n v="53.571428571428569"/>
    <n v="18"/>
    <n v="59"/>
    <n v="61"/>
    <n v="69"/>
    <n v="67"/>
    <n v="70"/>
    <n v="31"/>
    <n v="0"/>
    <n v="194685"/>
    <n v="16223.75"/>
    <n v="0"/>
    <n v="16223.75"/>
    <n v="0"/>
    <n v="0"/>
  </r>
  <r>
    <s v="Кураи Тио"/>
    <x v="3"/>
    <s v="АПЗ"/>
    <s v="ЦПЗ"/>
    <m/>
    <s v="Кедр"/>
    <s v="Кедр"/>
    <s v="Кедр"/>
    <x v="89"/>
    <s v="Эвон"/>
    <m/>
    <n v="69.571428571428569"/>
    <n v="40"/>
    <n v="83"/>
    <n v="75"/>
    <n v="75"/>
    <n v="71"/>
    <n v="73"/>
    <n v="70"/>
    <n v="17"/>
    <n v="3984745"/>
    <n v="332062.08333333331"/>
    <n v="0"/>
    <n v="332062.08333333331"/>
    <n v="0"/>
    <n v="0"/>
  </r>
  <r>
    <s v="Лаунаи Пои"/>
    <x v="3"/>
    <s v="ОПЗ"/>
    <s v="ЦПЗ"/>
    <m/>
    <s v="Кедр"/>
    <s v="Кедр"/>
    <s v="Кедр"/>
    <x v="89"/>
    <s v="Эвон"/>
    <m/>
    <n v="62"/>
    <n v="24"/>
    <n v="73"/>
    <n v="69"/>
    <n v="79"/>
    <n v="73"/>
    <n v="75"/>
    <n v="41"/>
    <n v="0"/>
    <n v="839300"/>
    <n v="69941.666666666672"/>
    <n v="0"/>
    <n v="69941.666666666672"/>
    <n v="0"/>
    <n v="0"/>
  </r>
  <r>
    <s v="Мандаке Аи"/>
    <x v="3"/>
    <s v="ЦПЗ"/>
    <s v="ОПЗ"/>
    <m/>
    <s v="Кедр"/>
    <s v="Кедр"/>
    <s v="Кедр"/>
    <x v="89"/>
    <s v="Эвон"/>
    <m/>
    <n v="51.142857142857146"/>
    <n v="16"/>
    <n v="55"/>
    <n v="59"/>
    <n v="67"/>
    <n v="65"/>
    <n v="68"/>
    <n v="28"/>
    <n v="0"/>
    <n v="122420"/>
    <n v="10201.666666666666"/>
    <n v="0"/>
    <n v="10201.666666666666"/>
    <n v="0"/>
    <n v="0"/>
  </r>
  <r>
    <s v="Сурнен"/>
    <x v="3"/>
    <s v="ОПЗ"/>
    <m/>
    <m/>
    <s v="Кедр"/>
    <s v="Кедр"/>
    <s v="Кедр"/>
    <x v="89"/>
    <s v="Эвон"/>
    <m/>
    <n v="46.857142857142854"/>
    <n v="21"/>
    <n v="56"/>
    <n v="59"/>
    <n v="56"/>
    <n v="60"/>
    <n v="56"/>
    <n v="20"/>
    <n v="0"/>
    <n v="51023"/>
    <n v="4251.916666666667"/>
    <n v="0"/>
    <n v="4251.916666666667"/>
    <n v="0"/>
    <n v="0"/>
  </r>
  <r>
    <s v="Тарума Оро"/>
    <x v="3"/>
    <s v="ППЗ"/>
    <s v="ЛПЗ"/>
    <m/>
    <s v="Кедр"/>
    <s v="Кедр"/>
    <s v="Кедр"/>
    <x v="89"/>
    <s v="Эвон"/>
    <m/>
    <n v="55.857142857142854"/>
    <n v="19"/>
    <n v="65"/>
    <n v="63"/>
    <n v="71"/>
    <n v="69"/>
    <n v="71"/>
    <n v="33"/>
    <n v="0"/>
    <n v="295657"/>
    <n v="24638.083333333332"/>
    <n v="0"/>
    <n v="24638.083333333332"/>
    <n v="0"/>
    <n v="0"/>
  </r>
  <r>
    <s v="Цырмаш"/>
    <x v="3"/>
    <s v="ЦПЗ"/>
    <m/>
    <m/>
    <s v="Кедр"/>
    <s v="Кедр"/>
    <s v="Кедр"/>
    <x v="89"/>
    <s v="Эвон"/>
    <m/>
    <n v="58"/>
    <n v="41"/>
    <n v="58"/>
    <n v="64"/>
    <n v="63"/>
    <n v="66"/>
    <n v="73"/>
    <n v="41"/>
    <n v="0"/>
    <n v="430805"/>
    <n v="35900.416666666664"/>
    <n v="0"/>
    <n v="35900.416666666664"/>
    <n v="0"/>
    <n v="0"/>
  </r>
  <r>
    <s v="Щок"/>
    <x v="3"/>
    <s v="ЦПЗ"/>
    <s v="АПЗ"/>
    <m/>
    <s v="Кедр"/>
    <s v="Кедр"/>
    <s v="Кедр"/>
    <x v="89"/>
    <s v="Эвон"/>
    <m/>
    <n v="55.285714285714285"/>
    <n v="39"/>
    <n v="59"/>
    <n v="65"/>
    <n v="60"/>
    <n v="60"/>
    <n v="66"/>
    <n v="38"/>
    <n v="0"/>
    <n v="266766"/>
    <n v="22230.5"/>
    <n v="0"/>
    <n v="22230.5"/>
    <n v="0"/>
    <n v="0"/>
  </r>
  <r>
    <s v="Югга Т"/>
    <x v="3"/>
    <s v="ЛПЗ"/>
    <s v="ППЗ"/>
    <m/>
    <s v="Кедр"/>
    <s v="Кедр"/>
    <s v="Кедр"/>
    <x v="89"/>
    <s v="Эвон"/>
    <m/>
    <n v="54.714285714285715"/>
    <n v="40"/>
    <n v="67"/>
    <n v="58"/>
    <n v="60"/>
    <n v="57"/>
    <n v="65"/>
    <n v="36"/>
    <n v="0"/>
    <n v="240441"/>
    <n v="20036.75"/>
    <n v="0"/>
    <n v="20036.75"/>
    <n v="0"/>
    <n v="0"/>
  </r>
  <r>
    <s v="Куапу Малаки"/>
    <x v="4"/>
    <s v="Т"/>
    <m/>
    <m/>
    <m/>
    <s v="Кедр"/>
    <s v="Кедр"/>
    <x v="89"/>
    <s v="Эвон"/>
    <m/>
    <n v="58.285714285714285"/>
    <n v="21"/>
    <n v="67"/>
    <n v="61"/>
    <n v="71"/>
    <n v="73"/>
    <n v="75"/>
    <n v="40"/>
    <n v="0"/>
    <n v="452503"/>
    <n v="37708.583333333336"/>
    <n v="0"/>
    <n v="37708.583333333336"/>
    <n v="0"/>
    <n v="0"/>
  </r>
  <r>
    <s v="Винтергейт Остин"/>
    <x v="0"/>
    <s v="В"/>
    <m/>
    <m/>
    <m/>
    <s v="Бел"/>
    <s v="Бел"/>
    <x v="90"/>
    <s v="Эвон"/>
    <m/>
    <n v="65.142857142857139"/>
    <n v="16"/>
    <n v="82"/>
    <n v="76"/>
    <n v="80"/>
    <n v="82"/>
    <n v="84"/>
    <n v="36"/>
    <n v="0"/>
    <n v="1376158"/>
    <n v="114679.83333333333"/>
    <n v="0"/>
    <n v="114679.83333333333"/>
    <n v="0"/>
    <n v="0"/>
  </r>
  <r>
    <s v="Кросс Остин"/>
    <x v="0"/>
    <s v="В"/>
    <m/>
    <m/>
    <m/>
    <s v="Бел"/>
    <s v="Бел"/>
    <x v="90"/>
    <s v="Эвон"/>
    <m/>
    <n v="64"/>
    <n v="15"/>
    <n v="81"/>
    <n v="75"/>
    <n v="79"/>
    <n v="81"/>
    <n v="83"/>
    <n v="34"/>
    <n v="0"/>
    <n v="1152922"/>
    <n v="96076.833333333328"/>
    <n v="0"/>
    <n v="96076.833333333328"/>
    <n v="0"/>
    <n v="0"/>
  </r>
  <r>
    <s v="Хартнелл Рэй"/>
    <x v="0"/>
    <s v="В"/>
    <m/>
    <m/>
    <m/>
    <s v="Бел"/>
    <s v="Бел"/>
    <x v="90"/>
    <s v="Эвон"/>
    <m/>
    <n v="63"/>
    <n v="14"/>
    <n v="80"/>
    <n v="74"/>
    <n v="78"/>
    <n v="80"/>
    <n v="82"/>
    <n v="33"/>
    <n v="0"/>
    <n v="984931"/>
    <n v="82077.583333333328"/>
    <n v="0"/>
    <n v="82077.583333333328"/>
    <n v="0"/>
    <n v="0"/>
  </r>
  <r>
    <s v="Блэксмит Люк"/>
    <x v="1"/>
    <s v="ЦЗ"/>
    <s v="ОПЗ"/>
    <m/>
    <m/>
    <s v="Бел"/>
    <s v="Бел"/>
    <x v="90"/>
    <s v="Эвон"/>
    <m/>
    <n v="61.571428571428569"/>
    <n v="14"/>
    <n v="80"/>
    <n v="72"/>
    <n v="76"/>
    <n v="78"/>
    <n v="80"/>
    <n v="31"/>
    <n v="0"/>
    <n v="783056"/>
    <n v="65254.666666666664"/>
    <n v="0"/>
    <n v="65254.666666666664"/>
    <n v="0"/>
    <n v="0"/>
  </r>
  <r>
    <s v="Гольерди Востин"/>
    <x v="1"/>
    <s v="ЦЗ"/>
    <s v="ЛЗ"/>
    <m/>
    <m/>
    <s v="Бел"/>
    <s v="Бел"/>
    <x v="90"/>
    <s v="Эвон"/>
    <m/>
    <n v="69.285714285714292"/>
    <n v="19"/>
    <n v="88"/>
    <n v="80"/>
    <n v="84"/>
    <n v="86"/>
    <n v="88"/>
    <n v="40"/>
    <n v="0"/>
    <n v="2549395"/>
    <n v="212449.58333333334"/>
    <n v="0"/>
    <n v="212449.58333333334"/>
    <n v="0"/>
    <n v="0"/>
  </r>
  <r>
    <s v="Стокман Кир"/>
    <x v="1"/>
    <s v="ЛЗ"/>
    <s v="ЦЗ"/>
    <m/>
    <m/>
    <s v="Бел"/>
    <s v="Бел"/>
    <x v="90"/>
    <s v="Эвон"/>
    <m/>
    <n v="67.714285714285708"/>
    <n v="18"/>
    <n v="86"/>
    <n v="80"/>
    <n v="82"/>
    <n v="84"/>
    <n v="86"/>
    <n v="38"/>
    <n v="0"/>
    <n v="2026764"/>
    <n v="168897"/>
    <n v="0"/>
    <n v="168897"/>
    <n v="0"/>
    <n v="0"/>
  </r>
  <r>
    <s v="Уэстли Ян"/>
    <x v="1"/>
    <s v="ПЗ"/>
    <s v="ЛЗ"/>
    <m/>
    <m/>
    <s v="Бел"/>
    <s v="Бел"/>
    <x v="90"/>
    <s v="Эвон"/>
    <m/>
    <n v="61.428571428571431"/>
    <n v="14"/>
    <n v="80"/>
    <n v="72"/>
    <n v="76"/>
    <n v="78"/>
    <n v="80"/>
    <n v="30"/>
    <n v="0"/>
    <n v="765076"/>
    <n v="63756.333333333336"/>
    <n v="0"/>
    <n v="63756.333333333336"/>
    <n v="0"/>
    <n v="0"/>
  </r>
  <r>
    <s v="Эшдаун Тим"/>
    <x v="1"/>
    <s v="ПЗ"/>
    <s v="ЦЗ"/>
    <m/>
    <m/>
    <s v="Бел"/>
    <s v="Бел"/>
    <x v="90"/>
    <s v="Эвон"/>
    <m/>
    <n v="66.714285714285708"/>
    <n v="17"/>
    <n v="84"/>
    <n v="78"/>
    <n v="82"/>
    <n v="84"/>
    <n v="86"/>
    <n v="36"/>
    <n v="0"/>
    <n v="1746580"/>
    <n v="145548.33333333334"/>
    <n v="0"/>
    <n v="145548.33333333334"/>
    <n v="0"/>
    <n v="0"/>
  </r>
  <r>
    <s v="Брэдсток Эрл"/>
    <x v="2"/>
    <s v="ОФ"/>
    <s v="ЦН"/>
    <m/>
    <m/>
    <s v="Бел"/>
    <s v="Бел"/>
    <x v="90"/>
    <s v="Эвон"/>
    <m/>
    <n v="63.857142857142854"/>
    <n v="15"/>
    <n v="81"/>
    <n v="75"/>
    <n v="79"/>
    <n v="81"/>
    <n v="83"/>
    <n v="33"/>
    <n v="0"/>
    <n v="1127444"/>
    <n v="93953.666666666672"/>
    <n v="0"/>
    <n v="93953.666666666672"/>
    <n v="0"/>
    <n v="0"/>
  </r>
  <r>
    <s v="Годленд Торвальд"/>
    <x v="2"/>
    <s v="ЦН"/>
    <s v="ОФ"/>
    <m/>
    <m/>
    <s v="Бел"/>
    <s v="Бел"/>
    <x v="90"/>
    <s v="Эвон"/>
    <m/>
    <n v="75.428571428571431"/>
    <n v="24"/>
    <n v="90"/>
    <n v="88"/>
    <n v="90"/>
    <n v="92"/>
    <n v="94"/>
    <n v="50"/>
    <n v="0"/>
    <n v="5961545"/>
    <n v="496795.41666666669"/>
    <n v="0"/>
    <n v="496795.41666666669"/>
    <n v="0"/>
    <n v="0"/>
  </r>
  <r>
    <s v="Пэнли Дан"/>
    <x v="2"/>
    <s v="ОФ"/>
    <s v="ЦН"/>
    <m/>
    <m/>
    <s v="Бел"/>
    <s v="Бел"/>
    <x v="90"/>
    <s v="Эвон"/>
    <m/>
    <n v="66.714285714285708"/>
    <n v="17"/>
    <n v="84"/>
    <n v="78"/>
    <n v="82"/>
    <n v="84"/>
    <n v="86"/>
    <n v="36"/>
    <n v="0"/>
    <n v="1746580"/>
    <n v="145548.33333333334"/>
    <n v="0"/>
    <n v="145548.33333333334"/>
    <n v="0"/>
    <n v="0"/>
  </r>
  <r>
    <s v="Дэшли Кайус"/>
    <x v="3"/>
    <s v="АПЗ"/>
    <s v="ЦПЗ"/>
    <m/>
    <m/>
    <s v="Бел"/>
    <s v="Бел"/>
    <x v="90"/>
    <s v="Эвон"/>
    <m/>
    <n v="62.571428571428569"/>
    <n v="15"/>
    <n v="81"/>
    <n v="73"/>
    <n v="77"/>
    <n v="79"/>
    <n v="81"/>
    <n v="32"/>
    <n v="0"/>
    <n v="919943"/>
    <n v="76661.916666666672"/>
    <n v="0"/>
    <n v="76661.916666666672"/>
    <n v="0"/>
    <n v="0"/>
  </r>
  <r>
    <s v="Дэштон Кс"/>
    <x v="3"/>
    <s v="ППЗ"/>
    <s v="АПЗ"/>
    <m/>
    <m/>
    <s v="Бел"/>
    <s v="Бел"/>
    <x v="90"/>
    <s v="Эвон"/>
    <m/>
    <n v="72.142857142857139"/>
    <n v="23"/>
    <n v="88"/>
    <n v="84"/>
    <n v="86"/>
    <n v="88"/>
    <n v="90"/>
    <n v="46"/>
    <n v="0"/>
    <n v="3818857"/>
    <n v="318238.08333333331"/>
    <n v="0"/>
    <n v="318238.08333333331"/>
    <n v="0"/>
    <n v="0"/>
  </r>
  <r>
    <s v="Кросспорт Дар"/>
    <x v="3"/>
    <s v="ОПЗ"/>
    <s v="ЦПЗ"/>
    <m/>
    <m/>
    <s v="Бел"/>
    <s v="Бел"/>
    <x v="90"/>
    <s v="Эвон"/>
    <m/>
    <n v="64.857142857142861"/>
    <n v="16"/>
    <n v="82"/>
    <n v="76"/>
    <n v="80"/>
    <n v="82"/>
    <n v="84"/>
    <n v="34"/>
    <n v="0"/>
    <n v="1316977"/>
    <n v="109748.08333333333"/>
    <n v="0"/>
    <n v="109748.08333333333"/>
    <n v="0"/>
    <n v="0"/>
  </r>
  <r>
    <s v="Мэйбери Мэйс"/>
    <x v="3"/>
    <s v="ЦПЗ"/>
    <s v="ОПЗ"/>
    <m/>
    <m/>
    <s v="Бел"/>
    <s v="Бел"/>
    <x v="90"/>
    <s v="Эвон"/>
    <m/>
    <n v="73.285714285714292"/>
    <n v="21"/>
    <n v="92"/>
    <n v="86"/>
    <n v="88"/>
    <n v="90"/>
    <n v="92"/>
    <n v="44"/>
    <n v="0"/>
    <n v="4468825"/>
    <n v="372402.08333333331"/>
    <n v="0"/>
    <n v="372402.08333333331"/>
    <n v="0"/>
    <n v="0"/>
  </r>
  <r>
    <s v="Рэдвуд Кэс"/>
    <x v="3"/>
    <s v="ЛПЗ"/>
    <s v="ОПЗ"/>
    <m/>
    <m/>
    <s v="Бел"/>
    <s v="Бел"/>
    <x v="90"/>
    <s v="Эвон"/>
    <m/>
    <n v="59.714285714285715"/>
    <n v="13"/>
    <n v="79"/>
    <n v="70"/>
    <n v="74"/>
    <n v="76"/>
    <n v="78"/>
    <n v="28"/>
    <n v="0"/>
    <n v="576478"/>
    <n v="48039.833333333336"/>
    <n v="0"/>
    <n v="48039.833333333336"/>
    <n v="0"/>
    <n v="0"/>
  </r>
  <r>
    <s v="Сальвич (П)"/>
    <x v="3"/>
    <s v="ОПЗ"/>
    <s v="ЦПЗ"/>
    <s v="ЦЗ"/>
    <s v="Вар"/>
    <s v="Вар"/>
    <s v="Вар"/>
    <x v="90"/>
    <s v="Эвон"/>
    <m/>
    <n v="82.142857142857139"/>
    <n v="75"/>
    <n v="80"/>
    <n v="83"/>
    <n v="83"/>
    <n v="89"/>
    <n v="89"/>
    <n v="76"/>
    <n v="18"/>
    <n v="20979219"/>
    <n v="1748268.25"/>
    <n v="0"/>
    <n v="1748268.25"/>
    <n v="0"/>
    <n v="0"/>
  </r>
  <r>
    <s v="Уинтерсол Ирж"/>
    <x v="3"/>
    <s v="ППЗ"/>
    <s v="АПЗ"/>
    <m/>
    <m/>
    <s v="Бел"/>
    <s v="Бел"/>
    <x v="90"/>
    <s v="Эвон"/>
    <m/>
    <n v="65.857142857142861"/>
    <n v="17"/>
    <n v="83"/>
    <n v="77"/>
    <n v="81"/>
    <n v="83"/>
    <n v="85"/>
    <n v="35"/>
    <n v="0"/>
    <n v="1534719"/>
    <n v="127893.25"/>
    <n v="0"/>
    <n v="127893.25"/>
    <n v="0"/>
    <n v="0"/>
  </r>
  <r>
    <s v="Холтгейт Пол"/>
    <x v="3"/>
    <s v="АПЗ"/>
    <s v="ППЗ"/>
    <m/>
    <m/>
    <s v="Бел"/>
    <s v="Бел"/>
    <x v="90"/>
    <s v="Эвон"/>
    <m/>
    <n v="69.142857142857139"/>
    <n v="18"/>
    <n v="87"/>
    <n v="82"/>
    <n v="84"/>
    <n v="86"/>
    <n v="88"/>
    <n v="39"/>
    <n v="0"/>
    <n v="2497315"/>
    <n v="208109.58333333334"/>
    <n v="0"/>
    <n v="208109.58333333334"/>
    <n v="0"/>
    <n v="0"/>
  </r>
  <r>
    <s v="Грейсфорд Элд"/>
    <x v="4"/>
    <s v="Т"/>
    <m/>
    <m/>
    <m/>
    <s v="Бел"/>
    <s v="Бел"/>
    <x v="90"/>
    <s v="Эвон"/>
    <m/>
    <n v="64"/>
    <n v="15"/>
    <n v="81"/>
    <n v="75"/>
    <n v="79"/>
    <n v="81"/>
    <n v="83"/>
    <n v="34"/>
    <n v="0"/>
    <n v="1152922"/>
    <n v="96076.833333333328"/>
    <n v="0"/>
    <n v="96076.833333333328"/>
    <n v="0"/>
    <n v="0"/>
  </r>
  <r>
    <s v="Вокса"/>
    <x v="0"/>
    <s v="В"/>
    <m/>
    <m/>
    <s v="Киш"/>
    <s v="Киш"/>
    <s v="Киш"/>
    <x v="91"/>
    <s v="Эвон"/>
    <m/>
    <n v="69.428571428571431"/>
    <n v="51"/>
    <n v="84"/>
    <n v="64"/>
    <n v="84"/>
    <n v="76"/>
    <n v="77"/>
    <n v="50"/>
    <n v="0"/>
    <n v="2602450"/>
    <n v="216870.83333333334"/>
    <n v="0"/>
    <n v="216870.83333333334"/>
    <n v="0"/>
    <n v="0"/>
  </r>
  <r>
    <s v="Торри"/>
    <x v="0"/>
    <s v="В"/>
    <m/>
    <m/>
    <s v="Киш"/>
    <s v="Киш"/>
    <s v="Киш"/>
    <x v="91"/>
    <s v="Эвон"/>
    <m/>
    <n v="76.857142857142861"/>
    <n v="62"/>
    <n v="95"/>
    <n v="92"/>
    <n v="66"/>
    <n v="88"/>
    <n v="79"/>
    <n v="56"/>
    <n v="29"/>
    <n v="10787819"/>
    <n v="898984.91666666663"/>
    <n v="0"/>
    <n v="898984.91666666663"/>
    <n v="0"/>
    <n v="0"/>
  </r>
  <r>
    <s v="Миколенко (З)"/>
    <x v="1"/>
    <s v="ЦЗ"/>
    <s v="ЛЗ"/>
    <m/>
    <s v="Киш"/>
    <s v="Тевт"/>
    <s v="Тевт"/>
    <x v="91"/>
    <s v="Эвон"/>
    <m/>
    <n v="77.142857142857139"/>
    <n v="70"/>
    <n v="73"/>
    <n v="75"/>
    <n v="80"/>
    <n v="81"/>
    <n v="88"/>
    <n v="73"/>
    <n v="0"/>
    <n v="7463752"/>
    <n v="621979.33333333337"/>
    <n v="0"/>
    <n v="621979.33333333337"/>
    <n v="0"/>
    <n v="0"/>
  </r>
  <r>
    <s v="Париат"/>
    <x v="1"/>
    <s v="ЦЗ"/>
    <m/>
    <m/>
    <s v="Киш"/>
    <s v="Киш"/>
    <s v="Киш"/>
    <x v="91"/>
    <s v="Эвон"/>
    <m/>
    <n v="72.714285714285708"/>
    <n v="41"/>
    <n v="65"/>
    <n v="70"/>
    <n v="85"/>
    <n v="85"/>
    <n v="83"/>
    <n v="80"/>
    <n v="0"/>
    <n v="4132354"/>
    <n v="344362.83333333331"/>
    <n v="0"/>
    <n v="344362.83333333331"/>
    <n v="0"/>
    <n v="0"/>
  </r>
  <r>
    <s v="Тар Карлон"/>
    <x v="1"/>
    <s v="ПЗ"/>
    <s v="ОПЗ"/>
    <m/>
    <s v="Киш"/>
    <s v="Киш"/>
    <s v="Киш"/>
    <x v="91"/>
    <s v="Эвон"/>
    <m/>
    <n v="73"/>
    <n v="51"/>
    <n v="76"/>
    <n v="77"/>
    <n v="83"/>
    <n v="75"/>
    <n v="74"/>
    <n v="75"/>
    <n v="0"/>
    <n v="4297626"/>
    <n v="358135.5"/>
    <n v="0"/>
    <n v="358135.5"/>
    <n v="0"/>
    <n v="0"/>
  </r>
  <r>
    <s v="Тунди"/>
    <x v="1"/>
    <s v="ЦЗ"/>
    <s v="ОПЗ"/>
    <m/>
    <s v="Киш"/>
    <s v="Киш"/>
    <s v="Киш"/>
    <x v="91"/>
    <s v="Эвон"/>
    <m/>
    <n v="68.714285714285708"/>
    <n v="35"/>
    <n v="61"/>
    <n v="72"/>
    <n v="74"/>
    <n v="80"/>
    <n v="86"/>
    <n v="73"/>
    <n v="0"/>
    <n v="2346770"/>
    <n v="195564.16666666666"/>
    <n v="0"/>
    <n v="195564.16666666666"/>
    <n v="0"/>
    <n v="0"/>
  </r>
  <r>
    <s v="Хэжей"/>
    <x v="1"/>
    <s v="ЦЗ"/>
    <s v="ПЗ"/>
    <m/>
    <s v="Кедр"/>
    <s v="Кедр"/>
    <s v="Кедр"/>
    <x v="91"/>
    <s v="Эвон"/>
    <m/>
    <n v="52.285714285714285"/>
    <n v="33"/>
    <n v="51"/>
    <n v="60"/>
    <n v="55"/>
    <n v="61"/>
    <n v="65"/>
    <n v="41"/>
    <n v="0"/>
    <n v="152697"/>
    <n v="12724.75"/>
    <n v="0"/>
    <n v="12724.75"/>
    <n v="0"/>
    <n v="0"/>
  </r>
  <r>
    <s v="Джази (Н)"/>
    <x v="2"/>
    <s v="ЦН"/>
    <m/>
    <m/>
    <s v="Киш"/>
    <s v="Киш"/>
    <s v="Киш"/>
    <x v="91"/>
    <s v="Эвон"/>
    <m/>
    <n v="71"/>
    <n v="45"/>
    <n v="85"/>
    <n v="79"/>
    <n v="77"/>
    <n v="73"/>
    <n v="76"/>
    <n v="62"/>
    <n v="3"/>
    <n v="4882866"/>
    <n v="406905.5"/>
    <n v="0"/>
    <n v="406905.5"/>
    <n v="0"/>
    <n v="0"/>
  </r>
  <r>
    <s v="Триад (Н)"/>
    <x v="2"/>
    <s v="ЦН"/>
    <m/>
    <m/>
    <s v="Киш"/>
    <s v="Дант"/>
    <s v="Дант"/>
    <x v="91"/>
    <s v="Эвон"/>
    <m/>
    <n v="67.571428571428569"/>
    <n v="40"/>
    <n v="73"/>
    <n v="78"/>
    <n v="72"/>
    <n v="78"/>
    <n v="81"/>
    <n v="51"/>
    <n v="6"/>
    <n v="2976613"/>
    <n v="248051.08333333334"/>
    <n v="0"/>
    <n v="248051.08333333334"/>
    <n v="0"/>
    <n v="0"/>
  </r>
  <r>
    <s v="Хаеминг"/>
    <x v="2"/>
    <s v="ЦН"/>
    <s v="АПЗ"/>
    <m/>
    <s v="Киш"/>
    <s v="Киш"/>
    <s v="Киш"/>
    <x v="91"/>
    <s v="Эвон"/>
    <m/>
    <n v="62.285714285714285"/>
    <n v="30"/>
    <n v="70"/>
    <n v="73"/>
    <n v="70"/>
    <n v="74"/>
    <n v="79"/>
    <n v="40"/>
    <n v="0"/>
    <n v="878789"/>
    <n v="73232.416666666672"/>
    <n v="0"/>
    <n v="73232.416666666672"/>
    <n v="0"/>
    <n v="0"/>
  </r>
  <r>
    <s v="Кикорико (П)"/>
    <x v="3"/>
    <s v="АПЗ"/>
    <s v="ЛПЗ"/>
    <m/>
    <s v="Киш"/>
    <s v="Киш"/>
    <s v="Киш"/>
    <x v="91"/>
    <s v="Эвон"/>
    <m/>
    <n v="79.571428571428569"/>
    <n v="75"/>
    <n v="85"/>
    <n v="87"/>
    <n v="81"/>
    <n v="78"/>
    <n v="81"/>
    <n v="70"/>
    <n v="12"/>
    <n v="15263806"/>
    <n v="1271983.8333333333"/>
    <n v="0"/>
    <n v="1271983.8333333333"/>
    <n v="0"/>
    <n v="0"/>
  </r>
  <r>
    <s v="Клайстер"/>
    <x v="3"/>
    <s v="ЦПЗ"/>
    <m/>
    <m/>
    <s v="Крыж"/>
    <s v="Крыж"/>
    <s v="Крыж"/>
    <x v="91"/>
    <s v="Эвон"/>
    <m/>
    <n v="57.857142857142854"/>
    <n v="21"/>
    <n v="69"/>
    <n v="72"/>
    <n v="63"/>
    <n v="63"/>
    <n v="74"/>
    <n v="43"/>
    <n v="0"/>
    <n v="420311"/>
    <n v="35025.916666666664"/>
    <n v="0"/>
    <n v="35025.916666666664"/>
    <n v="0"/>
    <n v="0"/>
  </r>
  <r>
    <s v="Лорсент"/>
    <x v="3"/>
    <s v="ППЗ"/>
    <s v="АПЗ"/>
    <m/>
    <s v="Киш"/>
    <s v="Киш"/>
    <s v="Киш"/>
    <x v="91"/>
    <s v="Эвон"/>
    <m/>
    <n v="71.285714285714292"/>
    <n v="61"/>
    <n v="88"/>
    <n v="75"/>
    <n v="73"/>
    <n v="70"/>
    <n v="77"/>
    <n v="55"/>
    <n v="23"/>
    <n v="5082956"/>
    <n v="423579.66666666669"/>
    <n v="0"/>
    <n v="423579.66666666669"/>
    <n v="0"/>
    <n v="0"/>
  </r>
  <r>
    <s v="Мохкилек (П)"/>
    <x v="3"/>
    <s v="ЦПЗ"/>
    <s v="ОПЗ"/>
    <m/>
    <s v="Тел"/>
    <s v="Тел"/>
    <s v="Тел"/>
    <x v="91"/>
    <s v="Эвон"/>
    <m/>
    <n v="52.571428571428569"/>
    <n v="47"/>
    <n v="56"/>
    <n v="57"/>
    <n v="54"/>
    <n v="58"/>
    <n v="70"/>
    <n v="26"/>
    <n v="0"/>
    <n v="161250"/>
    <n v="13437.5"/>
    <n v="0"/>
    <n v="13437.5"/>
    <n v="0"/>
    <n v="0"/>
  </r>
  <r>
    <s v="Моших (П)"/>
    <x v="3"/>
    <s v="ЦПЗ"/>
    <m/>
    <m/>
    <s v="Киш"/>
    <s v="Киш"/>
    <s v="Киш"/>
    <x v="91"/>
    <s v="Эвон"/>
    <m/>
    <n v="79.285714285714292"/>
    <n v="72"/>
    <n v="80"/>
    <n v="89"/>
    <n v="83"/>
    <n v="80"/>
    <n v="83"/>
    <n v="68"/>
    <n v="21"/>
    <n v="14724505"/>
    <n v="1227042.0833333333"/>
    <n v="0"/>
    <n v="1227042.0833333333"/>
    <n v="0"/>
    <n v="0"/>
  </r>
  <r>
    <s v="Остапин (П)"/>
    <x v="3"/>
    <s v="ЦПЗ"/>
    <s v="ЛПЗ"/>
    <m/>
    <s v="Киш"/>
    <s v="Киш"/>
    <s v="Киш"/>
    <x v="91"/>
    <s v="Эвон"/>
    <m/>
    <n v="74.857142857142861"/>
    <n v="65"/>
    <n v="78"/>
    <n v="85"/>
    <n v="78"/>
    <n v="83"/>
    <n v="85"/>
    <n v="50"/>
    <n v="18"/>
    <n v="8287504"/>
    <n v="690625.33333333337"/>
    <n v="0"/>
    <n v="690625.33333333337"/>
    <n v="0"/>
    <n v="0"/>
  </r>
  <r>
    <s v="Феалка"/>
    <x v="3"/>
    <s v="ОПЗ"/>
    <s v="ЦЗ"/>
    <m/>
    <s v="Кедр"/>
    <s v="Кедр"/>
    <s v="Кедр"/>
    <x v="91"/>
    <s v="Эвон"/>
    <m/>
    <n v="64.857142857142861"/>
    <n v="45"/>
    <n v="70"/>
    <n v="71"/>
    <n v="72"/>
    <n v="70"/>
    <n v="75"/>
    <n v="51"/>
    <n v="0"/>
    <n v="1316977"/>
    <n v="109748.08333333333"/>
    <n v="0"/>
    <n v="109748.08333333333"/>
    <n v="0"/>
    <n v="0"/>
  </r>
  <r>
    <s v="Фунгент"/>
    <x v="3"/>
    <s v="ЦПЗ"/>
    <m/>
    <m/>
    <s v="Переп"/>
    <s v="Переп"/>
    <s v="Переп"/>
    <x v="91"/>
    <s v="Эвон"/>
    <m/>
    <n v="45.428571428571431"/>
    <n v="49"/>
    <n v="42"/>
    <n v="50"/>
    <n v="67"/>
    <n v="41"/>
    <n v="55"/>
    <n v="14"/>
    <n v="0"/>
    <n v="37437"/>
    <n v="3119.75"/>
    <n v="0"/>
    <n v="3119.75"/>
    <n v="0"/>
    <n v="0"/>
  </r>
  <r>
    <s v="Эзель"/>
    <x v="3"/>
    <s v="ЛПЗ"/>
    <m/>
    <m/>
    <s v="Киш"/>
    <s v="Киш"/>
    <s v="Киш"/>
    <x v="91"/>
    <s v="Эвон"/>
    <m/>
    <n v="70.142857142857139"/>
    <n v="60"/>
    <n v="90"/>
    <n v="72"/>
    <n v="72"/>
    <n v="71"/>
    <n v="73"/>
    <n v="53"/>
    <n v="3"/>
    <n v="4324400"/>
    <n v="360366.66666666669"/>
    <n v="0"/>
    <n v="360366.66666666669"/>
    <n v="0"/>
    <n v="0"/>
  </r>
  <r>
    <s v="Стейт Расс"/>
    <x v="0"/>
    <s v="В"/>
    <m/>
    <m/>
    <s v="Рекс"/>
    <s v="Рекс"/>
    <s v="Рекс"/>
    <x v="92"/>
    <s v="Эвон"/>
    <m/>
    <n v="82.857142857142861"/>
    <n v="60"/>
    <n v="90"/>
    <n v="97"/>
    <n v="80"/>
    <n v="82"/>
    <n v="91"/>
    <n v="80"/>
    <n v="31"/>
    <n v="22876564"/>
    <n v="1906380.3333333333"/>
    <n v="0"/>
    <n v="1906380.3333333333"/>
    <n v="0"/>
    <n v="0"/>
  </r>
  <r>
    <s v="Утрерх Вай"/>
    <x v="0"/>
    <s v="В"/>
    <m/>
    <m/>
    <m/>
    <s v="Рекс"/>
    <s v="Рекс"/>
    <x v="92"/>
    <s v="Эвон"/>
    <m/>
    <n v="78.714285714285708"/>
    <n v="45"/>
    <n v="80"/>
    <n v="88"/>
    <n v="84"/>
    <n v="90"/>
    <n v="94"/>
    <n v="70"/>
    <n v="29"/>
    <n v="13697044"/>
    <n v="1141420.3333333333"/>
    <n v="0"/>
    <n v="1141420.3333333333"/>
    <n v="0"/>
    <n v="0"/>
  </r>
  <r>
    <s v="Волкхейм Тор"/>
    <x v="1"/>
    <s v="ПЗ"/>
    <s v="ЦЗ"/>
    <m/>
    <m/>
    <s v="Рекс"/>
    <s v="Рекс"/>
    <x v="92"/>
    <s v="Эвон"/>
    <m/>
    <n v="62"/>
    <n v="18"/>
    <n v="78"/>
    <n v="71"/>
    <n v="75"/>
    <n v="77"/>
    <n v="80"/>
    <n v="35"/>
    <n v="0"/>
    <n v="839300"/>
    <n v="69941.666666666672"/>
    <n v="0"/>
    <n v="69941.666666666672"/>
    <n v="0"/>
    <n v="0"/>
  </r>
  <r>
    <s v="Дубхальд Гунн"/>
    <x v="1"/>
    <s v="ЛЗ"/>
    <s v="ЦЗ"/>
    <m/>
    <m/>
    <s v="Рекс"/>
    <s v="Рекс"/>
    <x v="92"/>
    <s v="Эвон"/>
    <m/>
    <n v="60.714285714285715"/>
    <n v="22"/>
    <n v="73"/>
    <n v="69"/>
    <n v="73"/>
    <n v="75"/>
    <n v="77"/>
    <n v="36"/>
    <n v="0"/>
    <n v="680627"/>
    <n v="56718.916666666664"/>
    <n v="0"/>
    <n v="56718.916666666664"/>
    <n v="0"/>
    <n v="0"/>
  </r>
  <r>
    <s v="Снегфьелл Кнут"/>
    <x v="1"/>
    <s v="ПЗ"/>
    <s v="ЦЗ"/>
    <m/>
    <m/>
    <s v="Рекс"/>
    <s v="Рекс"/>
    <x v="92"/>
    <s v="Эвон"/>
    <m/>
    <n v="62.714285714285715"/>
    <n v="24"/>
    <n v="75"/>
    <n v="71"/>
    <n v="75"/>
    <n v="77"/>
    <n v="79"/>
    <n v="38"/>
    <n v="0"/>
    <n v="941163"/>
    <n v="78430.25"/>
    <n v="0"/>
    <n v="78430.25"/>
    <n v="0"/>
    <n v="0"/>
  </r>
  <r>
    <s v="Хекси"/>
    <x v="1"/>
    <s v="ЦЗ"/>
    <s v="ЛЗ"/>
    <m/>
    <s v="Рекс"/>
    <s v="Рекс"/>
    <s v="Рекс"/>
    <x v="92"/>
    <s v="Эвон"/>
    <m/>
    <n v="85.142857142857139"/>
    <n v="80"/>
    <n v="85"/>
    <n v="85"/>
    <n v="87"/>
    <n v="89"/>
    <n v="87"/>
    <n v="83"/>
    <n v="26"/>
    <n v="30031254"/>
    <n v="2502604.5"/>
    <n v="0"/>
    <n v="2502604.5"/>
    <n v="0"/>
    <n v="0"/>
  </r>
  <r>
    <s v="Хемдель"/>
    <x v="1"/>
    <s v="ЦЗ"/>
    <s v="ОПЗ"/>
    <m/>
    <s v="Рекс"/>
    <s v="Рекс"/>
    <s v="Рекс"/>
    <x v="92"/>
    <s v="Эвон"/>
    <m/>
    <n v="89.714285714285708"/>
    <n v="84"/>
    <n v="82"/>
    <n v="90"/>
    <n v="91"/>
    <n v="93"/>
    <n v="98"/>
    <n v="90"/>
    <n v="26"/>
    <n v="50664913"/>
    <n v="4222076.083333333"/>
    <n v="0"/>
    <n v="4222076.083333333"/>
    <n v="0"/>
    <n v="0"/>
  </r>
  <r>
    <s v="Уткфьелл Бьор"/>
    <x v="2"/>
    <s v="ЦН"/>
    <s v="ОФ"/>
    <m/>
    <m/>
    <s v="Рекс"/>
    <s v="Рекс"/>
    <x v="92"/>
    <s v="Эвон"/>
    <m/>
    <n v="63.571428571428569"/>
    <n v="13"/>
    <n v="87"/>
    <n v="71"/>
    <n v="79"/>
    <n v="81"/>
    <n v="83"/>
    <n v="31"/>
    <n v="0"/>
    <n v="1078003"/>
    <n v="89833.583333333328"/>
    <n v="0"/>
    <n v="89833.583333333328"/>
    <n v="0"/>
    <n v="0"/>
  </r>
  <r>
    <s v="Элвенстад Ян"/>
    <x v="2"/>
    <s v="ОФ"/>
    <s v="ЦН"/>
    <m/>
    <m/>
    <s v="Рекс"/>
    <s v="Рекс"/>
    <x v="92"/>
    <s v="Эвон"/>
    <m/>
    <n v="64.714285714285708"/>
    <n v="20"/>
    <n v="76"/>
    <n v="73"/>
    <n v="81"/>
    <n v="83"/>
    <n v="85"/>
    <n v="35"/>
    <n v="0"/>
    <n v="1288255"/>
    <n v="107354.58333333333"/>
    <n v="0"/>
    <n v="107354.58333333333"/>
    <n v="0"/>
    <n v="0"/>
  </r>
  <r>
    <s v="Гаханхальд Торсен"/>
    <x v="3"/>
    <s v="ЛПЗ"/>
    <s v="ОПЗ"/>
    <m/>
    <m/>
    <s v="Рекс"/>
    <s v="Рекс"/>
    <x v="92"/>
    <s v="Эвон"/>
    <m/>
    <n v="70.714285714285708"/>
    <n v="23"/>
    <n v="82"/>
    <n v="81"/>
    <n v="87"/>
    <n v="89"/>
    <n v="91"/>
    <n v="42"/>
    <n v="0"/>
    <n v="3126595"/>
    <n v="260549.58333333334"/>
    <n v="0"/>
    <n v="260549.58333333334"/>
    <n v="0"/>
    <n v="0"/>
  </r>
  <r>
    <s v="Вертельм Кай"/>
    <x v="3"/>
    <s v="АПЗ"/>
    <s v="ППЗ"/>
    <m/>
    <m/>
    <s v="Рекс"/>
    <s v="Рекс"/>
    <x v="92"/>
    <s v="Эвон"/>
    <m/>
    <n v="65.857142857142861"/>
    <n v="19"/>
    <n v="76"/>
    <n v="75"/>
    <n v="83"/>
    <n v="85"/>
    <n v="87"/>
    <n v="36"/>
    <n v="0"/>
    <n v="1534719"/>
    <n v="127893.25"/>
    <n v="0"/>
    <n v="127893.25"/>
    <n v="0"/>
    <n v="0"/>
  </r>
  <r>
    <s v="Вуатсон"/>
    <x v="3"/>
    <s v="ОПЗ"/>
    <s v="ЦЗ"/>
    <m/>
    <s v="Рекс"/>
    <s v="Рекс"/>
    <s v="Рекс"/>
    <x v="92"/>
    <s v="Эвон"/>
    <m/>
    <n v="83.142857142857139"/>
    <n v="75"/>
    <n v="84"/>
    <n v="84"/>
    <n v="83"/>
    <n v="86"/>
    <n v="90"/>
    <n v="80"/>
    <n v="0"/>
    <n v="15785177"/>
    <n v="1315431.4166666667"/>
    <n v="0"/>
    <n v="1315431.4166666667"/>
    <n v="0"/>
    <n v="0"/>
  </r>
  <r>
    <s v="Кальдм Халв"/>
    <x v="3"/>
    <s v="ППЗ"/>
    <s v="АПЗ"/>
    <m/>
    <m/>
    <s v="Рекс"/>
    <s v="Рекс"/>
    <x v="92"/>
    <s v="Эвон"/>
    <m/>
    <n v="64.571428571428569"/>
    <n v="21"/>
    <n v="73"/>
    <n v="74"/>
    <n v="80"/>
    <n v="82"/>
    <n v="84"/>
    <n v="38"/>
    <n v="0"/>
    <n v="1260097"/>
    <n v="105008.08333333333"/>
    <n v="0"/>
    <n v="105008.08333333333"/>
    <n v="0"/>
    <n v="0"/>
  </r>
  <r>
    <s v="Моргрим Халв"/>
    <x v="3"/>
    <s v="ОПЗ"/>
    <s v="ЦПЗ"/>
    <m/>
    <m/>
    <s v="Рекс"/>
    <s v="Рекс"/>
    <x v="92"/>
    <s v="Эвон"/>
    <m/>
    <n v="61"/>
    <n v="19"/>
    <n v="70"/>
    <n v="67"/>
    <n v="77"/>
    <n v="79"/>
    <n v="81"/>
    <n v="34"/>
    <n v="0"/>
    <n v="713343"/>
    <n v="59445.25"/>
    <n v="0"/>
    <n v="59445.25"/>
    <n v="0"/>
    <n v="0"/>
  </r>
  <r>
    <s v="Стурлуг Кнут"/>
    <x v="3"/>
    <s v="ЛПЗ"/>
    <s v="ЦПЗ"/>
    <m/>
    <m/>
    <s v="Рекс"/>
    <s v="Рекс"/>
    <x v="92"/>
    <s v="Эвон"/>
    <m/>
    <n v="62.285714285714285"/>
    <n v="18"/>
    <n v="72"/>
    <n v="71"/>
    <n v="79"/>
    <n v="81"/>
    <n v="83"/>
    <n v="32"/>
    <n v="0"/>
    <n v="878789"/>
    <n v="73232.416666666672"/>
    <n v="0"/>
    <n v="73232.416666666672"/>
    <n v="0"/>
    <n v="0"/>
  </r>
  <r>
    <s v="Тролльбак Снор"/>
    <x v="3"/>
    <s v="ЦПЗ"/>
    <s v="ОПЗ"/>
    <m/>
    <m/>
    <s v="Рекс"/>
    <s v="Рекс"/>
    <x v="92"/>
    <s v="Эвон"/>
    <m/>
    <n v="63.428571428571431"/>
    <n v="18"/>
    <n v="73"/>
    <n v="71"/>
    <n v="81"/>
    <n v="83"/>
    <n v="85"/>
    <n v="33"/>
    <n v="0"/>
    <n v="1054022"/>
    <n v="87835.166666666672"/>
    <n v="0"/>
    <n v="87835.166666666672"/>
    <n v="0"/>
    <n v="0"/>
  </r>
  <r>
    <s v="Утквельд Бран"/>
    <x v="3"/>
    <s v="ЦПЗ"/>
    <s v="ОПЗ"/>
    <m/>
    <m/>
    <s v="Рекс"/>
    <s v="Рекс"/>
    <x v="92"/>
    <s v="Эвон"/>
    <m/>
    <n v="72.714285714285708"/>
    <n v="26"/>
    <n v="84"/>
    <n v="84"/>
    <n v="88"/>
    <n v="90"/>
    <n v="92"/>
    <n v="45"/>
    <n v="0"/>
    <n v="4132354"/>
    <n v="344362.83333333331"/>
    <n v="0"/>
    <n v="344362.83333333331"/>
    <n v="0"/>
    <n v="0"/>
  </r>
  <r>
    <s v="Фьялл Бьерн"/>
    <x v="3"/>
    <s v="АПЗ"/>
    <s v="ЦПЗ"/>
    <m/>
    <m/>
    <s v="Рекс"/>
    <s v="Рекс"/>
    <x v="92"/>
    <s v="Эвон"/>
    <m/>
    <n v="68.428571428571431"/>
    <n v="22"/>
    <n v="80"/>
    <n v="79"/>
    <n v="87"/>
    <n v="85"/>
    <n v="87"/>
    <n v="39"/>
    <n v="0"/>
    <n v="2250997"/>
    <n v="187583.08333333334"/>
    <n v="0"/>
    <n v="187583.08333333334"/>
    <n v="0"/>
    <n v="0"/>
  </r>
  <r>
    <s v="Хавнбак Пол"/>
    <x v="3"/>
    <s v="ППЗ"/>
    <s v="ЛПЗ"/>
    <m/>
    <m/>
    <s v="Рекс"/>
    <s v="Рекс"/>
    <x v="92"/>
    <s v="Эвон"/>
    <m/>
    <n v="77.571428571428569"/>
    <n v="29"/>
    <n v="88"/>
    <n v="92"/>
    <n v="92"/>
    <n v="94"/>
    <n v="96"/>
    <n v="52"/>
    <n v="0"/>
    <n v="7888927"/>
    <n v="657410.58333333337"/>
    <n v="0"/>
    <n v="657410.58333333337"/>
    <n v="0"/>
    <n v="0"/>
  </r>
  <r>
    <s v="Камнельд Бьор"/>
    <x v="4"/>
    <s v="Т"/>
    <m/>
    <m/>
    <m/>
    <s v="Рекс"/>
    <s v="Рекс"/>
    <x v="92"/>
    <s v="Эвон"/>
    <m/>
    <n v="61.285714285714285"/>
    <n v="20"/>
    <n v="69"/>
    <n v="66"/>
    <n v="76"/>
    <n v="78"/>
    <n v="80"/>
    <n v="40"/>
    <n v="0"/>
    <n v="747468"/>
    <n v="62289"/>
    <n v="0"/>
    <n v="62289"/>
    <n v="0"/>
    <n v="0"/>
  </r>
  <r>
    <s v="Ментер"/>
    <x v="0"/>
    <s v="В"/>
    <m/>
    <m/>
    <s v="Крыж"/>
    <s v="Крыж"/>
    <s v="Крыж"/>
    <x v="93"/>
    <s v="Эвон"/>
    <m/>
    <n v="55.571428571428569"/>
    <n v="33"/>
    <n v="55"/>
    <n v="64"/>
    <n v="56"/>
    <n v="59"/>
    <n v="62"/>
    <n v="60"/>
    <n v="0"/>
    <n v="280877"/>
    <n v="3535.0833333333335"/>
    <n v="0"/>
    <n v="23406.416666666668"/>
    <n v="-84.9"/>
    <n v="0"/>
  </r>
  <r>
    <s v="Атерта"/>
    <x v="1"/>
    <s v="ЦЗ"/>
    <s v="ПЗ"/>
    <m/>
    <s v="Крыж"/>
    <s v="Крыж"/>
    <s v="Крыж"/>
    <x v="93"/>
    <s v="Эвон"/>
    <m/>
    <n v="59.285714285714285"/>
    <n v="41"/>
    <n v="51"/>
    <n v="60"/>
    <n v="65"/>
    <n v="75"/>
    <n v="78"/>
    <n v="45"/>
    <n v="0"/>
    <n v="536415"/>
    <n v="4383.333333333333"/>
    <n v="0"/>
    <n v="44701.25"/>
    <n v="-90.19"/>
    <n v="0"/>
  </r>
  <r>
    <s v="Горси"/>
    <x v="1"/>
    <s v="ЦЗ"/>
    <s v="ОПЗ"/>
    <m/>
    <s v="Крыж"/>
    <s v="Крыж"/>
    <s v="Крыж"/>
    <x v="93"/>
    <s v="Эвон"/>
    <m/>
    <n v="47.571428571428569"/>
    <n v="14"/>
    <n v="33"/>
    <n v="58"/>
    <n v="51"/>
    <n v="63"/>
    <n v="80"/>
    <n v="34"/>
    <n v="0"/>
    <n v="59356"/>
    <n v="4946.333333333333"/>
    <n v="0"/>
    <n v="4946.333333333333"/>
    <n v="0"/>
    <n v="0"/>
  </r>
  <r>
    <s v="Гуншент"/>
    <x v="1"/>
    <s v="ЦЗ"/>
    <m/>
    <m/>
    <s v="Крыж"/>
    <s v="Крыж"/>
    <s v="Крыж"/>
    <x v="93"/>
    <s v="Эвон"/>
    <m/>
    <n v="57.285714285714285"/>
    <n v="19"/>
    <n v="51"/>
    <n v="66"/>
    <n v="56"/>
    <n v="69"/>
    <n v="78"/>
    <n v="62"/>
    <n v="0"/>
    <n v="380596"/>
    <n v="31716.333333333332"/>
    <n v="0"/>
    <n v="31716.333333333332"/>
    <n v="0"/>
    <n v="0"/>
  </r>
  <r>
    <s v="Димитриу Костас"/>
    <x v="1"/>
    <s v="ПЗ"/>
    <s v="ЦЗ"/>
    <m/>
    <m/>
    <s v="Крыж"/>
    <s v="Крыж"/>
    <x v="93"/>
    <s v="Эвон"/>
    <m/>
    <n v="39"/>
    <n v="10"/>
    <n v="42"/>
    <n v="42"/>
    <n v="50"/>
    <n v="54"/>
    <n v="57"/>
    <n v="18"/>
    <n v="0"/>
    <n v="8141"/>
    <n v="678.41666666666663"/>
    <n v="0"/>
    <n v="678.41666666666663"/>
    <n v="0"/>
    <n v="0"/>
  </r>
  <r>
    <s v="Монси"/>
    <x v="1"/>
    <s v="ЦЗ"/>
    <m/>
    <m/>
    <s v="Крыж"/>
    <s v="Крыж"/>
    <s v="Крыж"/>
    <x v="93"/>
    <s v="Эвон"/>
    <m/>
    <n v="58"/>
    <n v="35"/>
    <n v="61"/>
    <n v="67"/>
    <n v="63"/>
    <n v="66"/>
    <n v="74"/>
    <n v="40"/>
    <n v="0"/>
    <n v="430805"/>
    <n v="27976.333333333332"/>
    <n v="0"/>
    <n v="35900.416666666664"/>
    <n v="-22.07"/>
    <n v="0"/>
  </r>
  <r>
    <s v="Петерсон Шарс"/>
    <x v="1"/>
    <s v="ЦЗ"/>
    <s v="ОПЗ"/>
    <m/>
    <m/>
    <s v="Крыж"/>
    <s v="Крыж"/>
    <x v="93"/>
    <s v="Эвон"/>
    <m/>
    <n v="48.285714285714285"/>
    <n v="12"/>
    <n v="56"/>
    <n v="50"/>
    <n v="62"/>
    <n v="64"/>
    <n v="66"/>
    <n v="28"/>
    <n v="0"/>
    <n v="68895"/>
    <n v="5741.25"/>
    <n v="0"/>
    <n v="5741.25"/>
    <n v="0"/>
    <n v="0"/>
  </r>
  <r>
    <s v="Фернандес Пабло"/>
    <x v="1"/>
    <s v="ЛЗ"/>
    <s v="ЦЗ"/>
    <m/>
    <m/>
    <s v="Крыж"/>
    <s v="Крыж"/>
    <x v="93"/>
    <s v="Эвон"/>
    <m/>
    <n v="39.714285714285715"/>
    <n v="10"/>
    <n v="43"/>
    <n v="42"/>
    <n v="50"/>
    <n v="54"/>
    <n v="57"/>
    <n v="22"/>
    <n v="0"/>
    <n v="9761"/>
    <n v="813.41666666666663"/>
    <n v="0"/>
    <n v="813.41666666666663"/>
    <n v="0"/>
    <n v="0"/>
  </r>
  <r>
    <s v="Дашид Галид"/>
    <x v="2"/>
    <s v="ЦН"/>
    <s v="ОФ"/>
    <m/>
    <m/>
    <s v="Ард"/>
    <s v="Ард"/>
    <x v="93"/>
    <s v="Эвон"/>
    <m/>
    <n v="47.285714285714285"/>
    <n v="14"/>
    <n v="60"/>
    <n v="54"/>
    <n v="58"/>
    <n v="60"/>
    <n v="62"/>
    <n v="23"/>
    <n v="0"/>
    <n v="55886"/>
    <n v="4657.166666666667"/>
    <n v="0"/>
    <n v="4657.166666666667"/>
    <n v="0"/>
    <n v="0"/>
  </r>
  <r>
    <s v="Палчинский"/>
    <x v="2"/>
    <s v="ОФ"/>
    <m/>
    <m/>
    <s v="Крыж"/>
    <s v="Крыж"/>
    <s v="Крыж"/>
    <x v="93"/>
    <s v="Эвон"/>
    <m/>
    <n v="52.142857142857146"/>
    <n v="22"/>
    <n v="57"/>
    <n v="59"/>
    <n v="60"/>
    <n v="59"/>
    <n v="67"/>
    <n v="41"/>
    <n v="0"/>
    <n v="148576"/>
    <n v="12381.333333333334"/>
    <n v="0"/>
    <n v="12381.333333333334"/>
    <n v="0"/>
    <n v="0"/>
  </r>
  <r>
    <s v="Фикт"/>
    <x v="2"/>
    <s v="ОФ"/>
    <m/>
    <m/>
    <s v="Крыж"/>
    <s v="Крыж"/>
    <s v="Крыж"/>
    <x v="93"/>
    <s v="Эвон"/>
    <m/>
    <n v="57.857142857142854"/>
    <n v="40"/>
    <n v="60"/>
    <n v="60"/>
    <n v="65"/>
    <n v="66"/>
    <n v="70"/>
    <n v="44"/>
    <n v="0"/>
    <n v="420311"/>
    <n v="2837.5833333333335"/>
    <n v="0"/>
    <n v="35025.916666666664"/>
    <n v="-91.9"/>
    <n v="0"/>
  </r>
  <r>
    <s v="Вайсберг Отто"/>
    <x v="3"/>
    <s v="ОПЗ"/>
    <s v="ЦПЗ"/>
    <m/>
    <m/>
    <s v="Крыж"/>
    <s v="Крыж"/>
    <x v="93"/>
    <s v="Эвон"/>
    <m/>
    <n v="48.428571428571431"/>
    <n v="13"/>
    <n v="58"/>
    <n v="52"/>
    <n v="62"/>
    <n v="64"/>
    <n v="66"/>
    <n v="24"/>
    <n v="0"/>
    <n v="70961"/>
    <n v="5913.416666666667"/>
    <n v="0"/>
    <n v="5913.416666666667"/>
    <n v="0"/>
    <n v="0"/>
  </r>
  <r>
    <s v="Войски"/>
    <x v="3"/>
    <s v="ОПЗ"/>
    <m/>
    <m/>
    <s v="Крыж"/>
    <s v="Крыж"/>
    <s v="Крыж"/>
    <x v="93"/>
    <s v="Эвон"/>
    <m/>
    <n v="64.857142857142861"/>
    <n v="50"/>
    <n v="70"/>
    <n v="65"/>
    <n v="64"/>
    <n v="62"/>
    <n v="70"/>
    <n v="73"/>
    <n v="0"/>
    <n v="1316977"/>
    <n v="22230.5"/>
    <n v="0"/>
    <n v="109748.08333333333"/>
    <n v="-79.739999999999995"/>
    <n v="0"/>
  </r>
  <r>
    <s v="Коралесандрес"/>
    <x v="3"/>
    <s v="АПЗ"/>
    <s v="ЛПЗ"/>
    <m/>
    <s v="Крыж"/>
    <s v="Крыж"/>
    <s v="Крыж"/>
    <x v="93"/>
    <s v="Эвон"/>
    <m/>
    <n v="53.428571428571431"/>
    <n v="36"/>
    <n v="63"/>
    <n v="60"/>
    <n v="50"/>
    <n v="45"/>
    <n v="50"/>
    <n v="70"/>
    <n v="0"/>
    <n v="189556"/>
    <n v="15796.333333333334"/>
    <n v="0"/>
    <n v="15796.333333333334"/>
    <n v="0"/>
    <n v="0"/>
  </r>
  <r>
    <s v="Монтичелли Паоло"/>
    <x v="3"/>
    <s v="ЦПЗ"/>
    <s v="ОПЗ"/>
    <m/>
    <m/>
    <s v="Крыж"/>
    <s v="Крыж"/>
    <x v="93"/>
    <s v="Эвон"/>
    <m/>
    <n v="38.571428571428569"/>
    <n v="10"/>
    <n v="40"/>
    <n v="44"/>
    <n v="52"/>
    <n v="50"/>
    <n v="53"/>
    <n v="21"/>
    <n v="0"/>
    <n v="7289"/>
    <n v="607.41666666666663"/>
    <n v="0"/>
    <n v="607.41666666666663"/>
    <n v="0"/>
    <n v="0"/>
  </r>
  <r>
    <s v="Нгуен Ван"/>
    <x v="3"/>
    <s v="ЛПЗ"/>
    <s v="ОПЗ"/>
    <m/>
    <m/>
    <s v="Крыж"/>
    <s v="Крыж"/>
    <x v="93"/>
    <s v="Эвон"/>
    <m/>
    <n v="40.142857142857146"/>
    <n v="10"/>
    <n v="48"/>
    <n v="46"/>
    <n v="50"/>
    <n v="52"/>
    <n v="55"/>
    <n v="20"/>
    <n v="0"/>
    <n v="10867"/>
    <n v="905.58333333333337"/>
    <n v="0"/>
    <n v="905.58333333333337"/>
    <n v="0"/>
    <n v="0"/>
  </r>
  <r>
    <s v="Полипен"/>
    <x v="3"/>
    <s v="АПЗ"/>
    <s v="ППЗ"/>
    <m/>
    <s v="Крыж"/>
    <s v="Крыж"/>
    <s v="Крыж"/>
    <x v="93"/>
    <s v="Эвон"/>
    <m/>
    <n v="50"/>
    <n v="30"/>
    <n v="58"/>
    <n v="68"/>
    <n v="60"/>
    <n v="50"/>
    <n v="63"/>
    <n v="21"/>
    <n v="0"/>
    <n v="97657"/>
    <n v="8138.083333333333"/>
    <n v="0"/>
    <n v="8138.083333333333"/>
    <n v="0"/>
    <n v="0"/>
  </r>
  <r>
    <s v="Танака Хиро"/>
    <x v="3"/>
    <s v="ППЗ"/>
    <s v="АПЗ"/>
    <m/>
    <m/>
    <s v="Крыж"/>
    <s v="Крыж"/>
    <x v="93"/>
    <s v="Эвон"/>
    <m/>
    <n v="42.142857142857146"/>
    <n v="10"/>
    <n v="56"/>
    <n v="44"/>
    <n v="56"/>
    <n v="54"/>
    <n v="56"/>
    <n v="19"/>
    <n v="0"/>
    <n v="17671"/>
    <n v="1472.5833333333333"/>
    <n v="0"/>
    <n v="1472.5833333333333"/>
    <n v="0"/>
    <n v="0"/>
  </r>
  <r>
    <s v="Фошент"/>
    <x v="3"/>
    <s v="ОПЗ"/>
    <m/>
    <m/>
    <s v="Крыж"/>
    <s v="Крыж"/>
    <s v="Крыж"/>
    <x v="93"/>
    <s v="Эвон"/>
    <m/>
    <n v="47.142857142857146"/>
    <n v="27"/>
    <n v="55"/>
    <n v="46"/>
    <n v="55"/>
    <n v="46"/>
    <n v="67"/>
    <n v="34"/>
    <n v="0"/>
    <n v="54220"/>
    <n v="4518.333333333333"/>
    <n v="0"/>
    <n v="4518.333333333333"/>
    <n v="0"/>
    <n v="0"/>
  </r>
  <r>
    <s v="Хаген Фридрих"/>
    <x v="3"/>
    <s v="АПЗ"/>
    <s v="ЦПЗ"/>
    <m/>
    <m/>
    <s v="Крыж"/>
    <s v="Крыж"/>
    <x v="93"/>
    <s v="Эвон"/>
    <m/>
    <n v="43.714285714285715"/>
    <n v="11"/>
    <n v="54"/>
    <n v="48"/>
    <n v="58"/>
    <n v="56"/>
    <n v="58"/>
    <n v="21"/>
    <n v="0"/>
    <n v="25483"/>
    <n v="2123.5833333333335"/>
    <n v="0"/>
    <n v="2123.5833333333335"/>
    <n v="0"/>
    <n v="0"/>
  </r>
  <r>
    <s v="Беляев Тарас"/>
    <x v="4"/>
    <s v="Т"/>
    <m/>
    <m/>
    <m/>
    <s v="Крыж"/>
    <s v="Крыж"/>
    <x v="93"/>
    <s v="Эвон"/>
    <m/>
    <n v="43.857142857142854"/>
    <n v="10"/>
    <n v="52"/>
    <n v="46"/>
    <n v="56"/>
    <n v="58"/>
    <n v="60"/>
    <n v="25"/>
    <n v="0"/>
    <n v="26328"/>
    <n v="2194"/>
    <n v="0"/>
    <n v="2194"/>
    <n v="0"/>
    <n v="0"/>
  </r>
  <r>
    <s v="Вукович Зоран"/>
    <x v="0"/>
    <s v="В"/>
    <m/>
    <m/>
    <m/>
    <s v="А.Н."/>
    <s v="А.Н."/>
    <x v="94"/>
    <s v="Эвон"/>
    <m/>
    <n v="64"/>
    <n v="25"/>
    <n v="73"/>
    <n v="69"/>
    <n v="77"/>
    <n v="80"/>
    <n v="81"/>
    <n v="43"/>
    <n v="0"/>
    <n v="1152922"/>
    <n v="96076.833333333328"/>
    <n v="0"/>
    <n v="96076.833333333328"/>
    <n v="0"/>
    <n v="0"/>
  </r>
  <r>
    <s v="Корсалес (В)"/>
    <x v="0"/>
    <s v="В"/>
    <m/>
    <m/>
    <s v="А.Н."/>
    <s v="А.Н."/>
    <s v="А.Н."/>
    <x v="94"/>
    <s v="Эвон"/>
    <m/>
    <n v="72.714285714285708"/>
    <n v="50"/>
    <n v="74"/>
    <n v="70"/>
    <n v="70"/>
    <n v="85"/>
    <n v="90"/>
    <n v="70"/>
    <n v="0"/>
    <n v="4132354"/>
    <n v="344362.83333333331"/>
    <n v="0"/>
    <n v="344362.83333333331"/>
    <n v="0"/>
    <n v="0"/>
  </r>
  <r>
    <s v="Алькаров (З)"/>
    <x v="1"/>
    <s v="ЦЗ"/>
    <s v="ОПЗ"/>
    <m/>
    <s v="А.Н."/>
    <s v="А.Н."/>
    <s v="А.Н."/>
    <x v="94"/>
    <s v="Эвон"/>
    <m/>
    <n v="75.714285714285708"/>
    <n v="48"/>
    <n v="74"/>
    <n v="80"/>
    <n v="91"/>
    <n v="80"/>
    <n v="87"/>
    <n v="70"/>
    <n v="0"/>
    <n v="6191250"/>
    <n v="515937.5"/>
    <n v="0"/>
    <n v="515937.5"/>
    <n v="0"/>
    <n v="0"/>
  </r>
  <r>
    <s v="Блеков (З)"/>
    <x v="1"/>
    <s v="ЦЗ"/>
    <s v="ОПЗ"/>
    <m/>
    <s v="А.Н."/>
    <s v="А.Н."/>
    <s v="А.Н."/>
    <x v="94"/>
    <s v="Эвон"/>
    <m/>
    <n v="74.142857142857139"/>
    <n v="51"/>
    <n v="73"/>
    <n v="75"/>
    <n v="79"/>
    <n v="83"/>
    <n v="88"/>
    <n v="70"/>
    <n v="28"/>
    <n v="7529818"/>
    <n v="627484.83333333337"/>
    <n v="0"/>
    <n v="627484.83333333337"/>
    <n v="0"/>
    <n v="0"/>
  </r>
  <r>
    <s v="Брандт Торинс"/>
    <x v="1"/>
    <s v="ЦЗ"/>
    <m/>
    <m/>
    <m/>
    <s v="А.Н."/>
    <s v="А.Н."/>
    <x v="94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Гуськов"/>
    <x v="1"/>
    <s v="ЛЗ"/>
    <m/>
    <m/>
    <s v="Зем"/>
    <s v="Зем"/>
    <s v="Зем"/>
    <x v="94"/>
    <s v="Эвон"/>
    <m/>
    <n v="76.571428571428569"/>
    <n v="51"/>
    <n v="93"/>
    <n v="93"/>
    <n v="76"/>
    <n v="80"/>
    <n v="82"/>
    <n v="61"/>
    <n v="0"/>
    <n v="6928952"/>
    <n v="577412.66666666663"/>
    <n v="0"/>
    <n v="577412.66666666663"/>
    <n v="0"/>
    <n v="0"/>
  </r>
  <r>
    <s v="Забров Кума"/>
    <x v="1"/>
    <s v="ЦЗ"/>
    <s v="ЛЗ"/>
    <m/>
    <m/>
    <s v="А.Н."/>
    <s v="А.Н."/>
    <x v="94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Гарвенни Мил"/>
    <x v="1"/>
    <s v="ЦЗ"/>
    <s v="ПЗ"/>
    <m/>
    <m/>
    <s v="А.Н."/>
    <s v="А.Н."/>
    <x v="94"/>
    <s v="Эвон"/>
    <m/>
    <n v="62"/>
    <n v="25"/>
    <n v="71"/>
    <n v="63"/>
    <n v="75"/>
    <n v="79"/>
    <n v="82"/>
    <n v="39"/>
    <n v="0"/>
    <n v="839300"/>
    <n v="69941.666666666672"/>
    <n v="0"/>
    <n v="69941.666666666672"/>
    <n v="0"/>
    <n v="0"/>
  </r>
  <r>
    <s v="Убойнов"/>
    <x v="1"/>
    <s v="ЦЗ"/>
    <s v="ОПЗ"/>
    <m/>
    <s v="Крыж"/>
    <s v="Крыж"/>
    <s v="Крыж"/>
    <x v="94"/>
    <s v="Эвон"/>
    <m/>
    <n v="74.571428571428569"/>
    <n v="51"/>
    <n v="70"/>
    <n v="85"/>
    <n v="80"/>
    <n v="80"/>
    <n v="85"/>
    <n v="71"/>
    <n v="0"/>
    <n v="5317710"/>
    <n v="443142.5"/>
    <n v="0"/>
    <n v="443142.5"/>
    <n v="0"/>
    <n v="0"/>
  </r>
  <r>
    <s v="Хлопов"/>
    <x v="1"/>
    <s v="ЦЗ"/>
    <s v="ПЗ"/>
    <m/>
    <s v="Крыж"/>
    <s v="Крыж"/>
    <s v="Крыж"/>
    <x v="94"/>
    <s v="Эвон"/>
    <m/>
    <n v="67.142857142857139"/>
    <n v="44"/>
    <n v="61"/>
    <n v="68"/>
    <n v="73"/>
    <n v="71"/>
    <n v="88"/>
    <n v="65"/>
    <n v="0"/>
    <n v="1862080"/>
    <n v="155173.33333333334"/>
    <n v="0"/>
    <n v="155173.33333333334"/>
    <n v="0"/>
    <n v="0"/>
  </r>
  <r>
    <s v="Шнайдер Курт"/>
    <x v="1"/>
    <s v="ЦЗ"/>
    <s v="ОПЗ"/>
    <m/>
    <m/>
    <s v="А.Н."/>
    <s v="А.Н."/>
    <x v="94"/>
    <s v="Эвон"/>
    <m/>
    <n v="58.285714285714285"/>
    <n v="21"/>
    <n v="65"/>
    <n v="61"/>
    <n v="72"/>
    <n v="76"/>
    <n v="80"/>
    <n v="33"/>
    <n v="0"/>
    <n v="452503"/>
    <n v="37708.583333333336"/>
    <n v="0"/>
    <n v="37708.583333333336"/>
    <n v="0"/>
    <n v="0"/>
  </r>
  <r>
    <s v="Крипта (Н)"/>
    <x v="2"/>
    <s v="ЦН"/>
    <m/>
    <m/>
    <s v="А.Н."/>
    <s v="А.Н."/>
    <s v="А.Н."/>
    <x v="94"/>
    <s v="Эвон"/>
    <m/>
    <n v="75.857142857142861"/>
    <n v="60"/>
    <n v="82"/>
    <n v="85"/>
    <n v="78"/>
    <n v="76"/>
    <n v="90"/>
    <n v="60"/>
    <n v="0"/>
    <n v="6309063"/>
    <n v="525755.25"/>
    <n v="0"/>
    <n v="525755.25"/>
    <n v="0"/>
    <n v="0"/>
  </r>
  <r>
    <s v="МакКалистер"/>
    <x v="2"/>
    <s v="ЦН"/>
    <s v="АПЗ"/>
    <s v="ОФ"/>
    <s v="А.Н."/>
    <s v="А.Н."/>
    <s v="А.Н."/>
    <x v="94"/>
    <s v="Эвон"/>
    <m/>
    <n v="80.571428571428569"/>
    <n v="70"/>
    <n v="85"/>
    <n v="91"/>
    <n v="83"/>
    <n v="79"/>
    <n v="86"/>
    <n v="70"/>
    <n v="19"/>
    <n v="17294257"/>
    <n v="1441188.0833333333"/>
    <n v="0"/>
    <n v="1441188.0833333333"/>
    <n v="0"/>
    <n v="0"/>
  </r>
  <r>
    <s v="Мюллер Фриц"/>
    <x v="2"/>
    <s v="ЦН"/>
    <m/>
    <m/>
    <m/>
    <s v="А.Н."/>
    <s v="А.Н."/>
    <x v="94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Новак Антон"/>
    <x v="2"/>
    <s v="ЦН"/>
    <m/>
    <m/>
    <m/>
    <s v="А.Н."/>
    <s v="А.Н."/>
    <x v="94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Роффманн Стонли"/>
    <x v="2"/>
    <s v="ЦН"/>
    <s v="ОФ"/>
    <m/>
    <m/>
    <s v="А.Н."/>
    <s v="А.Н."/>
    <x v="94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Акима"/>
    <x v="3"/>
    <s v="ЦПЗ"/>
    <s v="АПЗ"/>
    <s v="ППЗ"/>
    <s v="А.Н."/>
    <s v="А.Н."/>
    <s v="А.Н."/>
    <x v="94"/>
    <s v="Эвон"/>
    <m/>
    <n v="88.714285714285708"/>
    <n v="83"/>
    <n v="84"/>
    <n v="90"/>
    <n v="93"/>
    <n v="92"/>
    <n v="96"/>
    <n v="83"/>
    <n v="19"/>
    <n v="45292560"/>
    <n v="3774380"/>
    <n v="0"/>
    <n v="3774380"/>
    <n v="0"/>
    <n v="0"/>
  </r>
  <r>
    <s v="Далис Тэлли "/>
    <x v="3"/>
    <s v="ППЗ"/>
    <s v="ОПЗ"/>
    <m/>
    <m/>
    <s v="А.Н."/>
    <s v="А.Н."/>
    <x v="94"/>
    <s v="Эвон"/>
    <m/>
    <n v="54.714285714285715"/>
    <n v="20"/>
    <n v="64"/>
    <n v="57"/>
    <n v="71"/>
    <n v="68"/>
    <n v="73"/>
    <n v="30"/>
    <n v="0"/>
    <n v="240441"/>
    <n v="20036.75"/>
    <n v="0"/>
    <n v="20036.75"/>
    <n v="0"/>
    <n v="0"/>
  </r>
  <r>
    <s v="Горобец"/>
    <x v="3"/>
    <s v="АПЗ"/>
    <s v="ППЗ"/>
    <m/>
    <s v="А.Н."/>
    <s v="А.Н."/>
    <s v="А.Н."/>
    <x v="94"/>
    <s v="Эвон"/>
    <m/>
    <n v="87.285714285714292"/>
    <n v="75"/>
    <n v="80"/>
    <n v="96"/>
    <n v="91"/>
    <n v="95"/>
    <n v="90"/>
    <n v="84"/>
    <n v="18"/>
    <n v="38505518"/>
    <n v="3208793.1666666665"/>
    <n v="0"/>
    <n v="3208793.1666666665"/>
    <n v="0"/>
    <n v="0"/>
  </r>
  <r>
    <s v="Грушин (П)"/>
    <x v="3"/>
    <s v="ОПЗ"/>
    <s v="ЦПЗ"/>
    <s v="ЦЗ"/>
    <s v="А.Н."/>
    <s v="А.Н."/>
    <s v="А.Н."/>
    <x v="94"/>
    <s v="Эвон"/>
    <m/>
    <n v="86.714285714285708"/>
    <n v="76"/>
    <n v="83"/>
    <n v="90"/>
    <n v="88"/>
    <n v="94"/>
    <n v="94"/>
    <n v="82"/>
    <n v="18"/>
    <n v="36057680"/>
    <n v="3004806.6666666665"/>
    <n v="0"/>
    <n v="3004806.6666666665"/>
    <n v="0"/>
    <n v="0"/>
  </r>
  <r>
    <s v="Петрович Дарко"/>
    <x v="3"/>
    <s v="ЦПЗ"/>
    <s v="АПЗ"/>
    <m/>
    <m/>
    <s v="А.Н."/>
    <s v="А.Н."/>
    <x v="94"/>
    <s v="Эвон"/>
    <m/>
    <n v="65"/>
    <n v="26"/>
    <n v="77"/>
    <n v="69"/>
    <n v="82"/>
    <n v="78"/>
    <n v="80"/>
    <n v="43"/>
    <n v="0"/>
    <n v="1346275"/>
    <n v="112189.58333333333"/>
    <n v="0"/>
    <n v="112189.58333333333"/>
    <n v="0"/>
    <n v="0"/>
  </r>
  <r>
    <s v="Полов"/>
    <x v="3"/>
    <s v="ЛПЗ"/>
    <s v="АПЗ"/>
    <m/>
    <s v="А.Н."/>
    <s v="А.Н."/>
    <s v="А.Н."/>
    <x v="94"/>
    <s v="Эвон"/>
    <m/>
    <n v="84.428571428571431"/>
    <n v="70"/>
    <n v="94"/>
    <n v="87"/>
    <n v="87"/>
    <n v="90"/>
    <n v="83"/>
    <n v="80"/>
    <n v="23"/>
    <n v="27604868"/>
    <n v="2300405.6666666665"/>
    <n v="0"/>
    <n v="2300405.6666666665"/>
    <n v="0"/>
    <n v="0"/>
  </r>
  <r>
    <s v="Стивич"/>
    <x v="4"/>
    <s v="Т"/>
    <m/>
    <m/>
    <m/>
    <s v="Зар"/>
    <s v="Зар"/>
    <x v="94"/>
    <s v="Эвон"/>
    <m/>
    <n v="71.285714285714292"/>
    <n v="56"/>
    <n v="76"/>
    <n v="71"/>
    <n v="85"/>
    <n v="74"/>
    <n v="85"/>
    <n v="52"/>
    <n v="0"/>
    <n v="3388638"/>
    <n v="282386.5"/>
    <n v="0"/>
    <n v="282386.5"/>
    <n v="0"/>
    <n v="0"/>
  </r>
  <r>
    <s v="Кранджевич Лука"/>
    <x v="0"/>
    <s v="В"/>
    <m/>
    <m/>
    <m/>
    <s v="Зар"/>
    <s v="Зар"/>
    <x v="95"/>
    <s v="Эвон"/>
    <m/>
    <n v="51.714285714285715"/>
    <n v="12"/>
    <n v="62"/>
    <n v="56"/>
    <n v="66"/>
    <n v="68"/>
    <n v="70"/>
    <n v="28"/>
    <n v="0"/>
    <n v="136807"/>
    <n v="11400.583333333334"/>
    <n v="0"/>
    <n v="11400.583333333334"/>
    <n v="0"/>
    <n v="0"/>
  </r>
  <r>
    <s v="Мольсич (В)"/>
    <x v="0"/>
    <s v="В"/>
    <m/>
    <m/>
    <s v="Зар"/>
    <s v="Зар"/>
    <s v="Зар"/>
    <x v="95"/>
    <s v="Эвон"/>
    <m/>
    <n v="72.857142857142861"/>
    <n v="60"/>
    <n v="75"/>
    <n v="70"/>
    <n v="70"/>
    <n v="76"/>
    <n v="96"/>
    <n v="63"/>
    <n v="0"/>
    <n v="4214261"/>
    <n v="351188.41666666669"/>
    <n v="0"/>
    <n v="351188.41666666669"/>
    <n v="0"/>
    <n v="0"/>
  </r>
  <r>
    <s v="Бервич Станко"/>
    <x v="1"/>
    <s v="ПЗ"/>
    <s v="ЦЗ"/>
    <m/>
    <m/>
    <s v="Зар"/>
    <s v="Зар"/>
    <x v="95"/>
    <s v="Эвон"/>
    <m/>
    <n v="52"/>
    <n v="13"/>
    <n v="63"/>
    <n v="57"/>
    <n v="67"/>
    <n v="69"/>
    <n v="71"/>
    <n v="24"/>
    <n v="0"/>
    <n v="144556"/>
    <n v="12046.333333333334"/>
    <n v="0"/>
    <n v="12046.333333333334"/>
    <n v="0"/>
    <n v="0"/>
  </r>
  <r>
    <s v="Лопатин Олег"/>
    <x v="1"/>
    <s v="ЛЗ"/>
    <s v="ЦЗ"/>
    <m/>
    <m/>
    <s v="Зар"/>
    <s v="Зар"/>
    <x v="95"/>
    <s v="Эвон"/>
    <m/>
    <n v="43.714285714285715"/>
    <n v="10"/>
    <n v="53"/>
    <n v="51"/>
    <n v="55"/>
    <n v="57"/>
    <n v="60"/>
    <n v="20"/>
    <n v="0"/>
    <n v="25483"/>
    <n v="2123.5833333333335"/>
    <n v="0"/>
    <n v="2123.5833333333335"/>
    <n v="0"/>
    <n v="0"/>
  </r>
  <r>
    <s v="Мельниченко Тарас"/>
    <x v="1"/>
    <s v="ЦЗ"/>
    <s v="ОПЗ"/>
    <m/>
    <m/>
    <s v="Зар"/>
    <s v="Зар"/>
    <x v="95"/>
    <s v="Эвон"/>
    <m/>
    <n v="64.857142857142861"/>
    <n v="18"/>
    <n v="78"/>
    <n v="70"/>
    <n v="82"/>
    <n v="85"/>
    <n v="87"/>
    <n v="34"/>
    <n v="0"/>
    <n v="1316977"/>
    <n v="109748.08333333333"/>
    <n v="0"/>
    <n v="109748.08333333333"/>
    <n v="0"/>
    <n v="0"/>
  </r>
  <r>
    <s v="Ольсич (З)"/>
    <x v="1"/>
    <s v="ЦЗ"/>
    <s v="ПЗ"/>
    <s v="ОПЗ"/>
    <s v="Зар"/>
    <s v="Зар"/>
    <s v="Зар"/>
    <x v="95"/>
    <s v="Эвон"/>
    <m/>
    <n v="82.142857142857139"/>
    <n v="70"/>
    <n v="83"/>
    <n v="90"/>
    <n v="80"/>
    <n v="88"/>
    <n v="84"/>
    <n v="80"/>
    <n v="26"/>
    <n v="20979219"/>
    <n v="1748268.25"/>
    <n v="0"/>
    <n v="1748268.25"/>
    <n v="0"/>
    <n v="0"/>
  </r>
  <r>
    <s v="Хенгент"/>
    <x v="1"/>
    <s v="ЦЗ"/>
    <m/>
    <m/>
    <s v="Переп"/>
    <s v="Переп"/>
    <s v="Переп"/>
    <x v="95"/>
    <s v="Эвон"/>
    <m/>
    <n v="46.857142857142854"/>
    <n v="20"/>
    <n v="46"/>
    <n v="50"/>
    <n v="54"/>
    <n v="64"/>
    <n v="68"/>
    <n v="26"/>
    <n v="0"/>
    <n v="51023"/>
    <n v="4251.916666666667"/>
    <n v="0"/>
    <n v="4251.916666666667"/>
    <n v="0"/>
    <n v="0"/>
  </r>
  <r>
    <s v="Эллот"/>
    <x v="1"/>
    <s v="ЦЗ"/>
    <m/>
    <m/>
    <s v="Кол"/>
    <s v="Кол"/>
    <s v="Кол"/>
    <x v="95"/>
    <s v="Эвон"/>
    <m/>
    <n v="66.714285714285708"/>
    <n v="42"/>
    <n v="70"/>
    <n v="70"/>
    <n v="72"/>
    <n v="71"/>
    <n v="72"/>
    <n v="70"/>
    <n v="0"/>
    <n v="1746580"/>
    <n v="136464.08333333334"/>
    <n v="0"/>
    <n v="145548.33333333334"/>
    <n v="-6.24"/>
    <n v="0"/>
  </r>
  <r>
    <s v="Войцеховский Павел"/>
    <x v="2"/>
    <s v="ЦН"/>
    <s v="ОФ"/>
    <m/>
    <m/>
    <s v="Мох"/>
    <s v="Мох"/>
    <x v="95"/>
    <s v="Эвон"/>
    <m/>
    <n v="60.285714285714285"/>
    <n v="17"/>
    <n v="75"/>
    <n v="69"/>
    <n v="73"/>
    <n v="77"/>
    <n v="80"/>
    <n v="31"/>
    <n v="0"/>
    <n v="634081"/>
    <n v="52840.083333333336"/>
    <n v="0"/>
    <n v="52840.083333333336"/>
    <n v="0"/>
    <n v="0"/>
  </r>
  <r>
    <s v="Добряковский"/>
    <x v="2"/>
    <s v="ЦН"/>
    <s v="ОФ"/>
    <m/>
    <s v="Зар"/>
    <s v="Зар"/>
    <s v="Зар"/>
    <x v="95"/>
    <s v="Эвон"/>
    <m/>
    <n v="74.857142857142861"/>
    <n v="53"/>
    <n v="70"/>
    <n v="90"/>
    <n v="80"/>
    <n v="83"/>
    <n v="98"/>
    <n v="50"/>
    <n v="6"/>
    <n v="8287504"/>
    <n v="690625.33333333337"/>
    <n v="0"/>
    <n v="690625.33333333337"/>
    <n v="0"/>
    <n v="0"/>
  </r>
  <r>
    <s v="Дорнвальд Эрик"/>
    <x v="2"/>
    <s v="ОФ"/>
    <s v="ЦН"/>
    <m/>
    <m/>
    <s v="Зар"/>
    <s v="Зар"/>
    <x v="95"/>
    <s v="Эвон"/>
    <m/>
    <n v="59.571428571428569"/>
    <n v="16"/>
    <n v="75"/>
    <n v="69"/>
    <n v="73"/>
    <n v="75"/>
    <n v="77"/>
    <n v="32"/>
    <n v="0"/>
    <n v="562834"/>
    <n v="46902.833333333336"/>
    <n v="0"/>
    <n v="46902.833333333336"/>
    <n v="0"/>
    <n v="0"/>
  </r>
  <r>
    <s v="Верхов (П)"/>
    <x v="3"/>
    <s v="ЦПЗ"/>
    <s v="ЛПЗ"/>
    <s v="ППЗ"/>
    <s v="Зар"/>
    <s v="Зар"/>
    <s v="Зар"/>
    <x v="95"/>
    <s v="Эвон"/>
    <m/>
    <n v="81.428571428571431"/>
    <n v="80"/>
    <n v="80"/>
    <n v="85"/>
    <n v="82"/>
    <n v="81"/>
    <n v="84"/>
    <n v="78"/>
    <n v="22"/>
    <n v="19224694"/>
    <n v="1602057.8333333333"/>
    <n v="0"/>
    <n v="1602057.8333333333"/>
    <n v="0"/>
    <n v="0"/>
  </r>
  <r>
    <s v="Гарбаревич Ян"/>
    <x v="3"/>
    <s v="АПЗ"/>
    <s v="ЦПЗ"/>
    <m/>
    <m/>
    <s v="Зар"/>
    <s v="Зар"/>
    <x v="95"/>
    <s v="Эвон"/>
    <m/>
    <n v="50.857142857142854"/>
    <n v="14"/>
    <n v="65"/>
    <n v="59"/>
    <n v="63"/>
    <n v="65"/>
    <n v="67"/>
    <n v="23"/>
    <n v="0"/>
    <n v="115750"/>
    <n v="9645.8333333333339"/>
    <n v="0"/>
    <n v="9645.8333333333339"/>
    <n v="0"/>
    <n v="0"/>
  </r>
  <r>
    <s v="Голембовский Иржи"/>
    <x v="3"/>
    <s v="ЦПЗ"/>
    <s v="ОПЗ"/>
    <m/>
    <m/>
    <s v="Зар"/>
    <s v="Зар"/>
    <x v="95"/>
    <s v="Эвон"/>
    <m/>
    <n v="55.428571428571431"/>
    <n v="11"/>
    <n v="68"/>
    <n v="62"/>
    <n v="72"/>
    <n v="74"/>
    <n v="76"/>
    <n v="25"/>
    <n v="0"/>
    <n v="273740"/>
    <n v="22811.666666666668"/>
    <n v="0"/>
    <n v="22811.666666666668"/>
    <n v="0"/>
    <n v="0"/>
  </r>
  <r>
    <s v="Морвич Драго"/>
    <x v="3"/>
    <s v="ОПЗ"/>
    <s v="ЦПЗ"/>
    <m/>
    <m/>
    <s v="Зар"/>
    <s v="Зар"/>
    <x v="95"/>
    <s v="Эвон"/>
    <m/>
    <n v="45.714285714285715"/>
    <n v="10"/>
    <n v="61"/>
    <n v="49"/>
    <n v="61"/>
    <n v="59"/>
    <n v="61"/>
    <n v="19"/>
    <n v="0"/>
    <n v="39859"/>
    <n v="3321.5833333333335"/>
    <n v="0"/>
    <n v="3321.5833333333335"/>
    <n v="0"/>
    <n v="0"/>
  </r>
  <r>
    <s v="Пельвич Кай"/>
    <x v="3"/>
    <s v="ППЗ"/>
    <s v="ЛПЗ"/>
    <m/>
    <m/>
    <s v="Зар"/>
    <s v="Зар"/>
    <x v="95"/>
    <s v="Эвон"/>
    <m/>
    <n v="42.571428571428569"/>
    <n v="10"/>
    <n v="47"/>
    <n v="47"/>
    <n v="55"/>
    <n v="59"/>
    <n v="62"/>
    <n v="18"/>
    <n v="0"/>
    <n v="19552"/>
    <n v="1629.3333333333333"/>
    <n v="0"/>
    <n v="1629.3333333333333"/>
    <n v="0"/>
    <n v="0"/>
  </r>
  <r>
    <s v="Сковронский Ян"/>
    <x v="3"/>
    <s v="ЛПЗ"/>
    <s v="ОПЗ"/>
    <m/>
    <m/>
    <s v="Зар"/>
    <s v="Зар"/>
    <x v="95"/>
    <s v="Эвон"/>
    <m/>
    <n v="53.857142857142854"/>
    <n v="11"/>
    <n v="66"/>
    <n v="60"/>
    <n v="70"/>
    <n v="72"/>
    <n v="74"/>
    <n v="24"/>
    <n v="0"/>
    <n v="205321"/>
    <n v="17110.083333333332"/>
    <n v="0"/>
    <n v="17110.083333333332"/>
    <n v="0"/>
    <n v="0"/>
  </r>
  <r>
    <s v="Ценки"/>
    <x v="3"/>
    <s v="ЦПЗ"/>
    <s v="ЛПЗ"/>
    <m/>
    <s v="Кол"/>
    <s v="Кол"/>
    <s v="Кол"/>
    <x v="95"/>
    <s v="Эвон"/>
    <m/>
    <n v="60"/>
    <n v="40"/>
    <n v="70"/>
    <n v="62"/>
    <n v="68"/>
    <n v="60"/>
    <n v="70"/>
    <n v="50"/>
    <n v="0"/>
    <n v="604662"/>
    <n v="4657.166666666667"/>
    <n v="0"/>
    <n v="50388.5"/>
    <n v="-90.76"/>
    <n v="0"/>
  </r>
  <r>
    <s v="Яш Рен"/>
    <x v="3"/>
    <s v="ОПЗ"/>
    <s v="ЦПЗ"/>
    <m/>
    <s v="Переп"/>
    <s v="Переп"/>
    <s v="Переп"/>
    <x v="95"/>
    <s v="Эвон"/>
    <m/>
    <n v="48"/>
    <n v="38"/>
    <n v="46"/>
    <n v="57"/>
    <n v="41"/>
    <n v="59"/>
    <n v="49"/>
    <n v="46"/>
    <n v="0"/>
    <n v="64926"/>
    <n v="5410.5"/>
    <n v="0"/>
    <n v="5410.5"/>
    <n v="0"/>
    <n v="0"/>
  </r>
  <r>
    <s v="Стругачев Милош"/>
    <x v="4"/>
    <s v="Т"/>
    <m/>
    <m/>
    <m/>
    <s v="Зар"/>
    <s v="Зар"/>
    <x v="95"/>
    <s v="Эвон"/>
    <m/>
    <n v="47.428571428571431"/>
    <n v="10"/>
    <n v="57"/>
    <n v="51"/>
    <n v="61"/>
    <n v="63"/>
    <n v="65"/>
    <n v="25"/>
    <n v="0"/>
    <n v="57598"/>
    <n v="4799.833333333333"/>
    <n v="0"/>
    <n v="4799.833333333333"/>
    <n v="0"/>
    <n v="0"/>
  </r>
  <r>
    <s v="Полька"/>
    <x v="0"/>
    <s v="В"/>
    <m/>
    <m/>
    <s v="Р.Тесно"/>
    <s v="Р.Тесно"/>
    <s v="Р.Тесно"/>
    <x v="96"/>
    <s v="Эвон"/>
    <m/>
    <n v="60"/>
    <n v="26"/>
    <n v="71"/>
    <n v="66"/>
    <n v="56"/>
    <n v="65"/>
    <n v="66"/>
    <n v="70"/>
    <n v="0"/>
    <n v="604662"/>
    <n v="50388.5"/>
    <n v="0"/>
    <n v="50388.5"/>
    <n v="0"/>
    <n v="0"/>
  </r>
  <r>
    <s v="Щукий"/>
    <x v="0"/>
    <s v="В"/>
    <m/>
    <m/>
    <s v="Р.Тесно"/>
    <s v="Р.Тесно"/>
    <s v="Р.Тесно"/>
    <x v="96"/>
    <s v="Эвон"/>
    <m/>
    <n v="71.428571428571431"/>
    <n v="41"/>
    <n v="72"/>
    <n v="90"/>
    <n v="71"/>
    <n v="77"/>
    <n v="84"/>
    <n v="65"/>
    <n v="0"/>
    <n v="3457162"/>
    <n v="288096.83333333331"/>
    <n v="0"/>
    <n v="288096.83333333331"/>
    <n v="0"/>
    <n v="0"/>
  </r>
  <r>
    <s v="Йетин"/>
    <x v="1"/>
    <s v="ЦЗ"/>
    <s v="ПЗ"/>
    <m/>
    <s v="Р.Тесно"/>
    <s v="Р.Тесно"/>
    <s v="Р.Тесно"/>
    <x v="96"/>
    <s v="Эвон"/>
    <m/>
    <n v="69"/>
    <n v="50"/>
    <n v="68"/>
    <n v="75"/>
    <n v="73"/>
    <n v="79"/>
    <n v="78"/>
    <n v="60"/>
    <n v="0"/>
    <n v="2446195"/>
    <n v="203849.58333333334"/>
    <n v="0"/>
    <n v="203849.58333333334"/>
    <n v="0"/>
    <n v="0"/>
  </r>
  <r>
    <s v="Кебра"/>
    <x v="1"/>
    <s v="ПЗ"/>
    <m/>
    <m/>
    <s v="Турк"/>
    <s v="Турк"/>
    <s v="Турк"/>
    <x v="96"/>
    <s v="Эвон"/>
    <m/>
    <n v="73.714285714285708"/>
    <n v="45"/>
    <n v="91"/>
    <n v="84"/>
    <n v="76"/>
    <n v="76"/>
    <n v="74"/>
    <n v="70"/>
    <n v="0"/>
    <n v="4737145"/>
    <n v="394762.08333333331"/>
    <n v="0"/>
    <n v="394762.08333333331"/>
    <n v="0"/>
    <n v="0"/>
  </r>
  <r>
    <s v="Нарсек"/>
    <x v="1"/>
    <s v="ЦЗ"/>
    <m/>
    <m/>
    <s v="Туркан"/>
    <s v="Туркан"/>
    <s v="Туркан"/>
    <x v="96"/>
    <s v="Эвон"/>
    <m/>
    <n v="63.571428571428569"/>
    <n v="30"/>
    <n v="62"/>
    <n v="62"/>
    <n v="65"/>
    <n v="75"/>
    <n v="88"/>
    <n v="63"/>
    <n v="0"/>
    <n v="1078003"/>
    <n v="89833.583333333328"/>
    <n v="0"/>
    <n v="89833.583333333328"/>
    <n v="0"/>
    <n v="0"/>
  </r>
  <r>
    <s v="Половский"/>
    <x v="1"/>
    <s v="ЦЗ"/>
    <s v="ЛЗ"/>
    <m/>
    <s v="Переп"/>
    <s v="Переп"/>
    <s v="Переп"/>
    <x v="96"/>
    <s v="Эвон"/>
    <m/>
    <n v="65.571428571428569"/>
    <n v="40"/>
    <n v="70"/>
    <n v="72"/>
    <n v="71"/>
    <n v="72"/>
    <n v="83"/>
    <n v="51"/>
    <n v="0"/>
    <n v="1469422"/>
    <n v="122451.83333333333"/>
    <n v="0"/>
    <n v="122451.83333333333"/>
    <n v="0"/>
    <n v="0"/>
  </r>
  <r>
    <s v="Ухинов"/>
    <x v="1"/>
    <s v="ЦЗ"/>
    <m/>
    <m/>
    <s v="Р.Тесно"/>
    <s v="Р.Тесно"/>
    <s v="Р.Тесно"/>
    <x v="96"/>
    <s v="Эвон"/>
    <m/>
    <n v="58.142857142857146"/>
    <n v="30"/>
    <n v="77"/>
    <n v="30"/>
    <n v="71"/>
    <n v="81"/>
    <n v="78"/>
    <n v="40"/>
    <n v="0"/>
    <n v="441534"/>
    <n v="36794.5"/>
    <n v="0"/>
    <n v="36794.5"/>
    <n v="0"/>
    <n v="0"/>
  </r>
  <r>
    <s v="Хэбют"/>
    <x v="1"/>
    <s v="ЦЗ"/>
    <m/>
    <m/>
    <s v="Р.Тесно"/>
    <s v="Р.Тесно"/>
    <s v="Р.Тесно"/>
    <x v="96"/>
    <s v="Эвон"/>
    <m/>
    <n v="61"/>
    <n v="25"/>
    <n v="59"/>
    <n v="55"/>
    <n v="70"/>
    <n v="82"/>
    <n v="81"/>
    <n v="55"/>
    <n v="0"/>
    <n v="713343"/>
    <n v="59445.25"/>
    <n v="0"/>
    <n v="59445.25"/>
    <n v="0"/>
    <n v="0"/>
  </r>
  <r>
    <s v="Цермион"/>
    <x v="1"/>
    <s v="ЦЗ"/>
    <s v="ЛЗ"/>
    <m/>
    <s v="Р.Тесно"/>
    <s v="Р.Тесно"/>
    <s v="Р.Тесно"/>
    <x v="96"/>
    <s v="Эвон"/>
    <m/>
    <n v="71"/>
    <n v="51"/>
    <n v="63"/>
    <n v="77"/>
    <n v="75"/>
    <n v="90"/>
    <n v="81"/>
    <n v="60"/>
    <n v="0"/>
    <n v="3255244"/>
    <n v="271270.33333333331"/>
    <n v="0"/>
    <n v="271270.33333333331"/>
    <n v="0"/>
    <n v="0"/>
  </r>
  <r>
    <s v="Гуштер"/>
    <x v="2"/>
    <s v="ЦН"/>
    <s v="АПЗ"/>
    <m/>
    <s v="Р.Тесно"/>
    <s v="Р.Тесно"/>
    <s v="Р.Тесно"/>
    <x v="96"/>
    <s v="Эвон"/>
    <m/>
    <n v="53"/>
    <n v="11"/>
    <n v="60"/>
    <n v="65"/>
    <n v="63"/>
    <n v="67"/>
    <n v="74"/>
    <n v="31"/>
    <n v="0"/>
    <n v="174888"/>
    <n v="14574"/>
    <n v="0"/>
    <n v="14574"/>
    <n v="0"/>
    <n v="0"/>
  </r>
  <r>
    <s v="Оргус"/>
    <x v="2"/>
    <s v="ОФ"/>
    <m/>
    <m/>
    <s v="Переп"/>
    <s v="Переп"/>
    <s v="Переп"/>
    <x v="96"/>
    <s v="Эвон"/>
    <m/>
    <n v="46.428571428571431"/>
    <n v="10"/>
    <n v="51"/>
    <n v="59"/>
    <n v="60"/>
    <n v="55"/>
    <n v="68"/>
    <n v="22"/>
    <n v="0"/>
    <n v="46543"/>
    <n v="3878.5833333333335"/>
    <n v="0"/>
    <n v="3878.5833333333335"/>
    <n v="0"/>
    <n v="0"/>
  </r>
  <r>
    <s v="Ык Сайми"/>
    <x v="2"/>
    <s v="ОФ"/>
    <s v="ППЗ"/>
    <m/>
    <s v="Кол"/>
    <s v="Кол"/>
    <s v="Кол"/>
    <x v="96"/>
    <s v="Эвон"/>
    <m/>
    <n v="54.714285714285715"/>
    <n v="23"/>
    <n v="62"/>
    <n v="58"/>
    <n v="63"/>
    <n v="68"/>
    <n v="76"/>
    <n v="33"/>
    <n v="0"/>
    <n v="240441"/>
    <n v="20036.75"/>
    <n v="0"/>
    <n v="20036.75"/>
    <n v="0"/>
    <n v="0"/>
  </r>
  <r>
    <s v="Бэнди"/>
    <x v="3"/>
    <s v="АПЗ"/>
    <s v="ЦН"/>
    <m/>
    <s v="Р.Тесно"/>
    <s v="Р.Тесно"/>
    <s v="Р.Тесно"/>
    <x v="96"/>
    <s v="Эвон"/>
    <m/>
    <n v="52.285714285714285"/>
    <n v="29"/>
    <n v="44"/>
    <n v="73"/>
    <n v="50"/>
    <n v="73"/>
    <n v="50"/>
    <n v="47"/>
    <n v="0"/>
    <n v="152697"/>
    <n v="12724.75"/>
    <n v="0"/>
    <n v="12724.75"/>
    <n v="0"/>
    <n v="0"/>
  </r>
  <r>
    <s v="Винно (П)"/>
    <x v="3"/>
    <s v="ЦПЗ"/>
    <m/>
    <m/>
    <s v="Р.Тесно"/>
    <s v="Р.Тесно"/>
    <s v="Р.Тесно"/>
    <x v="96"/>
    <s v="Эвон"/>
    <m/>
    <n v="54.571428571428569"/>
    <n v="36"/>
    <n v="61"/>
    <n v="42"/>
    <n v="74"/>
    <n v="68"/>
    <n v="55"/>
    <n v="46"/>
    <n v="0"/>
    <n v="234236"/>
    <n v="19519.666666666668"/>
    <n v="0"/>
    <n v="19519.666666666668"/>
    <n v="0"/>
    <n v="0"/>
  </r>
  <r>
    <s v="Егоров"/>
    <x v="3"/>
    <s v="ЦПЗ"/>
    <m/>
    <m/>
    <s v="Р.Тесно"/>
    <s v="Нест"/>
    <s v="Нест"/>
    <x v="96"/>
    <s v="Эвон"/>
    <m/>
    <n v="52.857142857142854"/>
    <n v="23"/>
    <n v="63"/>
    <n v="41"/>
    <n v="73"/>
    <n v="71"/>
    <n v="55"/>
    <n v="44"/>
    <n v="0"/>
    <n v="170231"/>
    <n v="14185.916666666666"/>
    <n v="0"/>
    <n v="14185.916666666666"/>
    <n v="0"/>
    <n v="0"/>
  </r>
  <r>
    <s v="Карсьяга"/>
    <x v="3"/>
    <s v="ППЗ"/>
    <m/>
    <m/>
    <s v="Переп"/>
    <s v="Переп"/>
    <s v="Переп"/>
    <x v="96"/>
    <s v="Эвон"/>
    <m/>
    <n v="51.571428571428569"/>
    <n v="23"/>
    <n v="66"/>
    <n v="64"/>
    <n v="58"/>
    <n v="52"/>
    <n v="60"/>
    <n v="38"/>
    <n v="0"/>
    <n v="133074"/>
    <n v="11089.5"/>
    <n v="0"/>
    <n v="11089.5"/>
    <n v="0"/>
    <n v="0"/>
  </r>
  <r>
    <s v="Фагаров"/>
    <x v="3"/>
    <s v="ЦПЗ"/>
    <m/>
    <m/>
    <s v="Р.Тесно"/>
    <s v="Р.Тесно"/>
    <s v="Р.Тесно"/>
    <x v="96"/>
    <s v="Эвон"/>
    <m/>
    <n v="56"/>
    <n v="43"/>
    <n v="58"/>
    <n v="59"/>
    <n v="72"/>
    <n v="71"/>
    <n v="56"/>
    <n v="33"/>
    <n v="0"/>
    <n v="303306"/>
    <n v="25275.5"/>
    <n v="0"/>
    <n v="25275.5"/>
    <n v="0"/>
    <n v="0"/>
  </r>
  <r>
    <s v="Шахинов"/>
    <x v="3"/>
    <s v="ЛПЗ"/>
    <s v="ЦПЗ"/>
    <m/>
    <s v="Р.Тесно"/>
    <s v="Р.Тесно"/>
    <s v="Р.Тесно"/>
    <x v="96"/>
    <s v="Эвон"/>
    <m/>
    <n v="55.428571428571431"/>
    <n v="29"/>
    <n v="74"/>
    <n v="68"/>
    <n v="47"/>
    <n v="68"/>
    <n v="74"/>
    <n v="28"/>
    <n v="0"/>
    <n v="273740"/>
    <n v="22811.666666666668"/>
    <n v="0"/>
    <n v="22811.666666666668"/>
    <n v="0"/>
    <n v="0"/>
  </r>
  <r>
    <s v="Клестер"/>
    <x v="4"/>
    <s v="Т"/>
    <m/>
    <m/>
    <m/>
    <s v="Р.Тесно"/>
    <s v="Р.Тесно"/>
    <x v="96"/>
    <s v="Эвон"/>
    <m/>
    <n v="69.857142857142861"/>
    <n v="63"/>
    <n v="75"/>
    <n v="77"/>
    <n v="81"/>
    <n v="67"/>
    <n v="69"/>
    <n v="57"/>
    <n v="0"/>
    <n v="2767632"/>
    <n v="230636"/>
    <n v="0"/>
    <n v="230636"/>
    <n v="0"/>
    <n v="0"/>
  </r>
  <r>
    <s v="Вальдмун Остак"/>
    <x v="0"/>
    <s v="В"/>
    <m/>
    <m/>
    <m/>
    <s v="В.И."/>
    <s v="В.И."/>
    <x v="97"/>
    <s v="Эвон"/>
    <m/>
    <n v="49.142857142857146"/>
    <n v="10"/>
    <n v="62"/>
    <n v="54"/>
    <n v="60"/>
    <n v="62"/>
    <n v="64"/>
    <n v="32"/>
    <n v="0"/>
    <n v="82150"/>
    <n v="6845.833333333333"/>
    <n v="0"/>
    <n v="6845.833333333333"/>
    <n v="0"/>
    <n v="0"/>
  </r>
  <r>
    <s v="Качуан Рэйм"/>
    <x v="0"/>
    <s v="В"/>
    <m/>
    <m/>
    <m/>
    <s v="В.И."/>
    <s v="В.И."/>
    <x v="97"/>
    <s v="Эвон"/>
    <m/>
    <n v="46.714285714285715"/>
    <n v="8"/>
    <n v="59"/>
    <n v="51"/>
    <n v="58"/>
    <n v="60"/>
    <n v="62"/>
    <n v="29"/>
    <n v="0"/>
    <n v="49488"/>
    <n v="4124"/>
    <n v="0"/>
    <n v="4124"/>
    <n v="0"/>
    <n v="0"/>
  </r>
  <r>
    <s v="Тодо Остин"/>
    <x v="0"/>
    <s v="В"/>
    <m/>
    <m/>
    <m/>
    <s v="В.И."/>
    <s v="В.И."/>
    <x v="97"/>
    <s v="Эвон"/>
    <m/>
    <n v="47.285714285714285"/>
    <n v="8"/>
    <n v="60"/>
    <n v="53"/>
    <n v="58"/>
    <n v="60"/>
    <n v="62"/>
    <n v="30"/>
    <n v="0"/>
    <n v="55886"/>
    <n v="4657.166666666667"/>
    <n v="0"/>
    <n v="4657.166666666667"/>
    <n v="0"/>
    <n v="0"/>
  </r>
  <r>
    <s v="Залу Ян"/>
    <x v="1"/>
    <s v="ПЗ"/>
    <s v="ЛЗ"/>
    <m/>
    <m/>
    <s v="В.И."/>
    <s v="В.И."/>
    <x v="97"/>
    <s v="Эвон"/>
    <m/>
    <n v="46.857142857142854"/>
    <n v="7"/>
    <n v="60"/>
    <n v="53"/>
    <n v="58"/>
    <n v="60"/>
    <n v="62"/>
    <n v="28"/>
    <n v="0"/>
    <n v="51023"/>
    <n v="4251.916666666667"/>
    <n v="0"/>
    <n v="4251.916666666667"/>
    <n v="0"/>
    <n v="0"/>
  </r>
  <r>
    <s v="Ким Джун"/>
    <x v="1"/>
    <s v="ЦЗ"/>
    <s v="ОПЗ"/>
    <m/>
    <m/>
    <s v="В.И."/>
    <s v="В.И."/>
    <x v="97"/>
    <s v="Эвон"/>
    <m/>
    <n v="43.857142857142854"/>
    <n v="6"/>
    <n v="56"/>
    <n v="49"/>
    <n v="55"/>
    <n v="57"/>
    <n v="59"/>
    <n v="25"/>
    <n v="0"/>
    <n v="26328"/>
    <n v="2194"/>
    <n v="0"/>
    <n v="2194"/>
    <n v="0"/>
    <n v="0"/>
  </r>
  <r>
    <s v="Костер Динео"/>
    <x v="1"/>
    <s v="ЦЗ"/>
    <s v="ОПЗ"/>
    <m/>
    <m/>
    <s v="В.И."/>
    <s v="В.И."/>
    <x v="97"/>
    <s v="Эвон"/>
    <m/>
    <n v="36.857142857142854"/>
    <n v="20"/>
    <n v="20"/>
    <n v="24"/>
    <n v="50"/>
    <n v="60"/>
    <n v="64"/>
    <n v="20"/>
    <n v="0"/>
    <n v="4627"/>
    <n v="385.58333333333331"/>
    <n v="0"/>
    <n v="385.58333333333331"/>
    <n v="0"/>
    <n v="0"/>
  </r>
  <r>
    <s v="Маури Кир"/>
    <x v="1"/>
    <s v="ЛЗ"/>
    <s v="ЦЗ"/>
    <m/>
    <m/>
    <s v="В.И."/>
    <s v="В.И."/>
    <x v="97"/>
    <s v="Эвон"/>
    <m/>
    <n v="50.857142857142854"/>
    <n v="11"/>
    <n v="65"/>
    <n v="57"/>
    <n v="61"/>
    <n v="63"/>
    <n v="65"/>
    <n v="34"/>
    <n v="0"/>
    <n v="115750"/>
    <n v="9645.8333333333339"/>
    <n v="0"/>
    <n v="9645.8333333333339"/>
    <n v="0"/>
    <n v="0"/>
  </r>
  <r>
    <s v="Нувахо Тим"/>
    <x v="1"/>
    <s v="ПЗ"/>
    <s v="ЦЗ"/>
    <m/>
    <m/>
    <s v="В.И."/>
    <s v="В.И."/>
    <x v="97"/>
    <s v="Эвон"/>
    <m/>
    <n v="49.285714285714285"/>
    <n v="9"/>
    <n v="64"/>
    <n v="55"/>
    <n v="60"/>
    <n v="62"/>
    <n v="64"/>
    <n v="31"/>
    <n v="0"/>
    <n v="84569"/>
    <n v="7047.416666666667"/>
    <n v="0"/>
    <n v="7047.416666666667"/>
    <n v="0"/>
    <n v="0"/>
  </r>
  <r>
    <s v="Чжэн Вэй"/>
    <x v="1"/>
    <s v="ЦЗ"/>
    <s v="ЛЗ"/>
    <m/>
    <m/>
    <s v="В.И."/>
    <s v="В.И."/>
    <x v="97"/>
    <s v="Эвон"/>
    <m/>
    <n v="63.571428571428569"/>
    <n v="40"/>
    <n v="70"/>
    <n v="90"/>
    <n v="70"/>
    <n v="64"/>
    <n v="66"/>
    <n v="45"/>
    <n v="1"/>
    <n v="1617004"/>
    <n v="11719.416666666666"/>
    <n v="0"/>
    <n v="134750.33333333334"/>
    <n v="-91.3"/>
    <n v="0"/>
  </r>
  <r>
    <s v="Куряк Эрл"/>
    <x v="2"/>
    <s v="ОФ"/>
    <s v="ЦН"/>
    <m/>
    <m/>
    <s v="В.И."/>
    <s v="В.И."/>
    <x v="97"/>
    <s v="Эвон"/>
    <m/>
    <n v="51.428571428571431"/>
    <n v="10"/>
    <n v="65"/>
    <n v="58"/>
    <n v="63"/>
    <n v="65"/>
    <n v="67"/>
    <n v="32"/>
    <n v="0"/>
    <n v="129433"/>
    <n v="10786.083333333334"/>
    <n v="0"/>
    <n v="10786.083333333334"/>
    <n v="0"/>
    <n v="0"/>
  </r>
  <r>
    <s v="Олеут Торвальд"/>
    <x v="2"/>
    <s v="ЦН"/>
    <s v="ОФ"/>
    <m/>
    <m/>
    <s v="В.И."/>
    <s v="В.И."/>
    <x v="97"/>
    <s v="Эвон"/>
    <m/>
    <n v="60.285714285714285"/>
    <n v="15"/>
    <n v="70"/>
    <n v="75"/>
    <n v="70"/>
    <n v="72"/>
    <n v="75"/>
    <n v="45"/>
    <n v="0"/>
    <n v="634081"/>
    <n v="52840.083333333336"/>
    <n v="0"/>
    <n v="52840.083333333336"/>
    <n v="0"/>
    <n v="0"/>
  </r>
  <r>
    <s v="Чукчо Дан"/>
    <x v="2"/>
    <s v="ОФ"/>
    <s v="ЦН"/>
    <m/>
    <m/>
    <s v="В.И."/>
    <s v="В.И."/>
    <x v="97"/>
    <s v="Эвон"/>
    <m/>
    <n v="56.428571428571431"/>
    <n v="14"/>
    <n v="70"/>
    <n v="63"/>
    <n v="68"/>
    <n v="70"/>
    <n v="72"/>
    <n v="38"/>
    <n v="0"/>
    <n v="327334"/>
    <n v="27277.833333333332"/>
    <n v="0"/>
    <n v="27277.833333333332"/>
    <n v="0"/>
    <n v="0"/>
  </r>
  <r>
    <s v="Инуот Кс"/>
    <x v="3"/>
    <s v="ППЗ"/>
    <s v="АПЗ"/>
    <m/>
    <m/>
    <s v="В.И."/>
    <s v="В.И."/>
    <x v="97"/>
    <s v="Эвон"/>
    <m/>
    <n v="59"/>
    <n v="14"/>
    <n v="68"/>
    <n v="72"/>
    <n v="70"/>
    <n v="72"/>
    <n v="74"/>
    <n v="43"/>
    <n v="0"/>
    <n v="511117"/>
    <n v="42593.083333333336"/>
    <n v="0"/>
    <n v="42593.083333333336"/>
    <n v="0"/>
    <n v="0"/>
  </r>
  <r>
    <s v="Нонц Стан"/>
    <x v="3"/>
    <s v="ППЗ"/>
    <s v="АПЗ"/>
    <m/>
    <m/>
    <s v="В.И."/>
    <s v="В.И."/>
    <x v="97"/>
    <s v="Эвон"/>
    <m/>
    <n v="46.285714285714285"/>
    <n v="7"/>
    <n v="59"/>
    <n v="52"/>
    <n v="58"/>
    <n v="60"/>
    <n v="62"/>
    <n v="26"/>
    <n v="0"/>
    <n v="45131"/>
    <n v="3760.9166666666665"/>
    <n v="0"/>
    <n v="3760.9166666666665"/>
    <n v="0"/>
    <n v="0"/>
  </r>
  <r>
    <s v="Ойну Мэйс"/>
    <x v="3"/>
    <s v="ЦПЗ"/>
    <s v="ОПЗ"/>
    <m/>
    <m/>
    <s v="В.И."/>
    <s v="В.И."/>
    <x v="97"/>
    <s v="Эвон"/>
    <m/>
    <n v="54.714285714285715"/>
    <n v="13"/>
    <n v="68"/>
    <n v="61"/>
    <n v="66"/>
    <n v="68"/>
    <n v="70"/>
    <n v="37"/>
    <n v="0"/>
    <n v="240441"/>
    <n v="20036.75"/>
    <n v="0"/>
    <n v="20036.75"/>
    <n v="0"/>
    <n v="0"/>
  </r>
  <r>
    <s v="Попуас Кайус"/>
    <x v="3"/>
    <s v="АПЗ"/>
    <s v="ЦПЗ"/>
    <m/>
    <m/>
    <s v="В.И."/>
    <s v="В.И."/>
    <x v="97"/>
    <s v="Эвон"/>
    <m/>
    <n v="44.428571428571431"/>
    <n v="6"/>
    <n v="55"/>
    <n v="49"/>
    <n v="57"/>
    <n v="59"/>
    <n v="61"/>
    <n v="24"/>
    <n v="0"/>
    <n v="29966"/>
    <n v="2497.1666666666665"/>
    <n v="0"/>
    <n v="2497.1666666666665"/>
    <n v="0"/>
    <n v="0"/>
  </r>
  <r>
    <s v="Соами Пол"/>
    <x v="3"/>
    <s v="ЛПЗ"/>
    <s v="ОПЗ"/>
    <m/>
    <m/>
    <s v="В.И."/>
    <s v="В.И."/>
    <x v="97"/>
    <s v="Эвон"/>
    <m/>
    <n v="50.857142857142854"/>
    <n v="10"/>
    <n v="64"/>
    <n v="57"/>
    <n v="62"/>
    <n v="64"/>
    <n v="66"/>
    <n v="33"/>
    <n v="0"/>
    <n v="115750"/>
    <n v="9645.8333333333339"/>
    <n v="0"/>
    <n v="9645.8333333333339"/>
    <n v="0"/>
    <n v="0"/>
  </r>
  <r>
    <s v="Суахилу Дар"/>
    <x v="3"/>
    <s v="ОПЗ"/>
    <s v="ЦПЗ"/>
    <m/>
    <m/>
    <s v="В.И."/>
    <s v="В.И."/>
    <x v="97"/>
    <s v="Эвон"/>
    <m/>
    <n v="49.857142857142854"/>
    <n v="9"/>
    <n v="63"/>
    <n v="55"/>
    <n v="62"/>
    <n v="64"/>
    <n v="66"/>
    <n v="30"/>
    <n v="0"/>
    <n v="94902"/>
    <n v="7908.5"/>
    <n v="0"/>
    <n v="7908.5"/>
    <n v="0"/>
    <n v="0"/>
  </r>
  <r>
    <s v="Эвонк Ирж"/>
    <x v="3"/>
    <s v="ППЗ"/>
    <s v="ЛПЗ"/>
    <m/>
    <m/>
    <s v="В.И."/>
    <s v="В.И."/>
    <x v="97"/>
    <s v="Эвон"/>
    <m/>
    <n v="52.571428571428569"/>
    <n v="11"/>
    <n v="66"/>
    <n v="59"/>
    <n v="64"/>
    <n v="66"/>
    <n v="68"/>
    <n v="34"/>
    <n v="0"/>
    <n v="161250"/>
    <n v="13437.5"/>
    <n v="0"/>
    <n v="13437.5"/>
    <n v="0"/>
    <n v="0"/>
  </r>
  <r>
    <s v="Ямомото Элдок"/>
    <x v="4"/>
    <s v="Т"/>
    <m/>
    <m/>
    <m/>
    <s v="В.И."/>
    <s v="В.И."/>
    <x v="97"/>
    <s v="Эвон"/>
    <m/>
    <n v="47.714285714285715"/>
    <n v="9"/>
    <n v="60"/>
    <n v="52"/>
    <n v="59"/>
    <n v="61"/>
    <n v="63"/>
    <n v="30"/>
    <n v="0"/>
    <n v="61163"/>
    <n v="5096.916666666667"/>
    <n v="0"/>
    <n v="5096.916666666667"/>
    <n v="0"/>
    <n v="0"/>
  </r>
  <r>
    <s v="Гончий Ярослав"/>
    <x v="0"/>
    <s v="В"/>
    <m/>
    <m/>
    <m/>
    <s v="Тури"/>
    <s v="Тури"/>
    <x v="98"/>
    <s v="Эвон"/>
    <m/>
    <n v="64.142857142857139"/>
    <n v="26"/>
    <n v="74"/>
    <n v="70"/>
    <n v="76"/>
    <n v="79"/>
    <n v="80"/>
    <n v="44"/>
    <n v="0"/>
    <n v="1178917"/>
    <n v="98243.083333333328"/>
    <n v="0"/>
    <n v="98243.083333333328"/>
    <n v="0"/>
    <n v="0"/>
  </r>
  <r>
    <s v="Ловчий"/>
    <x v="0"/>
    <s v="В"/>
    <m/>
    <m/>
    <s v="Тури"/>
    <s v="Тури"/>
    <s v="Тури"/>
    <x v="98"/>
    <s v="Эвон"/>
    <m/>
    <n v="73.285714285714292"/>
    <n v="60"/>
    <n v="71"/>
    <n v="72"/>
    <n v="80"/>
    <n v="75"/>
    <n v="80"/>
    <n v="75"/>
    <n v="31"/>
    <n v="6703237"/>
    <n v="558603.08333333337"/>
    <n v="0"/>
    <n v="558603.08333333337"/>
    <n v="0"/>
    <n v="0"/>
  </r>
  <r>
    <s v="Авроров"/>
    <x v="1"/>
    <s v="ЦЗ"/>
    <s v="ОПЗ"/>
    <m/>
    <s v="Тури"/>
    <s v="Тури"/>
    <s v="Тури"/>
    <x v="98"/>
    <s v="Эвон"/>
    <m/>
    <n v="66"/>
    <n v="36"/>
    <n v="70"/>
    <n v="70"/>
    <n v="72"/>
    <n v="80"/>
    <n v="83"/>
    <n v="51"/>
    <n v="0"/>
    <n v="1568337"/>
    <n v="130694.75"/>
    <n v="0"/>
    <n v="130694.75"/>
    <n v="0"/>
    <n v="0"/>
  </r>
  <r>
    <s v="Глубиц"/>
    <x v="1"/>
    <s v="ЦЗ"/>
    <s v="ПЗ"/>
    <m/>
    <s v="Тури"/>
    <s v="Тури"/>
    <s v="Тури"/>
    <x v="98"/>
    <s v="Эвон"/>
    <m/>
    <n v="64.428571428571431"/>
    <n v="28"/>
    <n v="65"/>
    <n v="71"/>
    <n v="76"/>
    <n v="82"/>
    <n v="88"/>
    <n v="41"/>
    <n v="0"/>
    <n v="1232495"/>
    <n v="102707.91666666667"/>
    <n v="0"/>
    <n v="102707.91666666667"/>
    <n v="0"/>
    <n v="0"/>
  </r>
  <r>
    <s v="Дубровин Мош"/>
    <x v="1"/>
    <s v="ЦЗ"/>
    <m/>
    <m/>
    <m/>
    <s v="Тури"/>
    <s v="Тури"/>
    <x v="98"/>
    <s v="Эвон"/>
    <m/>
    <n v="54.142857142857146"/>
    <n v="20"/>
    <n v="59"/>
    <n v="54"/>
    <n v="66"/>
    <n v="71"/>
    <n v="78"/>
    <n v="31"/>
    <n v="0"/>
    <n v="216477"/>
    <n v="18039.75"/>
    <n v="0"/>
    <n v="18039.75"/>
    <n v="0"/>
    <n v="0"/>
  </r>
  <r>
    <s v="Каменец Иржи"/>
    <x v="1"/>
    <s v="ЦЗ"/>
    <s v="ПЗ"/>
    <m/>
    <m/>
    <s v="Тури"/>
    <s v="Тури"/>
    <x v="98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Коршун"/>
    <x v="1"/>
    <s v="ЦЗ"/>
    <m/>
    <m/>
    <s v="Тури"/>
    <s v="Тури"/>
    <s v="Тури"/>
    <x v="98"/>
    <s v="Эвон"/>
    <m/>
    <n v="64.142857142857139"/>
    <n v="31"/>
    <n v="63"/>
    <n v="70"/>
    <n v="77"/>
    <n v="78"/>
    <n v="90"/>
    <n v="40"/>
    <n v="0"/>
    <n v="1178917"/>
    <n v="98243.083333333328"/>
    <n v="0"/>
    <n v="98243.083333333328"/>
    <n v="0"/>
    <n v="0"/>
  </r>
  <r>
    <s v="Кравец Тадеуш"/>
    <x v="1"/>
    <s v="ЦЗ"/>
    <s v="ОПЗ"/>
    <m/>
    <m/>
    <s v="Тури"/>
    <s v="Тури"/>
    <x v="98"/>
    <s v="Эвон"/>
    <m/>
    <n v="62"/>
    <n v="25"/>
    <n v="71"/>
    <n v="63"/>
    <n v="75"/>
    <n v="79"/>
    <n v="82"/>
    <n v="39"/>
    <n v="0"/>
    <n v="839300"/>
    <n v="69941.666666666672"/>
    <n v="0"/>
    <n v="69941.666666666672"/>
    <n v="0"/>
    <n v="0"/>
  </r>
  <r>
    <s v="Стрижун Влас"/>
    <x v="1"/>
    <s v="ЦЗ"/>
    <s v="ОПЗ"/>
    <m/>
    <m/>
    <s v="Тури"/>
    <s v="Тури"/>
    <x v="98"/>
    <s v="Эвон"/>
    <m/>
    <n v="58.285714285714285"/>
    <n v="21"/>
    <n v="66"/>
    <n v="60"/>
    <n v="72"/>
    <n v="77"/>
    <n v="79"/>
    <n v="33"/>
    <n v="0"/>
    <n v="452503"/>
    <n v="37708.583333333336"/>
    <n v="0"/>
    <n v="37708.583333333336"/>
    <n v="0"/>
    <n v="0"/>
  </r>
  <r>
    <s v="Матросов"/>
    <x v="2"/>
    <s v="ЦН"/>
    <s v="АПЗ"/>
    <m/>
    <s v="Тури"/>
    <s v="Тури"/>
    <s v="Тури"/>
    <x v="98"/>
    <s v="Эвон"/>
    <m/>
    <n v="65.285714285714292"/>
    <n v="40"/>
    <n v="65"/>
    <n v="83"/>
    <n v="70"/>
    <n v="67"/>
    <n v="82"/>
    <n v="50"/>
    <n v="0"/>
    <n v="1406636"/>
    <n v="117219.66666666667"/>
    <n v="0"/>
    <n v="117219.66666666667"/>
    <n v="0"/>
    <n v="0"/>
  </r>
  <r>
    <s v="Окта"/>
    <x v="2"/>
    <s v="ЦН"/>
    <s v="АПЗ"/>
    <m/>
    <s v="Мох"/>
    <s v="Мох"/>
    <s v="Мох"/>
    <x v="98"/>
    <s v="Эвон"/>
    <m/>
    <n v="65.142857142857139"/>
    <n v="40"/>
    <n v="82"/>
    <n v="71"/>
    <n v="70"/>
    <n v="71"/>
    <n v="70"/>
    <n v="52"/>
    <n v="0"/>
    <n v="1376158"/>
    <n v="114679.83333333333"/>
    <n v="0"/>
    <n v="114679.83333333333"/>
    <n v="0"/>
    <n v="0"/>
  </r>
  <r>
    <s v="Смелянский Рауль"/>
    <x v="2"/>
    <s v="ЦН"/>
    <s v="АПЗ"/>
    <m/>
    <m/>
    <s v="Тури"/>
    <s v="Тури"/>
    <x v="98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Грайманхол"/>
    <x v="3"/>
    <s v="ОПЗ"/>
    <s v="ЦЗ"/>
    <m/>
    <s v="Тури"/>
    <s v="Тури"/>
    <s v="Тури"/>
    <x v="98"/>
    <s v="Эвон"/>
    <m/>
    <n v="59.142857142857146"/>
    <n v="35"/>
    <n v="61"/>
    <n v="68"/>
    <n v="66"/>
    <n v="75"/>
    <n v="72"/>
    <n v="37"/>
    <n v="0"/>
    <n v="523629"/>
    <n v="43635.75"/>
    <n v="0"/>
    <n v="43635.75"/>
    <n v="0"/>
    <n v="0"/>
  </r>
  <r>
    <s v="Загребный Олег"/>
    <x v="3"/>
    <s v="ППЗ"/>
    <s v="АПЗ"/>
    <m/>
    <m/>
    <s v="Тури"/>
    <s v="Тури"/>
    <x v="98"/>
    <s v="Эвон"/>
    <m/>
    <n v="61.857142857142854"/>
    <n v="24"/>
    <n v="78"/>
    <n v="66"/>
    <n v="73"/>
    <n v="76"/>
    <n v="75"/>
    <n v="41"/>
    <n v="0"/>
    <n v="820160"/>
    <n v="68346.666666666672"/>
    <n v="0"/>
    <n v="68346.666666666672"/>
    <n v="0"/>
    <n v="0"/>
  </r>
  <r>
    <s v="Мильбрат Ханс"/>
    <x v="3"/>
    <s v="ЦПЗ"/>
    <s v="ОПЗ"/>
    <m/>
    <m/>
    <s v="Тури"/>
    <s v="Тури"/>
    <x v="98"/>
    <s v="Эвон"/>
    <m/>
    <n v="54.714285714285715"/>
    <n v="20"/>
    <n v="64"/>
    <n v="57"/>
    <n v="71"/>
    <n v="68"/>
    <n v="73"/>
    <n v="30"/>
    <n v="0"/>
    <n v="240441"/>
    <n v="20036.75"/>
    <n v="0"/>
    <n v="20036.75"/>
    <n v="0"/>
    <n v="0"/>
  </r>
  <r>
    <s v="Мильтер"/>
    <x v="3"/>
    <s v="ЦПЗ"/>
    <m/>
    <m/>
    <s v="Тури"/>
    <s v="Тури"/>
    <s v="Тури"/>
    <x v="98"/>
    <s v="Эвон"/>
    <m/>
    <n v="50.285714285714285"/>
    <n v="25"/>
    <n v="50"/>
    <n v="53"/>
    <n v="68"/>
    <n v="50"/>
    <n v="59"/>
    <n v="47"/>
    <n v="0"/>
    <n v="103383"/>
    <n v="8615.25"/>
    <n v="0"/>
    <n v="8615.25"/>
    <n v="0"/>
    <n v="0"/>
  </r>
  <r>
    <s v="Паймар"/>
    <x v="3"/>
    <s v="ЦПЗ"/>
    <s v="ОПЗ"/>
    <m/>
    <s v="Тури"/>
    <s v="Тури"/>
    <s v="Тури"/>
    <x v="98"/>
    <s v="Эвон"/>
    <m/>
    <n v="58.285714285714285"/>
    <n v="65"/>
    <n v="60"/>
    <n v="50"/>
    <n v="58"/>
    <n v="61"/>
    <n v="74"/>
    <n v="40"/>
    <n v="0"/>
    <n v="452503"/>
    <n v="37708.583333333336"/>
    <n v="0"/>
    <n v="37708.583333333336"/>
    <n v="0"/>
    <n v="0"/>
  </r>
  <r>
    <s v="Пандурин (П)"/>
    <x v="3"/>
    <s v="ОПЗ"/>
    <s v="ЦЗ"/>
    <m/>
    <s v="Мох"/>
    <s v="Мох"/>
    <s v="Мох"/>
    <x v="98"/>
    <s v="Эвон"/>
    <m/>
    <n v="79.857142857142861"/>
    <n v="80"/>
    <n v="79"/>
    <n v="83"/>
    <n v="81"/>
    <n v="80"/>
    <n v="86"/>
    <n v="70"/>
    <n v="26"/>
    <n v="15820819"/>
    <n v="1318401.5833333333"/>
    <n v="0"/>
    <n v="1318401.5833333333"/>
    <n v="0"/>
    <n v="0"/>
  </r>
  <r>
    <s v="Пандуров Люк"/>
    <x v="3"/>
    <s v="ОПЗ"/>
    <s v="ЦЗ"/>
    <m/>
    <m/>
    <s v="Тури"/>
    <s v="Тури"/>
    <x v="98"/>
    <s v="Эвон"/>
    <m/>
    <n v="65"/>
    <n v="26"/>
    <n v="77"/>
    <n v="69"/>
    <n v="82"/>
    <n v="78"/>
    <n v="80"/>
    <n v="43"/>
    <n v="0"/>
    <n v="1346275"/>
    <n v="112189.58333333333"/>
    <n v="0"/>
    <n v="112189.58333333333"/>
    <n v="0"/>
    <n v="0"/>
  </r>
  <r>
    <s v="Смелый"/>
    <x v="3"/>
    <s v="ППЗ"/>
    <s v="ОПЗ"/>
    <m/>
    <s v="Нест"/>
    <s v="Нест"/>
    <s v="Нест"/>
    <x v="98"/>
    <s v="Эвон"/>
    <m/>
    <n v="81.714285714285708"/>
    <n v="76"/>
    <n v="93"/>
    <n v="82"/>
    <n v="88"/>
    <n v="87"/>
    <n v="82"/>
    <n v="64"/>
    <n v="23"/>
    <n v="19909995"/>
    <n v="1659166.25"/>
    <n v="0"/>
    <n v="1659166.25"/>
    <n v="0"/>
    <n v="0"/>
  </r>
  <r>
    <s v="Ханойников"/>
    <x v="3"/>
    <s v="ОПЗ"/>
    <m/>
    <m/>
    <s v="Тури"/>
    <s v="Тури"/>
    <s v="Тури"/>
    <x v="98"/>
    <s v="Эвон"/>
    <m/>
    <n v="55"/>
    <n v="48"/>
    <n v="52"/>
    <n v="64"/>
    <n v="64"/>
    <n v="68"/>
    <n v="57"/>
    <n v="32"/>
    <n v="0"/>
    <n v="253296"/>
    <n v="21108"/>
    <n v="0"/>
    <n v="21108"/>
    <n v="0"/>
    <n v="0"/>
  </r>
  <r>
    <s v="Хорватин Марек"/>
    <x v="3"/>
    <s v="ЛПЗ"/>
    <s v="ОПЗ"/>
    <m/>
    <m/>
    <s v="Тури"/>
    <s v="Тури"/>
    <x v="98"/>
    <s v="Эвон"/>
    <m/>
    <n v="57.714285714285715"/>
    <n v="22"/>
    <n v="70"/>
    <n v="61"/>
    <n v="72"/>
    <n v="69"/>
    <n v="74"/>
    <n v="36"/>
    <n v="0"/>
    <n v="410047"/>
    <n v="34170.583333333336"/>
    <n v="0"/>
    <n v="34170.583333333336"/>
    <n v="0"/>
    <n v="0"/>
  </r>
  <r>
    <s v="Тизель"/>
    <x v="4"/>
    <s v="Т"/>
    <m/>
    <m/>
    <m/>
    <s v="А.Н."/>
    <s v="А.Н."/>
    <x v="98"/>
    <s v="Эвон"/>
    <m/>
    <n v="73.428571428571431"/>
    <n v="56"/>
    <n v="78"/>
    <n v="78"/>
    <n v="74"/>
    <n v="77"/>
    <n v="85"/>
    <n v="66"/>
    <n v="0"/>
    <n v="4556704"/>
    <n v="379725.33333333331"/>
    <n v="0"/>
    <n v="379725.33333333331"/>
    <n v="0"/>
    <n v="0"/>
  </r>
  <r>
    <s v="Гракх Люций"/>
    <x v="0"/>
    <s v="В"/>
    <m/>
    <m/>
    <m/>
    <s v="Юл"/>
    <s v="Юл"/>
    <x v="99"/>
    <s v="Эвон"/>
    <m/>
    <n v="67.857142857142861"/>
    <n v="28"/>
    <n v="84"/>
    <n v="76"/>
    <n v="80"/>
    <n v="75"/>
    <n v="79"/>
    <n v="53"/>
    <n v="0"/>
    <n v="2069931"/>
    <n v="172494.25"/>
    <n v="0"/>
    <n v="172494.25"/>
    <n v="0"/>
    <n v="0"/>
  </r>
  <r>
    <s v="Цезарр (В)"/>
    <x v="0"/>
    <s v="В"/>
    <m/>
    <m/>
    <s v="Юл"/>
    <s v="Юл"/>
    <s v="Юл"/>
    <x v="99"/>
    <s v="Эвон"/>
    <m/>
    <n v="72.571428571428569"/>
    <n v="65"/>
    <n v="92"/>
    <n v="85"/>
    <n v="78"/>
    <n v="79"/>
    <n v="75"/>
    <n v="34"/>
    <n v="29"/>
    <n v="6077823"/>
    <n v="506485.25"/>
    <n v="0"/>
    <n v="506485.25"/>
    <n v="0"/>
    <n v="0"/>
  </r>
  <r>
    <s v="Валерий Гай"/>
    <x v="1"/>
    <s v="ЦЗ"/>
    <m/>
    <m/>
    <s v="Юл"/>
    <s v="Юл"/>
    <s v="Юл"/>
    <x v="99"/>
    <s v="Эвон"/>
    <m/>
    <n v="70.285714285714292"/>
    <n v="25"/>
    <n v="88"/>
    <n v="66"/>
    <n v="82"/>
    <n v="89"/>
    <n v="87"/>
    <n v="55"/>
    <n v="0"/>
    <n v="2942190"/>
    <n v="245182.5"/>
    <n v="0"/>
    <n v="245182.5"/>
    <n v="0"/>
    <n v="0"/>
  </r>
  <r>
    <s v="Валлес"/>
    <x v="1"/>
    <s v="ЦЗ"/>
    <m/>
    <m/>
    <s v="Юл"/>
    <s v="Юл"/>
    <s v="Юл"/>
    <x v="99"/>
    <s v="Эвон"/>
    <m/>
    <n v="77.857142857142861"/>
    <n v="65"/>
    <n v="85"/>
    <n v="76"/>
    <n v="84"/>
    <n v="78"/>
    <n v="83"/>
    <n v="74"/>
    <n v="0"/>
    <n v="8184359"/>
    <n v="621979.33333333337"/>
    <n v="0"/>
    <n v="682029.91666666663"/>
    <n v="-8.8000000000000007"/>
    <n v="0"/>
  </r>
  <r>
    <s v="Дециллий Алес"/>
    <x v="1"/>
    <s v="ЦЗ"/>
    <s v="ПЗ"/>
    <m/>
    <m/>
    <s v="Юл"/>
    <s v="Юл"/>
    <x v="99"/>
    <s v="Эвон"/>
    <m/>
    <n v="70.285714285714292"/>
    <n v="25"/>
    <n v="88"/>
    <n v="66"/>
    <n v="82"/>
    <n v="89"/>
    <n v="87"/>
    <n v="55"/>
    <n v="0"/>
    <n v="2942190"/>
    <n v="245182.5"/>
    <n v="0"/>
    <n v="245182.5"/>
    <n v="0"/>
    <n v="0"/>
  </r>
  <r>
    <s v="Кит Охреба"/>
    <x v="1"/>
    <s v="ЦЗ"/>
    <s v="ОПЗ"/>
    <m/>
    <m/>
    <s v="Юл"/>
    <s v="Юл"/>
    <x v="99"/>
    <s v="Эвон"/>
    <m/>
    <n v="71.142857142857139"/>
    <n v="40"/>
    <n v="83"/>
    <n v="75"/>
    <n v="80"/>
    <n v="84"/>
    <n v="85"/>
    <n v="51"/>
    <n v="12"/>
    <n v="4982007"/>
    <n v="145548.33333333334"/>
    <n v="0"/>
    <n v="415167.25"/>
    <n v="-64.94"/>
    <n v="0"/>
  </r>
  <r>
    <s v="Келли"/>
    <x v="1"/>
    <s v="ЦЗ"/>
    <m/>
    <m/>
    <s v="Юл"/>
    <s v="Юл"/>
    <s v="Юл"/>
    <x v="99"/>
    <s v="Эвон"/>
    <m/>
    <n v="77.142857142857139"/>
    <n v="70"/>
    <n v="75"/>
    <n v="77"/>
    <n v="82"/>
    <n v="80"/>
    <n v="83"/>
    <n v="73"/>
    <n v="0"/>
    <n v="7463752"/>
    <n v="621979.33333333337"/>
    <n v="0"/>
    <n v="621979.33333333337"/>
    <n v="0"/>
    <n v="0"/>
  </r>
  <r>
    <s v="Маус (З)"/>
    <x v="1"/>
    <s v="ЦЗ"/>
    <m/>
    <m/>
    <s v="Юл"/>
    <s v="Юл"/>
    <s v="Юл"/>
    <x v="99"/>
    <s v="Эвон"/>
    <m/>
    <n v="75.428571428571431"/>
    <n v="60"/>
    <n v="72"/>
    <n v="75"/>
    <n v="80"/>
    <n v="82"/>
    <n v="89"/>
    <n v="70"/>
    <n v="0"/>
    <n v="5961545"/>
    <n v="496795.41666666669"/>
    <n v="0"/>
    <n v="496795.41666666669"/>
    <n v="0"/>
    <n v="0"/>
  </r>
  <r>
    <s v="Октавьер"/>
    <x v="1"/>
    <s v="ЦЗ"/>
    <s v="ПЗ"/>
    <m/>
    <s v="Юл"/>
    <s v="Юл"/>
    <s v="Юл"/>
    <x v="99"/>
    <s v="Эвон"/>
    <m/>
    <n v="83.857142857142861"/>
    <n v="74"/>
    <n v="78"/>
    <n v="85"/>
    <n v="85"/>
    <n v="85"/>
    <n v="94"/>
    <n v="86"/>
    <n v="18"/>
    <n v="25792407"/>
    <n v="2149367.25"/>
    <n v="0"/>
    <n v="2149367.25"/>
    <n v="0"/>
    <n v="0"/>
  </r>
  <r>
    <s v="Флавиан Марк"/>
    <x v="1"/>
    <s v="ЦЗ"/>
    <s v="ПЗ"/>
    <m/>
    <m/>
    <s v="Юл"/>
    <s v="Юл"/>
    <x v="99"/>
    <s v="Эвон"/>
    <m/>
    <n v="72.428571428571431"/>
    <n v="34"/>
    <n v="86"/>
    <n v="70"/>
    <n v="84"/>
    <n v="88"/>
    <n v="88"/>
    <n v="57"/>
    <n v="0"/>
    <n v="3972823"/>
    <n v="331068.58333333331"/>
    <n v="0"/>
    <n v="331068.58333333331"/>
    <n v="0"/>
    <n v="0"/>
  </r>
  <r>
    <s v="Кайн (Н)"/>
    <x v="2"/>
    <s v="ЦН"/>
    <s v="АПЗ"/>
    <m/>
    <s v="Юл"/>
    <s v="Юл"/>
    <s v="Юл"/>
    <x v="99"/>
    <s v="Эвон"/>
    <m/>
    <n v="87"/>
    <n v="80"/>
    <n v="89"/>
    <n v="92"/>
    <n v="86"/>
    <n v="84"/>
    <n v="90"/>
    <n v="88"/>
    <n v="7"/>
    <n v="37263513"/>
    <n v="3105292.75"/>
    <n v="0"/>
    <n v="3105292.75"/>
    <n v="0"/>
    <n v="0"/>
  </r>
  <r>
    <s v="М. Калиптер (Н)"/>
    <x v="2"/>
    <s v="ОФ"/>
    <s v="ППЗ"/>
    <m/>
    <s v="Юл"/>
    <s v="Юл"/>
    <s v="Юл"/>
    <x v="99"/>
    <s v="Эвон"/>
    <m/>
    <n v="86.285714285714292"/>
    <n v="75"/>
    <n v="86"/>
    <n v="86"/>
    <n v="88"/>
    <n v="89"/>
    <n v="91"/>
    <n v="89"/>
    <n v="19"/>
    <n v="34314704"/>
    <n v="2859558.6666666665"/>
    <n v="0"/>
    <n v="2859558.6666666665"/>
    <n v="0"/>
    <n v="0"/>
  </r>
  <r>
    <s v="М. Кинли (Н)"/>
    <x v="2"/>
    <s v="ЦН"/>
    <s v="ОФ"/>
    <m/>
    <s v="Зол.Хол"/>
    <s v="Зол.Хол"/>
    <s v="Зол.Хол"/>
    <x v="99"/>
    <s v="Эвон"/>
    <m/>
    <n v="83.142857142857139"/>
    <n v="78"/>
    <n v="86"/>
    <n v="88"/>
    <n v="85"/>
    <n v="83"/>
    <n v="76"/>
    <n v="86"/>
    <n v="5"/>
    <n v="23677765"/>
    <n v="1973147.0833333333"/>
    <n v="0"/>
    <n v="1973147.0833333333"/>
    <n v="0"/>
    <n v="0"/>
  </r>
  <r>
    <s v="Публий Авл"/>
    <x v="2"/>
    <s v="ЦН"/>
    <s v="ОФ"/>
    <m/>
    <s v="Юл"/>
    <s v="Юл"/>
    <s v="Юл"/>
    <x v="99"/>
    <s v="Эвон"/>
    <m/>
    <n v="71.142857142857139"/>
    <n v="39"/>
    <n v="82"/>
    <n v="84"/>
    <n v="80"/>
    <n v="79"/>
    <n v="76"/>
    <n v="58"/>
    <n v="0"/>
    <n v="3321338"/>
    <n v="276778.16666666669"/>
    <n v="0"/>
    <n v="276778.16666666669"/>
    <n v="0"/>
    <n v="0"/>
  </r>
  <r>
    <s v="Тиб Алистер"/>
    <x v="2"/>
    <s v="ЦН"/>
    <s v="АПЗ"/>
    <m/>
    <m/>
    <s v="Юл"/>
    <s v="Юл"/>
    <x v="99"/>
    <s v="Эвон"/>
    <m/>
    <n v="68.142857142857139"/>
    <n v="24"/>
    <n v="85"/>
    <n v="70"/>
    <n v="82"/>
    <n v="78"/>
    <n v="84"/>
    <n v="54"/>
    <n v="0"/>
    <n v="2158756"/>
    <n v="179896.33333333334"/>
    <n v="0"/>
    <n v="179896.33333333334"/>
    <n v="0"/>
    <n v="0"/>
  </r>
  <r>
    <s v="Фабий Луций"/>
    <x v="2"/>
    <s v="ОФ"/>
    <s v="ППЗ"/>
    <m/>
    <s v="Юл"/>
    <s v="Юл"/>
    <s v="Юл"/>
    <x v="99"/>
    <s v="Эвон"/>
    <m/>
    <n v="72.714285714285708"/>
    <n v="32"/>
    <n v="79"/>
    <n v="86"/>
    <n v="84"/>
    <n v="84"/>
    <n v="88"/>
    <n v="56"/>
    <n v="0"/>
    <n v="4132354"/>
    <n v="344362.83333333331"/>
    <n v="0"/>
    <n v="344362.83333333331"/>
    <n v="0"/>
    <n v="0"/>
  </r>
  <r>
    <s v="Асин (П)"/>
    <x v="3"/>
    <s v="ОПЗ"/>
    <s v="ЦЗ"/>
    <m/>
    <s v="Юл"/>
    <s v="Тевт"/>
    <s v="Тевт"/>
    <x v="99"/>
    <s v="Эвон"/>
    <m/>
    <n v="79.285714285714292"/>
    <n v="70"/>
    <n v="83"/>
    <n v="85"/>
    <n v="78"/>
    <n v="84"/>
    <n v="90"/>
    <n v="65"/>
    <n v="26"/>
    <n v="14724505"/>
    <n v="1227042.0833333333"/>
    <n v="0"/>
    <n v="1227042.0833333333"/>
    <n v="0"/>
    <n v="0"/>
  </r>
  <r>
    <s v="Клавдий Деций"/>
    <x v="3"/>
    <s v="ОПЗ"/>
    <s v="ЦЗ"/>
    <m/>
    <m/>
    <s v="Юл"/>
    <s v="Юл"/>
    <x v="99"/>
    <s v="Эвон"/>
    <m/>
    <n v="67.285714285714292"/>
    <n v="21"/>
    <n v="84"/>
    <n v="59"/>
    <n v="78"/>
    <n v="90"/>
    <n v="87"/>
    <n v="52"/>
    <n v="0"/>
    <n v="1902080"/>
    <n v="158506.66666666666"/>
    <n v="0"/>
    <n v="158506.66666666666"/>
    <n v="0"/>
    <n v="0"/>
  </r>
  <r>
    <s v="М. Август (П)"/>
    <x v="3"/>
    <s v="ЛПЗ"/>
    <s v="ППЗ"/>
    <s v="ЦПЗ"/>
    <s v="Юл"/>
    <s v="Юл"/>
    <s v="Юл"/>
    <x v="99"/>
    <s v="Эвон"/>
    <m/>
    <n v="83.857142857142861"/>
    <n v="81"/>
    <n v="88"/>
    <n v="84"/>
    <n v="84"/>
    <n v="84"/>
    <n v="83"/>
    <n v="83"/>
    <n v="23"/>
    <n v="25792407"/>
    <n v="2149367.25"/>
    <n v="0"/>
    <n v="2149367.25"/>
    <n v="0"/>
    <n v="0"/>
  </r>
  <r>
    <s v="Оганов (П)"/>
    <x v="3"/>
    <s v="ОПЗ"/>
    <s v="ЦЗ"/>
    <s v="ЦПЗ"/>
    <s v="Юл"/>
    <s v="Юл"/>
    <s v="Юл"/>
    <x v="99"/>
    <s v="Эвон"/>
    <m/>
    <n v="86.571428571428569"/>
    <n v="80"/>
    <n v="84"/>
    <n v="90"/>
    <n v="82"/>
    <n v="90"/>
    <n v="95"/>
    <n v="85"/>
    <n v="18"/>
    <n v="35468033"/>
    <n v="2955669.4166666665"/>
    <n v="0"/>
    <n v="2955669.4166666665"/>
    <n v="0"/>
    <n v="0"/>
  </r>
  <r>
    <s v="Мервилаос Аппи"/>
    <x v="3"/>
    <s v="ЛПЗ"/>
    <s v="ППЗ"/>
    <m/>
    <m/>
    <s v="Юл"/>
    <s v="Юл"/>
    <x v="99"/>
    <s v="Эвон"/>
    <m/>
    <n v="70.714285714285708"/>
    <n v="27"/>
    <n v="90"/>
    <n v="72"/>
    <n v="83"/>
    <n v="83"/>
    <n v="84"/>
    <n v="56"/>
    <n v="0"/>
    <n v="3126595"/>
    <n v="260549.58333333334"/>
    <n v="0"/>
    <n v="260549.58333333334"/>
    <n v="0"/>
    <n v="0"/>
  </r>
  <r>
    <s v="Цезди (П)"/>
    <x v="3"/>
    <s v="ЦПЗ"/>
    <s v="ОПЗ"/>
    <m/>
    <s v="Юл"/>
    <s v="Юл"/>
    <s v="Юл"/>
    <x v="99"/>
    <s v="Эвон"/>
    <m/>
    <n v="89.428571428571431"/>
    <n v="90"/>
    <n v="91"/>
    <n v="92"/>
    <n v="88"/>
    <n v="85"/>
    <n v="86"/>
    <n v="94"/>
    <n v="17"/>
    <n v="49074309"/>
    <n v="4089525.75"/>
    <n v="0"/>
    <n v="4089525.75"/>
    <n v="0"/>
    <n v="0"/>
  </r>
  <r>
    <s v="Сенека Квинт"/>
    <x v="4"/>
    <s v="Т"/>
    <m/>
    <m/>
    <m/>
    <s v="Юл"/>
    <s v="Юл"/>
    <x v="99"/>
    <s v="Эвон"/>
    <m/>
    <n v="65.285714285714292"/>
    <n v="27"/>
    <n v="72"/>
    <n v="70"/>
    <n v="78"/>
    <n v="76"/>
    <n v="80"/>
    <n v="54"/>
    <n v="0"/>
    <n v="1406636"/>
    <n v="117219.66666666667"/>
    <n v="0"/>
    <n v="117219.66666666667"/>
    <n v="0"/>
    <n v="0"/>
  </r>
  <r>
    <s v="Зуль-Аж"/>
    <x v="0"/>
    <s v="В"/>
    <m/>
    <m/>
    <s v="С.С."/>
    <s v="Лес"/>
    <s v="Лес"/>
    <x v="100"/>
    <s v="Эвон"/>
    <m/>
    <n v="69.142857142857139"/>
    <n v="65"/>
    <n v="70"/>
    <n v="95"/>
    <n v="23"/>
    <n v="86"/>
    <n v="77"/>
    <n v="68"/>
    <n v="0"/>
    <n v="2497315"/>
    <n v="208109.58333333334"/>
    <n v="0"/>
    <n v="208109.58333333334"/>
    <n v="0"/>
    <n v="0"/>
  </r>
  <r>
    <s v="Моргуша (В)"/>
    <x v="0"/>
    <s v="В"/>
    <m/>
    <m/>
    <s v="Б.Л."/>
    <s v="Б.Л."/>
    <s v="Б.Л."/>
    <x v="100"/>
    <s v="Эвон"/>
    <m/>
    <n v="79.571428571428569"/>
    <n v="65"/>
    <n v="85"/>
    <n v="72"/>
    <n v="75"/>
    <n v="94"/>
    <n v="94"/>
    <n v="72"/>
    <n v="29"/>
    <n v="15263806"/>
    <n v="1271983.8333333333"/>
    <n v="0"/>
    <n v="1271983.8333333333"/>
    <n v="0"/>
    <n v="0"/>
  </r>
  <r>
    <s v="Гравцув"/>
    <x v="1"/>
    <s v="ЦЗ"/>
    <m/>
    <m/>
    <s v="Ч.Л."/>
    <s v="Ч.Л."/>
    <s v="Ч.Л."/>
    <x v="100"/>
    <s v="Эвон"/>
    <m/>
    <n v="76.714285714285708"/>
    <n v="54"/>
    <n v="75"/>
    <n v="77"/>
    <n v="85"/>
    <n v="84"/>
    <n v="84"/>
    <n v="78"/>
    <n v="0"/>
    <n v="7059314"/>
    <n v="588276.16666666663"/>
    <n v="0"/>
    <n v="588276.16666666663"/>
    <n v="0"/>
    <n v="0"/>
  </r>
  <r>
    <s v="Зонтер (З)"/>
    <x v="1"/>
    <s v="ЦЗ"/>
    <s v="ЛЗ"/>
    <m/>
    <s v="Ч.Л."/>
    <s v="Ч.Л."/>
    <s v="Ч.Л."/>
    <x v="100"/>
    <s v="Эвон"/>
    <m/>
    <n v="68.714285714285708"/>
    <n v="45"/>
    <n v="68"/>
    <n v="73"/>
    <n v="70"/>
    <n v="82"/>
    <n v="88"/>
    <n v="55"/>
    <n v="0"/>
    <n v="2346770"/>
    <n v="195564.16666666666"/>
    <n v="0"/>
    <n v="195564.16666666666"/>
    <n v="0"/>
    <n v="0"/>
  </r>
  <r>
    <s v="Коршита (З)"/>
    <x v="1"/>
    <s v="ЦЗ"/>
    <m/>
    <m/>
    <s v="Ч.Л."/>
    <s v="Ч.Л."/>
    <s v="Ч.Л."/>
    <x v="100"/>
    <s v="Эвон"/>
    <m/>
    <n v="72"/>
    <n v="52"/>
    <n v="70"/>
    <n v="71"/>
    <n v="78"/>
    <n v="81"/>
    <n v="92"/>
    <n v="60"/>
    <n v="0"/>
    <n v="3743907"/>
    <n v="311992.25"/>
    <n v="0"/>
    <n v="311992.25"/>
    <n v="0"/>
    <n v="0"/>
  </r>
  <r>
    <s v="Мивани (З)"/>
    <x v="1"/>
    <s v="ЦЗ"/>
    <m/>
    <m/>
    <s v="Ч.Л."/>
    <s v="Ч.Л."/>
    <s v="Ч.Л."/>
    <x v="100"/>
    <s v="Эвон"/>
    <m/>
    <n v="68.285714285714292"/>
    <n v="48"/>
    <n v="69"/>
    <n v="74"/>
    <n v="71"/>
    <n v="78"/>
    <n v="87"/>
    <n v="51"/>
    <n v="0"/>
    <n v="2204442"/>
    <n v="183703.5"/>
    <n v="0"/>
    <n v="183703.5"/>
    <n v="0"/>
    <n v="0"/>
  </r>
  <r>
    <s v="Нойз (З)"/>
    <x v="1"/>
    <s v="ЦЗ"/>
    <m/>
    <m/>
    <s v="Ч.Л."/>
    <s v="Ч.Л."/>
    <s v="Ч.Л."/>
    <x v="100"/>
    <s v="Эвон"/>
    <m/>
    <n v="73.571428571428569"/>
    <n v="51"/>
    <n v="71"/>
    <n v="75"/>
    <n v="80"/>
    <n v="84"/>
    <n v="89"/>
    <n v="65"/>
    <n v="0"/>
    <n v="4646136"/>
    <n v="387178"/>
    <n v="0"/>
    <n v="387178"/>
    <n v="0"/>
    <n v="0"/>
  </r>
  <r>
    <s v="Плизель"/>
    <x v="1"/>
    <s v="ПЗ"/>
    <s v="ЦЗ"/>
    <m/>
    <s v="Ч.Л."/>
    <s v="Ч.Л."/>
    <s v="Ч.Л."/>
    <x v="100"/>
    <s v="Эвон"/>
    <m/>
    <n v="73.428571428571431"/>
    <n v="51"/>
    <n v="77"/>
    <n v="74"/>
    <n v="78"/>
    <n v="79"/>
    <n v="75"/>
    <n v="80"/>
    <n v="0"/>
    <n v="4556704"/>
    <n v="379725.33333333331"/>
    <n v="0"/>
    <n v="379725.33333333331"/>
    <n v="0"/>
    <n v="0"/>
  </r>
  <r>
    <s v="Цувель"/>
    <x v="1"/>
    <s v="ЦЗ"/>
    <m/>
    <m/>
    <s v="Орех"/>
    <s v="Орех"/>
    <s v="Орех"/>
    <x v="100"/>
    <s v="Эвон"/>
    <m/>
    <n v="67"/>
    <n v="62"/>
    <n v="71"/>
    <n v="75"/>
    <n v="69"/>
    <n v="74"/>
    <n v="78"/>
    <n v="40"/>
    <n v="0"/>
    <n v="1822838"/>
    <n v="151903.16666666666"/>
    <n v="0"/>
    <n v="151903.16666666666"/>
    <n v="0"/>
    <n v="0"/>
  </r>
  <r>
    <s v="Брещан"/>
    <x v="2"/>
    <s v="ЦН"/>
    <s v="ОФ"/>
    <m/>
    <s v="Ч.Л."/>
    <s v="Ч.Л."/>
    <s v="Ч.Л."/>
    <x v="100"/>
    <s v="Эвон"/>
    <m/>
    <n v="74.285714285714292"/>
    <n v="46"/>
    <n v="80"/>
    <n v="85"/>
    <n v="75"/>
    <n v="80"/>
    <n v="91"/>
    <n v="63"/>
    <n v="7"/>
    <n v="7676165"/>
    <n v="387178"/>
    <n v="0"/>
    <n v="639680.41666666663"/>
    <n v="-39.47"/>
    <n v="0"/>
  </r>
  <r>
    <s v="Лоргунс"/>
    <x v="2"/>
    <s v="ОФ"/>
    <s v="ЦН"/>
    <m/>
    <s v="Лес"/>
    <s v="Лес"/>
    <s v="Лес"/>
    <x v="100"/>
    <s v="Эвон"/>
    <m/>
    <n v="69.857142857142861"/>
    <n v="46"/>
    <n v="80"/>
    <n v="70"/>
    <n v="75"/>
    <n v="73"/>
    <n v="79"/>
    <n v="66"/>
    <n v="0"/>
    <n v="2767632"/>
    <n v="230636"/>
    <n v="0"/>
    <n v="230636"/>
    <n v="0"/>
    <n v="0"/>
  </r>
  <r>
    <s v="Барханов"/>
    <x v="3"/>
    <s v="ЦПЗ"/>
    <s v="ППЗ"/>
    <m/>
    <s v="Ч.Л."/>
    <s v="Ч.Л."/>
    <s v="Ч.Л."/>
    <x v="100"/>
    <s v="Эвон"/>
    <m/>
    <n v="53.428571428571431"/>
    <n v="27"/>
    <n v="61"/>
    <n v="65"/>
    <n v="54"/>
    <n v="50"/>
    <n v="62"/>
    <n v="55"/>
    <n v="0"/>
    <n v="189556"/>
    <n v="15796.333333333334"/>
    <n v="0"/>
    <n v="15796.333333333334"/>
    <n v="0"/>
    <n v="0"/>
  </r>
  <r>
    <s v="Гуль (П)"/>
    <x v="3"/>
    <s v="АПЗ"/>
    <s v="ЦПЗ"/>
    <m/>
    <s v="Ч.Л."/>
    <s v="Ч.Л."/>
    <s v="Ч.Л."/>
    <x v="100"/>
    <s v="Эвон"/>
    <m/>
    <n v="83.428571428571431"/>
    <n v="75"/>
    <n v="83"/>
    <n v="93"/>
    <n v="82"/>
    <n v="80"/>
    <n v="83"/>
    <n v="88"/>
    <n v="21"/>
    <n v="24504133"/>
    <n v="2042011.0833333333"/>
    <n v="0"/>
    <n v="2042011.0833333333"/>
    <n v="0"/>
    <n v="0"/>
  </r>
  <r>
    <s v="Остро-Вико"/>
    <x v="3"/>
    <s v="ППЗ"/>
    <s v="АПЗ"/>
    <m/>
    <s v="Ч.Л."/>
    <s v="Ч.Л."/>
    <s v="Ч.Л."/>
    <x v="100"/>
    <s v="Эвон"/>
    <m/>
    <n v="72.285714285714292"/>
    <n v="50"/>
    <n v="90"/>
    <n v="73"/>
    <n v="80"/>
    <n v="73"/>
    <n v="70"/>
    <n v="70"/>
    <n v="22"/>
    <n v="5842733"/>
    <n v="486894.41666666669"/>
    <n v="0"/>
    <n v="486894.41666666669"/>
    <n v="0"/>
    <n v="0"/>
  </r>
  <r>
    <s v="Паолит"/>
    <x v="3"/>
    <s v="ЛПЗ"/>
    <s v="ЦПЗ"/>
    <m/>
    <s v="Ч.Л."/>
    <s v="Орех"/>
    <s v="Орех"/>
    <x v="100"/>
    <s v="Эвон"/>
    <m/>
    <n v="52.714285714285715"/>
    <n v="27"/>
    <n v="74"/>
    <n v="55"/>
    <n v="60"/>
    <n v="50"/>
    <n v="50"/>
    <n v="53"/>
    <n v="0"/>
    <n v="165686"/>
    <n v="13807.166666666666"/>
    <n v="0"/>
    <n v="13807.166666666666"/>
    <n v="0"/>
    <n v="0"/>
  </r>
  <r>
    <s v="Филин (П)"/>
    <x v="3"/>
    <s v="ЦПЗ"/>
    <s v="ППЗ"/>
    <m/>
    <s v="Б.Л."/>
    <s v="Б.Л."/>
    <s v="Б.Л."/>
    <x v="100"/>
    <s v="Эвон"/>
    <m/>
    <n v="81.285714285714292"/>
    <n v="53"/>
    <n v="80"/>
    <n v="90"/>
    <n v="83"/>
    <n v="90"/>
    <n v="93"/>
    <n v="80"/>
    <n v="18"/>
    <n v="18890069"/>
    <n v="1574172.4166666667"/>
    <n v="0"/>
    <n v="1574172.4166666667"/>
    <n v="0"/>
    <n v="0"/>
  </r>
  <r>
    <s v="Ювь Юа"/>
    <x v="3"/>
    <s v="ЛПЗ"/>
    <s v="ОПЗ"/>
    <m/>
    <s v="С.С."/>
    <s v="Ч.Л."/>
    <s v="Ч.Л."/>
    <x v="100"/>
    <s v="Эвон"/>
    <m/>
    <n v="73.142857142857139"/>
    <n v="60"/>
    <n v="85"/>
    <n v="80"/>
    <n v="79"/>
    <n v="85"/>
    <n v="73"/>
    <n v="50"/>
    <n v="0"/>
    <n v="4382473"/>
    <n v="365206.08333333331"/>
    <n v="0"/>
    <n v="365206.08333333331"/>
    <n v="0"/>
    <n v="0"/>
  </r>
  <r>
    <s v="Зорчий"/>
    <x v="4"/>
    <s v="Т"/>
    <m/>
    <m/>
    <m/>
    <s v="Лищ"/>
    <s v="Лищ"/>
    <x v="100"/>
    <s v="Эвон"/>
    <m/>
    <n v="88.857142857142861"/>
    <n v="85"/>
    <n v="80"/>
    <n v="94"/>
    <n v="96"/>
    <n v="95"/>
    <n v="89"/>
    <n v="83"/>
    <n v="0"/>
    <n v="30684811"/>
    <n v="2557067.5833333335"/>
    <n v="0"/>
    <n v="2557067.5833333335"/>
    <n v="0"/>
    <n v="0"/>
  </r>
  <r>
    <s v="Тьорнвикс Торстейн"/>
    <x v="0"/>
    <s v="В"/>
    <m/>
    <m/>
    <m/>
    <s v="Кирп"/>
    <s v="Кирп"/>
    <x v="101"/>
    <s v="Эвон"/>
    <m/>
    <n v="61.142857142857146"/>
    <n v="12"/>
    <n v="78"/>
    <n v="70"/>
    <n v="76"/>
    <n v="78"/>
    <n v="80"/>
    <n v="34"/>
    <n v="0"/>
    <n v="730226"/>
    <n v="60852.166666666664"/>
    <n v="0"/>
    <n v="60852.166666666664"/>
    <n v="0"/>
    <n v="0"/>
  </r>
  <r>
    <s v="Стикинбург (В)"/>
    <x v="0"/>
    <s v="В"/>
    <m/>
    <m/>
    <s v="Кирп"/>
    <s v="Кирп"/>
    <s v="Кирп"/>
    <x v="101"/>
    <s v="Эвон"/>
    <m/>
    <n v="74.142857142857139"/>
    <n v="56"/>
    <n v="80"/>
    <n v="67"/>
    <n v="79"/>
    <n v="78"/>
    <n v="90"/>
    <n v="69"/>
    <n v="29"/>
    <n v="7529818"/>
    <n v="627484.83333333337"/>
    <n v="0"/>
    <n v="627484.83333333337"/>
    <n v="0"/>
    <n v="0"/>
  </r>
  <r>
    <s v="Кетиль Гуннар"/>
    <x v="1"/>
    <s v="ПЗ"/>
    <s v="ЦЗ"/>
    <m/>
    <m/>
    <s v="Кирп"/>
    <s v="Кирп"/>
    <x v="101"/>
    <s v="Эвон"/>
    <m/>
    <n v="68"/>
    <n v="38"/>
    <n v="80"/>
    <n v="66"/>
    <n v="72"/>
    <n v="85"/>
    <n v="84"/>
    <n v="51"/>
    <n v="0"/>
    <n v="2113923"/>
    <n v="176160.25"/>
    <n v="0"/>
    <n v="176160.25"/>
    <n v="0"/>
    <n v="0"/>
  </r>
  <r>
    <s v="Бьёстгор Харди"/>
    <x v="1"/>
    <s v="ЦЗ"/>
    <s v="ОПЗ"/>
    <m/>
    <m/>
    <s v="Кирп"/>
    <s v="Кирп"/>
    <x v="101"/>
    <s v="Эвон"/>
    <m/>
    <n v="55.571428571428569"/>
    <n v="8"/>
    <n v="72"/>
    <n v="65"/>
    <n v="70"/>
    <n v="72"/>
    <n v="74"/>
    <n v="28"/>
    <n v="0"/>
    <n v="280877"/>
    <n v="23406.416666666668"/>
    <n v="0"/>
    <n v="23406.416666666668"/>
    <n v="0"/>
    <n v="0"/>
  </r>
  <r>
    <s v="Трюггви Свейн"/>
    <x v="1"/>
    <s v="ЛЗ"/>
    <s v="ЦЗ"/>
    <m/>
    <m/>
    <s v="Кирп"/>
    <s v="Кирп"/>
    <x v="101"/>
    <s v="Эвон"/>
    <m/>
    <n v="59.428571428571431"/>
    <n v="11"/>
    <n v="76"/>
    <n v="68"/>
    <n v="74"/>
    <n v="76"/>
    <n v="78"/>
    <n v="33"/>
    <n v="0"/>
    <n v="549482"/>
    <n v="45790.166666666664"/>
    <n v="0"/>
    <n v="45790.166666666664"/>
    <n v="0"/>
    <n v="0"/>
  </r>
  <r>
    <s v="Параль Орис"/>
    <x v="1"/>
    <s v="ЦЗ"/>
    <s v="ЛЗ"/>
    <m/>
    <m/>
    <s v="Кирп"/>
    <s v="Кирп"/>
    <x v="101"/>
    <s v="Эвон"/>
    <m/>
    <n v="63.714285714285715"/>
    <n v="14"/>
    <n v="82"/>
    <n v="74"/>
    <n v="78"/>
    <n v="80"/>
    <n v="82"/>
    <n v="36"/>
    <n v="0"/>
    <n v="1102474"/>
    <n v="91872.833333333328"/>
    <n v="0"/>
    <n v="91872.833333333328"/>
    <n v="0"/>
    <n v="0"/>
  </r>
  <r>
    <s v="Хрольф Эйнар"/>
    <x v="1"/>
    <s v="ПЗ"/>
    <s v="ЛЗ"/>
    <m/>
    <m/>
    <s v="Кирп"/>
    <s v="Кирп"/>
    <x v="101"/>
    <s v="Эвон"/>
    <m/>
    <n v="52.142857142857146"/>
    <n v="7"/>
    <n v="68"/>
    <n v="60"/>
    <n v="66"/>
    <n v="68"/>
    <n v="70"/>
    <n v="26"/>
    <n v="0"/>
    <n v="148576"/>
    <n v="12381.333333333334"/>
    <n v="0"/>
    <n v="12381.333333333334"/>
    <n v="0"/>
    <n v="0"/>
  </r>
  <r>
    <s v="Маг Фиорт"/>
    <x v="2"/>
    <s v="ЦН"/>
    <s v="ОФ"/>
    <m/>
    <m/>
    <s v="Кирп"/>
    <s v="Кирп"/>
    <x v="101"/>
    <s v="Эвон"/>
    <m/>
    <n v="69"/>
    <n v="17"/>
    <n v="86"/>
    <n v="84"/>
    <n v="82"/>
    <n v="84"/>
    <n v="86"/>
    <n v="44"/>
    <n v="0"/>
    <n v="2446195"/>
    <n v="203849.58333333334"/>
    <n v="0"/>
    <n v="203849.58333333334"/>
    <n v="0"/>
    <n v="0"/>
  </r>
  <r>
    <s v="Вей Хакхог"/>
    <x v="2"/>
    <s v="ОФ"/>
    <s v="ЦН"/>
    <m/>
    <m/>
    <s v="Кирп"/>
    <s v="Кирп"/>
    <x v="101"/>
    <s v="Эвон"/>
    <m/>
    <n v="64.285714285714292"/>
    <n v="14"/>
    <n v="82"/>
    <n v="76"/>
    <n v="78"/>
    <n v="80"/>
    <n v="82"/>
    <n v="38"/>
    <n v="0"/>
    <n v="1205438"/>
    <n v="100453.16666666667"/>
    <n v="0"/>
    <n v="100453.16666666667"/>
    <n v="0"/>
    <n v="0"/>
  </r>
  <r>
    <s v="Лаксон Тюгвирт"/>
    <x v="3"/>
    <s v="ЛПЗ"/>
    <s v="ЦПЗ"/>
    <m/>
    <m/>
    <s v="Кирп"/>
    <s v="Кирп"/>
    <x v="101"/>
    <s v="Эвон"/>
    <m/>
    <n v="60.857142857142854"/>
    <n v="33"/>
    <n v="75"/>
    <n v="70"/>
    <n v="70"/>
    <n v="70"/>
    <n v="68"/>
    <n v="40"/>
    <n v="0"/>
    <n v="696812"/>
    <n v="58067.666666666664"/>
    <n v="0"/>
    <n v="58067.666666666664"/>
    <n v="0"/>
    <n v="0"/>
  </r>
  <r>
    <s v="Вигго Алан"/>
    <x v="3"/>
    <s v="ЦПЗ"/>
    <s v="ОПЗ"/>
    <m/>
    <m/>
    <s v="Кирп"/>
    <s v="Кирп"/>
    <x v="101"/>
    <s v="Эвон"/>
    <m/>
    <n v="73"/>
    <n v="30"/>
    <n v="83"/>
    <n v="80"/>
    <n v="86"/>
    <n v="75"/>
    <n v="77"/>
    <n v="80"/>
    <n v="0"/>
    <n v="4297626"/>
    <n v="358135.5"/>
    <n v="0"/>
    <n v="358135.5"/>
    <n v="0"/>
    <n v="0"/>
  </r>
  <r>
    <s v="Ингвар Кетиль"/>
    <x v="3"/>
    <s v="АПЗ"/>
    <s v="ППЗ"/>
    <m/>
    <m/>
    <s v="Кирп"/>
    <s v="Кирп"/>
    <x v="101"/>
    <s v="Эвон"/>
    <m/>
    <n v="56.571428571428569"/>
    <n v="9"/>
    <n v="73"/>
    <n v="65"/>
    <n v="71"/>
    <n v="73"/>
    <n v="75"/>
    <n v="30"/>
    <n v="0"/>
    <n v="335716"/>
    <n v="27976.333333333332"/>
    <n v="0"/>
    <n v="27976.333333333332"/>
    <n v="0"/>
    <n v="0"/>
  </r>
  <r>
    <s v="Сигвальд Хрольф"/>
    <x v="3"/>
    <s v="ЦПЗ"/>
    <s v="ЛПЗ"/>
    <m/>
    <m/>
    <s v="Кирп"/>
    <s v="Кирп"/>
    <x v="101"/>
    <s v="Эвон"/>
    <m/>
    <n v="53"/>
    <n v="7"/>
    <n v="69"/>
    <n v="61"/>
    <n v="67"/>
    <n v="69"/>
    <n v="71"/>
    <n v="27"/>
    <n v="0"/>
    <n v="174888"/>
    <n v="14574"/>
    <n v="0"/>
    <n v="14574"/>
    <n v="0"/>
    <n v="0"/>
  </r>
  <r>
    <s v="Снорри Хальвар"/>
    <x v="3"/>
    <s v="ЛПЗ"/>
    <s v="ОПЗ"/>
    <m/>
    <m/>
    <s v="Кирп"/>
    <s v="Кирп"/>
    <x v="101"/>
    <s v="Эвон"/>
    <m/>
    <n v="59.285714285714285"/>
    <n v="10"/>
    <n v="76"/>
    <n v="68"/>
    <n v="74"/>
    <n v="76"/>
    <n v="78"/>
    <n v="33"/>
    <n v="0"/>
    <n v="536415"/>
    <n v="44701.25"/>
    <n v="0"/>
    <n v="44701.25"/>
    <n v="0"/>
    <n v="0"/>
  </r>
  <r>
    <s v="Торлейф Бьорн"/>
    <x v="3"/>
    <s v="АПЗ"/>
    <s v="ЦПЗ"/>
    <m/>
    <m/>
    <s v="Кирп"/>
    <s v="Кирп"/>
    <x v="101"/>
    <s v="Эвон"/>
    <m/>
    <n v="62.714285714285715"/>
    <n v="12"/>
    <n v="80"/>
    <n v="72"/>
    <n v="78"/>
    <n v="80"/>
    <n v="82"/>
    <n v="35"/>
    <n v="0"/>
    <n v="941163"/>
    <n v="78430.25"/>
    <n v="0"/>
    <n v="78430.25"/>
    <n v="0"/>
    <n v="0"/>
  </r>
  <r>
    <s v="Фритьоф Хермод"/>
    <x v="3"/>
    <s v="ОПЗ"/>
    <s v="ЦЗ"/>
    <m/>
    <m/>
    <s v="Кирп"/>
    <s v="Кирп"/>
    <x v="101"/>
    <s v="Эвон"/>
    <m/>
    <n v="65.571428571428569"/>
    <n v="15"/>
    <n v="84"/>
    <n v="76"/>
    <n v="80"/>
    <n v="82"/>
    <n v="84"/>
    <n v="38"/>
    <n v="0"/>
    <n v="1469422"/>
    <n v="122451.83333333333"/>
    <n v="0"/>
    <n v="122451.83333333333"/>
    <n v="0"/>
    <n v="0"/>
  </r>
  <r>
    <s v="Хакон Магнус"/>
    <x v="3"/>
    <s v="ОПЗ"/>
    <s v="ЦПЗ"/>
    <m/>
    <m/>
    <s v="Кирп"/>
    <s v="Кирп"/>
    <x v="101"/>
    <s v="Эвон"/>
    <m/>
    <n v="55.142857142857146"/>
    <n v="8"/>
    <n v="70"/>
    <n v="63"/>
    <n v="70"/>
    <n v="72"/>
    <n v="74"/>
    <n v="29"/>
    <n v="0"/>
    <n v="259952"/>
    <n v="21662.666666666668"/>
    <n v="0"/>
    <n v="21662.666666666668"/>
    <n v="0"/>
    <n v="0"/>
  </r>
  <r>
    <s v="Хермод Вигго"/>
    <x v="3"/>
    <s v="ППЗ"/>
    <s v="АПЗ"/>
    <m/>
    <m/>
    <s v="Кирп"/>
    <s v="Кирп"/>
    <x v="101"/>
    <s v="Эвон"/>
    <m/>
    <n v="70.857142857142861"/>
    <n v="18"/>
    <n v="88"/>
    <n v="86"/>
    <n v="84"/>
    <n v="86"/>
    <n v="88"/>
    <n v="46"/>
    <n v="0"/>
    <n v="3190336"/>
    <n v="265861.33333333331"/>
    <n v="0"/>
    <n v="265861.33333333331"/>
    <n v="0"/>
    <n v="0"/>
  </r>
  <r>
    <s v="Эйнар Сигурд"/>
    <x v="3"/>
    <s v="ППЗ"/>
    <s v="ЛПЗ"/>
    <m/>
    <m/>
    <s v="Кирп"/>
    <s v="Кирп"/>
    <x v="101"/>
    <s v="Эвон"/>
    <m/>
    <n v="67.714285714285708"/>
    <n v="28"/>
    <n v="88"/>
    <n v="78"/>
    <n v="80"/>
    <n v="72"/>
    <n v="74"/>
    <n v="54"/>
    <n v="23"/>
    <n v="3040145"/>
    <n v="253345.41666666666"/>
    <n v="0"/>
    <n v="253345.41666666666"/>
    <n v="0"/>
    <n v="0"/>
  </r>
  <r>
    <s v="Хальвард Сигурд"/>
    <x v="4"/>
    <s v="Т"/>
    <m/>
    <m/>
    <m/>
    <s v="Кирп"/>
    <s v="Кирп"/>
    <x v="101"/>
    <s v="Эвон"/>
    <m/>
    <n v="58.285714285714285"/>
    <n v="10"/>
    <n v="75"/>
    <n v="67"/>
    <n v="73"/>
    <n v="75"/>
    <n v="77"/>
    <n v="31"/>
    <n v="0"/>
    <n v="452503"/>
    <n v="37708.583333333336"/>
    <n v="0"/>
    <n v="37708.583333333336"/>
    <n v="0"/>
    <n v="0"/>
  </r>
  <r>
    <s v="МакЭнджел"/>
    <x v="0"/>
    <s v="В"/>
    <m/>
    <m/>
    <s v="В.И."/>
    <s v="В.И."/>
    <s v="В.И."/>
    <x v="102"/>
    <s v="Эвон"/>
    <m/>
    <n v="96.285714285714292"/>
    <n v="95"/>
    <n v="95"/>
    <n v="95"/>
    <n v="98"/>
    <n v="97"/>
    <n v="98"/>
    <n v="96"/>
    <n v="30"/>
    <n v="102732966"/>
    <n v="8561080.5"/>
    <n v="0"/>
    <n v="8561080.5"/>
    <n v="0"/>
    <n v="0"/>
  </r>
  <r>
    <s v="Джикиджи"/>
    <x v="1"/>
    <s v="ПЗ"/>
    <s v="ЦЗ"/>
    <m/>
    <s v="В.И."/>
    <s v="В.И."/>
    <s v="В.И."/>
    <x v="102"/>
    <s v="Эвон"/>
    <m/>
    <n v="93.714285714285708"/>
    <n v="93"/>
    <n v="98"/>
    <n v="90"/>
    <n v="95"/>
    <n v="90"/>
    <n v="94"/>
    <n v="96"/>
    <n v="23"/>
    <n v="78369893"/>
    <n v="6530824.416666667"/>
    <n v="0"/>
    <n v="6530824.416666667"/>
    <n v="0"/>
    <n v="0"/>
  </r>
  <r>
    <s v="Железняк"/>
    <x v="1"/>
    <s v="ЦЗ"/>
    <s v="ПЗ"/>
    <m/>
    <s v="В.И."/>
    <s v="В.И."/>
    <s v="В.И."/>
    <x v="102"/>
    <s v="Эвон"/>
    <m/>
    <n v="94.857142857142861"/>
    <n v="91"/>
    <n v="85"/>
    <n v="95"/>
    <n v="98"/>
    <n v="99"/>
    <n v="99"/>
    <n v="97"/>
    <n v="26"/>
    <n v="88469109"/>
    <n v="7372425.75"/>
    <n v="0"/>
    <n v="7372425.75"/>
    <n v="0"/>
    <n v="0"/>
  </r>
  <r>
    <s v="Йозып"/>
    <x v="1"/>
    <s v="ЦЗ"/>
    <s v="ЛЗ"/>
    <m/>
    <s v="Лищ"/>
    <s v="Лищ"/>
    <s v="Лищ"/>
    <x v="102"/>
    <s v="Эвон"/>
    <m/>
    <n v="91.428571428571431"/>
    <n v="90"/>
    <n v="85"/>
    <n v="92"/>
    <n v="96"/>
    <n v="95"/>
    <n v="92"/>
    <n v="90"/>
    <n v="27"/>
    <n v="61222435"/>
    <n v="5101869.583333333"/>
    <n v="0"/>
    <n v="5101869.583333333"/>
    <n v="0"/>
    <n v="0"/>
  </r>
  <r>
    <s v="Квашников"/>
    <x v="1"/>
    <s v="ПЗ"/>
    <s v="ЦЗ"/>
    <m/>
    <m/>
    <s v="В.И."/>
    <s v="В.И."/>
    <x v="102"/>
    <s v="Эвон"/>
    <m/>
    <n v="72.571428571428569"/>
    <n v="35"/>
    <n v="74"/>
    <n v="70"/>
    <n v="80"/>
    <n v="90"/>
    <n v="88"/>
    <n v="71"/>
    <n v="0"/>
    <n v="4051882"/>
    <n v="337656.83333333331"/>
    <n v="0"/>
    <n v="337656.83333333331"/>
    <n v="0"/>
    <n v="0"/>
  </r>
  <r>
    <s v="Маршев Виктор"/>
    <x v="1"/>
    <s v="ЛЗ"/>
    <s v="ЛПЗ"/>
    <s v="ЦЗ"/>
    <m/>
    <s v="В.И."/>
    <s v="В.И."/>
    <x v="102"/>
    <s v="Эвон"/>
    <m/>
    <n v="75.285714285714292"/>
    <n v="45"/>
    <n v="88"/>
    <n v="75"/>
    <n v="83"/>
    <n v="78"/>
    <n v="87"/>
    <n v="71"/>
    <n v="23"/>
    <n v="8774392"/>
    <n v="731199.33333333337"/>
    <n v="0"/>
    <n v="731199.33333333337"/>
    <n v="0"/>
    <n v="0"/>
  </r>
  <r>
    <s v="Маршев Игнат"/>
    <x v="1"/>
    <s v="ПЗ"/>
    <s v="ППЗ"/>
    <s v="ЦЗ"/>
    <m/>
    <s v="В.И."/>
    <s v="В.И."/>
    <x v="102"/>
    <s v="Эвон"/>
    <m/>
    <n v="75.285714285714292"/>
    <n v="45"/>
    <n v="90"/>
    <n v="74"/>
    <n v="86"/>
    <n v="74"/>
    <n v="87"/>
    <n v="71"/>
    <n v="23"/>
    <n v="8774392"/>
    <n v="731199.33333333337"/>
    <n v="0"/>
    <n v="731199.33333333337"/>
    <n v="0"/>
    <n v="0"/>
  </r>
  <r>
    <s v="Толреда"/>
    <x v="1"/>
    <s v="ЦЗ"/>
    <s v="ЛЗ"/>
    <m/>
    <m/>
    <s v="В.И."/>
    <s v="В.И."/>
    <x v="102"/>
    <s v="Эвон"/>
    <m/>
    <n v="73.142857142857139"/>
    <n v="40"/>
    <n v="82"/>
    <n v="70"/>
    <n v="81"/>
    <n v="83"/>
    <n v="86"/>
    <n v="70"/>
    <n v="0"/>
    <n v="4382473"/>
    <n v="365206.08333333331"/>
    <n v="0"/>
    <n v="365206.08333333331"/>
    <n v="0"/>
    <n v="0"/>
  </r>
  <r>
    <s v="Фифер"/>
    <x v="1"/>
    <s v="ЦЗ"/>
    <s v="ПЗ"/>
    <s v="ОПЗ"/>
    <s v="Мох"/>
    <s v="Мох"/>
    <s v="В.И."/>
    <x v="102"/>
    <s v="Эвон"/>
    <m/>
    <n v="91.857142857142861"/>
    <n v="90"/>
    <n v="85"/>
    <n v="89"/>
    <n v="96"/>
    <n v="97"/>
    <n v="91"/>
    <n v="95"/>
    <n v="18"/>
    <n v="64153535"/>
    <n v="5346127.916666667"/>
    <n v="0"/>
    <n v="5346127.916666667"/>
    <n v="0"/>
    <n v="0"/>
  </r>
  <r>
    <s v="Загребов (Н)"/>
    <x v="2"/>
    <s v="ОФ"/>
    <s v="АПЗ"/>
    <m/>
    <s v="Зар"/>
    <s v="Зар"/>
    <s v="Зар"/>
    <x v="102"/>
    <s v="Эвон"/>
    <m/>
    <n v="89.571428571428569"/>
    <n v="90"/>
    <n v="95"/>
    <n v="88"/>
    <n v="94"/>
    <n v="86"/>
    <n v="80"/>
    <n v="94"/>
    <n v="4"/>
    <n v="49863903"/>
    <n v="4155325.25"/>
    <n v="0"/>
    <n v="4155325.25"/>
    <n v="0"/>
    <n v="0"/>
  </r>
  <r>
    <s v="Клостор"/>
    <x v="2"/>
    <s v="ОФ"/>
    <s v="ЦН"/>
    <m/>
    <m/>
    <s v="В.И."/>
    <s v="В.И."/>
    <x v="102"/>
    <s v="Эвон"/>
    <m/>
    <n v="75.142857142857139"/>
    <n v="35"/>
    <n v="84"/>
    <n v="81"/>
    <n v="84"/>
    <n v="75"/>
    <n v="89"/>
    <n v="78"/>
    <n v="0"/>
    <n v="5739540"/>
    <n v="478295"/>
    <n v="0"/>
    <n v="478295"/>
    <n v="0"/>
    <n v="0"/>
  </r>
  <r>
    <s v="Оливер"/>
    <x v="2"/>
    <s v="ОФ"/>
    <m/>
    <m/>
    <s v="В.И."/>
    <s v="Лион"/>
    <s v="В.И."/>
    <x v="102"/>
    <s v="Эвон"/>
    <m/>
    <n v="92"/>
    <n v="95"/>
    <n v="89"/>
    <n v="94"/>
    <n v="95"/>
    <n v="86"/>
    <n v="87"/>
    <n v="98"/>
    <n v="10"/>
    <n v="65158269"/>
    <n v="5429855.75"/>
    <n v="0"/>
    <n v="5429855.75"/>
    <n v="0"/>
    <n v="0"/>
  </r>
  <r>
    <s v="Шок Владимир"/>
    <x v="2"/>
    <s v="ЦН"/>
    <m/>
    <m/>
    <m/>
    <s v="В.И."/>
    <s v="В.И."/>
    <x v="102"/>
    <s v="Эвон"/>
    <m/>
    <n v="76.857142857142861"/>
    <n v="42"/>
    <n v="75"/>
    <n v="88"/>
    <n v="85"/>
    <n v="80"/>
    <n v="96"/>
    <n v="72"/>
    <n v="6"/>
    <n v="10787819"/>
    <n v="898984.91666666663"/>
    <n v="0"/>
    <n v="898984.91666666663"/>
    <n v="0"/>
    <n v="0"/>
  </r>
  <r>
    <s v="Броштр"/>
    <x v="3"/>
    <s v="АПЗ"/>
    <s v="ППЗ"/>
    <s v="ЦПЗ"/>
    <s v="Мал"/>
    <s v="В.И."/>
    <s v="В.И."/>
    <x v="102"/>
    <s v="Эвон"/>
    <m/>
    <n v="88.714285714285708"/>
    <n v="85"/>
    <n v="85"/>
    <n v="100"/>
    <n v="88"/>
    <n v="92"/>
    <n v="89"/>
    <n v="82"/>
    <n v="1"/>
    <n v="45292560"/>
    <n v="3774380"/>
    <n v="0"/>
    <n v="3774380"/>
    <n v="0"/>
    <n v="0"/>
  </r>
  <r>
    <s v="Демонстрайт (П)"/>
    <x v="3"/>
    <s v="АПЗ"/>
    <s v="ППЗ"/>
    <s v="ЛПЗ"/>
    <s v="Д.С."/>
    <s v="Д.С."/>
    <s v="Д.С."/>
    <x v="102"/>
    <s v="Эвон"/>
    <m/>
    <n v="92"/>
    <n v="93"/>
    <n v="85"/>
    <n v="99"/>
    <n v="92"/>
    <n v="92"/>
    <n v="95"/>
    <n v="88"/>
    <n v="1"/>
    <n v="65158269"/>
    <n v="5429855.75"/>
    <n v="0"/>
    <n v="5429855.75"/>
    <n v="0"/>
    <n v="0"/>
  </r>
  <r>
    <s v="Ерохин"/>
    <x v="3"/>
    <s v="АПЗ"/>
    <s v="ЛПЗ"/>
    <s v="ЦН"/>
    <s v="В.И."/>
    <s v="В.И."/>
    <s v="В.И."/>
    <x v="102"/>
    <s v="Эвон"/>
    <m/>
    <n v="91.857142857142861"/>
    <n v="88"/>
    <n v="89"/>
    <n v="95"/>
    <n v="95"/>
    <n v="89"/>
    <n v="92"/>
    <n v="95"/>
    <n v="25"/>
    <n v="64153535"/>
    <n v="5346127.916666667"/>
    <n v="0"/>
    <n v="5346127.916666667"/>
    <n v="0"/>
    <n v="0"/>
  </r>
  <r>
    <s v="Кожевани (П)"/>
    <x v="3"/>
    <s v="ЦПЗ"/>
    <s v="ЛПЗ"/>
    <s v="АПЗ"/>
    <s v="Бел"/>
    <s v="Бел"/>
    <s v="Бел"/>
    <x v="102"/>
    <s v="Эвон"/>
    <m/>
    <n v="92.857142857142861"/>
    <n v="91"/>
    <n v="90"/>
    <n v="96"/>
    <n v="98"/>
    <n v="93"/>
    <n v="89"/>
    <n v="93"/>
    <n v="24"/>
    <n v="71489857"/>
    <n v="5957488.083333333"/>
    <n v="0"/>
    <n v="5957488.083333333"/>
    <n v="0"/>
    <n v="0"/>
  </r>
  <r>
    <s v="Колонеза"/>
    <x v="3"/>
    <s v="ОПЗ"/>
    <s v="ЦЗ"/>
    <m/>
    <s v="Черлесск"/>
    <s v="В.И."/>
    <s v="В.И."/>
    <x v="102"/>
    <s v="Эвон"/>
    <m/>
    <n v="87.571428571428569"/>
    <n v="80"/>
    <n v="85"/>
    <n v="90"/>
    <n v="89"/>
    <n v="90"/>
    <n v="91"/>
    <n v="88"/>
    <n v="18"/>
    <n v="39784656"/>
    <n v="3315388"/>
    <n v="0"/>
    <n v="3315388"/>
    <n v="0"/>
    <n v="0"/>
  </r>
  <r>
    <s v="Максимов (П)"/>
    <x v="3"/>
    <s v="АПЗ"/>
    <s v="ППЗ"/>
    <m/>
    <s v="Щеб"/>
    <s v="Щеб"/>
    <s v="Щеб"/>
    <x v="102"/>
    <s v="Эвон"/>
    <m/>
    <n v="85.428571428571431"/>
    <n v="80"/>
    <n v="84"/>
    <n v="93"/>
    <n v="85"/>
    <n v="83"/>
    <n v="89"/>
    <n v="84"/>
    <n v="12"/>
    <n v="31054369"/>
    <n v="2587864.0833333335"/>
    <n v="0"/>
    <n v="2587864.0833333335"/>
    <n v="0"/>
    <n v="0"/>
  </r>
  <r>
    <s v="Нилмар"/>
    <x v="3"/>
    <s v="ЛПЗ"/>
    <s v="ЦПЗ"/>
    <m/>
    <s v="Сув"/>
    <s v="В.И."/>
    <s v="В.И."/>
    <x v="102"/>
    <s v="Эвон"/>
    <m/>
    <n v="90.428571428571431"/>
    <n v="90"/>
    <n v="95"/>
    <n v="90"/>
    <n v="93"/>
    <n v="88"/>
    <n v="84"/>
    <n v="93"/>
    <n v="3"/>
    <n v="54846379"/>
    <n v="4570531.583333333"/>
    <n v="0"/>
    <n v="4570531.583333333"/>
    <n v="0"/>
    <n v="0"/>
  </r>
  <r>
    <s v="Пастар (П)"/>
    <x v="3"/>
    <s v="ЦПЗ"/>
    <s v="ОПЗ"/>
    <m/>
    <s v="Павс"/>
    <s v="Павс"/>
    <s v="Павс"/>
    <x v="102"/>
    <s v="Эвон"/>
    <m/>
    <n v="91.857142857142861"/>
    <n v="91"/>
    <n v="89"/>
    <n v="93"/>
    <n v="99"/>
    <n v="83"/>
    <n v="90"/>
    <n v="98"/>
    <n v="24"/>
    <n v="64153535"/>
    <n v="5346127.916666667"/>
    <n v="0"/>
    <n v="5346127.916666667"/>
    <n v="0"/>
    <n v="0"/>
  </r>
  <r>
    <s v="Рейчал"/>
    <x v="3"/>
    <s v="ППЗ"/>
    <s v="АПЗ"/>
    <s v="ЦПЗ"/>
    <s v="Рекс"/>
    <s v="Рекс"/>
    <s v="Рекс"/>
    <x v="102"/>
    <s v="Эвон"/>
    <m/>
    <n v="92.142857142857139"/>
    <n v="92"/>
    <n v="95"/>
    <n v="93"/>
    <n v="94"/>
    <n v="91"/>
    <n v="86"/>
    <n v="94"/>
    <n v="10"/>
    <n v="66177142"/>
    <n v="5514761.833333333"/>
    <n v="0"/>
    <n v="5514761.833333333"/>
    <n v="0"/>
    <n v="0"/>
  </r>
  <r>
    <s v="Хат"/>
    <x v="3"/>
    <s v="ППЗ"/>
    <s v="ОПЗ"/>
    <m/>
    <s v="Бел"/>
    <s v="Бел"/>
    <s v="Бел"/>
    <x v="102"/>
    <s v="Эвон"/>
    <m/>
    <n v="95.857142857142861"/>
    <n v="100"/>
    <n v="100"/>
    <n v="100"/>
    <n v="95"/>
    <n v="95"/>
    <n v="86"/>
    <n v="95"/>
    <n v="13"/>
    <n v="98250793"/>
    <n v="8187566.083333333"/>
    <n v="0"/>
    <n v="8187566.083333333"/>
    <n v="0"/>
    <n v="0"/>
  </r>
  <r>
    <s v="Д.Суарес"/>
    <x v="4"/>
    <s v="Т"/>
    <m/>
    <m/>
    <m/>
    <s v="В.И."/>
    <s v="В.И."/>
    <x v="102"/>
    <s v="Эвон"/>
    <m/>
    <n v="89.714285714285708"/>
    <n v="70"/>
    <n v="95"/>
    <n v="90"/>
    <n v="96"/>
    <n v="92"/>
    <n v="90"/>
    <n v="95"/>
    <n v="0"/>
    <n v="33776609"/>
    <n v="2814717.4166666665"/>
    <n v="0"/>
    <n v="2814717.4166666665"/>
    <n v="0"/>
    <n v="0"/>
  </r>
  <r>
    <s v="Гримур Ларс"/>
    <x v="0"/>
    <s v="В"/>
    <m/>
    <m/>
    <m/>
    <s v="Орех"/>
    <s v="Орех"/>
    <x v="103"/>
    <s v="Эвон"/>
    <m/>
    <n v="64"/>
    <n v="24"/>
    <n v="65"/>
    <n v="69"/>
    <n v="74"/>
    <n v="82"/>
    <n v="79"/>
    <n v="55"/>
    <n v="0"/>
    <n v="1152922"/>
    <n v="96076.833333333328"/>
    <n v="0"/>
    <n v="96076.833333333328"/>
    <n v="0"/>
    <n v="0"/>
  </r>
  <r>
    <s v="Рейн Муди"/>
    <x v="0"/>
    <s v="В"/>
    <m/>
    <m/>
    <s v="Орех"/>
    <s v="Орех"/>
    <s v="Орех"/>
    <x v="103"/>
    <s v="Эвон"/>
    <m/>
    <n v="73.714285714285708"/>
    <n v="64"/>
    <n v="60"/>
    <n v="70"/>
    <n v="75"/>
    <n v="81"/>
    <n v="80"/>
    <n v="86"/>
    <n v="31"/>
    <n v="7105717"/>
    <n v="592143.08333333337"/>
    <n v="0"/>
    <n v="592143.08333333337"/>
    <n v="0"/>
    <n v="0"/>
  </r>
  <r>
    <s v="Штор (В)"/>
    <x v="0"/>
    <s v="В"/>
    <m/>
    <m/>
    <s v="Турн"/>
    <s v="Турн"/>
    <s v="Турн"/>
    <x v="103"/>
    <s v="Эвон"/>
    <m/>
    <n v="72.428571428571431"/>
    <n v="49"/>
    <n v="89"/>
    <n v="77"/>
    <n v="70"/>
    <n v="93"/>
    <n v="80"/>
    <n v="49"/>
    <n v="0"/>
    <n v="3972823"/>
    <n v="331068.58333333331"/>
    <n v="0"/>
    <n v="331068.58333333331"/>
    <n v="0"/>
    <n v="0"/>
  </r>
  <r>
    <s v="Акамин (З)"/>
    <x v="1"/>
    <s v="ЦЗ"/>
    <s v="ОПЗ"/>
    <m/>
    <s v="Орех"/>
    <s v="Орех"/>
    <s v="Орех"/>
    <x v="103"/>
    <s v="Эвон"/>
    <m/>
    <n v="69"/>
    <n v="56"/>
    <n v="70"/>
    <n v="73"/>
    <n v="70"/>
    <n v="76"/>
    <n v="88"/>
    <n v="50"/>
    <n v="0"/>
    <n v="2446195"/>
    <n v="203849.58333333334"/>
    <n v="0"/>
    <n v="203849.58333333334"/>
    <n v="0"/>
    <n v="0"/>
  </r>
  <r>
    <s v="Берглунд Ханс"/>
    <x v="1"/>
    <s v="ЦЗ"/>
    <s v="ОПЗ"/>
    <m/>
    <m/>
    <s v="Орех"/>
    <s v="Орех"/>
    <x v="103"/>
    <s v="Эвон"/>
    <m/>
    <n v="65.857142857142861"/>
    <n v="37"/>
    <n v="63"/>
    <n v="61"/>
    <n v="83"/>
    <n v="79"/>
    <n v="81"/>
    <n v="57"/>
    <n v="0"/>
    <n v="1534719"/>
    <n v="127893.25"/>
    <n v="0"/>
    <n v="127893.25"/>
    <n v="0"/>
    <n v="0"/>
  </r>
  <r>
    <s v="Берхман (З)"/>
    <x v="1"/>
    <s v="ЦЗ"/>
    <s v="ПЗ"/>
    <m/>
    <s v="Орех"/>
    <s v="Орех"/>
    <s v="Орех"/>
    <x v="103"/>
    <s v="Эвон"/>
    <m/>
    <n v="79.714285714285708"/>
    <n v="70"/>
    <n v="78"/>
    <n v="80"/>
    <n v="78"/>
    <n v="82"/>
    <n v="90"/>
    <n v="80"/>
    <n v="28"/>
    <n v="15540066"/>
    <n v="1295005.5"/>
    <n v="0"/>
    <n v="1295005.5"/>
    <n v="0"/>
    <n v="0"/>
  </r>
  <r>
    <s v="Мальгрен Ола"/>
    <x v="1"/>
    <s v="ЦЗ"/>
    <s v="ЛЗ"/>
    <m/>
    <m/>
    <s v="Орех"/>
    <s v="Орех"/>
    <x v="103"/>
    <s v="Эвон"/>
    <m/>
    <n v="68.571428571428569"/>
    <n v="36"/>
    <n v="72"/>
    <n v="66"/>
    <n v="80"/>
    <n v="83"/>
    <n v="84"/>
    <n v="59"/>
    <n v="0"/>
    <n v="2298434"/>
    <n v="191536.16666666666"/>
    <n v="0"/>
    <n v="191536.16666666666"/>
    <n v="0"/>
    <n v="0"/>
  </r>
  <r>
    <s v="Пефер (З)"/>
    <x v="1"/>
    <s v="ЦЗ"/>
    <m/>
    <m/>
    <s v="Орех"/>
    <s v="Орех"/>
    <s v="Орех"/>
    <x v="103"/>
    <s v="Эвон"/>
    <m/>
    <n v="79.571428571428569"/>
    <n v="69"/>
    <n v="77"/>
    <n v="82"/>
    <n v="83"/>
    <n v="80"/>
    <n v="85"/>
    <n v="81"/>
    <n v="28"/>
    <n v="15263806"/>
    <n v="1271983.8333333333"/>
    <n v="0"/>
    <n v="1271983.8333333333"/>
    <n v="0"/>
    <n v="0"/>
  </r>
  <r>
    <s v="Стурман Эрик"/>
    <x v="1"/>
    <s v="ПЗ"/>
    <s v="ЦЗ"/>
    <m/>
    <m/>
    <s v="Орех"/>
    <s v="Орех"/>
    <x v="103"/>
    <s v="Эвон"/>
    <m/>
    <n v="62.857142857142854"/>
    <n v="28"/>
    <n v="81"/>
    <n v="52"/>
    <n v="72"/>
    <n v="75"/>
    <n v="78"/>
    <n v="54"/>
    <n v="0"/>
    <n v="962823"/>
    <n v="80235.25"/>
    <n v="0"/>
    <n v="80235.25"/>
    <n v="0"/>
    <n v="0"/>
  </r>
  <r>
    <s v="Халлстен Нильс"/>
    <x v="1"/>
    <s v="ПЗ"/>
    <s v="ЛЗ"/>
    <m/>
    <m/>
    <s v="Орех"/>
    <s v="Орех"/>
    <x v="103"/>
    <s v="Эвон"/>
    <m/>
    <n v="60"/>
    <n v="22"/>
    <n v="78"/>
    <n v="49"/>
    <n v="70"/>
    <n v="76"/>
    <n v="74"/>
    <n v="51"/>
    <n v="0"/>
    <n v="604662"/>
    <n v="50388.5"/>
    <n v="0"/>
    <n v="50388.5"/>
    <n v="0"/>
    <n v="0"/>
  </r>
  <r>
    <s v="МакАргус"/>
    <x v="2"/>
    <s v="ЦН"/>
    <m/>
    <m/>
    <s v="Орех"/>
    <s v="Орех"/>
    <s v="Орех"/>
    <x v="103"/>
    <s v="Эвон"/>
    <m/>
    <n v="64.571428571428569"/>
    <n v="35"/>
    <n v="70"/>
    <n v="72"/>
    <n v="72"/>
    <n v="70"/>
    <n v="82"/>
    <n v="51"/>
    <n v="0"/>
    <n v="1260097"/>
    <n v="105008.08333333333"/>
    <n v="0"/>
    <n v="105008.08333333333"/>
    <n v="0"/>
    <n v="0"/>
  </r>
  <r>
    <s v="Фалькенберг Кай"/>
    <x v="2"/>
    <s v="ЦН"/>
    <s v="ОФ"/>
    <m/>
    <m/>
    <s v="Орех"/>
    <s v="Орех"/>
    <x v="103"/>
    <s v="Эвон"/>
    <m/>
    <n v="65.285714285714292"/>
    <n v="32"/>
    <n v="77"/>
    <n v="65"/>
    <n v="73"/>
    <n v="81"/>
    <n v="76"/>
    <n v="53"/>
    <n v="0"/>
    <n v="1406636"/>
    <n v="117219.66666666667"/>
    <n v="0"/>
    <n v="117219.66666666667"/>
    <n v="0"/>
    <n v="0"/>
  </r>
  <r>
    <s v="Цубиа (Н)"/>
    <x v="2"/>
    <s v="ЦН"/>
    <s v="ОФ"/>
    <s v="АПЗ"/>
    <s v="Орех"/>
    <s v="Орех"/>
    <s v="Орех"/>
    <x v="103"/>
    <s v="Эвон"/>
    <m/>
    <n v="82.571428571428569"/>
    <n v="80"/>
    <n v="83"/>
    <n v="86"/>
    <n v="85"/>
    <n v="83"/>
    <n v="85"/>
    <n v="76"/>
    <n v="7"/>
    <n v="22099846"/>
    <n v="1841653.8333333333"/>
    <n v="0"/>
    <n v="1841653.8333333333"/>
    <n v="0"/>
    <n v="0"/>
  </r>
  <r>
    <s v="Аналог (П)"/>
    <x v="3"/>
    <s v="АПЗ"/>
    <s v="ЦПЗ"/>
    <s v="ЦН"/>
    <s v="Д.С."/>
    <s v="Д.С."/>
    <s v="Д.С."/>
    <x v="103"/>
    <s v="Эвон"/>
    <m/>
    <n v="85.142857142857139"/>
    <n v="83"/>
    <n v="86"/>
    <n v="91"/>
    <n v="83"/>
    <n v="82"/>
    <n v="88"/>
    <n v="83"/>
    <n v="21"/>
    <n v="30031254"/>
    <n v="2502604.5"/>
    <n v="0"/>
    <n v="2502604.5"/>
    <n v="0"/>
    <n v="0"/>
  </r>
  <r>
    <s v="Винге Хальвар"/>
    <x v="3"/>
    <s v="ЛПЗ"/>
    <s v="ЦПЗ"/>
    <m/>
    <m/>
    <s v="Орех"/>
    <s v="Орех"/>
    <x v="103"/>
    <s v="Эвон"/>
    <m/>
    <n v="63.714285714285715"/>
    <n v="35"/>
    <n v="69"/>
    <n v="62"/>
    <n v="74"/>
    <n v="77"/>
    <n v="75"/>
    <n v="54"/>
    <n v="0"/>
    <n v="1102474"/>
    <n v="91872.833333333328"/>
    <n v="0"/>
    <n v="91872.833333333328"/>
    <n v="0"/>
    <n v="0"/>
  </r>
  <r>
    <s v="Демо (П)"/>
    <x v="3"/>
    <s v="ЛПЗ"/>
    <s v="ЦПЗ"/>
    <m/>
    <s v="Д.С."/>
    <s v="Д.С."/>
    <s v="Д.С."/>
    <x v="103"/>
    <s v="Эвон"/>
    <m/>
    <n v="80"/>
    <n v="78"/>
    <n v="91"/>
    <n v="85"/>
    <n v="78"/>
    <n v="78"/>
    <n v="80"/>
    <n v="70"/>
    <n v="22"/>
    <n v="16106128"/>
    <n v="1342177.3333333333"/>
    <n v="0"/>
    <n v="1342177.3333333333"/>
    <n v="0"/>
    <n v="0"/>
  </r>
  <r>
    <s v="М. Коулли (П)"/>
    <x v="3"/>
    <s v="ЛПЗ"/>
    <s v="ОПЗ"/>
    <m/>
    <s v="Орех"/>
    <s v="Орех"/>
    <s v="Орех"/>
    <x v="103"/>
    <s v="Эвон"/>
    <m/>
    <n v="81.714285714285708"/>
    <n v="70"/>
    <n v="91"/>
    <n v="84"/>
    <n v="86"/>
    <n v="82"/>
    <n v="84"/>
    <n v="75"/>
    <n v="17"/>
    <n v="19909995"/>
    <n v="1659166.25"/>
    <n v="0"/>
    <n v="1659166.25"/>
    <n v="0"/>
    <n v="0"/>
  </r>
  <r>
    <s v="Ормсон Хенрик"/>
    <x v="3"/>
    <s v="ОПЗ"/>
    <s v="ЦПЗ"/>
    <m/>
    <m/>
    <s v="Орех"/>
    <s v="Орех"/>
    <x v="103"/>
    <s v="Эвон"/>
    <m/>
    <n v="68.428571428571431"/>
    <n v="39"/>
    <n v="71"/>
    <n v="67"/>
    <n v="81"/>
    <n v="84"/>
    <n v="79"/>
    <n v="58"/>
    <n v="0"/>
    <n v="2250997"/>
    <n v="187583.08333333334"/>
    <n v="0"/>
    <n v="187583.08333333334"/>
    <n v="0"/>
    <n v="0"/>
  </r>
  <r>
    <s v="Свердруп Магнус"/>
    <x v="3"/>
    <s v="ЦПЗ"/>
    <s v="АПЗ"/>
    <m/>
    <m/>
    <s v="Орех"/>
    <s v="Орех"/>
    <x v="103"/>
    <s v="Эвон"/>
    <m/>
    <n v="62.857142857142854"/>
    <n v="31"/>
    <n v="75"/>
    <n v="58"/>
    <n v="77"/>
    <n v="70"/>
    <n v="73"/>
    <n v="56"/>
    <n v="0"/>
    <n v="962823"/>
    <n v="80235.25"/>
    <n v="0"/>
    <n v="80235.25"/>
    <n v="0"/>
    <n v="0"/>
  </r>
  <r>
    <s v="Торкельсон Аксель"/>
    <x v="3"/>
    <s v="ППЗ"/>
    <s v="АПЗ"/>
    <m/>
    <m/>
    <s v="Орех"/>
    <s v="Орех"/>
    <x v="103"/>
    <s v="Эвон"/>
    <m/>
    <n v="60.285714285714285"/>
    <n v="26"/>
    <n v="82"/>
    <n v="53"/>
    <n v="68"/>
    <n v="72"/>
    <n v="71"/>
    <n v="50"/>
    <n v="0"/>
    <n v="634081"/>
    <n v="52840.083333333336"/>
    <n v="0"/>
    <n v="52840.083333333336"/>
    <n v="0"/>
    <n v="0"/>
  </r>
  <r>
    <s v="Туриа (П)"/>
    <x v="3"/>
    <s v="ЦПЗ"/>
    <s v="ЛПЗ"/>
    <s v="ОПЗ"/>
    <s v="Орех"/>
    <s v="Орех"/>
    <s v="Орех"/>
    <x v="103"/>
    <s v="Эвон"/>
    <m/>
    <n v="86.571428571428569"/>
    <n v="80"/>
    <n v="85"/>
    <n v="91"/>
    <n v="92"/>
    <n v="84"/>
    <n v="89"/>
    <n v="85"/>
    <n v="8"/>
    <n v="35468033"/>
    <n v="2955669.4166666665"/>
    <n v="0"/>
    <n v="2955669.4166666665"/>
    <n v="0"/>
    <n v="0"/>
  </r>
  <r>
    <s v="Харти"/>
    <x v="3"/>
    <s v="ОПЗ"/>
    <m/>
    <m/>
    <s v="Орех"/>
    <s v="Орех"/>
    <s v="Орех"/>
    <x v="103"/>
    <s v="Эвон"/>
    <m/>
    <n v="64.428571428571431"/>
    <n v="47"/>
    <n v="75"/>
    <n v="70"/>
    <n v="68"/>
    <n v="66"/>
    <n v="85"/>
    <n v="40"/>
    <n v="0"/>
    <n v="1232495"/>
    <n v="102707.91666666667"/>
    <n v="0"/>
    <n v="102707.91666666667"/>
    <n v="0"/>
    <n v="0"/>
  </r>
  <r>
    <s v="Хеннон"/>
    <x v="3"/>
    <s v="ЦПЗ"/>
    <m/>
    <m/>
    <s v="Орех"/>
    <s v="Орех"/>
    <s v="Орех"/>
    <x v="103"/>
    <s v="Эвон"/>
    <m/>
    <n v="64.142857142857139"/>
    <n v="39"/>
    <n v="70"/>
    <n v="78"/>
    <n v="71"/>
    <n v="68"/>
    <n v="82"/>
    <n v="41"/>
    <n v="0"/>
    <n v="1178917"/>
    <n v="98243.083333333328"/>
    <n v="0"/>
    <n v="98243.083333333328"/>
    <n v="0"/>
    <n v="0"/>
  </r>
  <r>
    <s v="Ювиавинг"/>
    <x v="3"/>
    <s v="ЛПЗ"/>
    <s v="ППЗ"/>
    <m/>
    <s v="Орех"/>
    <s v="Орех"/>
    <s v="Орех"/>
    <x v="103"/>
    <s v="Эвон"/>
    <m/>
    <n v="73.142857142857139"/>
    <n v="40"/>
    <n v="92"/>
    <n v="80"/>
    <n v="84"/>
    <n v="78"/>
    <n v="78"/>
    <n v="60"/>
    <n v="23"/>
    <n v="6573709"/>
    <n v="547809.08333333337"/>
    <n v="0"/>
    <n v="547809.08333333337"/>
    <n v="0"/>
    <n v="0"/>
  </r>
  <r>
    <s v="Гошта"/>
    <x v="0"/>
    <s v="В"/>
    <m/>
    <m/>
    <s v="Ч.Л."/>
    <s v="Ч.Л."/>
    <s v="Ч.Л."/>
    <x v="104"/>
    <s v="Эвон"/>
    <m/>
    <n v="66"/>
    <n v="35"/>
    <n v="54"/>
    <n v="73"/>
    <n v="81"/>
    <n v="81"/>
    <n v="82"/>
    <n v="56"/>
    <n v="0"/>
    <n v="1568337"/>
    <n v="130694.75"/>
    <n v="0"/>
    <n v="130694.75"/>
    <n v="0"/>
    <n v="0"/>
  </r>
  <r>
    <s v="Хоншей"/>
    <x v="0"/>
    <s v="В"/>
    <m/>
    <m/>
    <s v="Туркан"/>
    <s v="Туркан"/>
    <s v="Туркан"/>
    <x v="104"/>
    <s v="Эвон"/>
    <m/>
    <n v="54.714285714285715"/>
    <n v="22"/>
    <n v="60"/>
    <n v="65"/>
    <n v="61"/>
    <n v="64"/>
    <n v="70"/>
    <n v="41"/>
    <n v="0"/>
    <n v="240441"/>
    <n v="20036.75"/>
    <n v="0"/>
    <n v="20036.75"/>
    <n v="0"/>
    <n v="0"/>
  </r>
  <r>
    <s v="Бриндор Аэлин"/>
    <x v="1"/>
    <s v="ЦЗ"/>
    <s v="ОПЗ"/>
    <m/>
    <m/>
    <s v="В.И."/>
    <s v="В.И."/>
    <x v="104"/>
    <s v="Эвон"/>
    <m/>
    <n v="76.285714285714292"/>
    <n v="33"/>
    <n v="86"/>
    <n v="80"/>
    <n v="92"/>
    <n v="94"/>
    <n v="96"/>
    <n v="53"/>
    <n v="0"/>
    <n v="6674707"/>
    <n v="556225.58333333337"/>
    <n v="0"/>
    <n v="556225.58333333337"/>
    <n v="0"/>
    <n v="0"/>
  </r>
  <r>
    <s v="Габс"/>
    <x v="1"/>
    <s v="ЦЗ"/>
    <m/>
    <m/>
    <s v="Туркан"/>
    <s v="Туркан"/>
    <s v="Туркан"/>
    <x v="104"/>
    <s v="Эвон"/>
    <m/>
    <n v="70"/>
    <n v="40"/>
    <n v="67"/>
    <n v="70"/>
    <n v="74"/>
    <n v="84"/>
    <n v="90"/>
    <n v="65"/>
    <n v="0"/>
    <n v="2824753"/>
    <n v="235396.08333333334"/>
    <n v="0"/>
    <n v="235396.08333333334"/>
    <n v="0"/>
    <n v="0"/>
  </r>
  <r>
    <s v="Ксерабби"/>
    <x v="1"/>
    <s v="ПЗ"/>
    <m/>
    <m/>
    <s v="Биссий"/>
    <s v="Биссий"/>
    <s v="Биссий"/>
    <x v="104"/>
    <s v="Эвон"/>
    <m/>
    <n v="79.428571428571431"/>
    <n v="70"/>
    <n v="93"/>
    <n v="81"/>
    <n v="82"/>
    <n v="81"/>
    <n v="79"/>
    <n v="70"/>
    <n v="23"/>
    <n v="14991973"/>
    <n v="1249331.0833333333"/>
    <n v="0"/>
    <n v="1249331.0833333333"/>
    <n v="0"/>
    <n v="0"/>
  </r>
  <r>
    <s v="Риндель Лорас"/>
    <x v="1"/>
    <s v="ПЗ"/>
    <s v="ППЗ"/>
    <m/>
    <m/>
    <s v="В.И."/>
    <s v="В.И."/>
    <x v="104"/>
    <s v="Эвон"/>
    <m/>
    <n v="71"/>
    <n v="28"/>
    <n v="80"/>
    <n v="72"/>
    <n v="80"/>
    <n v="84"/>
    <n v="87"/>
    <n v="66"/>
    <n v="23"/>
    <n v="4882866"/>
    <n v="406905.5"/>
    <n v="0"/>
    <n v="406905.5"/>
    <n v="0"/>
    <n v="0"/>
  </r>
  <r>
    <s v="Талион Сильвана"/>
    <x v="1"/>
    <s v="ЛЗ"/>
    <s v="ЦЗ"/>
    <m/>
    <m/>
    <s v="В.И."/>
    <s v="В.И."/>
    <x v="104"/>
    <s v="Эвон"/>
    <m/>
    <n v="68.857142857142861"/>
    <n v="26"/>
    <n v="76"/>
    <n v="72"/>
    <n v="84"/>
    <n v="90"/>
    <n v="92"/>
    <n v="42"/>
    <n v="0"/>
    <n v="2396018"/>
    <n v="199668.16666666666"/>
    <n v="0"/>
    <n v="199668.16666666666"/>
    <n v="0"/>
    <n v="0"/>
  </r>
  <r>
    <s v="Шекер"/>
    <x v="1"/>
    <s v="ЦЗ"/>
    <s v="ПЗ"/>
    <m/>
    <s v="Генуа"/>
    <s v="Генуа"/>
    <s v="Генуа"/>
    <x v="104"/>
    <s v="Эвон"/>
    <m/>
    <n v="73.714285714285708"/>
    <n v="62"/>
    <n v="88"/>
    <n v="41"/>
    <n v="71"/>
    <n v="79"/>
    <n v="95"/>
    <n v="80"/>
    <n v="0"/>
    <n v="4737145"/>
    <n v="394762.08333333331"/>
    <n v="0"/>
    <n v="394762.08333333331"/>
    <n v="0"/>
    <n v="0"/>
  </r>
  <r>
    <s v="Аланти Нимо"/>
    <x v="2"/>
    <s v="ЦН"/>
    <s v="ОФ"/>
    <m/>
    <m/>
    <s v="В.И."/>
    <s v="В.И."/>
    <x v="104"/>
    <s v="Эвон"/>
    <m/>
    <n v="79.428571428571431"/>
    <n v="44"/>
    <n v="90"/>
    <n v="90"/>
    <n v="91"/>
    <n v="92"/>
    <n v="95"/>
    <n v="54"/>
    <n v="7"/>
    <n v="14991973"/>
    <n v="1249331.0833333333"/>
    <n v="0"/>
    <n v="1249331.0833333333"/>
    <n v="0"/>
    <n v="0"/>
  </r>
  <r>
    <s v="Консилиас"/>
    <x v="2"/>
    <s v="ЦН"/>
    <m/>
    <m/>
    <s v="Черлесск"/>
    <s v="Черлесск"/>
    <s v="Черлесск"/>
    <x v="104"/>
    <s v="Эвон"/>
    <m/>
    <n v="58.428571428571431"/>
    <n v="32"/>
    <n v="70"/>
    <n v="68"/>
    <n v="57"/>
    <n v="68"/>
    <n v="70"/>
    <n v="44"/>
    <n v="0"/>
    <n v="463717"/>
    <n v="38643.083333333336"/>
    <n v="0"/>
    <n v="38643.083333333336"/>
    <n v="0"/>
    <n v="0"/>
  </r>
  <r>
    <s v="Фолки"/>
    <x v="2"/>
    <s v="ОФ"/>
    <m/>
    <m/>
    <s v="Туркан"/>
    <s v="Туркан"/>
    <s v="Туркан"/>
    <x v="104"/>
    <s v="Эвон"/>
    <m/>
    <n v="73.714285714285708"/>
    <n v="60"/>
    <n v="80"/>
    <n v="80"/>
    <n v="76"/>
    <n v="75"/>
    <n v="75"/>
    <n v="70"/>
    <n v="19"/>
    <n v="7105717"/>
    <n v="145548.33333333334"/>
    <n v="0"/>
    <n v="592143.08333333337"/>
    <n v="-75.42"/>
    <n v="0"/>
  </r>
  <r>
    <s v="Лавочников"/>
    <x v="3"/>
    <s v="ЦПЗ"/>
    <s v="ОПЗ"/>
    <m/>
    <s v="Черлесск"/>
    <s v="В.И."/>
    <s v="В.И."/>
    <x v="104"/>
    <s v="Эвон"/>
    <m/>
    <n v="72.142857142857139"/>
    <n v="55"/>
    <n v="75"/>
    <n v="77"/>
    <n v="73"/>
    <n v="74"/>
    <n v="80"/>
    <n v="71"/>
    <n v="0"/>
    <n v="3818857"/>
    <n v="318238.08333333331"/>
    <n v="0"/>
    <n v="318238.08333333331"/>
    <n v="0"/>
    <n v="0"/>
  </r>
  <r>
    <s v="Лоратил Вэлин"/>
    <x v="3"/>
    <s v="АПЗ"/>
    <s v="ЦПЗ"/>
    <m/>
    <m/>
    <s v="В.И."/>
    <s v="В.И."/>
    <x v="104"/>
    <s v="Эвон"/>
    <m/>
    <n v="71.571428571428569"/>
    <n v="31"/>
    <n v="82"/>
    <n v="78"/>
    <n v="90"/>
    <n v="86"/>
    <n v="88"/>
    <n v="46"/>
    <n v="0"/>
    <n v="3526931"/>
    <n v="293910.91666666669"/>
    <n v="0"/>
    <n v="293910.91666666669"/>
    <n v="0"/>
    <n v="0"/>
  </r>
  <r>
    <s v="Мириэн Аэлорн"/>
    <x v="3"/>
    <s v="ЛПЗ"/>
    <s v="ОПЗ"/>
    <m/>
    <m/>
    <s v="В.И."/>
    <s v="В.И."/>
    <x v="104"/>
    <s v="Эвон"/>
    <m/>
    <n v="69.428571428571431"/>
    <n v="28"/>
    <n v="90"/>
    <n v="76"/>
    <n v="84"/>
    <n v="82"/>
    <n v="85"/>
    <n v="41"/>
    <n v="0"/>
    <n v="2602450"/>
    <n v="216870.83333333334"/>
    <n v="0"/>
    <n v="216870.83333333334"/>
    <n v="0"/>
    <n v="0"/>
  </r>
  <r>
    <s v="Силь Итиль"/>
    <x v="3"/>
    <s v="ЦПЗ"/>
    <s v="ОПЗ"/>
    <m/>
    <m/>
    <s v="В.И."/>
    <s v="В.И."/>
    <x v="104"/>
    <s v="Эвон"/>
    <m/>
    <n v="64.714285714285708"/>
    <n v="26"/>
    <n v="70"/>
    <n v="74"/>
    <n v="82"/>
    <n v="80"/>
    <n v="83"/>
    <n v="38"/>
    <n v="0"/>
    <n v="1288255"/>
    <n v="107354.58333333333"/>
    <n v="0"/>
    <n v="107354.58333333333"/>
    <n v="0"/>
    <n v="0"/>
  </r>
  <r>
    <s v="Тенри"/>
    <x v="3"/>
    <s v="ЦПЗ"/>
    <s v="ППЗ"/>
    <m/>
    <s v="Биссий"/>
    <s v="Биссий"/>
    <s v="Биссий"/>
    <x v="104"/>
    <s v="Эвон"/>
    <m/>
    <n v="59.285714285714285"/>
    <n v="22"/>
    <n v="57"/>
    <n v="71"/>
    <n v="68"/>
    <n v="78"/>
    <n v="88"/>
    <n v="31"/>
    <n v="0"/>
    <n v="536415"/>
    <n v="44701.25"/>
    <n v="0"/>
    <n v="44701.25"/>
    <n v="0"/>
    <n v="0"/>
  </r>
  <r>
    <s v="Тинну Карантир"/>
    <x v="3"/>
    <s v="ППЗ"/>
    <s v="ЛПЗ"/>
    <m/>
    <m/>
    <s v="В.И."/>
    <s v="В.И."/>
    <x v="104"/>
    <s v="Эвон"/>
    <m/>
    <n v="69.428571428571431"/>
    <n v="29"/>
    <n v="80"/>
    <n v="78"/>
    <n v="86"/>
    <n v="84"/>
    <n v="86"/>
    <n v="43"/>
    <n v="0"/>
    <n v="2602450"/>
    <n v="216870.83333333334"/>
    <n v="0"/>
    <n v="216870.83333333334"/>
    <n v="0"/>
    <n v="0"/>
  </r>
  <r>
    <s v="Фин Рион"/>
    <x v="3"/>
    <s v="ОПЗ"/>
    <s v="ЦПЗ"/>
    <m/>
    <m/>
    <s v="В.И."/>
    <s v="В.И."/>
    <x v="104"/>
    <s v="Эвон"/>
    <m/>
    <n v="75.571428571428569"/>
    <n v="34"/>
    <n v="88"/>
    <n v="84"/>
    <n v="94"/>
    <n v="88"/>
    <n v="90"/>
    <n v="51"/>
    <n v="0"/>
    <n v="6075421"/>
    <n v="506285.08333333331"/>
    <n v="0"/>
    <n v="506285.08333333331"/>
    <n v="0"/>
    <n v="0"/>
  </r>
  <r>
    <s v="Цурмек"/>
    <x v="3"/>
    <s v="АПЗ"/>
    <m/>
    <m/>
    <s v="Туркан"/>
    <s v="Туркан"/>
    <s v="Туркан"/>
    <x v="104"/>
    <s v="Эвон"/>
    <m/>
    <n v="53.571428571428569"/>
    <n v="53"/>
    <n v="58"/>
    <n v="74"/>
    <n v="55"/>
    <n v="56"/>
    <n v="50"/>
    <n v="29"/>
    <n v="0"/>
    <n v="194685"/>
    <n v="16223.75"/>
    <n v="0"/>
    <n v="16223.75"/>
    <n v="0"/>
    <n v="0"/>
  </r>
  <r>
    <s v="Эланир Мири"/>
    <x v="4"/>
    <s v="Т"/>
    <m/>
    <m/>
    <m/>
    <s v="В.И."/>
    <s v="В.И."/>
    <x v="104"/>
    <s v="Эвон"/>
    <m/>
    <n v="71.857142857142861"/>
    <n v="31"/>
    <n v="82"/>
    <n v="76"/>
    <n v="86"/>
    <n v="88"/>
    <n v="90"/>
    <n v="50"/>
    <n v="0"/>
    <n v="3670283"/>
    <n v="305856.91666666669"/>
    <n v="0"/>
    <n v="305856.91666666669"/>
    <n v="0"/>
    <n v="0"/>
  </r>
  <r>
    <s v="А.Зуев"/>
    <x v="0"/>
    <s v="В"/>
    <m/>
    <m/>
    <s v="Сув"/>
    <s v="В.И."/>
    <s v="В.И."/>
    <x v="105"/>
    <s v="Эвон"/>
    <m/>
    <n v="95.571428571428569"/>
    <n v="95"/>
    <n v="80"/>
    <n v="95"/>
    <n v="99"/>
    <n v="100"/>
    <n v="100"/>
    <n v="100"/>
    <n v="29"/>
    <n v="95361273"/>
    <n v="7946772.75"/>
    <n v="0"/>
    <n v="7946772.75"/>
    <n v="0"/>
    <n v="0"/>
  </r>
  <r>
    <s v="Айфуллин Гербс"/>
    <x v="1"/>
    <s v="ЛЗ"/>
    <m/>
    <m/>
    <m/>
    <s v="В.И."/>
    <s v="В.И."/>
    <x v="105"/>
    <s v="Эвон"/>
    <m/>
    <n v="74.428571428571431"/>
    <n v="40"/>
    <n v="83"/>
    <n v="90"/>
    <n v="89"/>
    <n v="84"/>
    <n v="70"/>
    <n v="65"/>
    <n v="0"/>
    <n v="5216712"/>
    <n v="434726"/>
    <n v="0"/>
    <n v="434726"/>
    <n v="0"/>
    <n v="0"/>
  </r>
  <r>
    <s v="Бариносов"/>
    <x v="1"/>
    <s v="ЦЗ"/>
    <s v="ПЗ"/>
    <m/>
    <s v="Б.Л."/>
    <s v="Б.Л."/>
    <s v="Б.Л."/>
    <x v="105"/>
    <s v="Эвон"/>
    <m/>
    <n v="80.428571428571431"/>
    <n v="68"/>
    <n v="77"/>
    <n v="79"/>
    <n v="80"/>
    <n v="90"/>
    <n v="89"/>
    <n v="80"/>
    <n v="28"/>
    <n v="16990056"/>
    <n v="1415838"/>
    <n v="0"/>
    <n v="1415838"/>
    <n v="0"/>
    <n v="0"/>
  </r>
  <r>
    <s v="В.Зуев"/>
    <x v="1"/>
    <s v="ЛЗ"/>
    <s v="ПЗ"/>
    <s v="ЦЗ"/>
    <s v="Сув"/>
    <s v="В.И."/>
    <s v="В.И."/>
    <x v="105"/>
    <s v="Эвон"/>
    <m/>
    <n v="91.857142857142861"/>
    <n v="92"/>
    <n v="88"/>
    <n v="92"/>
    <n v="90"/>
    <n v="91"/>
    <n v="96"/>
    <n v="94"/>
    <n v="26"/>
    <n v="64153535"/>
    <n v="5346127.916666667"/>
    <n v="0"/>
    <n v="5346127.916666667"/>
    <n v="0"/>
    <n v="0"/>
  </r>
  <r>
    <s v="Гэллис Аанне"/>
    <x v="1"/>
    <s v="ЛЗ"/>
    <s v="ЛПЗ"/>
    <m/>
    <m/>
    <s v="В.И."/>
    <s v="В.И."/>
    <x v="105"/>
    <s v="Эвон"/>
    <m/>
    <n v="76"/>
    <n v="42"/>
    <n v="92"/>
    <n v="86"/>
    <n v="82"/>
    <n v="80"/>
    <n v="80"/>
    <n v="70"/>
    <n v="23"/>
    <n v="9643334"/>
    <n v="803611.16666666663"/>
    <n v="0"/>
    <n v="803611.16666666663"/>
    <n v="0"/>
    <n v="0"/>
  </r>
  <r>
    <s v="Грач"/>
    <x v="1"/>
    <s v="ПЗ"/>
    <s v="ЦЗ"/>
    <s v="ОПЗ"/>
    <s v="В.И."/>
    <s v="В.И."/>
    <s v="В.И."/>
    <x v="105"/>
    <s v="Эвон"/>
    <m/>
    <n v="89.285714285714292"/>
    <n v="83"/>
    <n v="85"/>
    <n v="88"/>
    <n v="94"/>
    <n v="90"/>
    <n v="98"/>
    <n v="87"/>
    <n v="28"/>
    <n v="48295986"/>
    <n v="4024665.5"/>
    <n v="0"/>
    <n v="4024665.5"/>
    <n v="0"/>
    <n v="0"/>
  </r>
  <r>
    <s v="Дрозд"/>
    <x v="1"/>
    <s v="ЦЗ"/>
    <s v="ЛЗ"/>
    <s v="ПЗ"/>
    <s v="Зар"/>
    <s v="Зар"/>
    <s v="Зар"/>
    <x v="105"/>
    <s v="Эвон"/>
    <m/>
    <n v="85.857142857142861"/>
    <n v="80"/>
    <n v="75"/>
    <n v="92"/>
    <n v="84"/>
    <n v="90"/>
    <n v="93"/>
    <n v="87"/>
    <n v="26"/>
    <n v="32647925"/>
    <n v="2720660.4166666665"/>
    <n v="0"/>
    <n v="2720660.4166666665"/>
    <n v="0"/>
    <n v="0"/>
  </r>
  <r>
    <s v="Кроха Тон"/>
    <x v="1"/>
    <s v="ПЗ"/>
    <m/>
    <m/>
    <m/>
    <s v="В.И."/>
    <s v="В.И."/>
    <x v="105"/>
    <s v="Эвон"/>
    <m/>
    <n v="71.714285714285708"/>
    <n v="44"/>
    <n v="84"/>
    <n v="75"/>
    <n v="72"/>
    <n v="84"/>
    <n v="80"/>
    <n v="63"/>
    <n v="0"/>
    <n v="3597964"/>
    <n v="299830.33333333331"/>
    <n v="0"/>
    <n v="299830.33333333331"/>
    <n v="0"/>
    <n v="0"/>
  </r>
  <r>
    <s v="Рубиус"/>
    <x v="1"/>
    <s v="ЦЗ"/>
    <s v="ОПЗ"/>
    <s v="ЛЗ"/>
    <s v="В.И."/>
    <s v="В.И."/>
    <s v="В.И."/>
    <x v="105"/>
    <s v="Эвон"/>
    <m/>
    <n v="89.714285714285708"/>
    <n v="85"/>
    <n v="82"/>
    <n v="90"/>
    <n v="91"/>
    <n v="93"/>
    <n v="97"/>
    <n v="90"/>
    <n v="27"/>
    <n v="50664913"/>
    <n v="4222076.083333333"/>
    <n v="0"/>
    <n v="4222076.083333333"/>
    <n v="0"/>
    <n v="0"/>
  </r>
  <r>
    <s v="Демитра"/>
    <x v="2"/>
    <s v="ЦН"/>
    <s v="АПЗ"/>
    <s v="ОФ"/>
    <s v="В.И."/>
    <s v="Лив"/>
    <s v="Лив"/>
    <x v="105"/>
    <s v="Эвон"/>
    <m/>
    <n v="94"/>
    <n v="96"/>
    <n v="90"/>
    <n v="96"/>
    <n v="96"/>
    <n v="92"/>
    <n v="93"/>
    <n v="95"/>
    <n v="7"/>
    <n v="80792268"/>
    <n v="6732689"/>
    <n v="0"/>
    <n v="6732689"/>
    <n v="0"/>
    <n v="0"/>
  </r>
  <r>
    <s v="М.Суарес"/>
    <x v="2"/>
    <s v="ЦН"/>
    <s v="АПЗ"/>
    <m/>
    <s v="Черлесск"/>
    <s v="В.И."/>
    <s v="В.И."/>
    <x v="105"/>
    <s v="Эвон"/>
    <m/>
    <n v="91.142857142857139"/>
    <n v="89"/>
    <n v="86"/>
    <n v="95"/>
    <n v="93"/>
    <n v="89"/>
    <n v="92"/>
    <n v="94"/>
    <n v="7"/>
    <n v="59335916"/>
    <n v="4944659.666666667"/>
    <n v="0"/>
    <n v="4944659.666666667"/>
    <n v="0"/>
    <n v="0"/>
  </r>
  <r>
    <s v="Себрин (Н)"/>
    <x v="2"/>
    <s v="ОФ"/>
    <s v="ЛПЗ"/>
    <m/>
    <s v="К.С."/>
    <s v="К.С."/>
    <s v="К.С."/>
    <x v="105"/>
    <s v="Эвон"/>
    <m/>
    <n v="87.428571428571431"/>
    <n v="86"/>
    <n v="93"/>
    <n v="86"/>
    <n v="94"/>
    <n v="84"/>
    <n v="80"/>
    <n v="89"/>
    <n v="5"/>
    <n v="39140384"/>
    <n v="3261698.6666666665"/>
    <n v="0"/>
    <n v="3261698.6666666665"/>
    <n v="0"/>
    <n v="0"/>
  </r>
  <r>
    <s v="Язоннен Лапти"/>
    <x v="2"/>
    <s v="ЦН"/>
    <m/>
    <m/>
    <m/>
    <s v="В.И."/>
    <s v="В.И."/>
    <x v="105"/>
    <s v="Эвон"/>
    <m/>
    <n v="77.285714285714292"/>
    <n v="45"/>
    <n v="73"/>
    <n v="88"/>
    <n v="81"/>
    <n v="90"/>
    <n v="91"/>
    <n v="73"/>
    <n v="6"/>
    <n v="11404691"/>
    <n v="950390.91666666663"/>
    <n v="0"/>
    <n v="950390.91666666663"/>
    <n v="0"/>
    <n v="0"/>
  </r>
  <r>
    <s v="Болдарен Т"/>
    <x v="3"/>
    <s v="АПЗ"/>
    <s v="ЦПЗ"/>
    <m/>
    <m/>
    <s v="В.И."/>
    <s v="В.И."/>
    <x v="105"/>
    <s v="Эвон"/>
    <m/>
    <n v="69"/>
    <n v="30"/>
    <n v="80"/>
    <n v="75"/>
    <n v="76"/>
    <n v="71"/>
    <n v="81"/>
    <n v="70"/>
    <n v="0"/>
    <n v="2446195"/>
    <n v="203849.58333333334"/>
    <n v="0"/>
    <n v="203849.58333333334"/>
    <n v="0"/>
    <n v="0"/>
  </r>
  <r>
    <s v="Доиль"/>
    <x v="3"/>
    <s v="ЦПЗ"/>
    <s v="ППЗ"/>
    <s v="АПЗ"/>
    <s v="В.И."/>
    <s v="В.И."/>
    <s v="В.И."/>
    <x v="105"/>
    <s v="Эвон"/>
    <m/>
    <n v="93.857142857142861"/>
    <n v="99"/>
    <n v="98"/>
    <n v="93"/>
    <n v="100"/>
    <n v="86"/>
    <n v="82"/>
    <n v="99"/>
    <n v="8"/>
    <n v="79572785"/>
    <n v="6631065.416666667"/>
    <n v="0"/>
    <n v="6631065.416666667"/>
    <n v="0"/>
    <n v="0"/>
  </r>
  <r>
    <s v="Дорси Лок"/>
    <x v="3"/>
    <s v="ППЗ"/>
    <s v="ЦПЗ"/>
    <m/>
    <m/>
    <s v="В.И."/>
    <s v="В.И."/>
    <x v="105"/>
    <s v="Эвон"/>
    <m/>
    <n v="70.142857142857139"/>
    <n v="30"/>
    <n v="85"/>
    <n v="85"/>
    <n v="76"/>
    <n v="82"/>
    <n v="73"/>
    <n v="60"/>
    <n v="0"/>
    <n v="2882933"/>
    <n v="240244.41666666666"/>
    <n v="0"/>
    <n v="240244.41666666666"/>
    <n v="0"/>
    <n v="0"/>
  </r>
  <r>
    <s v="Екъён Барсет"/>
    <x v="3"/>
    <s v="ОПЗ"/>
    <s v="ЦПЗ"/>
    <m/>
    <m/>
    <s v="В.И."/>
    <s v="В.И."/>
    <x v="105"/>
    <s v="Эвон"/>
    <m/>
    <n v="73.142857142857139"/>
    <n v="48"/>
    <n v="78"/>
    <n v="72"/>
    <n v="70"/>
    <n v="88"/>
    <n v="76"/>
    <n v="80"/>
    <n v="18"/>
    <n v="6573709"/>
    <n v="547809.08333333337"/>
    <n v="0"/>
    <n v="547809.08333333337"/>
    <n v="0"/>
    <n v="0"/>
  </r>
  <r>
    <s v="Каспарайтес"/>
    <x v="3"/>
    <s v="ОПЗ"/>
    <s v="ЦПЗ"/>
    <s v="ЦЗ"/>
    <s v="Сул"/>
    <s v="Сул"/>
    <s v="Сул"/>
    <x v="105"/>
    <s v="Эвон"/>
    <m/>
    <n v="93.285714285714292"/>
    <n v="93"/>
    <n v="95"/>
    <n v="93"/>
    <n v="92"/>
    <n v="97"/>
    <n v="93"/>
    <n v="90"/>
    <n v="23"/>
    <n v="74858768"/>
    <n v="6238230.666666667"/>
    <n v="0"/>
    <n v="6238230.666666667"/>
    <n v="0"/>
    <n v="0"/>
  </r>
  <r>
    <s v="Лесси"/>
    <x v="3"/>
    <s v="ЛПЗ"/>
    <s v="ЦПЗ"/>
    <s v="АПЗ"/>
    <s v="В.И."/>
    <s v="Лив"/>
    <s v="Лив"/>
    <x v="105"/>
    <s v="Эвон"/>
    <m/>
    <n v="88.857142857142861"/>
    <n v="88"/>
    <n v="97"/>
    <n v="85"/>
    <n v="92"/>
    <n v="88"/>
    <n v="81"/>
    <n v="91"/>
    <n v="3"/>
    <n v="46027216"/>
    <n v="3835601.3333333335"/>
    <n v="0"/>
    <n v="3835601.3333333335"/>
    <n v="0"/>
    <n v="0"/>
  </r>
  <r>
    <s v="Ливардовский (П)"/>
    <x v="3"/>
    <s v="ЦПЗ"/>
    <s v="ОПЗ"/>
    <s v="АПЗ"/>
    <s v="В.И."/>
    <s v="В.И."/>
    <s v="В.И."/>
    <x v="105"/>
    <s v="Эвон"/>
    <m/>
    <n v="90.714285714285708"/>
    <n v="89"/>
    <n v="87"/>
    <n v="90"/>
    <n v="93"/>
    <n v="93"/>
    <n v="91"/>
    <n v="92"/>
    <n v="22"/>
    <n v="56604129"/>
    <n v="4717010.75"/>
    <n v="0"/>
    <n v="4717010.75"/>
    <n v="0"/>
    <n v="0"/>
  </r>
  <r>
    <s v="Т. Аурин (П)"/>
    <x v="3"/>
    <s v="ЦПЗ"/>
    <s v="АПЗ"/>
    <s v="ЛПЗ"/>
    <s v="Вар"/>
    <s v="Вар"/>
    <s v="Вар"/>
    <x v="105"/>
    <s v="Эвон"/>
    <m/>
    <n v="93.142857142857139"/>
    <n v="92"/>
    <n v="92"/>
    <n v="93"/>
    <n v="98"/>
    <n v="89"/>
    <n v="91"/>
    <n v="97"/>
    <n v="22"/>
    <n v="73720253"/>
    <n v="6143354.416666667"/>
    <n v="0"/>
    <n v="6143354.416666667"/>
    <n v="0"/>
    <n v="0"/>
  </r>
  <r>
    <s v="Тошиба"/>
    <x v="3"/>
    <s v="ППЗ"/>
    <s v="ОПЗ"/>
    <s v="ЦПЗ"/>
    <s v="Сар"/>
    <s v="Сар"/>
    <s v="Сар"/>
    <x v="105"/>
    <s v="Эвон"/>
    <m/>
    <n v="92.285714285714292"/>
    <n v="94"/>
    <n v="99"/>
    <n v="89"/>
    <n v="92"/>
    <n v="89"/>
    <n v="87"/>
    <n v="96"/>
    <n v="10"/>
    <n v="67210332"/>
    <n v="5600861"/>
    <n v="0"/>
    <n v="5600861"/>
    <n v="0"/>
    <n v="0"/>
  </r>
  <r>
    <s v="Цуццарник Д"/>
    <x v="3"/>
    <s v="ЛПЗ"/>
    <s v="АПЗ"/>
    <m/>
    <m/>
    <s v="В.И."/>
    <s v="В.И."/>
    <x v="105"/>
    <s v="Эвон"/>
    <m/>
    <n v="74.571428571428569"/>
    <n v="42"/>
    <n v="84"/>
    <n v="81"/>
    <n v="88"/>
    <n v="82"/>
    <n v="87"/>
    <n v="58"/>
    <n v="0"/>
    <n v="5317710"/>
    <n v="443142.5"/>
    <n v="0"/>
    <n v="443142.5"/>
    <n v="0"/>
    <n v="0"/>
  </r>
  <r>
    <s v="Молуньо"/>
    <x v="4"/>
    <s v="Т"/>
    <m/>
    <m/>
    <s v="Эвон"/>
    <s v="Гид"/>
    <s v="Гид"/>
    <x v="105"/>
    <s v="Эвон"/>
    <m/>
    <n v="94.571428571428569"/>
    <n v="98"/>
    <n v="91"/>
    <n v="93"/>
    <n v="100"/>
    <n v="90"/>
    <n v="92"/>
    <n v="98"/>
    <n v="0"/>
    <n v="57226805"/>
    <n v="4768900.416666667"/>
    <n v="0"/>
    <n v="4768900.416666667"/>
    <n v="0"/>
    <n v="0"/>
  </r>
  <r>
    <s v="Гуруну (В)"/>
    <x v="0"/>
    <s v="В"/>
    <m/>
    <m/>
    <s v="Лин"/>
    <s v="Лин"/>
    <s v="Лин"/>
    <x v="106"/>
    <s v="Эвон"/>
    <m/>
    <n v="91"/>
    <n v="86"/>
    <n v="88"/>
    <n v="88"/>
    <n v="85"/>
    <n v="99"/>
    <n v="97"/>
    <n v="94"/>
    <n v="29"/>
    <n v="58412418"/>
    <n v="4867701.5"/>
    <n v="0"/>
    <n v="4867701.5"/>
    <n v="0"/>
    <n v="0"/>
  </r>
  <r>
    <s v="Хартли Джек"/>
    <x v="0"/>
    <s v="В"/>
    <m/>
    <m/>
    <m/>
    <s v="Лин"/>
    <s v="Лин"/>
    <x v="106"/>
    <s v="Эвон"/>
    <m/>
    <n v="64.142857142857139"/>
    <n v="26"/>
    <n v="74"/>
    <n v="70"/>
    <n v="76"/>
    <n v="79"/>
    <n v="80"/>
    <n v="44"/>
    <n v="0"/>
    <n v="1178917"/>
    <n v="98243.083333333328"/>
    <n v="0"/>
    <n v="98243.083333333328"/>
    <n v="0"/>
    <n v="0"/>
  </r>
  <r>
    <s v="Альзаниз (З)"/>
    <x v="1"/>
    <s v="ЦЗ"/>
    <s v="ПЗ"/>
    <m/>
    <s v="Вор"/>
    <s v="Вор"/>
    <s v="Вор"/>
    <x v="106"/>
    <s v="Эвон"/>
    <m/>
    <n v="75.571428571428569"/>
    <n v="61"/>
    <n v="71"/>
    <n v="77"/>
    <n v="67"/>
    <n v="80"/>
    <n v="87"/>
    <n v="86"/>
    <n v="0"/>
    <n v="6075421"/>
    <n v="506285.08333333331"/>
    <n v="0"/>
    <n v="506285.08333333331"/>
    <n v="0"/>
    <n v="0"/>
  </r>
  <r>
    <s v="Акрос Морти"/>
    <x v="1"/>
    <s v="ЦЗ"/>
    <s v="ПЗ"/>
    <m/>
    <m/>
    <s v="Лин"/>
    <s v="Лин"/>
    <x v="106"/>
    <s v="Эвон"/>
    <m/>
    <n v="62"/>
    <n v="25"/>
    <n v="71"/>
    <n v="63"/>
    <n v="75"/>
    <n v="79"/>
    <n v="82"/>
    <n v="39"/>
    <n v="0"/>
    <n v="839300"/>
    <n v="69941.666666666672"/>
    <n v="0"/>
    <n v="69941.666666666672"/>
    <n v="0"/>
    <n v="0"/>
  </r>
  <r>
    <s v="Горр Отти"/>
    <x v="1"/>
    <s v="ЦЗ"/>
    <s v="ОПЗ"/>
    <m/>
    <s v="Лин"/>
    <s v="Лин"/>
    <s v="Лин"/>
    <x v="106"/>
    <s v="Эвон"/>
    <m/>
    <n v="73.857142857142861"/>
    <n v="60"/>
    <n v="65"/>
    <n v="75"/>
    <n v="80"/>
    <n v="82"/>
    <n v="81"/>
    <n v="74"/>
    <n v="0"/>
    <n v="4829755"/>
    <n v="402479.58333333331"/>
    <n v="0"/>
    <n v="402479.58333333331"/>
    <n v="0"/>
    <n v="0"/>
  </r>
  <r>
    <s v="Грашит"/>
    <x v="1"/>
    <s v="ЦЗ"/>
    <s v="ОПЗ"/>
    <m/>
    <s v="Лин"/>
    <s v="Лин"/>
    <s v="Лин"/>
    <x v="106"/>
    <s v="Эвон"/>
    <m/>
    <n v="75"/>
    <n v="65"/>
    <n v="70"/>
    <n v="80"/>
    <n v="76"/>
    <n v="84"/>
    <n v="80"/>
    <n v="70"/>
    <n v="0"/>
    <n v="5631352"/>
    <n v="469279.33333333331"/>
    <n v="0"/>
    <n v="469279.33333333331"/>
    <n v="0"/>
    <n v="0"/>
  </r>
  <r>
    <s v="Дюпон Пьер"/>
    <x v="1"/>
    <s v="ЦЗ"/>
    <s v="ЛЗ"/>
    <m/>
    <s v="Лин"/>
    <s v="Лин"/>
    <s v="Лин"/>
    <x v="106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Ланге Фиц"/>
    <x v="1"/>
    <s v="ЦЗ"/>
    <s v="ОПЗ"/>
    <m/>
    <m/>
    <s v="Лин"/>
    <s v="Лин"/>
    <x v="106"/>
    <s v="Эвон"/>
    <m/>
    <n v="58.285714285714285"/>
    <n v="21"/>
    <n v="66"/>
    <n v="60"/>
    <n v="72"/>
    <n v="77"/>
    <n v="79"/>
    <n v="33"/>
    <n v="0"/>
    <n v="452503"/>
    <n v="37708.583333333336"/>
    <n v="0"/>
    <n v="37708.583333333336"/>
    <n v="0"/>
    <n v="0"/>
  </r>
  <r>
    <s v="Промисер"/>
    <x v="1"/>
    <s v="ЦЗ"/>
    <m/>
    <m/>
    <s v="Лин"/>
    <s v="Лин"/>
    <s v="Лин"/>
    <x v="106"/>
    <s v="Эвон"/>
    <m/>
    <n v="71.714285714285708"/>
    <n v="62"/>
    <n v="69"/>
    <n v="70"/>
    <n v="77"/>
    <n v="80"/>
    <n v="84"/>
    <n v="60"/>
    <n v="0"/>
    <n v="3597964"/>
    <n v="299830.33333333331"/>
    <n v="0"/>
    <n v="299830.33333333331"/>
    <n v="0"/>
    <n v="0"/>
  </r>
  <r>
    <s v="Сенсор Элин"/>
    <x v="1"/>
    <s v="ЦЗ"/>
    <m/>
    <m/>
    <s v="Лин"/>
    <s v="Лин"/>
    <s v="Лин"/>
    <x v="106"/>
    <s v="Эвон"/>
    <m/>
    <n v="66.714285714285708"/>
    <n v="29"/>
    <n v="76"/>
    <n v="68"/>
    <n v="81"/>
    <n v="83"/>
    <n v="84"/>
    <n v="46"/>
    <n v="0"/>
    <n v="1746580"/>
    <n v="145548.33333333334"/>
    <n v="0"/>
    <n v="145548.33333333334"/>
    <n v="0"/>
    <n v="0"/>
  </r>
  <r>
    <s v="Борольф Тер"/>
    <x v="2"/>
    <s v="ЦН"/>
    <m/>
    <m/>
    <m/>
    <s v="Лин"/>
    <s v="Лин"/>
    <x v="106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Джастин Бормунд"/>
    <x v="2"/>
    <s v="ЦН"/>
    <m/>
    <m/>
    <s v="Лин"/>
    <s v="Лин"/>
    <s v="Лин"/>
    <x v="106"/>
    <s v="Эвон"/>
    <m/>
    <n v="89.571428571428569"/>
    <n v="85"/>
    <n v="94"/>
    <n v="91"/>
    <n v="90"/>
    <n v="89"/>
    <n v="88"/>
    <n v="90"/>
    <n v="12"/>
    <n v="49863903"/>
    <n v="1408687.0833333333"/>
    <n v="0"/>
    <n v="4155325.25"/>
    <n v="-66.099999999999994"/>
    <n v="0"/>
  </r>
  <r>
    <s v="Джей Джейсон"/>
    <x v="2"/>
    <s v="ОФ"/>
    <s v="ППЗ"/>
    <m/>
    <s v="Лин"/>
    <s v="Лин"/>
    <s v="Лин"/>
    <x v="106"/>
    <s v="Эвон"/>
    <m/>
    <n v="81.428571428571431"/>
    <n v="71"/>
    <n v="92"/>
    <n v="82"/>
    <n v="83"/>
    <n v="80"/>
    <n v="86"/>
    <n v="76"/>
    <n v="0"/>
    <n v="12816463"/>
    <n v="1068038.5833333333"/>
    <n v="0"/>
    <n v="1068038.5833333333"/>
    <n v="0"/>
    <n v="0"/>
  </r>
  <r>
    <s v="Митчелл Том"/>
    <x v="2"/>
    <s v="ЦН"/>
    <s v="ОФ"/>
    <m/>
    <m/>
    <s v="Лин"/>
    <s v="Лин"/>
    <x v="106"/>
    <s v="Эвон"/>
    <m/>
    <n v="73.428571428571431"/>
    <n v="40"/>
    <n v="83"/>
    <n v="85"/>
    <n v="78"/>
    <n v="82"/>
    <n v="86"/>
    <n v="60"/>
    <n v="7"/>
    <n v="6835056"/>
    <n v="569588"/>
    <n v="0"/>
    <n v="569588"/>
    <n v="0"/>
    <n v="0"/>
  </r>
  <r>
    <s v="Ритта (Н)"/>
    <x v="2"/>
    <s v="ОФ"/>
    <s v="ЦН"/>
    <s v="ППЗ"/>
    <s v="Д.С."/>
    <s v="Д.С."/>
    <s v="Д.С."/>
    <x v="106"/>
    <s v="Эвон"/>
    <m/>
    <n v="80.571428571428569"/>
    <n v="77"/>
    <n v="95"/>
    <n v="72"/>
    <n v="85"/>
    <n v="90"/>
    <n v="60"/>
    <n v="85"/>
    <n v="3"/>
    <n v="17294257"/>
    <n v="1441188.0833333333"/>
    <n v="0"/>
    <n v="1441188.0833333333"/>
    <n v="0"/>
    <n v="0"/>
  </r>
  <r>
    <s v="Росси Карло"/>
    <x v="2"/>
    <s v="ЦН"/>
    <m/>
    <m/>
    <m/>
    <s v="Лин"/>
    <s v="Лин"/>
    <x v="106"/>
    <s v="Эвон"/>
    <m/>
    <n v="67.857142857142861"/>
    <n v="28"/>
    <n v="79"/>
    <n v="77"/>
    <n v="78"/>
    <n v="82"/>
    <n v="86"/>
    <n v="45"/>
    <n v="0"/>
    <n v="2069931"/>
    <n v="172494.25"/>
    <n v="0"/>
    <n v="172494.25"/>
    <n v="0"/>
    <n v="0"/>
  </r>
  <r>
    <s v="Байбитер"/>
    <x v="3"/>
    <s v="ЦПЗ"/>
    <s v="АПЗ"/>
    <s v="ЛПЗ"/>
    <s v="Лин"/>
    <s v="Лин"/>
    <s v="Лин"/>
    <x v="106"/>
    <s v="Эвон"/>
    <m/>
    <n v="70.571428571428569"/>
    <n v="44"/>
    <n v="81"/>
    <n v="81"/>
    <n v="71"/>
    <n v="73"/>
    <n v="82"/>
    <n v="62"/>
    <n v="0"/>
    <n v="3064003"/>
    <n v="255333.58333333334"/>
    <n v="0"/>
    <n v="255333.58333333334"/>
    <n v="0"/>
    <n v="0"/>
  </r>
  <r>
    <s v="Бейкер Джон"/>
    <x v="3"/>
    <s v="ЦПЗ"/>
    <s v="АПЗ"/>
    <m/>
    <m/>
    <s v="Лин"/>
    <s v="Лин"/>
    <x v="106"/>
    <s v="Эвон"/>
    <m/>
    <n v="65"/>
    <n v="26"/>
    <n v="77"/>
    <n v="69"/>
    <n v="82"/>
    <n v="78"/>
    <n v="80"/>
    <n v="43"/>
    <n v="0"/>
    <n v="1346275"/>
    <n v="112189.58333333333"/>
    <n v="0"/>
    <n v="112189.58333333333"/>
    <n v="0"/>
    <n v="0"/>
  </r>
  <r>
    <s v="Блюс Стиллер"/>
    <x v="3"/>
    <s v="ОПЗ"/>
    <s v="ЦЗ"/>
    <s v="ЦПЗ"/>
    <s v="Лин"/>
    <s v="Лин"/>
    <s v="Лин"/>
    <x v="106"/>
    <s v="Эвон"/>
    <m/>
    <n v="80.857142857142861"/>
    <n v="53"/>
    <n v="84"/>
    <n v="86"/>
    <n v="84"/>
    <n v="82"/>
    <n v="94"/>
    <n v="83"/>
    <n v="17"/>
    <n v="17917408"/>
    <n v="1493117.3333333333"/>
    <n v="0"/>
    <n v="1493117.3333333333"/>
    <n v="0"/>
    <n v="0"/>
  </r>
  <r>
    <s v="Норт"/>
    <x v="3"/>
    <s v="ОПЗ"/>
    <s v="ЦЗ"/>
    <s v="ЦПЗ"/>
    <s v="Лин"/>
    <s v="Лин"/>
    <s v="Лин"/>
    <x v="106"/>
    <s v="Эвон"/>
    <m/>
    <n v="80.857142857142861"/>
    <n v="51"/>
    <n v="83"/>
    <n v="85"/>
    <n v="83"/>
    <n v="86"/>
    <n v="98"/>
    <n v="80"/>
    <n v="18"/>
    <n v="17917408"/>
    <n v="1493117.3333333333"/>
    <n v="0"/>
    <n v="1493117.3333333333"/>
    <n v="0"/>
    <n v="0"/>
  </r>
  <r>
    <s v="Дальберг Нильс"/>
    <x v="4"/>
    <s v="Т"/>
    <m/>
    <m/>
    <m/>
    <s v="Лин"/>
    <s v="Лин"/>
    <x v="106"/>
    <s v="Эвон"/>
    <m/>
    <n v="61"/>
    <n v="24"/>
    <n v="72"/>
    <n v="67"/>
    <n v="76"/>
    <n v="74"/>
    <n v="77"/>
    <n v="37"/>
    <n v="0"/>
    <n v="713343"/>
    <n v="59445.25"/>
    <n v="0"/>
    <n v="59445.25"/>
    <n v="0"/>
    <n v="0"/>
  </r>
  <r>
    <s v="Гавица Люк"/>
    <x v="0"/>
    <s v="В"/>
    <m/>
    <m/>
    <s v="Зем"/>
    <s v="Зем"/>
    <s v="Зем"/>
    <x v="107"/>
    <s v="Эвон"/>
    <m/>
    <n v="62.142857142857146"/>
    <n v="22"/>
    <n v="70"/>
    <n v="74"/>
    <n v="72"/>
    <n v="79"/>
    <n v="78"/>
    <n v="40"/>
    <n v="0"/>
    <n v="858840"/>
    <n v="71570"/>
    <n v="0"/>
    <n v="71570"/>
    <n v="0"/>
    <n v="0"/>
  </r>
  <r>
    <s v="Славица"/>
    <x v="0"/>
    <s v="В"/>
    <m/>
    <m/>
    <s v="Зем"/>
    <s v="Зем"/>
    <s v="Зем"/>
    <x v="107"/>
    <s v="Эвон"/>
    <m/>
    <n v="61.142857142857146"/>
    <n v="44"/>
    <n v="61"/>
    <n v="86"/>
    <n v="59"/>
    <n v="70"/>
    <n v="71"/>
    <n v="37"/>
    <n v="0"/>
    <n v="730226"/>
    <n v="60852.166666666664"/>
    <n v="0"/>
    <n v="60852.166666666664"/>
    <n v="0"/>
    <n v="0"/>
  </r>
  <r>
    <s v="Танован"/>
    <x v="0"/>
    <s v="В"/>
    <m/>
    <m/>
    <s v="Зем"/>
    <s v="Зем"/>
    <s v="Зем"/>
    <x v="107"/>
    <s v="Эвон"/>
    <m/>
    <n v="66"/>
    <n v="43"/>
    <n v="73"/>
    <n v="61"/>
    <n v="48"/>
    <n v="81"/>
    <n v="76"/>
    <n v="80"/>
    <n v="0"/>
    <n v="1568337"/>
    <n v="130694.75"/>
    <n v="0"/>
    <n v="130694.75"/>
    <n v="0"/>
    <n v="0"/>
  </r>
  <r>
    <s v="Бректи Иржи"/>
    <x v="1"/>
    <s v="ЦЗ"/>
    <s v="ЛЗ"/>
    <m/>
    <s v="Зем"/>
    <s v="Зем"/>
    <s v="Зем"/>
    <x v="107"/>
    <s v="Эвон"/>
    <m/>
    <n v="67"/>
    <n v="25"/>
    <n v="76"/>
    <n v="72"/>
    <n v="82"/>
    <n v="84"/>
    <n v="86"/>
    <n v="44"/>
    <n v="0"/>
    <n v="1822838"/>
    <n v="151903.16666666666"/>
    <n v="0"/>
    <n v="151903.16666666666"/>
    <n v="0"/>
    <n v="0"/>
  </r>
  <r>
    <s v="Верлитон Тадеуш"/>
    <x v="1"/>
    <s v="ЦЗ"/>
    <m/>
    <m/>
    <s v="Зем"/>
    <s v="Зем"/>
    <s v="Зем"/>
    <x v="107"/>
    <s v="Эвон"/>
    <m/>
    <n v="57"/>
    <n v="18"/>
    <n v="62"/>
    <n v="64"/>
    <n v="71"/>
    <n v="75"/>
    <n v="78"/>
    <n v="31"/>
    <n v="0"/>
    <n v="362034"/>
    <n v="30169.5"/>
    <n v="0"/>
    <n v="30169.5"/>
    <n v="0"/>
    <n v="0"/>
  </r>
  <r>
    <s v="Вокти"/>
    <x v="1"/>
    <s v="ПЗ"/>
    <m/>
    <m/>
    <s v="Зем"/>
    <s v="Зем"/>
    <s v="Зем"/>
    <x v="107"/>
    <s v="Эвон"/>
    <m/>
    <n v="61.428571428571431"/>
    <n v="47"/>
    <n v="79"/>
    <n v="68"/>
    <n v="77"/>
    <n v="67"/>
    <n v="61"/>
    <n v="31"/>
    <n v="0"/>
    <n v="765076"/>
    <n v="63756.333333333336"/>
    <n v="0"/>
    <n v="63756.333333333336"/>
    <n v="0"/>
    <n v="0"/>
  </r>
  <r>
    <s v="Драган Олаф"/>
    <x v="1"/>
    <s v="ЦЗ"/>
    <s v="ОПЗ"/>
    <m/>
    <s v="Зем"/>
    <s v="Зем"/>
    <s v="Зем"/>
    <x v="107"/>
    <s v="Эвон"/>
    <m/>
    <n v="60.571428571428569"/>
    <n v="16"/>
    <n v="68"/>
    <n v="70"/>
    <n v="76"/>
    <n v="80"/>
    <n v="81"/>
    <n v="33"/>
    <n v="0"/>
    <n v="664781"/>
    <n v="55398.416666666664"/>
    <n v="0"/>
    <n v="55398.416666666664"/>
    <n v="0"/>
    <n v="0"/>
  </r>
  <r>
    <s v="Корус Матс"/>
    <x v="1"/>
    <s v="ЦЗ"/>
    <m/>
    <m/>
    <s v="Зем"/>
    <s v="Зем"/>
    <s v="Зем"/>
    <x v="107"/>
    <s v="Эвон"/>
    <m/>
    <n v="52"/>
    <n v="15"/>
    <n v="55"/>
    <n v="60"/>
    <n v="66"/>
    <n v="68"/>
    <n v="72"/>
    <n v="28"/>
    <n v="0"/>
    <n v="144556"/>
    <n v="12046.333333333334"/>
    <n v="0"/>
    <n v="12046.333333333334"/>
    <n v="0"/>
    <n v="0"/>
  </r>
  <r>
    <s v="Палитон"/>
    <x v="1"/>
    <s v="ЦЗ"/>
    <m/>
    <m/>
    <s v="Зем"/>
    <s v="Зем"/>
    <s v="Зем"/>
    <x v="107"/>
    <s v="Эвон"/>
    <m/>
    <n v="57.857142857142854"/>
    <n v="20"/>
    <n v="39"/>
    <n v="48"/>
    <n v="91"/>
    <n v="56"/>
    <n v="90"/>
    <n v="61"/>
    <n v="0"/>
    <n v="420311"/>
    <n v="35025.916666666664"/>
    <n v="0"/>
    <n v="35025.916666666664"/>
    <n v="0"/>
    <n v="0"/>
  </r>
  <r>
    <s v="Порус"/>
    <x v="1"/>
    <s v="ЦЗ"/>
    <m/>
    <m/>
    <s v="Зем"/>
    <s v="Зем"/>
    <s v="Зем"/>
    <x v="107"/>
    <s v="Эвон"/>
    <m/>
    <n v="54.571428571428569"/>
    <n v="26"/>
    <n v="83"/>
    <n v="12"/>
    <n v="96"/>
    <n v="55"/>
    <n v="86"/>
    <n v="24"/>
    <n v="0"/>
    <n v="234236"/>
    <n v="19519.666666666668"/>
    <n v="0"/>
    <n v="19519.666666666668"/>
    <n v="0"/>
    <n v="0"/>
  </r>
  <r>
    <s v="Зебба"/>
    <x v="2"/>
    <s v="ОФ"/>
    <s v="ППЗ"/>
    <m/>
    <s v="Зем"/>
    <s v="Зем"/>
    <s v="Зем"/>
    <x v="107"/>
    <s v="Эвон"/>
    <m/>
    <n v="63"/>
    <n v="36"/>
    <n v="80"/>
    <n v="68"/>
    <n v="74"/>
    <n v="70"/>
    <n v="68"/>
    <n v="45"/>
    <n v="0"/>
    <n v="984931"/>
    <n v="82077.583333333328"/>
    <n v="0"/>
    <n v="82077.583333333328"/>
    <n v="0"/>
    <n v="0"/>
  </r>
  <r>
    <s v="Сорбба Рауль"/>
    <x v="2"/>
    <s v="ЦН"/>
    <s v="ОФ"/>
    <m/>
    <s v="Зем"/>
    <s v="Зем"/>
    <s v="Зем"/>
    <x v="107"/>
    <s v="Эвон"/>
    <m/>
    <n v="68.428571428571431"/>
    <n v="26"/>
    <n v="80"/>
    <n v="82"/>
    <n v="79"/>
    <n v="82"/>
    <n v="85"/>
    <n v="45"/>
    <n v="0"/>
    <n v="2250997"/>
    <n v="187583.08333333334"/>
    <n v="0"/>
    <n v="187583.08333333334"/>
    <n v="0"/>
    <n v="0"/>
  </r>
  <r>
    <s v="Цар Ахонти"/>
    <x v="2"/>
    <s v="ЦН"/>
    <s v="АПЗ"/>
    <m/>
    <s v="Зем"/>
    <s v="Зем"/>
    <s v="Зем"/>
    <x v="107"/>
    <s v="Эвон"/>
    <m/>
    <n v="63.428571428571431"/>
    <n v="35"/>
    <n v="75"/>
    <n v="70"/>
    <n v="70"/>
    <n v="68"/>
    <n v="80"/>
    <n v="46"/>
    <n v="0"/>
    <n v="1054022"/>
    <n v="87835.166666666672"/>
    <n v="0"/>
    <n v="87835.166666666672"/>
    <n v="0"/>
    <n v="0"/>
  </r>
  <r>
    <s v="Горщенников Павел"/>
    <x v="3"/>
    <s v="АПЗ"/>
    <m/>
    <m/>
    <s v="Зем"/>
    <s v="Зем"/>
    <s v="Зем"/>
    <x v="107"/>
    <s v="Эвон"/>
    <m/>
    <n v="68.428571428571431"/>
    <n v="26"/>
    <n v="80"/>
    <n v="82"/>
    <n v="79"/>
    <n v="82"/>
    <n v="85"/>
    <n v="45"/>
    <n v="0"/>
    <n v="2250997"/>
    <n v="187583.08333333334"/>
    <n v="0"/>
    <n v="187583.08333333334"/>
    <n v="0"/>
    <n v="0"/>
  </r>
  <r>
    <s v="Кепрен"/>
    <x v="3"/>
    <s v="ОПЗ"/>
    <s v="ЦПЗ"/>
    <m/>
    <s v="Зем"/>
    <s v="Зем"/>
    <s v="Зем"/>
    <x v="107"/>
    <s v="Эвон"/>
    <m/>
    <n v="65"/>
    <n v="48"/>
    <n v="69"/>
    <n v="70"/>
    <n v="68"/>
    <n v="75"/>
    <n v="72"/>
    <n v="53"/>
    <n v="0"/>
    <n v="1346275"/>
    <n v="112189.58333333333"/>
    <n v="0"/>
    <n v="112189.58333333333"/>
    <n v="0"/>
    <n v="0"/>
  </r>
  <r>
    <s v="Морщенников (П)"/>
    <x v="3"/>
    <s v="АПЗ"/>
    <m/>
    <m/>
    <s v="Зем"/>
    <s v="Зем"/>
    <s v="Зем"/>
    <x v="107"/>
    <s v="Эвон"/>
    <m/>
    <n v="72.571428571428569"/>
    <n v="65"/>
    <n v="71"/>
    <n v="76"/>
    <n v="75"/>
    <n v="72"/>
    <n v="76"/>
    <n v="73"/>
    <n v="12"/>
    <n v="6077823"/>
    <n v="506485.25"/>
    <n v="0"/>
    <n v="506485.25"/>
    <n v="0"/>
    <n v="0"/>
  </r>
  <r>
    <s v="Пшерский Ян"/>
    <x v="3"/>
    <s v="ОПЗ"/>
    <m/>
    <m/>
    <s v="Зем"/>
    <s v="Зем"/>
    <s v="Зем"/>
    <x v="107"/>
    <s v="Эвон"/>
    <m/>
    <n v="60.714285714285715"/>
    <n v="21"/>
    <n v="78"/>
    <n v="68"/>
    <n v="72"/>
    <n v="74"/>
    <n v="76"/>
    <n v="36"/>
    <n v="0"/>
    <n v="680627"/>
    <n v="56718.916666666664"/>
    <n v="0"/>
    <n v="56718.916666666664"/>
    <n v="0"/>
    <n v="0"/>
  </r>
  <r>
    <s v="Сладкий Игорь"/>
    <x v="3"/>
    <s v="ЦПЗ"/>
    <m/>
    <m/>
    <s v="Зем"/>
    <s v="Зем"/>
    <s v="Зем"/>
    <x v="107"/>
    <s v="Эвон"/>
    <m/>
    <n v="53.857142857142854"/>
    <n v="16"/>
    <n v="60"/>
    <n v="62"/>
    <n v="68"/>
    <n v="70"/>
    <n v="73"/>
    <n v="28"/>
    <n v="0"/>
    <n v="205321"/>
    <n v="17110.083333333332"/>
    <n v="0"/>
    <n v="17110.083333333332"/>
    <n v="0"/>
    <n v="0"/>
  </r>
  <r>
    <s v="Старлин (П)"/>
    <x v="3"/>
    <s v="ОПЗ"/>
    <s v="ЦПЗ"/>
    <m/>
    <s v="Кут"/>
    <s v="Кут"/>
    <s v="Кут"/>
    <x v="107"/>
    <s v="Эвон"/>
    <m/>
    <n v="73.285714285714292"/>
    <n v="68"/>
    <n v="71"/>
    <n v="80"/>
    <n v="76"/>
    <n v="80"/>
    <n v="88"/>
    <n v="50"/>
    <n v="0"/>
    <n v="4468825"/>
    <n v="372402.08333333331"/>
    <n v="0"/>
    <n v="372402.08333333331"/>
    <n v="0"/>
    <n v="0"/>
  </r>
  <r>
    <s v="Тонкий"/>
    <x v="3"/>
    <s v="ЦПЗ"/>
    <m/>
    <m/>
    <s v="Зем"/>
    <s v="Зем"/>
    <s v="Зем"/>
    <x v="107"/>
    <s v="Эвон"/>
    <m/>
    <n v="61.428571428571431"/>
    <n v="40"/>
    <n v="65"/>
    <n v="68"/>
    <n v="70"/>
    <n v="65"/>
    <n v="70"/>
    <n v="52"/>
    <n v="0"/>
    <n v="765076"/>
    <n v="63756.333333333336"/>
    <n v="0"/>
    <n v="63756.333333333336"/>
    <n v="0"/>
    <n v="0"/>
  </r>
  <r>
    <s v="Фонбринский Курт"/>
    <x v="3"/>
    <s v="ЦПЗ"/>
    <s v="ППЗ"/>
    <m/>
    <s v="Зем"/>
    <s v="Зем"/>
    <s v="Зем"/>
    <x v="107"/>
    <s v="Эвон"/>
    <m/>
    <n v="58.285714285714285"/>
    <n v="19"/>
    <n v="70"/>
    <n v="66"/>
    <n v="73"/>
    <n v="72"/>
    <n v="74"/>
    <n v="34"/>
    <n v="0"/>
    <n v="452503"/>
    <n v="37708.583333333336"/>
    <n v="0"/>
    <n v="37708.583333333336"/>
    <n v="0"/>
    <n v="0"/>
  </r>
  <r>
    <s v="Фонклинский"/>
    <x v="3"/>
    <s v="ЦПЗ"/>
    <s v="ППЗ"/>
    <m/>
    <s v="Зем"/>
    <s v="Зем"/>
    <s v="Зем"/>
    <x v="107"/>
    <s v="Эвон"/>
    <m/>
    <n v="71.428571428571431"/>
    <n v="60"/>
    <n v="70"/>
    <n v="75"/>
    <n v="77"/>
    <n v="73"/>
    <n v="75"/>
    <n v="70"/>
    <n v="12"/>
    <n v="5185742"/>
    <n v="432145.16666666669"/>
    <n v="0"/>
    <n v="432145.16666666669"/>
    <n v="0"/>
    <n v="0"/>
  </r>
  <r>
    <s v="Щерский"/>
    <x v="3"/>
    <s v="ОПЗ"/>
    <m/>
    <m/>
    <s v="Зем"/>
    <s v="Зем"/>
    <s v="Зем"/>
    <x v="107"/>
    <s v="Эвон"/>
    <m/>
    <n v="61.571428571428569"/>
    <n v="42"/>
    <n v="63"/>
    <n v="66"/>
    <n v="68"/>
    <n v="68"/>
    <n v="71"/>
    <n v="53"/>
    <n v="0"/>
    <n v="783056"/>
    <n v="65254.666666666664"/>
    <n v="0"/>
    <n v="65254.666666666664"/>
    <n v="0"/>
    <n v="0"/>
  </r>
  <r>
    <s v="Кепров Станко"/>
    <x v="4"/>
    <s v="Т"/>
    <m/>
    <m/>
    <s v="Зем"/>
    <s v="Зем"/>
    <s v="Зем"/>
    <x v="107"/>
    <s v="Эвон"/>
    <m/>
    <n v="61.571428571428569"/>
    <n v="20"/>
    <n v="72"/>
    <n v="70"/>
    <n v="78"/>
    <n v="76"/>
    <n v="77"/>
    <n v="38"/>
    <n v="0"/>
    <n v="783056"/>
    <n v="65254.666666666664"/>
    <n v="0"/>
    <n v="65254.666666666664"/>
    <n v="0"/>
    <n v="0"/>
  </r>
  <r>
    <s v="Шаймайстер"/>
    <x v="0"/>
    <s v="В"/>
    <m/>
    <m/>
    <s v="Мам"/>
    <s v="Мам"/>
    <s v="Мам"/>
    <x v="108"/>
    <s v="Эвон"/>
    <m/>
    <n v="62.714285714285715"/>
    <n v="23"/>
    <n v="67"/>
    <n v="58"/>
    <n v="70"/>
    <n v="80"/>
    <n v="76"/>
    <n v="65"/>
    <n v="0"/>
    <n v="941163"/>
    <n v="78430.25"/>
    <n v="0"/>
    <n v="78430.25"/>
    <n v="0"/>
    <n v="0"/>
  </r>
  <r>
    <s v="Буярган Тэмур"/>
    <x v="1"/>
    <s v="ЛЗ"/>
    <s v="ЦЗ"/>
    <m/>
    <m/>
    <s v="Мам"/>
    <s v="Мам"/>
    <x v="108"/>
    <s v="Эвон"/>
    <m/>
    <n v="43.285714285714285"/>
    <n v="10"/>
    <n v="48"/>
    <n v="47"/>
    <n v="55"/>
    <n v="59"/>
    <n v="62"/>
    <n v="22"/>
    <n v="0"/>
    <n v="23092"/>
    <n v="1924.3333333333333"/>
    <n v="0"/>
    <n v="1924.3333333333333"/>
    <n v="0"/>
    <n v="0"/>
  </r>
  <r>
    <s v="Изюха"/>
    <x v="1"/>
    <s v="ЦЗ"/>
    <m/>
    <m/>
    <s v="Мам"/>
    <s v="Мам"/>
    <s v="Мам"/>
    <x v="108"/>
    <s v="Эвон"/>
    <m/>
    <n v="62.285714285714285"/>
    <n v="22"/>
    <n v="65"/>
    <n v="70"/>
    <n v="69"/>
    <n v="74"/>
    <n v="75"/>
    <n v="61"/>
    <n v="0"/>
    <n v="878789"/>
    <n v="73232.416666666672"/>
    <n v="0"/>
    <n v="73232.416666666672"/>
    <n v="0"/>
    <n v="0"/>
  </r>
  <r>
    <s v="Чулунбат Манх"/>
    <x v="1"/>
    <s v="ЦЗ"/>
    <s v="ОПЗ"/>
    <m/>
    <m/>
    <s v="Мам"/>
    <s v="Мам"/>
    <x v="108"/>
    <s v="Эвон"/>
    <m/>
    <n v="51.857142857142854"/>
    <n v="12"/>
    <n v="61"/>
    <n v="55"/>
    <n v="67"/>
    <n v="69"/>
    <n v="71"/>
    <n v="28"/>
    <n v="0"/>
    <n v="140633"/>
    <n v="11719.416666666666"/>
    <n v="0"/>
    <n v="11719.416666666666"/>
    <n v="0"/>
    <n v="0"/>
  </r>
  <r>
    <s v="Ычевый"/>
    <x v="1"/>
    <s v="ЦЗ"/>
    <s v="ПЗ"/>
    <m/>
    <s v="Мам"/>
    <s v="Мам"/>
    <s v="Мам"/>
    <x v="108"/>
    <s v="Эвон"/>
    <m/>
    <n v="74"/>
    <n v="50"/>
    <n v="75"/>
    <n v="73"/>
    <n v="75"/>
    <n v="85"/>
    <n v="90"/>
    <n v="70"/>
    <n v="26"/>
    <n v="7385986"/>
    <n v="230636"/>
    <n v="0"/>
    <n v="615498.83333333337"/>
    <n v="-62.53"/>
    <n v="0"/>
  </r>
  <r>
    <s v="Гунбат Ардано"/>
    <x v="2"/>
    <s v="ЦН"/>
    <s v="ОФ"/>
    <m/>
    <s v="Мам"/>
    <s v="Мам"/>
    <s v="Мам"/>
    <x v="108"/>
    <s v="Эвон"/>
    <m/>
    <n v="64.714285714285708"/>
    <n v="40"/>
    <n v="75"/>
    <n v="84"/>
    <n v="63"/>
    <n v="80"/>
    <n v="88"/>
    <n v="23"/>
    <n v="6"/>
    <n v="1932382"/>
    <n v="161031.83333333334"/>
    <n v="0"/>
    <n v="161031.83333333334"/>
    <n v="0"/>
    <n v="0"/>
  </r>
  <r>
    <s v="Тэмурган Буяр"/>
    <x v="2"/>
    <s v="ОФ"/>
    <s v="ППЗ"/>
    <m/>
    <m/>
    <s v="Мам"/>
    <s v="Мам"/>
    <x v="108"/>
    <s v="Эвон"/>
    <m/>
    <n v="45.714285714285715"/>
    <n v="10"/>
    <n v="61"/>
    <n v="49"/>
    <n v="61"/>
    <n v="59"/>
    <n v="61"/>
    <n v="19"/>
    <n v="0"/>
    <n v="39859"/>
    <n v="3321.5833333333335"/>
    <n v="0"/>
    <n v="3321.5833333333335"/>
    <n v="0"/>
    <n v="0"/>
  </r>
  <r>
    <s v="Алданбаяр Чулун"/>
    <x v="3"/>
    <s v="ППЗ"/>
    <s v="ЛПЗ"/>
    <m/>
    <m/>
    <s v="Мам"/>
    <s v="Мам"/>
    <x v="108"/>
    <s v="Эвон"/>
    <m/>
    <n v="43.714285714285715"/>
    <n v="10"/>
    <n v="53"/>
    <n v="51"/>
    <n v="55"/>
    <n v="57"/>
    <n v="60"/>
    <n v="20"/>
    <n v="0"/>
    <n v="25483"/>
    <n v="2123.5833333333335"/>
    <n v="0"/>
    <n v="2123.5833333333335"/>
    <n v="0"/>
    <n v="0"/>
  </r>
  <r>
    <s v="Даржбат Сурэн"/>
    <x v="3"/>
    <s v="ЦПЗ"/>
    <s v="ОПЗ"/>
    <m/>
    <m/>
    <s v="Мам"/>
    <s v="Мам"/>
    <x v="108"/>
    <s v="Эвон"/>
    <m/>
    <n v="52"/>
    <n v="13"/>
    <n v="63"/>
    <n v="57"/>
    <n v="67"/>
    <n v="69"/>
    <n v="71"/>
    <n v="24"/>
    <n v="0"/>
    <n v="144556"/>
    <n v="12046.333333333334"/>
    <n v="0"/>
    <n v="12046.333333333334"/>
    <n v="0"/>
    <n v="0"/>
  </r>
  <r>
    <s v="Дондент"/>
    <x v="3"/>
    <s v="ОПЗ"/>
    <m/>
    <m/>
    <s v="Мам"/>
    <s v="Мам"/>
    <s v="Мам"/>
    <x v="108"/>
    <s v="Эвон"/>
    <m/>
    <n v="55.428571428571431"/>
    <n v="60"/>
    <n v="58"/>
    <n v="61"/>
    <n v="72"/>
    <n v="58"/>
    <n v="73"/>
    <n v="6"/>
    <n v="0"/>
    <n v="273740"/>
    <n v="22811.666666666668"/>
    <n v="0"/>
    <n v="22811.666666666668"/>
    <n v="0"/>
    <n v="0"/>
  </r>
  <r>
    <s v="Манхбат Тэмур"/>
    <x v="3"/>
    <s v="ЛПЗ"/>
    <s v="ППЗ"/>
    <m/>
    <m/>
    <s v="Мам"/>
    <s v="Мам"/>
    <x v="108"/>
    <s v="Эвон"/>
    <m/>
    <n v="47.285714285714285"/>
    <n v="11"/>
    <n v="59"/>
    <n v="53"/>
    <n v="63"/>
    <n v="61"/>
    <n v="63"/>
    <n v="21"/>
    <n v="0"/>
    <n v="55886"/>
    <n v="4657.166666666667"/>
    <n v="0"/>
    <n v="4657.166666666667"/>
    <n v="0"/>
    <n v="0"/>
  </r>
  <r>
    <s v="Сурэнбаяр Гунбат"/>
    <x v="3"/>
    <s v="АПЗ"/>
    <s v="ЦПЗ"/>
    <m/>
    <m/>
    <s v="Мам"/>
    <s v="Мам"/>
    <x v="108"/>
    <s v="Эвон"/>
    <m/>
    <n v="42.142857142857146"/>
    <n v="10"/>
    <n v="45"/>
    <n v="49"/>
    <n v="57"/>
    <n v="55"/>
    <n v="58"/>
    <n v="21"/>
    <n v="0"/>
    <n v="17671"/>
    <n v="1472.5833333333333"/>
    <n v="0"/>
    <n v="1472.5833333333333"/>
    <n v="0"/>
    <n v="0"/>
  </r>
  <r>
    <s v="Трайт"/>
    <x v="3"/>
    <s v="ЦПЗ"/>
    <m/>
    <m/>
    <s v="Мам"/>
    <s v="Мам"/>
    <s v="Мам"/>
    <x v="108"/>
    <s v="Эвон"/>
    <m/>
    <n v="58"/>
    <n v="15"/>
    <n v="66"/>
    <n v="68"/>
    <n v="72"/>
    <n v="53"/>
    <n v="73"/>
    <n v="59"/>
    <n v="0"/>
    <n v="430805"/>
    <n v="35900.416666666664"/>
    <n v="0"/>
    <n v="35900.416666666664"/>
    <n v="0"/>
    <n v="0"/>
  </r>
  <r>
    <s v="Туяган Алдан"/>
    <x v="3"/>
    <s v="ОПЗ"/>
    <s v="ЦПЗ"/>
    <m/>
    <m/>
    <s v="Мам"/>
    <s v="Мам"/>
    <x v="108"/>
    <s v="Эвон"/>
    <m/>
    <n v="42.571428571428569"/>
    <n v="10"/>
    <n v="47"/>
    <n v="47"/>
    <n v="55"/>
    <n v="59"/>
    <n v="62"/>
    <n v="18"/>
    <n v="0"/>
    <n v="19552"/>
    <n v="1629.3333333333333"/>
    <n v="0"/>
    <n v="1629.3333333333333"/>
    <n v="0"/>
    <n v="0"/>
  </r>
  <r>
    <s v="Хогстер"/>
    <x v="3"/>
    <s v="ЦПЗ"/>
    <m/>
    <m/>
    <s v="Мам"/>
    <s v="Мам"/>
    <s v="Мам"/>
    <x v="108"/>
    <s v="Эвон"/>
    <m/>
    <n v="53.714285714285715"/>
    <n v="44"/>
    <n v="64"/>
    <n v="59"/>
    <n v="58"/>
    <n v="60"/>
    <n v="73"/>
    <n v="18"/>
    <n v="0"/>
    <n v="199940"/>
    <n v="16661.666666666668"/>
    <n v="0"/>
    <n v="16661.666666666668"/>
    <n v="0"/>
    <n v="0"/>
  </r>
  <r>
    <s v="Хомми"/>
    <x v="3"/>
    <s v="ОПЗ"/>
    <m/>
    <m/>
    <s v="Мам"/>
    <s v="Мам"/>
    <s v="Мам"/>
    <x v="108"/>
    <s v="Эвон"/>
    <m/>
    <n v="59.142857142857146"/>
    <n v="43"/>
    <n v="64"/>
    <n v="60"/>
    <n v="65"/>
    <n v="75"/>
    <n v="58"/>
    <n v="49"/>
    <n v="0"/>
    <n v="523629"/>
    <n v="43635.75"/>
    <n v="0"/>
    <n v="43635.75"/>
    <n v="0"/>
    <n v="0"/>
  </r>
  <r>
    <s v="Чигирулли"/>
    <x v="3"/>
    <s v="АПЗ"/>
    <s v="ЦПЗ"/>
    <m/>
    <s v="Мам"/>
    <s v="Мам"/>
    <s v="Мам"/>
    <x v="108"/>
    <s v="Эвон"/>
    <m/>
    <n v="80.142857142857139"/>
    <n v="80"/>
    <n v="80"/>
    <n v="90"/>
    <n v="82"/>
    <n v="83"/>
    <n v="76"/>
    <n v="70"/>
    <n v="17"/>
    <n v="16396059"/>
    <n v="1366338.25"/>
    <n v="0"/>
    <n v="1366338.25"/>
    <n v="0"/>
    <n v="0"/>
  </r>
  <r>
    <s v="Ячунга"/>
    <x v="3"/>
    <s v="ЦПЗ"/>
    <s v="ППЗ"/>
    <m/>
    <s v="Мам"/>
    <s v="Мам"/>
    <s v="Мам"/>
    <x v="108"/>
    <s v="Эвон"/>
    <m/>
    <n v="63.714285714285715"/>
    <n v="59"/>
    <n v="72"/>
    <n v="73"/>
    <n v="61"/>
    <n v="63"/>
    <n v="73"/>
    <n v="45"/>
    <n v="0"/>
    <n v="1102474"/>
    <n v="91872.833333333328"/>
    <n v="0"/>
    <n v="91872.833333333328"/>
    <n v="0"/>
    <n v="0"/>
  </r>
  <r>
    <s v="Арданобат Гунбат"/>
    <x v="4"/>
    <s v="Т"/>
    <m/>
    <m/>
    <m/>
    <s v="Мам"/>
    <s v="Мам"/>
    <x v="108"/>
    <s v="Эвон"/>
    <m/>
    <n v="47.428571428571431"/>
    <n v="10"/>
    <n v="57"/>
    <n v="51"/>
    <n v="61"/>
    <n v="63"/>
    <n v="65"/>
    <n v="25"/>
    <n v="0"/>
    <n v="57598"/>
    <n v="4799.833333333333"/>
    <n v="0"/>
    <n v="4799.833333333333"/>
    <n v="0"/>
    <n v="0"/>
  </r>
  <r>
    <s v="Греви"/>
    <x v="0"/>
    <s v="В"/>
    <m/>
    <m/>
    <s v="С.С."/>
    <s v="С.С."/>
    <s v="С.С."/>
    <x v="109"/>
    <s v="Эвон"/>
    <m/>
    <n v="72.714285714285708"/>
    <n v="69"/>
    <n v="80"/>
    <n v="64"/>
    <n v="60"/>
    <n v="82"/>
    <n v="84"/>
    <n v="70"/>
    <n v="0"/>
    <n v="4132354"/>
    <n v="344362.83333333331"/>
    <n v="0"/>
    <n v="344362.83333333331"/>
    <n v="0"/>
    <n v="0"/>
  </r>
  <r>
    <s v="Халк (В)"/>
    <x v="0"/>
    <s v="В"/>
    <m/>
    <m/>
    <s v="Своб"/>
    <s v="Своб"/>
    <s v="Своб"/>
    <x v="109"/>
    <s v="Эвон"/>
    <m/>
    <n v="90.142857142857139"/>
    <n v="91"/>
    <n v="97"/>
    <n v="100"/>
    <n v="80"/>
    <n v="92"/>
    <n v="90"/>
    <n v="81"/>
    <n v="1"/>
    <n v="53137908"/>
    <n v="4428159"/>
    <n v="0"/>
    <n v="4428159"/>
    <n v="0"/>
    <n v="0"/>
  </r>
  <r>
    <s v="Альдом"/>
    <x v="1"/>
    <s v="ЦЗ"/>
    <s v="ПЗ"/>
    <m/>
    <s v="Туркан"/>
    <s v="Туркан"/>
    <s v="Туркан"/>
    <x v="109"/>
    <s v="Эвон"/>
    <m/>
    <n v="79.142857142857139"/>
    <n v="60"/>
    <n v="74"/>
    <n v="80"/>
    <n v="82"/>
    <n v="83"/>
    <n v="93"/>
    <n v="82"/>
    <n v="0"/>
    <n v="9640893"/>
    <n v="803407.75"/>
    <n v="0"/>
    <n v="803407.75"/>
    <n v="0"/>
    <n v="0"/>
  </r>
  <r>
    <s v="Душкан (З)"/>
    <x v="1"/>
    <s v="ЛЗ"/>
    <s v="ЦЗ"/>
    <s v="ПЗ"/>
    <s v="С.С."/>
    <s v="С.С."/>
    <s v="С.С."/>
    <x v="109"/>
    <s v="Эвон"/>
    <m/>
    <n v="79.714285714285708"/>
    <n v="70"/>
    <n v="72"/>
    <n v="86"/>
    <n v="83"/>
    <n v="87"/>
    <n v="96"/>
    <n v="64"/>
    <n v="0"/>
    <n v="10360044"/>
    <n v="863337"/>
    <n v="0"/>
    <n v="863337"/>
    <n v="0"/>
    <n v="0"/>
  </r>
  <r>
    <s v="Коути"/>
    <x v="1"/>
    <s v="ПЗ"/>
    <m/>
    <m/>
    <s v="С.С."/>
    <s v="Сул"/>
    <s v="Сул"/>
    <x v="109"/>
    <s v="Эвон"/>
    <m/>
    <n v="78.142857142857139"/>
    <n v="61"/>
    <n v="87"/>
    <n v="76"/>
    <n v="80"/>
    <n v="85"/>
    <n v="81"/>
    <n v="77"/>
    <n v="0"/>
    <n v="8489711"/>
    <n v="707475.91666666663"/>
    <n v="0"/>
    <n v="707475.91666666663"/>
    <n v="0"/>
    <n v="0"/>
  </r>
  <r>
    <s v="Терри"/>
    <x v="1"/>
    <s v="ЦЗ"/>
    <s v="ПЗ"/>
    <m/>
    <s v="Кирп"/>
    <s v="Кирп"/>
    <s v="Кирп"/>
    <x v="109"/>
    <s v="Эвон"/>
    <m/>
    <n v="93"/>
    <n v="90"/>
    <n v="83"/>
    <n v="94"/>
    <n v="90"/>
    <n v="97"/>
    <n v="99"/>
    <n v="98"/>
    <n v="26"/>
    <n v="72597347"/>
    <n v="6049778.916666667"/>
    <n v="0"/>
    <n v="6049778.916666667"/>
    <n v="0"/>
    <n v="0"/>
  </r>
  <r>
    <s v="Тифтия"/>
    <x v="1"/>
    <s v="ЦЗ"/>
    <s v="ОПЗ"/>
    <m/>
    <s v="С.С."/>
    <s v="С.С."/>
    <s v="С.С."/>
    <x v="109"/>
    <s v="Эвон"/>
    <m/>
    <n v="67.714285714285708"/>
    <n v="45"/>
    <n v="65"/>
    <n v="68"/>
    <n v="74"/>
    <n v="77"/>
    <n v="90"/>
    <n v="55"/>
    <n v="0"/>
    <n v="2026764"/>
    <n v="168897"/>
    <n v="0"/>
    <n v="168897"/>
    <n v="0"/>
    <n v="0"/>
  </r>
  <r>
    <s v="Цуфти"/>
    <x v="1"/>
    <s v="ЦЗ"/>
    <s v="ПЗ"/>
    <m/>
    <s v="С.С."/>
    <s v="С.С."/>
    <s v="С.С."/>
    <x v="109"/>
    <s v="Эвон"/>
    <m/>
    <n v="68.428571428571431"/>
    <n v="50"/>
    <n v="60"/>
    <n v="70"/>
    <n v="75"/>
    <n v="78"/>
    <n v="94"/>
    <n v="52"/>
    <n v="0"/>
    <n v="2250997"/>
    <n v="187583.08333333334"/>
    <n v="0"/>
    <n v="187583.08333333334"/>
    <n v="0"/>
    <n v="0"/>
  </r>
  <r>
    <s v="Чувитер"/>
    <x v="1"/>
    <s v="ЦЗ"/>
    <s v="ЛЗ"/>
    <m/>
    <s v="С.С."/>
    <s v="С.С."/>
    <s v="С.С."/>
    <x v="109"/>
    <s v="Эвон"/>
    <m/>
    <n v="68.285714285714292"/>
    <n v="46"/>
    <n v="64"/>
    <n v="73"/>
    <n v="73"/>
    <n v="80"/>
    <n v="89"/>
    <n v="53"/>
    <n v="0"/>
    <n v="2204442"/>
    <n v="183703.5"/>
    <n v="0"/>
    <n v="183703.5"/>
    <n v="0"/>
    <n v="0"/>
  </r>
  <r>
    <s v="Белив"/>
    <x v="2"/>
    <s v="ЦН"/>
    <m/>
    <m/>
    <s v="С.С."/>
    <s v="С.С."/>
    <s v="С.С."/>
    <x v="109"/>
    <s v="Эвон"/>
    <m/>
    <n v="85.714285714285708"/>
    <n v="83"/>
    <n v="91"/>
    <n v="93"/>
    <n v="84"/>
    <n v="81"/>
    <n v="88"/>
    <n v="80"/>
    <n v="12"/>
    <n v="32108748"/>
    <n v="2675729"/>
    <n v="0"/>
    <n v="2675729"/>
    <n v="0"/>
    <n v="0"/>
  </r>
  <r>
    <s v="Сабзар (Н)"/>
    <x v="2"/>
    <s v="ЦН"/>
    <s v="АПЗ"/>
    <m/>
    <s v="С.С."/>
    <s v="С.С."/>
    <s v="С.С."/>
    <x v="109"/>
    <s v="Эвон"/>
    <m/>
    <n v="83"/>
    <n v="75"/>
    <n v="95"/>
    <n v="87"/>
    <n v="80"/>
    <n v="85"/>
    <n v="83"/>
    <n v="76"/>
    <n v="14"/>
    <n v="23274062"/>
    <n v="1939505.1666666667"/>
    <n v="0"/>
    <n v="1939505.1666666667"/>
    <n v="0"/>
    <n v="0"/>
  </r>
  <r>
    <s v="Тальдор"/>
    <x v="2"/>
    <s v="ЦН"/>
    <s v="АПЗ"/>
    <m/>
    <s v="Туркан"/>
    <s v="Туркан"/>
    <s v="Туркан"/>
    <x v="109"/>
    <s v="Эвон"/>
    <m/>
    <n v="76.428571428571431"/>
    <n v="50"/>
    <n v="75"/>
    <n v="83"/>
    <n v="82"/>
    <n v="78"/>
    <n v="97"/>
    <n v="70"/>
    <n v="6"/>
    <n v="10201140"/>
    <n v="850095"/>
    <n v="0"/>
    <n v="850095"/>
    <n v="0"/>
    <n v="0"/>
  </r>
  <r>
    <s v="Алькар (П)"/>
    <x v="3"/>
    <s v="ОПЗ"/>
    <s v="ЦЗ"/>
    <s v="ЦПЗ"/>
    <s v="Туркан"/>
    <s v="В.И."/>
    <s v="В.И."/>
    <x v="109"/>
    <s v="Эвон"/>
    <m/>
    <n v="71.428571428571431"/>
    <n v="56"/>
    <n v="80"/>
    <n v="69"/>
    <n v="75"/>
    <n v="81"/>
    <n v="78"/>
    <n v="61"/>
    <n v="0"/>
    <n v="3457162"/>
    <n v="288096.83333333331"/>
    <n v="0"/>
    <n v="288096.83333333331"/>
    <n v="0"/>
    <n v="0"/>
  </r>
  <r>
    <s v="Афтер"/>
    <x v="3"/>
    <s v="ОПЗ"/>
    <s v="ЦЗ"/>
    <m/>
    <s v="К.С."/>
    <s v="К.С."/>
    <s v="К.С."/>
    <x v="109"/>
    <s v="Эвон"/>
    <m/>
    <n v="78"/>
    <n v="65"/>
    <n v="85"/>
    <n v="85"/>
    <n v="85"/>
    <n v="80"/>
    <n v="85"/>
    <n v="61"/>
    <n v="18"/>
    <n v="12503664"/>
    <n v="615498.83333333337"/>
    <n v="0"/>
    <n v="1041972"/>
    <n v="-40.93"/>
    <n v="0"/>
  </r>
  <r>
    <s v="Вузар (П)"/>
    <x v="3"/>
    <s v="ЦПЗ"/>
    <s v="АПЗ"/>
    <m/>
    <s v="Ард"/>
    <s v="Ард"/>
    <s v="Ард"/>
    <x v="109"/>
    <s v="Эвон"/>
    <m/>
    <n v="79.714285714285708"/>
    <n v="60"/>
    <n v="86"/>
    <n v="82"/>
    <n v="87"/>
    <n v="83"/>
    <n v="85"/>
    <n v="75"/>
    <n v="0"/>
    <n v="10360044"/>
    <n v="863337"/>
    <n v="0"/>
    <n v="863337"/>
    <n v="0"/>
    <n v="0"/>
  </r>
  <r>
    <s v="Гарзон Туф"/>
    <x v="3"/>
    <s v="ЦПЗ"/>
    <s v="ОПЗ"/>
    <m/>
    <s v="С.С."/>
    <s v="С.С."/>
    <s v="С.С."/>
    <x v="109"/>
    <s v="Эвон"/>
    <m/>
    <n v="64.571428571428569"/>
    <n v="34"/>
    <n v="70"/>
    <n v="76"/>
    <n v="71"/>
    <n v="72"/>
    <n v="84"/>
    <n v="45"/>
    <n v="0"/>
    <n v="1260097"/>
    <n v="105008.08333333333"/>
    <n v="0"/>
    <n v="105008.08333333333"/>
    <n v="0"/>
    <n v="0"/>
  </r>
  <r>
    <s v="Глайвстук"/>
    <x v="3"/>
    <s v="ОПЗ"/>
    <s v="ЦЗ"/>
    <m/>
    <s v="Ч.Л."/>
    <s v="Ч.Л."/>
    <s v="Ч.Л."/>
    <x v="109"/>
    <s v="Эвон"/>
    <m/>
    <n v="74"/>
    <n v="53"/>
    <n v="77"/>
    <n v="73"/>
    <n v="75"/>
    <n v="80"/>
    <n v="90"/>
    <n v="70"/>
    <n v="18"/>
    <n v="7385986"/>
    <n v="615498.83333333337"/>
    <n v="0"/>
    <n v="615498.83333333337"/>
    <n v="0"/>
    <n v="0"/>
  </r>
  <r>
    <s v="Джорнулли Теор"/>
    <x v="3"/>
    <s v="АПЗ"/>
    <s v="ЦПЗ"/>
    <m/>
    <s v="С.С."/>
    <s v="С.С."/>
    <s v="С.С."/>
    <x v="109"/>
    <s v="Эвон"/>
    <m/>
    <n v="62.285714285714285"/>
    <n v="30"/>
    <n v="74"/>
    <n v="72"/>
    <n v="72"/>
    <n v="74"/>
    <n v="70"/>
    <n v="44"/>
    <n v="0"/>
    <n v="878789"/>
    <n v="73232.416666666672"/>
    <n v="0"/>
    <n v="73232.416666666672"/>
    <n v="0"/>
    <n v="0"/>
  </r>
  <r>
    <s v="Сеуса (П)"/>
    <x v="3"/>
    <s v="ППЗ"/>
    <s v="ЛПЗ"/>
    <s v="АПЗ"/>
    <s v="С.С."/>
    <s v="С.С."/>
    <s v="С.С."/>
    <x v="109"/>
    <s v="Эвон"/>
    <m/>
    <n v="78.714285714285708"/>
    <n v="62"/>
    <n v="93"/>
    <n v="84"/>
    <n v="81"/>
    <n v="73"/>
    <n v="82"/>
    <n v="76"/>
    <n v="0"/>
    <n v="9131363"/>
    <n v="760946.91666666663"/>
    <n v="0"/>
    <n v="760946.91666666663"/>
    <n v="0"/>
    <n v="0"/>
  </r>
  <r>
    <s v="Шексир Аз"/>
    <x v="3"/>
    <s v="ППЗ"/>
    <s v="ПЗ"/>
    <m/>
    <s v="С.С."/>
    <s v="С.С."/>
    <s v="С.С."/>
    <x v="109"/>
    <s v="Эвон"/>
    <m/>
    <n v="64.714285714285708"/>
    <n v="32"/>
    <n v="84"/>
    <n v="77"/>
    <n v="70"/>
    <n v="73"/>
    <n v="68"/>
    <n v="49"/>
    <n v="23"/>
    <n v="1932382"/>
    <n v="161031.83333333334"/>
    <n v="0"/>
    <n v="161031.83333333334"/>
    <n v="0"/>
    <n v="0"/>
  </r>
  <r>
    <s v="Эмунд Райс"/>
    <x v="3"/>
    <s v="ЛПЗ"/>
    <s v="ЛЗ"/>
    <m/>
    <s v="С.С."/>
    <s v="С.С."/>
    <s v="С.С."/>
    <x v="109"/>
    <s v="Эвон"/>
    <m/>
    <n v="69.714285714285708"/>
    <n v="29"/>
    <n v="86"/>
    <n v="73"/>
    <n v="78"/>
    <n v="71"/>
    <n v="74"/>
    <n v="77"/>
    <n v="23"/>
    <n v="4067327"/>
    <n v="338943.91666666669"/>
    <n v="0"/>
    <n v="338943.91666666669"/>
    <n v="0"/>
    <n v="0"/>
  </r>
  <r>
    <s v="Эримнг"/>
    <x v="3"/>
    <s v="ЛПЗ"/>
    <s v="ППЗ"/>
    <s v="ЦПЗ"/>
    <s v="С.С."/>
    <s v="С.С."/>
    <s v="С.С."/>
    <x v="109"/>
    <s v="Эвон"/>
    <m/>
    <n v="70.142857142857139"/>
    <n v="68"/>
    <n v="80"/>
    <n v="79"/>
    <n v="70"/>
    <n v="72"/>
    <n v="71"/>
    <n v="51"/>
    <n v="0"/>
    <n v="2882933"/>
    <n v="240244.41666666666"/>
    <n v="0"/>
    <n v="240244.41666666666"/>
    <n v="0"/>
    <n v="0"/>
  </r>
  <r>
    <s v="Душкер Тив"/>
    <x v="4"/>
    <s v="Т"/>
    <m/>
    <m/>
    <s v="С.С."/>
    <s v="С.С."/>
    <s v="С.С."/>
    <x v="109"/>
    <s v="Эвон"/>
    <m/>
    <n v="72"/>
    <n v="52"/>
    <n v="95"/>
    <n v="80"/>
    <n v="71"/>
    <n v="82"/>
    <n v="82"/>
    <n v="42"/>
    <n v="0"/>
    <n v="3743907"/>
    <n v="311992.25"/>
    <n v="0"/>
    <n v="311992.25"/>
    <n v="0"/>
    <n v="0"/>
  </r>
  <r>
    <s v="Грильс Йенс"/>
    <x v="0"/>
    <s v="В"/>
    <m/>
    <m/>
    <m/>
    <s v="Шах"/>
    <s v="Шах"/>
    <x v="110"/>
    <s v="Эвон"/>
    <m/>
    <n v="62.571428571428569"/>
    <n v="23"/>
    <n v="68"/>
    <n v="66"/>
    <n v="73"/>
    <n v="78"/>
    <n v="76"/>
    <n v="54"/>
    <n v="0"/>
    <n v="919943"/>
    <n v="76661.916666666672"/>
    <n v="0"/>
    <n v="76661.916666666672"/>
    <n v="0"/>
    <n v="0"/>
  </r>
  <r>
    <s v="Эльс (в)"/>
    <x v="0"/>
    <s v="В"/>
    <m/>
    <m/>
    <s v="Шах"/>
    <s v="Эстл"/>
    <s v="Эстл"/>
    <x v="110"/>
    <s v="Эвон"/>
    <m/>
    <n v="79.857142857142861"/>
    <n v="74"/>
    <n v="90"/>
    <n v="74"/>
    <n v="84"/>
    <n v="82"/>
    <n v="90"/>
    <n v="65"/>
    <n v="31"/>
    <n v="15820819"/>
    <n v="1318401.5833333333"/>
    <n v="0"/>
    <n v="1318401.5833333333"/>
    <n v="0"/>
    <n v="0"/>
  </r>
  <r>
    <s v="Джованни Лука"/>
    <x v="1"/>
    <s v="ПЗ"/>
    <s v="ЦЗ"/>
    <m/>
    <m/>
    <s v="Шах"/>
    <s v="Шах"/>
    <x v="110"/>
    <s v="Эвон"/>
    <m/>
    <n v="57"/>
    <n v="21"/>
    <n v="64"/>
    <n v="49"/>
    <n v="72"/>
    <n v="70"/>
    <n v="73"/>
    <n v="50"/>
    <n v="0"/>
    <n v="362034"/>
    <n v="30169.5"/>
    <n v="0"/>
    <n v="30169.5"/>
    <n v="0"/>
    <n v="0"/>
  </r>
  <r>
    <s v="Джэфо (З)"/>
    <x v="1"/>
    <s v="ЦЗ"/>
    <m/>
    <m/>
    <s v="Шах"/>
    <s v="Шах"/>
    <s v="Шах"/>
    <x v="110"/>
    <s v="Эвон"/>
    <m/>
    <n v="72.142857142857139"/>
    <n v="65"/>
    <n v="70"/>
    <n v="74"/>
    <n v="80"/>
    <n v="74"/>
    <n v="82"/>
    <n v="60"/>
    <n v="0"/>
    <n v="3818857"/>
    <n v="318238.08333333331"/>
    <n v="0"/>
    <n v="318238.08333333331"/>
    <n v="0"/>
    <n v="0"/>
  </r>
  <r>
    <s v="Кривта Дарко"/>
    <x v="1"/>
    <s v="ЦЗ"/>
    <s v="ОПЗ"/>
    <m/>
    <m/>
    <s v="Шах"/>
    <s v="Шах"/>
    <x v="110"/>
    <s v="Эвон"/>
    <m/>
    <n v="66.428571428571431"/>
    <n v="35"/>
    <n v="71"/>
    <n v="62"/>
    <n v="79"/>
    <n v="81"/>
    <n v="80"/>
    <n v="57"/>
    <n v="0"/>
    <n v="1673205"/>
    <n v="139433.75"/>
    <n v="0"/>
    <n v="139433.75"/>
    <n v="0"/>
    <n v="0"/>
  </r>
  <r>
    <s v="Кришта (З)"/>
    <x v="1"/>
    <s v="ЦЗ"/>
    <s v="ОПЗ"/>
    <s v="ПЗ"/>
    <s v="Турк"/>
    <s v="Турк"/>
    <s v="Турк"/>
    <x v="110"/>
    <s v="Эвон"/>
    <m/>
    <n v="90.857142857142861"/>
    <n v="95"/>
    <n v="83"/>
    <n v="99"/>
    <n v="94"/>
    <n v="89"/>
    <n v="86"/>
    <n v="90"/>
    <n v="1"/>
    <n v="57501877"/>
    <n v="4791823.083333333"/>
    <n v="0"/>
    <n v="4791823.083333333"/>
    <n v="0"/>
    <n v="0"/>
  </r>
  <r>
    <s v="Лорваль Пьер"/>
    <x v="1"/>
    <s v="ЦЗ"/>
    <s v="ЛЗ"/>
    <m/>
    <m/>
    <s v="Шах"/>
    <s v="Шах"/>
    <x v="110"/>
    <s v="Эвон"/>
    <m/>
    <n v="62.428571428571431"/>
    <n v="27"/>
    <n v="82"/>
    <n v="54"/>
    <n v="71"/>
    <n v="74"/>
    <n v="77"/>
    <n v="52"/>
    <n v="0"/>
    <n v="899154"/>
    <n v="74929.5"/>
    <n v="0"/>
    <n v="74929.5"/>
    <n v="0"/>
    <n v="0"/>
  </r>
  <r>
    <s v="Лоренц (З)"/>
    <x v="1"/>
    <s v="ЦЗ"/>
    <s v="ОПЗ"/>
    <s v="ЛЗ"/>
    <s v="Шах"/>
    <s v="Лион"/>
    <s v="Лион"/>
    <x v="110"/>
    <s v="Эвон"/>
    <m/>
    <n v="89.428571428571431"/>
    <n v="86"/>
    <n v="88"/>
    <n v="89"/>
    <n v="93"/>
    <n v="90"/>
    <n v="89"/>
    <n v="91"/>
    <n v="18"/>
    <n v="49074309"/>
    <n v="4089525.75"/>
    <n v="0"/>
    <n v="4089525.75"/>
    <n v="0"/>
    <n v="0"/>
  </r>
  <r>
    <s v="Тиль (З)"/>
    <x v="1"/>
    <s v="ЦЗ"/>
    <m/>
    <m/>
    <s v="Шах"/>
    <s v="Шах"/>
    <s v="Шах"/>
    <x v="110"/>
    <s v="Эвон"/>
    <m/>
    <n v="76.857142857142861"/>
    <n v="64"/>
    <n v="71"/>
    <n v="80"/>
    <n v="83"/>
    <n v="81"/>
    <n v="95"/>
    <n v="64"/>
    <n v="0"/>
    <n v="7191879"/>
    <n v="599323.25"/>
    <n v="0"/>
    <n v="599323.25"/>
    <n v="0"/>
    <n v="0"/>
  </r>
  <r>
    <s v="Тильманс Ральф"/>
    <x v="1"/>
    <s v="ЦЗ"/>
    <s v="ОПЗ"/>
    <m/>
    <m/>
    <s v="Шах"/>
    <s v="Шах"/>
    <x v="110"/>
    <s v="Эвон"/>
    <m/>
    <n v="64.571428571428569"/>
    <n v="38"/>
    <n v="67"/>
    <n v="59"/>
    <n v="76"/>
    <n v="77"/>
    <n v="79"/>
    <n v="56"/>
    <n v="0"/>
    <n v="1260097"/>
    <n v="105008.08333333333"/>
    <n v="0"/>
    <n v="105008.08333333333"/>
    <n v="0"/>
    <n v="0"/>
  </r>
  <r>
    <s v="Рейна (Н)"/>
    <x v="2"/>
    <s v="ОФ"/>
    <s v="ЦН"/>
    <m/>
    <s v="Шах"/>
    <s v="Шах"/>
    <s v="Шах"/>
    <x v="110"/>
    <s v="Эвон"/>
    <m/>
    <n v="81.714285714285708"/>
    <n v="73"/>
    <n v="92"/>
    <n v="75"/>
    <n v="87"/>
    <n v="88"/>
    <n v="77"/>
    <n v="80"/>
    <n v="3"/>
    <n v="19909995"/>
    <n v="1659166.25"/>
    <n v="0"/>
    <n v="1659166.25"/>
    <n v="0"/>
    <n v="0"/>
  </r>
  <r>
    <s v="Санжан"/>
    <x v="2"/>
    <s v="ЦН"/>
    <s v="АПЗ"/>
    <m/>
    <s v="Хан"/>
    <s v="Хан"/>
    <s v="Хан"/>
    <x v="110"/>
    <s v="Эвон"/>
    <m/>
    <n v="84.142857142857139"/>
    <n v="84"/>
    <n v="81"/>
    <n v="97"/>
    <n v="81"/>
    <n v="90"/>
    <n v="86"/>
    <n v="70"/>
    <n v="21"/>
    <n v="26684792"/>
    <n v="2223732.6666666665"/>
    <n v="0"/>
    <n v="2223732.6666666665"/>
    <n v="0"/>
    <n v="0"/>
  </r>
  <r>
    <s v="Сантьяго Рауль"/>
    <x v="2"/>
    <s v="ЦН"/>
    <s v="ОФ"/>
    <m/>
    <m/>
    <s v="Шах"/>
    <s v="Шах"/>
    <x v="110"/>
    <s v="Эвон"/>
    <m/>
    <n v="64.714285714285708"/>
    <n v="40"/>
    <n v="74"/>
    <n v="64"/>
    <n v="69"/>
    <n v="80"/>
    <n v="75"/>
    <n v="51"/>
    <n v="0"/>
    <n v="1288255"/>
    <n v="107354.58333333333"/>
    <n v="0"/>
    <n v="107354.58333333333"/>
    <n v="0"/>
    <n v="0"/>
  </r>
  <r>
    <s v="Йоханбергман (П)"/>
    <x v="3"/>
    <s v="АПЗ"/>
    <s v="ППЗ"/>
    <s v="ЦПЗ"/>
    <s v="Кирп"/>
    <s v="Кирп"/>
    <s v="Кирп"/>
    <x v="110"/>
    <s v="Эвон"/>
    <m/>
    <n v="86.285714285714292"/>
    <n v="83"/>
    <n v="82"/>
    <n v="100"/>
    <n v="83"/>
    <n v="88"/>
    <n v="93"/>
    <n v="75"/>
    <n v="1"/>
    <n v="34314704"/>
    <n v="2859558.6666666665"/>
    <n v="0"/>
    <n v="2859558.6666666665"/>
    <n v="0"/>
    <n v="0"/>
  </r>
  <r>
    <s v="Йохансен Ларс"/>
    <x v="3"/>
    <s v="ППЗ"/>
    <s v="АПЗ"/>
    <m/>
    <m/>
    <s v="Шах"/>
    <s v="Шах"/>
    <x v="110"/>
    <s v="Эвон"/>
    <m/>
    <n v="62.571428571428569"/>
    <n v="36"/>
    <n v="73"/>
    <n v="61"/>
    <n v="70"/>
    <n v="75"/>
    <n v="70"/>
    <n v="53"/>
    <n v="0"/>
    <n v="919943"/>
    <n v="76661.916666666672"/>
    <n v="0"/>
    <n v="76661.916666666672"/>
    <n v="0"/>
    <n v="0"/>
  </r>
  <r>
    <s v="Пеффер (П)"/>
    <x v="3"/>
    <s v="ЦПЗ"/>
    <s v="АПЗ"/>
    <s v="ЛПЗ"/>
    <s v="С.К."/>
    <s v="С.К."/>
    <s v="С.К."/>
    <x v="110"/>
    <s v="Эвон"/>
    <m/>
    <n v="91.857142857142861"/>
    <n v="90"/>
    <n v="83"/>
    <n v="99"/>
    <n v="94"/>
    <n v="94"/>
    <n v="94"/>
    <n v="89"/>
    <n v="1"/>
    <n v="64153535"/>
    <n v="5346127.916666667"/>
    <n v="0"/>
    <n v="5346127.916666667"/>
    <n v="0"/>
    <n v="0"/>
  </r>
  <r>
    <s v="Ракитич (П)"/>
    <x v="3"/>
    <s v="ЦПЗ"/>
    <s v="ППЗ"/>
    <s v="АПЗ"/>
    <s v="Зар"/>
    <s v="Зар"/>
    <s v="Зар"/>
    <x v="110"/>
    <s v="Эвон"/>
    <m/>
    <n v="85.857142857142861"/>
    <n v="83"/>
    <n v="89"/>
    <n v="93"/>
    <n v="87"/>
    <n v="82"/>
    <n v="83"/>
    <n v="84"/>
    <n v="22"/>
    <n v="32647925"/>
    <n v="2720660.4166666665"/>
    <n v="0"/>
    <n v="2720660.4166666665"/>
    <n v="0"/>
    <n v="0"/>
  </r>
  <r>
    <s v="Ракович Марко"/>
    <x v="3"/>
    <s v="ЦПЗ"/>
    <s v="АПЗ"/>
    <m/>
    <m/>
    <s v="Шах"/>
    <s v="Шах"/>
    <x v="110"/>
    <s v="Эвон"/>
    <m/>
    <n v="60.571428571428569"/>
    <n v="25"/>
    <n v="76"/>
    <n v="57"/>
    <n v="72"/>
    <n v="68"/>
    <n v="71"/>
    <n v="55"/>
    <n v="0"/>
    <n v="664781"/>
    <n v="55398.416666666664"/>
    <n v="0"/>
    <n v="55398.416666666664"/>
    <n v="0"/>
    <n v="0"/>
  </r>
  <r>
    <s v="Рейнхарт Нико"/>
    <x v="3"/>
    <s v="ОПЗ"/>
    <s v="ЦПЗ"/>
    <m/>
    <s v="Шах"/>
    <s v="Шах"/>
    <s v="Шах"/>
    <x v="110"/>
    <s v="Эвон"/>
    <m/>
    <n v="79"/>
    <n v="50"/>
    <n v="80"/>
    <n v="84"/>
    <n v="88"/>
    <n v="91"/>
    <n v="90"/>
    <n v="70"/>
    <n v="18"/>
    <n v="14202415"/>
    <n v="1183534.5833333333"/>
    <n v="0"/>
    <n v="1183534.5833333333"/>
    <n v="0"/>
    <n v="0"/>
  </r>
  <r>
    <s v="Сырдак (П)"/>
    <x v="3"/>
    <s v="АПЗ"/>
    <s v="ППЗ"/>
    <m/>
    <s v="Орл"/>
    <s v="Орл"/>
    <s v="Орл"/>
    <x v="110"/>
    <s v="Эвон"/>
    <m/>
    <n v="89.285714285714292"/>
    <n v="88"/>
    <n v="84"/>
    <n v="96"/>
    <n v="92"/>
    <n v="89"/>
    <n v="88"/>
    <n v="88"/>
    <n v="21"/>
    <n v="48295986"/>
    <n v="4024665.5"/>
    <n v="0"/>
    <n v="4024665.5"/>
    <n v="0"/>
    <n v="0"/>
  </r>
  <r>
    <s v="Сыркин Павел"/>
    <x v="3"/>
    <s v="ЛПЗ"/>
    <s v="ЦПЗ"/>
    <m/>
    <m/>
    <s v="Шах"/>
    <s v="Шах"/>
    <x v="110"/>
    <s v="Эвон"/>
    <m/>
    <n v="57.857142857142854"/>
    <n v="22"/>
    <n v="80"/>
    <n v="50"/>
    <n v="67"/>
    <n v="69"/>
    <n v="68"/>
    <n v="49"/>
    <n v="0"/>
    <n v="420311"/>
    <n v="35025.916666666664"/>
    <n v="0"/>
    <n v="35025.916666666664"/>
    <n v="0"/>
    <n v="0"/>
  </r>
  <r>
    <s v="Каспарелли "/>
    <x v="3"/>
    <s v="ППЗ"/>
    <s v="ЦПЗ"/>
    <s v="АПЗ"/>
    <s v="Сул"/>
    <s v="Сул"/>
    <s v="Сул"/>
    <x v="111"/>
    <s v="Кеор"/>
    <m/>
    <n v="95.857142857142861"/>
    <n v="99"/>
    <n v="100"/>
    <n v="95"/>
    <n v="97"/>
    <n v="93"/>
    <n v="90"/>
    <n v="97"/>
    <n v="14"/>
    <n v="98250793"/>
    <n v="8187566.083333333"/>
    <n v="0"/>
    <n v="8187566.083333333"/>
    <n v="0"/>
    <n v="0"/>
  </r>
  <r>
    <s v="Джедидая"/>
    <x v="2"/>
    <s v="ОФ"/>
    <s v="ЛПЗ"/>
    <m/>
    <s v="Бел"/>
    <s v="Бел"/>
    <s v="Бел"/>
    <x v="112"/>
    <s v="Эстон"/>
    <m/>
    <n v="90.571428571428569"/>
    <n v="91"/>
    <n v="95"/>
    <n v="90"/>
    <n v="92"/>
    <n v="90"/>
    <n v="84"/>
    <n v="92"/>
    <n v="7"/>
    <n v="55719016"/>
    <n v="4643251.333333333"/>
    <n v="0"/>
    <n v="4643251.333333333"/>
    <n v="0"/>
    <n v="0"/>
  </r>
  <r>
    <s v="Бармуд"/>
    <x v="0"/>
    <s v="В"/>
    <m/>
    <m/>
    <s v="Своб"/>
    <s v="Своб"/>
    <s v="Своб"/>
    <x v="113"/>
    <s v="Эвон"/>
    <m/>
    <n v="69.142857142857139"/>
    <n v="49"/>
    <n v="70"/>
    <n v="68"/>
    <n v="89"/>
    <n v="75"/>
    <n v="78"/>
    <n v="55"/>
    <n v="0"/>
    <n v="2497315"/>
    <n v="208109.58333333334"/>
    <n v="0"/>
    <n v="208109.58333333334"/>
    <n v="0"/>
    <n v="0"/>
  </r>
  <r>
    <s v="Урман"/>
    <x v="0"/>
    <s v="В"/>
    <m/>
    <m/>
    <s v="Зел.Хол"/>
    <s v="Зел.Хол"/>
    <s v="Зел.Хол"/>
    <x v="113"/>
    <s v="Эвон"/>
    <m/>
    <n v="58.857142857142854"/>
    <n v="23"/>
    <n v="60"/>
    <n v="61"/>
    <n v="75"/>
    <n v="68"/>
    <n v="70"/>
    <n v="55"/>
    <n v="0"/>
    <n v="498876"/>
    <n v="41573"/>
    <n v="0"/>
    <n v="41573"/>
    <n v="0"/>
    <n v="0"/>
  </r>
  <r>
    <s v="Аснан"/>
    <x v="1"/>
    <s v="ЦЗ"/>
    <m/>
    <m/>
    <s v="Своб"/>
    <s v="Своб"/>
    <s v="Своб"/>
    <x v="113"/>
    <s v="Эвон"/>
    <m/>
    <n v="68.571428571428569"/>
    <n v="44"/>
    <n v="70"/>
    <n v="76"/>
    <n v="70"/>
    <n v="80"/>
    <n v="80"/>
    <n v="60"/>
    <n v="0"/>
    <n v="2298434"/>
    <n v="191536.16666666666"/>
    <n v="0"/>
    <n v="191536.16666666666"/>
    <n v="0"/>
    <n v="0"/>
  </r>
  <r>
    <s v="Багин"/>
    <x v="1"/>
    <s v="ЦЗ"/>
    <m/>
    <m/>
    <s v="Зел.Хол"/>
    <s v="Зел.Хол"/>
    <s v="Зел.Хол"/>
    <x v="113"/>
    <s v="Эвон"/>
    <m/>
    <n v="45.714285714285715"/>
    <n v="27"/>
    <n v="41"/>
    <n v="35"/>
    <n v="51"/>
    <n v="57"/>
    <n v="76"/>
    <n v="33"/>
    <n v="0"/>
    <n v="39859"/>
    <n v="3321.5833333333335"/>
    <n v="0"/>
    <n v="3321.5833333333335"/>
    <n v="0"/>
    <n v="0"/>
  </r>
  <r>
    <s v="Вильнов"/>
    <x v="1"/>
    <s v="ЦЗ"/>
    <s v="ЛЗ"/>
    <m/>
    <s v="Своб"/>
    <s v="Своб"/>
    <s v="Своб"/>
    <x v="113"/>
    <s v="Эвон"/>
    <m/>
    <n v="83"/>
    <n v="70"/>
    <n v="81"/>
    <n v="84"/>
    <n v="83"/>
    <n v="90"/>
    <n v="93"/>
    <n v="80"/>
    <n v="28"/>
    <n v="23274062"/>
    <n v="1939505.1666666667"/>
    <n v="0"/>
    <n v="1939505.1666666667"/>
    <n v="0"/>
    <n v="0"/>
  </r>
  <r>
    <s v="Гулин"/>
    <x v="1"/>
    <s v="ЦЗ"/>
    <m/>
    <m/>
    <s v="Зел.Хол"/>
    <s v="Зел.Хол"/>
    <s v="Зел.Хол"/>
    <x v="113"/>
    <s v="Эвон"/>
    <m/>
    <n v="60.285714285714285"/>
    <n v="35"/>
    <n v="51"/>
    <n v="96"/>
    <n v="51"/>
    <n v="67"/>
    <n v="71"/>
    <n v="51"/>
    <n v="0"/>
    <n v="634081"/>
    <n v="52840.083333333336"/>
    <n v="0"/>
    <n v="52840.083333333336"/>
    <n v="0"/>
    <n v="0"/>
  </r>
  <r>
    <s v="Зовов"/>
    <x v="1"/>
    <s v="ЦЗ"/>
    <m/>
    <m/>
    <s v="Зел.Хол"/>
    <s v="Зел.Хол"/>
    <s v="Зел.Хол"/>
    <x v="113"/>
    <s v="Эвон"/>
    <m/>
    <n v="54.857142857142854"/>
    <n v="24"/>
    <n v="45"/>
    <n v="87"/>
    <n v="57"/>
    <n v="62"/>
    <n v="57"/>
    <n v="52"/>
    <n v="0"/>
    <n v="246793"/>
    <n v="20566.083333333332"/>
    <n v="0"/>
    <n v="20566.083333333332"/>
    <n v="0"/>
    <n v="0"/>
  </r>
  <r>
    <s v="Кувой"/>
    <x v="1"/>
    <s v="ЦЗ"/>
    <s v="ЛЗ"/>
    <m/>
    <s v="Своб"/>
    <s v="Своб"/>
    <s v="Своб"/>
    <x v="113"/>
    <s v="Эвон"/>
    <m/>
    <n v="73.714285714285708"/>
    <n v="51"/>
    <n v="75"/>
    <n v="84"/>
    <n v="76"/>
    <n v="79"/>
    <n v="86"/>
    <n v="65"/>
    <n v="0"/>
    <n v="4737145"/>
    <n v="394762.08333333331"/>
    <n v="0"/>
    <n v="394762.08333333331"/>
    <n v="0"/>
    <n v="0"/>
  </r>
  <r>
    <s v="Туршев"/>
    <x v="1"/>
    <s v="ЦЗ"/>
    <s v="ОПЗ"/>
    <m/>
    <s v="Зел.Хол"/>
    <s v="Зел.Хол"/>
    <s v="Зел.Хол"/>
    <x v="113"/>
    <s v="Эвон"/>
    <m/>
    <n v="70.428571428571431"/>
    <n v="52"/>
    <n v="61"/>
    <n v="70"/>
    <n v="76"/>
    <n v="76"/>
    <n v="88"/>
    <n v="70"/>
    <n v="0"/>
    <n v="3002540"/>
    <n v="250211.66666666666"/>
    <n v="0"/>
    <n v="250211.66666666666"/>
    <n v="0"/>
    <n v="0"/>
  </r>
  <r>
    <s v="Урайнов"/>
    <x v="1"/>
    <s v="ЦЗ"/>
    <s v="ОПЗ"/>
    <m/>
    <s v="Своб"/>
    <s v="Своб"/>
    <s v="Своб"/>
    <x v="113"/>
    <s v="Эвон"/>
    <m/>
    <n v="67.714285714285708"/>
    <n v="48"/>
    <n v="64"/>
    <n v="64"/>
    <n v="71"/>
    <n v="73"/>
    <n v="90"/>
    <n v="64"/>
    <n v="0"/>
    <n v="2026764"/>
    <n v="168897"/>
    <n v="0"/>
    <n v="168897"/>
    <n v="0"/>
    <n v="0"/>
  </r>
  <r>
    <s v="Дромьера"/>
    <x v="2"/>
    <s v="ЦН"/>
    <s v="ОФ"/>
    <m/>
    <s v="Своб"/>
    <s v="Своб"/>
    <s v="Своб"/>
    <x v="113"/>
    <s v="Эвон"/>
    <m/>
    <n v="73.142857142857139"/>
    <n v="50"/>
    <n v="80"/>
    <n v="78"/>
    <n v="70"/>
    <n v="84"/>
    <n v="90"/>
    <n v="60"/>
    <n v="6"/>
    <n v="6573709"/>
    <n v="547809.08333333337"/>
    <n v="0"/>
    <n v="547809.08333333337"/>
    <n v="0"/>
    <n v="0"/>
  </r>
  <r>
    <s v="Мейбис"/>
    <x v="2"/>
    <s v="ОФ"/>
    <m/>
    <m/>
    <s v="Перс"/>
    <s v="Перс"/>
    <s v="Перс"/>
    <x v="113"/>
    <s v="Эвон"/>
    <m/>
    <n v="68.428571428571431"/>
    <n v="40"/>
    <n v="82"/>
    <n v="77"/>
    <n v="80"/>
    <n v="74"/>
    <n v="70"/>
    <n v="56"/>
    <n v="0"/>
    <n v="2250997"/>
    <n v="187583.08333333334"/>
    <n v="0"/>
    <n v="187583.08333333334"/>
    <n v="0"/>
    <n v="0"/>
  </r>
  <r>
    <s v="Риллаб"/>
    <x v="2"/>
    <s v="ОФ"/>
    <m/>
    <m/>
    <s v="Своб"/>
    <s v="Своб"/>
    <s v="Своб"/>
    <x v="113"/>
    <s v="Эвон"/>
    <m/>
    <n v="72.428571428571431"/>
    <n v="60"/>
    <n v="90"/>
    <n v="70"/>
    <n v="72"/>
    <n v="75"/>
    <n v="70"/>
    <n v="70"/>
    <n v="3"/>
    <n v="5959235"/>
    <n v="496602.91666666669"/>
    <n v="0"/>
    <n v="496602.91666666669"/>
    <n v="0"/>
    <n v="0"/>
  </r>
  <r>
    <s v="Тендер"/>
    <x v="2"/>
    <s v="ЦН"/>
    <m/>
    <m/>
    <s v="Зел.Хол"/>
    <s v="Зел.Хол"/>
    <s v="Зел.Хол"/>
    <x v="113"/>
    <s v="Эвон"/>
    <m/>
    <n v="56.285714285714285"/>
    <n v="18"/>
    <n v="49"/>
    <n v="73"/>
    <n v="64"/>
    <n v="71"/>
    <n v="83"/>
    <n v="36"/>
    <n v="0"/>
    <n v="319141"/>
    <n v="26595.083333333332"/>
    <n v="0"/>
    <n v="26595.083333333332"/>
    <n v="0"/>
    <n v="0"/>
  </r>
  <r>
    <s v="Триллеров"/>
    <x v="2"/>
    <s v="ОФ"/>
    <s v="АПЗ"/>
    <m/>
    <s v="Заг"/>
    <s v="Заг"/>
    <s v="Заг"/>
    <x v="113"/>
    <s v="Эвон"/>
    <m/>
    <n v="73.714285714285708"/>
    <n v="55"/>
    <n v="77"/>
    <n v="78"/>
    <n v="79"/>
    <n v="76"/>
    <n v="81"/>
    <n v="70"/>
    <n v="12"/>
    <n v="7105717"/>
    <n v="592143.08333333337"/>
    <n v="0"/>
    <n v="592143.08333333337"/>
    <n v="0"/>
    <n v="0"/>
  </r>
  <r>
    <s v="Туб"/>
    <x v="2"/>
    <s v="ЦН"/>
    <m/>
    <m/>
    <s v="Зел.Хол"/>
    <s v="Зел.Хол"/>
    <s v="Зел.Хол"/>
    <x v="113"/>
    <s v="Эвон"/>
    <m/>
    <n v="58.571428571428569"/>
    <n v="24"/>
    <n v="48"/>
    <n v="75"/>
    <n v="65"/>
    <n v="70"/>
    <n v="86"/>
    <n v="42"/>
    <n v="0"/>
    <n v="475181"/>
    <n v="39598.416666666664"/>
    <n v="0"/>
    <n v="39598.416666666664"/>
    <n v="0"/>
    <n v="0"/>
  </r>
  <r>
    <s v="Джерман"/>
    <x v="3"/>
    <s v="ЦПЗ"/>
    <m/>
    <m/>
    <s v="Юл"/>
    <s v="Юл"/>
    <s v="Юл"/>
    <x v="113"/>
    <s v="Эвон"/>
    <m/>
    <n v="73.714285714285708"/>
    <n v="55"/>
    <n v="81"/>
    <n v="80"/>
    <n v="68"/>
    <n v="84"/>
    <n v="88"/>
    <n v="60"/>
    <n v="0"/>
    <n v="4737145"/>
    <n v="394762.08333333331"/>
    <n v="0"/>
    <n v="394762.08333333331"/>
    <n v="0"/>
    <n v="0"/>
  </r>
  <r>
    <s v="Кула"/>
    <x v="3"/>
    <s v="ЦПЗ"/>
    <s v="АПЗ"/>
    <m/>
    <s v="Своб"/>
    <s v="Своб"/>
    <s v="Своб"/>
    <x v="113"/>
    <s v="Эвон"/>
    <m/>
    <n v="63.714285714285715"/>
    <n v="45"/>
    <n v="66"/>
    <n v="73"/>
    <n v="67"/>
    <n v="72"/>
    <n v="79"/>
    <n v="44"/>
    <n v="0"/>
    <n v="1102474"/>
    <n v="91872.833333333328"/>
    <n v="0"/>
    <n v="91872.833333333328"/>
    <n v="0"/>
    <n v="0"/>
  </r>
  <r>
    <s v="Пакти"/>
    <x v="3"/>
    <s v="ОПЗ"/>
    <m/>
    <m/>
    <s v="Зел.Хол"/>
    <s v="Зел.Хол"/>
    <s v="Зел.Хол"/>
    <x v="113"/>
    <s v="Эвон"/>
    <m/>
    <n v="46.857142857142854"/>
    <n v="16"/>
    <n v="53"/>
    <n v="58"/>
    <n v="58"/>
    <n v="53"/>
    <n v="70"/>
    <n v="20"/>
    <n v="0"/>
    <n v="51023"/>
    <n v="4251.916666666667"/>
    <n v="0"/>
    <n v="4251.916666666667"/>
    <n v="0"/>
    <n v="0"/>
  </r>
  <r>
    <s v="Пальмир"/>
    <x v="3"/>
    <s v="ЛПЗ"/>
    <s v="АПЗ"/>
    <m/>
    <s v="Своб"/>
    <s v="Своб"/>
    <s v="Своб"/>
    <x v="113"/>
    <s v="Эвон"/>
    <m/>
    <n v="67.428571428571431"/>
    <n v="59"/>
    <n v="75"/>
    <n v="80"/>
    <n v="77"/>
    <n v="70"/>
    <n v="61"/>
    <n v="50"/>
    <n v="0"/>
    <n v="1942852"/>
    <n v="56718.916666666664"/>
    <n v="0"/>
    <n v="161904.33333333334"/>
    <n v="-64.97"/>
    <n v="0"/>
  </r>
  <r>
    <s v="Парт"/>
    <x v="3"/>
    <s v="ЛПЗ"/>
    <m/>
    <m/>
    <s v="Своб"/>
    <s v="Своб"/>
    <s v="Своб"/>
    <x v="113"/>
    <s v="Эвон"/>
    <m/>
    <n v="63.571428571428569"/>
    <n v="50"/>
    <n v="78"/>
    <n v="78"/>
    <n v="61"/>
    <n v="65"/>
    <n v="56"/>
    <n v="57"/>
    <n v="0"/>
    <n v="1078003"/>
    <n v="89833.583333333328"/>
    <n v="0"/>
    <n v="89833.583333333328"/>
    <n v="0"/>
    <n v="0"/>
  </r>
  <r>
    <s v="Перьми"/>
    <x v="3"/>
    <s v="АПЗ"/>
    <s v="ЦПЗ"/>
    <m/>
    <s v="Своб"/>
    <s v="Своб"/>
    <s v="Своб"/>
    <x v="113"/>
    <s v="Эвон"/>
    <m/>
    <n v="61.571428571428569"/>
    <n v="49"/>
    <n v="55"/>
    <n v="79"/>
    <n v="79"/>
    <n v="71"/>
    <n v="55"/>
    <n v="43"/>
    <n v="0"/>
    <n v="783056"/>
    <n v="65254.666666666664"/>
    <n v="0"/>
    <n v="65254.666666666664"/>
    <n v="0"/>
    <n v="0"/>
  </r>
  <r>
    <s v="Пиллори"/>
    <x v="3"/>
    <s v="ЦПЗ"/>
    <m/>
    <m/>
    <s v="Своб"/>
    <s v="Своб"/>
    <s v="Своб"/>
    <x v="113"/>
    <s v="Эвон"/>
    <m/>
    <n v="56.285714285714285"/>
    <n v="39"/>
    <n v="65"/>
    <n v="61"/>
    <n v="67"/>
    <n v="55"/>
    <n v="56"/>
    <n v="51"/>
    <n v="0"/>
    <n v="319141"/>
    <n v="26595.083333333332"/>
    <n v="0"/>
    <n v="26595.083333333332"/>
    <n v="0"/>
    <n v="0"/>
  </r>
  <r>
    <s v="Тарл (П)"/>
    <x v="3"/>
    <s v="ЦПЗ"/>
    <s v="ОПЗ"/>
    <m/>
    <s v="Своб"/>
    <s v="Своб"/>
    <s v="Своб"/>
    <x v="113"/>
    <s v="Эвон"/>
    <m/>
    <n v="65.428571428571431"/>
    <n v="57"/>
    <n v="68"/>
    <n v="58"/>
    <n v="75"/>
    <n v="75"/>
    <n v="74"/>
    <n v="51"/>
    <n v="0"/>
    <n v="1437721"/>
    <n v="119810.08333333333"/>
    <n v="0"/>
    <n v="119810.08333333333"/>
    <n v="0"/>
    <n v="0"/>
  </r>
  <r>
    <s v="Шармильтон"/>
    <x v="3"/>
    <s v="ОПЗ"/>
    <m/>
    <m/>
    <s v="Своб"/>
    <s v="Своб"/>
    <s v="Своб"/>
    <x v="113"/>
    <s v="Эвон"/>
    <m/>
    <n v="60.428571428571431"/>
    <n v="43"/>
    <n v="58"/>
    <n v="60"/>
    <n v="56"/>
    <n v="74"/>
    <n v="74"/>
    <n v="58"/>
    <n v="0"/>
    <n v="649267"/>
    <n v="54105.583333333336"/>
    <n v="0"/>
    <n v="54105.583333333336"/>
    <n v="0"/>
    <n v="0"/>
  </r>
  <r>
    <s v="Лучков"/>
    <x v="4"/>
    <s v="Т"/>
    <m/>
    <m/>
    <m/>
    <s v="Своб"/>
    <s v="Своб"/>
    <x v="113"/>
    <s v="Эвон"/>
    <m/>
    <n v="69.428571428571431"/>
    <n v="57"/>
    <n v="82"/>
    <n v="74"/>
    <n v="68"/>
    <n v="65"/>
    <n v="80"/>
    <n v="60"/>
    <n v="0"/>
    <n v="2602450"/>
    <n v="216870.83333333334"/>
    <n v="0"/>
    <n v="216870.83333333334"/>
    <n v="0"/>
    <n v="0"/>
  </r>
  <r>
    <s v="Скороба Люк"/>
    <x v="0"/>
    <s v="В"/>
    <m/>
    <m/>
    <m/>
    <s v="Сув"/>
    <s v="Сув"/>
    <x v="114"/>
    <s v="Эвон"/>
    <m/>
    <n v="52.428571428571431"/>
    <n v="14"/>
    <n v="68"/>
    <n v="54"/>
    <n v="64"/>
    <n v="66"/>
    <n v="68"/>
    <n v="33"/>
    <n v="0"/>
    <n v="156921"/>
    <n v="13076.75"/>
    <n v="0"/>
    <n v="13076.75"/>
    <n v="0"/>
    <n v="0"/>
  </r>
  <r>
    <s v="Вулеба"/>
    <x v="1"/>
    <s v="ПЗ"/>
    <m/>
    <m/>
    <s v="Биссий"/>
    <s v="Биссий"/>
    <s v="Биссий"/>
    <x v="114"/>
    <s v="Эвон"/>
    <m/>
    <n v="60.428571428571431"/>
    <n v="41"/>
    <n v="70"/>
    <n v="72"/>
    <n v="96"/>
    <n v="61"/>
    <n v="60"/>
    <n v="23"/>
    <n v="0"/>
    <n v="649267"/>
    <n v="54105.583333333336"/>
    <n v="0"/>
    <n v="54105.583333333336"/>
    <n v="0"/>
    <n v="0"/>
  </r>
  <r>
    <s v="Ганси"/>
    <x v="1"/>
    <s v="ЦЗ"/>
    <s v="ПЗ"/>
    <m/>
    <s v="Лес"/>
    <s v="Лес"/>
    <s v="Лес"/>
    <x v="114"/>
    <s v="Эвон"/>
    <m/>
    <n v="58.714285714285715"/>
    <n v="30"/>
    <n v="60"/>
    <n v="62"/>
    <n v="63"/>
    <n v="71"/>
    <n v="75"/>
    <n v="50"/>
    <n v="0"/>
    <n v="486898"/>
    <n v="40574.833333333336"/>
    <n v="0"/>
    <n v="40574.833333333336"/>
    <n v="0"/>
    <n v="0"/>
  </r>
  <r>
    <s v="Громоба Лука"/>
    <x v="1"/>
    <s v="ЛЗ"/>
    <s v="ЦЗ"/>
    <m/>
    <m/>
    <s v="Сув"/>
    <s v="Сув"/>
    <x v="114"/>
    <s v="Эвон"/>
    <m/>
    <n v="53.571428571428569"/>
    <n v="11"/>
    <n v="76"/>
    <n v="61"/>
    <n v="65"/>
    <n v="67"/>
    <n v="70"/>
    <n v="25"/>
    <n v="0"/>
    <n v="194685"/>
    <n v="16223.75"/>
    <n v="0"/>
    <n v="16223.75"/>
    <n v="0"/>
    <n v="0"/>
  </r>
  <r>
    <s v="Дубосьев Тимур"/>
    <x v="1"/>
    <s v="ЦЗ"/>
    <s v="ОПЗ"/>
    <m/>
    <m/>
    <s v="Сув"/>
    <s v="Сув"/>
    <x v="114"/>
    <s v="Эвон"/>
    <m/>
    <n v="67.142857142857139"/>
    <n v="18"/>
    <n v="88"/>
    <n v="76"/>
    <n v="82"/>
    <n v="85"/>
    <n v="87"/>
    <n v="34"/>
    <n v="0"/>
    <n v="1862080"/>
    <n v="155173.33333333334"/>
    <n v="0"/>
    <n v="155173.33333333334"/>
    <n v="0"/>
    <n v="0"/>
  </r>
  <r>
    <s v="Кленсуров Пётр"/>
    <x v="1"/>
    <s v="ПЗ"/>
    <s v="ЦЗ"/>
    <m/>
    <m/>
    <s v="Сув"/>
    <s v="Сув"/>
    <x v="114"/>
    <s v="Эвон"/>
    <m/>
    <n v="48.285714285714285"/>
    <n v="12"/>
    <n v="69"/>
    <n v="53"/>
    <n v="61"/>
    <n v="59"/>
    <n v="61"/>
    <n v="23"/>
    <n v="0"/>
    <n v="68895"/>
    <n v="5741.25"/>
    <n v="0"/>
    <n v="5741.25"/>
    <n v="0"/>
    <n v="0"/>
  </r>
  <r>
    <s v="Кривоси Марк"/>
    <x v="1"/>
    <s v="ЛЗ"/>
    <s v="ЦЗ"/>
    <m/>
    <m/>
    <s v="Сув"/>
    <s v="Сув"/>
    <x v="114"/>
    <s v="Эвон"/>
    <m/>
    <n v="50.714285714285715"/>
    <n v="13"/>
    <n v="72"/>
    <n v="56"/>
    <n v="60"/>
    <n v="62"/>
    <n v="64"/>
    <n v="28"/>
    <n v="0"/>
    <n v="112540"/>
    <n v="9378.3333333333339"/>
    <n v="0"/>
    <n v="9378.3333333333339"/>
    <n v="0"/>
    <n v="0"/>
  </r>
  <r>
    <s v="Туровой"/>
    <x v="1"/>
    <s v="ЦЗ"/>
    <s v="ПЗ"/>
    <m/>
    <s v="Черлесск"/>
    <s v="Черлесск"/>
    <s v="Черлесск"/>
    <x v="114"/>
    <s v="Эвон"/>
    <m/>
    <n v="65.142857142857139"/>
    <n v="50"/>
    <n v="65"/>
    <n v="70"/>
    <n v="68"/>
    <n v="70"/>
    <n v="83"/>
    <n v="50"/>
    <n v="0"/>
    <n v="1376158"/>
    <n v="114679.83333333333"/>
    <n v="0"/>
    <n v="114679.83333333333"/>
    <n v="0"/>
    <n v="0"/>
  </r>
  <r>
    <s v="Хугантов"/>
    <x v="1"/>
    <s v="ЦЗ"/>
    <s v="ОПЗ"/>
    <m/>
    <s v="Черлесск"/>
    <s v="Черлесск"/>
    <s v="Черлесск"/>
    <x v="114"/>
    <s v="Эвон"/>
    <m/>
    <n v="63.142857142857146"/>
    <n v="48"/>
    <n v="60"/>
    <n v="67"/>
    <n v="69"/>
    <n v="72"/>
    <n v="78"/>
    <n v="48"/>
    <n v="0"/>
    <n v="1007494"/>
    <n v="83957.833333333328"/>
    <n v="0"/>
    <n v="83957.833333333328"/>
    <n v="0"/>
    <n v="0"/>
  </r>
  <r>
    <s v="Бурлаченко Савва"/>
    <x v="2"/>
    <s v="ОФ"/>
    <s v="ЦН"/>
    <m/>
    <m/>
    <s v="Сув"/>
    <s v="Сув"/>
    <x v="114"/>
    <s v="Эвон"/>
    <m/>
    <n v="63.285714285714285"/>
    <n v="16"/>
    <n v="85"/>
    <n v="73"/>
    <n v="77"/>
    <n v="79"/>
    <n v="81"/>
    <n v="32"/>
    <n v="0"/>
    <n v="1030522"/>
    <n v="85876.833333333328"/>
    <n v="0"/>
    <n v="85876.833333333328"/>
    <n v="0"/>
    <n v="0"/>
  </r>
  <r>
    <s v="Волкоца Игнат"/>
    <x v="2"/>
    <s v="ЦН"/>
    <s v="ОФ"/>
    <m/>
    <m/>
    <s v="Сув"/>
    <s v="Сув"/>
    <x v="114"/>
    <s v="Эвон"/>
    <m/>
    <n v="64.428571428571431"/>
    <n v="33"/>
    <n v="79"/>
    <n v="87"/>
    <n v="73"/>
    <n v="69"/>
    <n v="80"/>
    <n v="30"/>
    <n v="7"/>
    <n v="1848742"/>
    <n v="154061.83333333334"/>
    <n v="0"/>
    <n v="154061.83333333334"/>
    <n v="0"/>
    <n v="0"/>
  </r>
  <r>
    <s v="Скалобов Олег"/>
    <x v="2"/>
    <s v="ОФ"/>
    <s v="ЦН"/>
    <m/>
    <m/>
    <s v="Сув"/>
    <s v="Сув"/>
    <x v="114"/>
    <s v="Эвон"/>
    <m/>
    <n v="49"/>
    <n v="11"/>
    <n v="66"/>
    <n v="53"/>
    <n v="61"/>
    <n v="63"/>
    <n v="65"/>
    <n v="24"/>
    <n v="0"/>
    <n v="79793"/>
    <n v="6649.416666666667"/>
    <n v="0"/>
    <n v="6649.416666666667"/>
    <n v="0"/>
    <n v="0"/>
  </r>
  <r>
    <s v="Цач"/>
    <x v="2"/>
    <s v="ЦН"/>
    <m/>
    <m/>
    <s v="Генуа"/>
    <s v="Генуа"/>
    <s v="Генуа"/>
    <x v="114"/>
    <s v="Эвон"/>
    <m/>
    <n v="62.857142857142854"/>
    <n v="21"/>
    <n v="58"/>
    <n v="80"/>
    <n v="65"/>
    <n v="73"/>
    <n v="98"/>
    <n v="45"/>
    <n v="0"/>
    <n v="962823"/>
    <n v="80235.25"/>
    <n v="0"/>
    <n v="80235.25"/>
    <n v="0"/>
    <n v="0"/>
  </r>
  <r>
    <s v="Ветросьев Андрей"/>
    <x v="3"/>
    <s v="ППЗ"/>
    <s v="АПЗ"/>
    <m/>
    <m/>
    <s v="Сув"/>
    <s v="Сув"/>
    <x v="114"/>
    <s v="Эвон"/>
    <m/>
    <n v="57.571428571428569"/>
    <n v="11"/>
    <n v="77"/>
    <n v="65"/>
    <n v="73"/>
    <n v="75"/>
    <n v="77"/>
    <n v="25"/>
    <n v="0"/>
    <n v="400010"/>
    <n v="33334.166666666664"/>
    <n v="0"/>
    <n v="33334.166666666664"/>
    <n v="0"/>
    <n v="0"/>
  </r>
  <r>
    <s v="Иванов (П)"/>
    <x v="3"/>
    <s v="ЦПЗ"/>
    <s v="ППЗ"/>
    <s v="ЛПЗ"/>
    <s v="Мал"/>
    <s v="В.И."/>
    <s v="В.И."/>
    <x v="114"/>
    <s v="Эвон"/>
    <m/>
    <n v="84.714285714285708"/>
    <n v="75"/>
    <n v="83"/>
    <n v="93"/>
    <n v="86"/>
    <n v="90"/>
    <n v="91"/>
    <n v="75"/>
    <n v="1"/>
    <n v="28553398"/>
    <n v="2379449.8333333335"/>
    <n v="0"/>
    <n v="2379449.8333333335"/>
    <n v="0"/>
    <n v="0"/>
  </r>
  <r>
    <s v="Игнашьев"/>
    <x v="3"/>
    <s v="АПЗ"/>
    <s v="ЛПЗ"/>
    <m/>
    <s v="Черлесск"/>
    <s v="Черлесск"/>
    <s v="Черлесск"/>
    <x v="114"/>
    <s v="Эвон"/>
    <m/>
    <n v="76.714285714285708"/>
    <n v="64"/>
    <n v="77"/>
    <n v="85"/>
    <n v="80"/>
    <n v="80"/>
    <n v="81"/>
    <n v="70"/>
    <n v="21"/>
    <n v="10588970"/>
    <n v="882414.16666666663"/>
    <n v="0"/>
    <n v="882414.16666666663"/>
    <n v="0"/>
    <n v="0"/>
  </r>
  <r>
    <s v="Молчач Илья"/>
    <x v="3"/>
    <s v="ЦПЗ"/>
    <s v="ОПЗ"/>
    <m/>
    <m/>
    <s v="Сув"/>
    <s v="Сув"/>
    <x v="114"/>
    <s v="Эвон"/>
    <m/>
    <n v="48.428571428571431"/>
    <n v="11"/>
    <n v="68"/>
    <n v="53"/>
    <n v="59"/>
    <n v="61"/>
    <n v="63"/>
    <n v="24"/>
    <n v="0"/>
    <n v="70961"/>
    <n v="5913.416666666667"/>
    <n v="0"/>
    <n v="5913.416666666667"/>
    <n v="0"/>
    <n v="0"/>
  </r>
  <r>
    <s v="Светлов Павел"/>
    <x v="3"/>
    <s v="АПЗ"/>
    <s v="ЦПЗ"/>
    <m/>
    <m/>
    <s v="Сув"/>
    <s v="Сув"/>
    <x v="114"/>
    <s v="Эвон"/>
    <m/>
    <n v="51.428571428571431"/>
    <n v="13"/>
    <n v="70"/>
    <n v="57"/>
    <n v="65"/>
    <n v="63"/>
    <n v="65"/>
    <n v="27"/>
    <n v="0"/>
    <n v="129433"/>
    <n v="10786.083333333334"/>
    <n v="0"/>
    <n v="10786.083333333334"/>
    <n v="0"/>
    <n v="0"/>
  </r>
  <r>
    <s v="Тиховой Стас"/>
    <x v="3"/>
    <s v="ОПЗ"/>
    <s v="ЦПЗ"/>
    <m/>
    <m/>
    <s v="Сув"/>
    <s v="Сув"/>
    <x v="114"/>
    <s v="Эвон"/>
    <m/>
    <n v="49.285714285714285"/>
    <n v="12"/>
    <n v="69"/>
    <n v="55"/>
    <n v="63"/>
    <n v="59"/>
    <n v="61"/>
    <n v="26"/>
    <n v="0"/>
    <n v="84569"/>
    <n v="7047.416666666667"/>
    <n v="0"/>
    <n v="7047.416666666667"/>
    <n v="0"/>
    <n v="0"/>
  </r>
  <r>
    <s v="Быстроси Игнат"/>
    <x v="4"/>
    <s v="Т"/>
    <m/>
    <m/>
    <m/>
    <s v="Сув"/>
    <s v="Сув"/>
    <x v="114"/>
    <s v="Эвон"/>
    <m/>
    <n v="56.714285714285715"/>
    <n v="12"/>
    <n v="75"/>
    <n v="61"/>
    <n v="71"/>
    <n v="73"/>
    <n v="75"/>
    <n v="30"/>
    <n v="0"/>
    <n v="344291"/>
    <n v="28690.916666666668"/>
    <n v="0"/>
    <n v="28690.916666666668"/>
    <n v="0"/>
    <n v="0"/>
  </r>
  <r>
    <s v="Академиков "/>
    <x v="0"/>
    <s v="В"/>
    <m/>
    <m/>
    <s v="Тури"/>
    <s v="Тури"/>
    <s v="Тури"/>
    <x v="115"/>
    <s v="Лив"/>
    <m/>
    <n v="86"/>
    <n v="86"/>
    <n v="80"/>
    <n v="85"/>
    <n v="93"/>
    <n v="87"/>
    <n v="90"/>
    <n v="81"/>
    <n v="29"/>
    <n v="33195237"/>
    <n v="2766269.75"/>
    <n v="0"/>
    <n v="2766269.75"/>
    <n v="0"/>
    <n v="0"/>
  </r>
  <r>
    <s v="Ливерпульд (Н)"/>
    <x v="2"/>
    <s v="ОФ"/>
    <s v="ЛПЗ"/>
    <m/>
    <s v="Рекс"/>
    <s v="Рекс"/>
    <s v="Рекс"/>
    <x v="115"/>
    <s v="Лив"/>
    <m/>
    <n v="96"/>
    <n v="100"/>
    <n v="90"/>
    <n v="96"/>
    <n v="97"/>
    <n v="95"/>
    <n v="96"/>
    <n v="98"/>
    <n v="13"/>
    <n v="99724896"/>
    <n v="8310408"/>
    <n v="0"/>
    <n v="8310408"/>
    <n v="0"/>
    <n v="0"/>
  </r>
  <r>
    <s v="Олич"/>
    <x v="2"/>
    <s v="ОФ"/>
    <s v="ППЗ"/>
    <s v="ЛПЗ"/>
    <s v="Рекс"/>
    <s v="Рекс"/>
    <s v="Рекс"/>
    <x v="115"/>
    <s v="Лив"/>
    <m/>
    <n v="94.571428571428569"/>
    <n v="95"/>
    <n v="97"/>
    <n v="93"/>
    <n v="100"/>
    <n v="90"/>
    <n v="87"/>
    <n v="100"/>
    <n v="8"/>
    <n v="85840207"/>
    <n v="7153350.583333333"/>
    <n v="0"/>
    <n v="7153350.583333333"/>
    <n v="0"/>
    <n v="0"/>
  </r>
  <r>
    <s v="Виктор Оличсон"/>
    <x v="3"/>
    <s v="ЛПЗ"/>
    <s v="АПЗ"/>
    <m/>
    <s v="Рекс"/>
    <s v="Рекс"/>
    <s v="Рекс"/>
    <x v="115"/>
    <s v="Лив"/>
    <m/>
    <n v="79.571428571428569"/>
    <n v="70"/>
    <n v="89"/>
    <n v="80"/>
    <n v="88"/>
    <n v="80"/>
    <n v="78"/>
    <n v="72"/>
    <n v="12"/>
    <n v="15263806"/>
    <n v="1271983.8333333333"/>
    <n v="0"/>
    <n v="1271983.8333333333"/>
    <n v="0"/>
    <n v="0"/>
  </r>
  <r>
    <s v="Грубый"/>
    <x v="0"/>
    <s v="В"/>
    <m/>
    <m/>
    <s v="Вод"/>
    <s v="Вод"/>
    <s v="Вод"/>
    <x v="116"/>
    <s v="Эвон"/>
    <m/>
    <n v="68.571428571428569"/>
    <n v="51"/>
    <n v="65"/>
    <n v="80"/>
    <n v="70"/>
    <n v="83"/>
    <n v="80"/>
    <n v="51"/>
    <n v="0"/>
    <n v="2298434"/>
    <n v="191536.16666666666"/>
    <n v="0"/>
    <n v="191536.16666666666"/>
    <n v="0"/>
    <n v="0"/>
  </r>
  <r>
    <s v="Волгин Радек"/>
    <x v="1"/>
    <s v="ПЗ"/>
    <s v="ЦЗ"/>
    <m/>
    <m/>
    <s v="Вод"/>
    <s v="Вод"/>
    <x v="116"/>
    <s v="Эвон"/>
    <m/>
    <n v="61.857142857142854"/>
    <n v="21"/>
    <n v="72"/>
    <n v="66"/>
    <n v="76"/>
    <n v="78"/>
    <n v="80"/>
    <n v="40"/>
    <n v="2"/>
    <n v="1230240"/>
    <n v="102520"/>
    <n v="0"/>
    <n v="102520"/>
    <n v="0"/>
    <n v="0"/>
  </r>
  <r>
    <s v="Омутин Казик"/>
    <x v="1"/>
    <s v="ЦЗ"/>
    <s v="ОПЗ"/>
    <m/>
    <s v="Вод"/>
    <s v="Вод"/>
    <s v="Вод"/>
    <x v="116"/>
    <s v="Эвон"/>
    <m/>
    <n v="66.285714285714292"/>
    <n v="23"/>
    <n v="76"/>
    <n v="70"/>
    <n v="82"/>
    <n v="84"/>
    <n v="86"/>
    <n v="43"/>
    <n v="2"/>
    <n v="2456353"/>
    <n v="204696.08333333334"/>
    <n v="0"/>
    <n v="204696.08333333334"/>
    <n v="0"/>
    <n v="0"/>
  </r>
  <r>
    <s v="Ручей Флорин"/>
    <x v="1"/>
    <s v="ЛЗ"/>
    <s v="ЦЗ"/>
    <m/>
    <m/>
    <s v="Вод"/>
    <s v="Вод"/>
    <x v="116"/>
    <s v="Эвон"/>
    <m/>
    <n v="58.857142857142854"/>
    <n v="16"/>
    <n v="66"/>
    <n v="62"/>
    <n v="74"/>
    <n v="80"/>
    <n v="82"/>
    <n v="32"/>
    <n v="2"/>
    <n v="748313"/>
    <n v="62359.416666666664"/>
    <n v="0"/>
    <n v="62359.416666666664"/>
    <n v="0"/>
    <n v="0"/>
  </r>
  <r>
    <s v="Тульнас"/>
    <x v="1"/>
    <s v="ЦЗ"/>
    <m/>
    <m/>
    <s v="Вод"/>
    <s v="Вод"/>
    <s v="Вод"/>
    <x v="116"/>
    <s v="Эвон"/>
    <m/>
    <n v="64.714285714285708"/>
    <n v="39"/>
    <n v="60"/>
    <n v="86"/>
    <n v="65"/>
    <n v="66"/>
    <n v="72"/>
    <n v="65"/>
    <n v="0"/>
    <n v="1288255"/>
    <n v="107354.58333333333"/>
    <n v="0"/>
    <n v="107354.58333333333"/>
    <n v="0"/>
    <n v="0"/>
  </r>
  <r>
    <s v="Шпингер"/>
    <x v="1"/>
    <s v="ЦЗ"/>
    <m/>
    <m/>
    <s v="Лин"/>
    <s v="Лин"/>
    <s v="Лин"/>
    <x v="116"/>
    <s v="Эвон"/>
    <m/>
    <n v="70.857142857142861"/>
    <n v="55"/>
    <n v="72"/>
    <n v="65"/>
    <n v="78"/>
    <n v="81"/>
    <n v="87"/>
    <n v="58"/>
    <n v="0"/>
    <n v="3190336"/>
    <n v="265861.33333333331"/>
    <n v="0"/>
    <n v="265861.33333333331"/>
    <n v="0"/>
    <n v="0"/>
  </r>
  <r>
    <s v="Водин (Н)"/>
    <x v="2"/>
    <s v="ОФ"/>
    <s v="ЛПЗ"/>
    <m/>
    <s v="Вод"/>
    <s v="Вод"/>
    <s v="Вод"/>
    <x v="116"/>
    <s v="Эвон"/>
    <m/>
    <n v="81.428571428571431"/>
    <n v="80"/>
    <n v="80"/>
    <n v="85"/>
    <n v="86"/>
    <n v="89"/>
    <n v="77"/>
    <n v="73"/>
    <n v="2"/>
    <n v="19224694"/>
    <n v="1602057.8333333333"/>
    <n v="0"/>
    <n v="1602057.8333333333"/>
    <n v="0"/>
    <n v="0"/>
  </r>
  <r>
    <s v="Настер"/>
    <x v="2"/>
    <s v="ЦН"/>
    <m/>
    <m/>
    <s v="Вод"/>
    <s v="Вод"/>
    <s v="Вод"/>
    <x v="116"/>
    <s v="Эвон"/>
    <m/>
    <n v="64.857142857142861"/>
    <n v="30"/>
    <n v="70"/>
    <n v="75"/>
    <n v="71"/>
    <n v="72"/>
    <n v="85"/>
    <n v="51"/>
    <n v="2"/>
    <n v="1975466"/>
    <n v="164622.16666666666"/>
    <n v="0"/>
    <n v="164622.16666666666"/>
    <n v="0"/>
    <n v="0"/>
  </r>
  <r>
    <s v="Пучин Савва"/>
    <x v="2"/>
    <s v="ОФ"/>
    <s v="ЦН"/>
    <m/>
    <s v="Вод"/>
    <s v="Вод"/>
    <s v="Вод"/>
    <x v="116"/>
    <s v="Эвон"/>
    <m/>
    <n v="68"/>
    <n v="24"/>
    <n v="80"/>
    <n v="80"/>
    <n v="81"/>
    <n v="82"/>
    <n v="85"/>
    <n v="44"/>
    <n v="2"/>
    <n v="3170885"/>
    <n v="264240.41666666669"/>
    <n v="0"/>
    <n v="264240.41666666669"/>
    <n v="0"/>
    <n v="0"/>
  </r>
  <r>
    <s v="Брызгин Ласло"/>
    <x v="3"/>
    <s v="АПЗ"/>
    <s v="ЦПЗ"/>
    <m/>
    <m/>
    <s v="Вод"/>
    <s v="Вод"/>
    <x v="116"/>
    <s v="Эвон"/>
    <m/>
    <n v="54.714285714285715"/>
    <n v="16"/>
    <n v="60"/>
    <n v="64"/>
    <n v="72"/>
    <n v="70"/>
    <n v="73"/>
    <n v="28"/>
    <n v="2"/>
    <n v="360661"/>
    <n v="30055.083333333332"/>
    <n v="0"/>
    <n v="30055.083333333332"/>
    <n v="0"/>
    <n v="0"/>
  </r>
  <r>
    <s v="Власин (П)"/>
    <x v="3"/>
    <s v="АПЗ"/>
    <m/>
    <m/>
    <s v="Вод"/>
    <s v="Вод"/>
    <s v="Вод"/>
    <x v="116"/>
    <s v="Эвон"/>
    <m/>
    <n v="73.857142857142861"/>
    <n v="74"/>
    <n v="74"/>
    <n v="80"/>
    <n v="75"/>
    <n v="74"/>
    <n v="80"/>
    <n v="60"/>
    <n v="2"/>
    <n v="7244632"/>
    <n v="603719.33333333337"/>
    <n v="0"/>
    <n v="603719.33333333337"/>
    <n v="0"/>
    <n v="0"/>
  </r>
  <r>
    <s v="Грек"/>
    <x v="3"/>
    <s v="ЦПЗ"/>
    <s v="ОПЗ"/>
    <s v="ЛПЗ"/>
    <s v="Вод"/>
    <s v="Вод"/>
    <s v="Вод"/>
    <x v="116"/>
    <s v="Эвон"/>
    <m/>
    <n v="79"/>
    <n v="77"/>
    <n v="80"/>
    <n v="84"/>
    <n v="80"/>
    <n v="78"/>
    <n v="90"/>
    <n v="64"/>
    <n v="2"/>
    <n v="14202415"/>
    <n v="1183534.5833333333"/>
    <n v="0"/>
    <n v="1183534.5833333333"/>
    <n v="0"/>
    <n v="0"/>
  </r>
  <r>
    <s v="Заводь Ион"/>
    <x v="3"/>
    <s v="ОПЗ"/>
    <s v="ЦПЗ"/>
    <m/>
    <s v="Вод"/>
    <s v="Вод"/>
    <s v="Вод"/>
    <x v="116"/>
    <s v="Эвон"/>
    <m/>
    <n v="77.285714285714292"/>
    <n v="50"/>
    <n v="80"/>
    <n v="88"/>
    <n v="82"/>
    <n v="86"/>
    <n v="90"/>
    <n v="65"/>
    <n v="2"/>
    <n v="11404691"/>
    <n v="950390.91666666663"/>
    <n v="0"/>
    <n v="950390.91666666663"/>
    <n v="0"/>
    <n v="0"/>
  </r>
  <r>
    <s v="Ключёв Марек"/>
    <x v="3"/>
    <s v="ЛПЗ"/>
    <s v="ОПЗ"/>
    <m/>
    <m/>
    <s v="Вод"/>
    <s v="Вод"/>
    <x v="116"/>
    <s v="Эвон"/>
    <m/>
    <n v="61.571428571428569"/>
    <n v="21"/>
    <n v="72"/>
    <n v="68"/>
    <n v="80"/>
    <n v="76"/>
    <n v="78"/>
    <n v="36"/>
    <n v="2"/>
    <n v="1174583"/>
    <n v="97881.916666666672"/>
    <n v="0"/>
    <n v="97881.916666666672"/>
    <n v="0"/>
    <n v="0"/>
  </r>
  <r>
    <s v="Морозин Никола"/>
    <x v="3"/>
    <s v="ППЗ"/>
    <s v="АПЗ"/>
    <m/>
    <m/>
    <s v="Вод"/>
    <s v="Вод"/>
    <x v="116"/>
    <s v="Эвон"/>
    <m/>
    <n v="59.428571428571431"/>
    <n v="19"/>
    <n v="70"/>
    <n v="68"/>
    <n v="76"/>
    <n v="74"/>
    <n v="76"/>
    <n v="33"/>
    <n v="2"/>
    <n v="824222"/>
    <n v="68685.166666666672"/>
    <n v="0"/>
    <n v="68685.166666666672"/>
    <n v="0"/>
    <n v="0"/>
  </r>
  <r>
    <s v="Нек (П)"/>
    <x v="3"/>
    <s v="ЦПЗ"/>
    <m/>
    <m/>
    <s v="Вод"/>
    <s v="Вод"/>
    <s v="Вод"/>
    <x v="116"/>
    <s v="Эвон"/>
    <m/>
    <n v="76.285714285714292"/>
    <n v="78"/>
    <n v="71"/>
    <n v="81"/>
    <n v="78"/>
    <n v="77"/>
    <n v="86"/>
    <n v="63"/>
    <n v="2"/>
    <n v="10012060"/>
    <n v="834338.33333333337"/>
    <n v="0"/>
    <n v="834338.33333333337"/>
    <n v="0"/>
    <n v="0"/>
  </r>
  <r>
    <s v="Плёсин Тадеуш"/>
    <x v="3"/>
    <s v="ЦПЗ"/>
    <s v="ОПЗ"/>
    <m/>
    <s v="Вод"/>
    <s v="Вод"/>
    <s v="Вод"/>
    <x v="116"/>
    <s v="Эвон"/>
    <m/>
    <n v="65.571428571428569"/>
    <n v="24"/>
    <n v="78"/>
    <n v="74"/>
    <n v="84"/>
    <n v="78"/>
    <n v="80"/>
    <n v="41"/>
    <n v="2"/>
    <n v="2204133"/>
    <n v="183677.75"/>
    <n v="0"/>
    <n v="183677.75"/>
    <n v="0"/>
    <n v="0"/>
  </r>
  <r>
    <s v="Тиховод Тибор"/>
    <x v="3"/>
    <s v="ППЗ"/>
    <s v="ЛПЗ"/>
    <m/>
    <m/>
    <s v="Вод"/>
    <s v="Вод"/>
    <x v="116"/>
    <s v="Эвон"/>
    <m/>
    <n v="57.142857142857146"/>
    <n v="18"/>
    <n v="64"/>
    <n v="66"/>
    <n v="74"/>
    <n v="72"/>
    <n v="75"/>
    <n v="31"/>
    <n v="2"/>
    <n v="556815"/>
    <n v="46401.25"/>
    <n v="0"/>
    <n v="46401.25"/>
    <n v="0"/>
    <n v="0"/>
  </r>
  <r>
    <s v="Фоллов"/>
    <x v="3"/>
    <s v="ОПЗ"/>
    <s v="ЦЗ"/>
    <m/>
    <s v="Вод"/>
    <s v="Вод"/>
    <s v="Вод"/>
    <x v="116"/>
    <s v="Эвон"/>
    <m/>
    <n v="73.571428571428569"/>
    <n v="70"/>
    <n v="78"/>
    <n v="80"/>
    <n v="74"/>
    <n v="73"/>
    <n v="82"/>
    <n v="58"/>
    <n v="2"/>
    <n v="6969204"/>
    <n v="580767"/>
    <n v="0"/>
    <n v="580767"/>
    <n v="0"/>
    <n v="0"/>
  </r>
  <r>
    <s v="Оргунков"/>
    <x v="4"/>
    <s v="Т"/>
    <m/>
    <m/>
    <m/>
    <s v="Вод"/>
    <s v="Вод"/>
    <x v="116"/>
    <s v="Эвон"/>
    <m/>
    <n v="72.571428571428569"/>
    <n v="50"/>
    <n v="83"/>
    <n v="70"/>
    <n v="82"/>
    <n v="78"/>
    <n v="78"/>
    <n v="67"/>
    <n v="0"/>
    <n v="4051882"/>
    <n v="337656.83333333331"/>
    <n v="0"/>
    <n v="337656.83333333331"/>
    <n v="0"/>
    <n v="0"/>
  </r>
  <r>
    <s v="Авон (В)"/>
    <x v="0"/>
    <s v="В"/>
    <m/>
    <m/>
    <s v="Кут"/>
    <s v="Кут"/>
    <s v="Кут"/>
    <x v="117"/>
    <s v="Эвон"/>
    <m/>
    <n v="76.428571428571431"/>
    <n v="49"/>
    <n v="82"/>
    <n v="85"/>
    <n v="71"/>
    <n v="91"/>
    <n v="80"/>
    <n v="77"/>
    <n v="31"/>
    <n v="10201140"/>
    <n v="850095"/>
    <n v="0"/>
    <n v="850095"/>
    <n v="0"/>
    <n v="0"/>
  </r>
  <r>
    <s v="Линдгрен Оскар"/>
    <x v="0"/>
    <s v="В"/>
    <m/>
    <m/>
    <s v="Рекс"/>
    <s v="Рекс"/>
    <s v="Рекс"/>
    <x v="117"/>
    <s v="Эвон"/>
    <m/>
    <n v="75.142857142857139"/>
    <n v="68"/>
    <n v="73"/>
    <n v="74"/>
    <n v="78"/>
    <n v="83"/>
    <n v="79"/>
    <n v="71"/>
    <n v="0"/>
    <n v="5739540"/>
    <n v="478295"/>
    <n v="0"/>
    <n v="478295"/>
    <n v="0"/>
    <n v="0"/>
  </r>
  <r>
    <s v="Бергстрём Эрик"/>
    <x v="1"/>
    <s v="ЛЗ"/>
    <s v="ЦЗ"/>
    <m/>
    <s v="Рекс"/>
    <s v="Рекс"/>
    <s v="Рекс"/>
    <x v="117"/>
    <s v="Эвон"/>
    <m/>
    <n v="76.285714285714292"/>
    <n v="69"/>
    <n v="78"/>
    <n v="79"/>
    <n v="81"/>
    <n v="76"/>
    <n v="82"/>
    <n v="69"/>
    <n v="0"/>
    <n v="6674707"/>
    <n v="556225.58333333337"/>
    <n v="0"/>
    <n v="556225.58333333337"/>
    <n v="0"/>
    <n v="0"/>
  </r>
  <r>
    <s v="Виколич (З)"/>
    <x v="1"/>
    <s v="ПЗ"/>
    <s v="ЛЗ"/>
    <s v="ЦЗ"/>
    <s v="Рекс"/>
    <s v="Рекс"/>
    <s v="Рекс"/>
    <x v="117"/>
    <s v="Эвон"/>
    <m/>
    <n v="85.571428571428569"/>
    <n v="88"/>
    <n v="88"/>
    <n v="88"/>
    <n v="82"/>
    <n v="86"/>
    <n v="87"/>
    <n v="80"/>
    <n v="28"/>
    <n v="31577598"/>
    <n v="2631466.5"/>
    <n v="0"/>
    <n v="2631466.5"/>
    <n v="0"/>
    <n v="0"/>
  </r>
  <r>
    <s v="Калинин (З)"/>
    <x v="1"/>
    <s v="ЦЗ"/>
    <s v="ПЗ"/>
    <m/>
    <s v="В.И."/>
    <s v="В.И."/>
    <s v="В.И."/>
    <x v="117"/>
    <s v="Эвон"/>
    <m/>
    <n v="91"/>
    <n v="85"/>
    <n v="86"/>
    <n v="95"/>
    <n v="92"/>
    <n v="94"/>
    <n v="95"/>
    <n v="90"/>
    <n v="26"/>
    <n v="58412418"/>
    <n v="4867701.5"/>
    <n v="0"/>
    <n v="4867701.5"/>
    <n v="0"/>
    <n v="0"/>
  </r>
  <r>
    <s v="Калшер"/>
    <x v="1"/>
    <s v="ЦЗ"/>
    <s v="ПЗ"/>
    <m/>
    <m/>
    <s v="Рекс"/>
    <s v="Рекс"/>
    <x v="117"/>
    <s v="Эвон"/>
    <m/>
    <n v="77.714285714285708"/>
    <n v="70"/>
    <n v="75"/>
    <n v="80"/>
    <n v="81"/>
    <n v="80"/>
    <n v="88"/>
    <n v="70"/>
    <n v="0"/>
    <n v="8035421"/>
    <n v="669618.41666666663"/>
    <n v="0"/>
    <n v="669618.41666666663"/>
    <n v="0"/>
    <n v="0"/>
  </r>
  <r>
    <s v="Миду"/>
    <x v="1"/>
    <s v="ЦЗ"/>
    <s v="ПЗ"/>
    <m/>
    <s v="Рекс"/>
    <s v="Рекс"/>
    <s v="Рекс"/>
    <x v="117"/>
    <s v="Эвон"/>
    <m/>
    <n v="94.285714285714292"/>
    <n v="94"/>
    <n v="89"/>
    <n v="98"/>
    <n v="95"/>
    <n v="95"/>
    <n v="93"/>
    <n v="96"/>
    <n v="1"/>
    <n v="83281822"/>
    <n v="6940151.833333333"/>
    <n v="0"/>
    <n v="6940151.833333333"/>
    <n v="0"/>
    <n v="0"/>
  </r>
  <r>
    <s v="Саирсер (З)"/>
    <x v="1"/>
    <s v="ЦЗ"/>
    <s v="ЛЗ"/>
    <m/>
    <s v="Рекс"/>
    <s v="Рекс"/>
    <s v="Рекс"/>
    <x v="117"/>
    <s v="Эвон"/>
    <m/>
    <n v="83.714285714285708"/>
    <n v="83"/>
    <n v="80"/>
    <n v="87"/>
    <n v="84"/>
    <n v="85"/>
    <n v="86"/>
    <n v="81"/>
    <n v="27"/>
    <n v="25356367"/>
    <n v="2113030.5833333335"/>
    <n v="0"/>
    <n v="2113030.5833333335"/>
    <n v="0"/>
    <n v="0"/>
  </r>
  <r>
    <s v="Сёрон Цэрон"/>
    <x v="1"/>
    <s v="ЦЗ"/>
    <s v="ОПЗ"/>
    <m/>
    <s v="Рекс"/>
    <s v="Рекс"/>
    <s v="Рекс"/>
    <x v="117"/>
    <s v="Эвон"/>
    <m/>
    <n v="76.285714285714292"/>
    <n v="70"/>
    <n v="74"/>
    <n v="80"/>
    <n v="78"/>
    <n v="81"/>
    <n v="79"/>
    <n v="72"/>
    <n v="0"/>
    <n v="6674707"/>
    <n v="556225.58333333337"/>
    <n v="0"/>
    <n v="556225.58333333337"/>
    <n v="0"/>
    <n v="0"/>
  </r>
  <r>
    <s v="Хансен Магнус"/>
    <x v="1"/>
    <s v="ПЗ"/>
    <s v="ЦЗ"/>
    <m/>
    <s v="Рекс"/>
    <s v="Рекс"/>
    <s v="Рекс"/>
    <x v="117"/>
    <s v="Эвон"/>
    <m/>
    <n v="76.857142857142861"/>
    <n v="72"/>
    <n v="76"/>
    <n v="81"/>
    <n v="79"/>
    <n v="77"/>
    <n v="80"/>
    <n v="73"/>
    <n v="0"/>
    <n v="7191879"/>
    <n v="599323.25"/>
    <n v="0"/>
    <n v="599323.25"/>
    <n v="0"/>
    <n v="0"/>
  </r>
  <r>
    <s v="Андерсон Юхан"/>
    <x v="2"/>
    <s v="ОФ"/>
    <s v="ЛПЗ"/>
    <m/>
    <s v="Рекс"/>
    <s v="Рекс"/>
    <s v="Рекс"/>
    <x v="117"/>
    <s v="Эвон"/>
    <m/>
    <n v="76.142857142857139"/>
    <n v="71"/>
    <n v="81"/>
    <n v="77"/>
    <n v="80"/>
    <n v="78"/>
    <n v="77"/>
    <n v="69"/>
    <n v="0"/>
    <n v="6550761"/>
    <n v="545896.75"/>
    <n v="0"/>
    <n v="545896.75"/>
    <n v="0"/>
    <n v="0"/>
  </r>
  <r>
    <s v="Демиан Л-д (Н)"/>
    <x v="2"/>
    <s v="ЦН"/>
    <m/>
    <m/>
    <s v="Рекс"/>
    <s v="Рекс"/>
    <s v="Рекс"/>
    <x v="117"/>
    <s v="Эвон"/>
    <m/>
    <n v="80.857142857142861"/>
    <n v="75"/>
    <n v="85"/>
    <n v="86"/>
    <n v="84"/>
    <n v="80"/>
    <n v="84"/>
    <n v="72"/>
    <n v="12"/>
    <n v="17917408"/>
    <n v="1493117.3333333333"/>
    <n v="0"/>
    <n v="1493117.3333333333"/>
    <n v="0"/>
    <n v="0"/>
  </r>
  <r>
    <s v="Максвелл (Н)"/>
    <x v="2"/>
    <s v="ЦН"/>
    <s v="ОФ"/>
    <m/>
    <s v="Рекс"/>
    <s v="Рекс"/>
    <s v="Рекс"/>
    <x v="117"/>
    <s v="Эвон"/>
    <m/>
    <n v="82.142857142857139"/>
    <n v="80"/>
    <n v="86"/>
    <n v="85"/>
    <n v="82"/>
    <n v="82"/>
    <n v="85"/>
    <n v="75"/>
    <n v="16"/>
    <n v="20979219"/>
    <n v="1748268.25"/>
    <n v="0"/>
    <n v="1748268.25"/>
    <n v="0"/>
    <n v="0"/>
  </r>
  <r>
    <s v="Питер Оличсон (Н)"/>
    <x v="2"/>
    <s v="ОФ"/>
    <m/>
    <m/>
    <s v="Рекс"/>
    <s v="Рекс"/>
    <s v="Рекс"/>
    <x v="117"/>
    <s v="Эвон"/>
    <m/>
    <n v="79"/>
    <n v="70"/>
    <n v="83"/>
    <n v="83"/>
    <n v="85"/>
    <n v="78"/>
    <n v="81"/>
    <n v="73"/>
    <n v="0"/>
    <n v="9468277"/>
    <n v="789023.08333333337"/>
    <n v="0"/>
    <n v="789023.08333333337"/>
    <n v="0"/>
    <n v="0"/>
  </r>
  <r>
    <s v="Рат"/>
    <x v="2"/>
    <s v="ЦН"/>
    <s v="АПЗ"/>
    <m/>
    <s v="Рекс"/>
    <s v="Лион"/>
    <s v="Лион"/>
    <x v="117"/>
    <s v="Эвон"/>
    <m/>
    <n v="95.714285714285708"/>
    <n v="97"/>
    <n v="95"/>
    <n v="97"/>
    <n v="93"/>
    <n v="97"/>
    <n v="95"/>
    <n v="96"/>
    <n v="7"/>
    <n v="96796329"/>
    <n v="8066360.75"/>
    <n v="0"/>
    <n v="8066360.75"/>
    <n v="0"/>
    <n v="0"/>
  </r>
  <r>
    <s v="Стрём Ларс"/>
    <x v="2"/>
    <s v="ЦН"/>
    <s v="ОФ"/>
    <m/>
    <s v="Рекс"/>
    <s v="Рекс"/>
    <s v="Рекс"/>
    <x v="117"/>
    <s v="Эвон"/>
    <m/>
    <n v="77.285714285714292"/>
    <n v="75"/>
    <n v="76"/>
    <n v="81"/>
    <n v="79"/>
    <n v="83"/>
    <n v="76"/>
    <n v="71"/>
    <n v="0"/>
    <n v="7603128"/>
    <n v="633594"/>
    <n v="0"/>
    <n v="633594"/>
    <n v="0"/>
    <n v="0"/>
  </r>
  <r>
    <s v="Даль Йонас"/>
    <x v="3"/>
    <s v="ППЗ"/>
    <s v="АПЗ"/>
    <m/>
    <s v="Рекс"/>
    <s v="Рекс"/>
    <s v="Рекс"/>
    <x v="117"/>
    <s v="Эвон"/>
    <m/>
    <n v="74.571428571428569"/>
    <n v="68"/>
    <n v="79"/>
    <n v="76"/>
    <n v="80"/>
    <n v="74"/>
    <n v="78"/>
    <n v="67"/>
    <n v="0"/>
    <n v="5317710"/>
    <n v="443142.5"/>
    <n v="0"/>
    <n v="443142.5"/>
    <n v="0"/>
    <n v="0"/>
  </r>
  <r>
    <s v="Клиц (П)"/>
    <x v="3"/>
    <s v="АПЗ"/>
    <s v="ЛПЗ"/>
    <s v="ППЗ"/>
    <s v="Рекс"/>
    <s v="Рекс"/>
    <s v="Рекс"/>
    <x v="117"/>
    <s v="Эвон"/>
    <m/>
    <n v="90.142857142857139"/>
    <n v="86"/>
    <n v="83"/>
    <n v="95"/>
    <n v="94"/>
    <n v="95"/>
    <n v="92"/>
    <n v="86"/>
    <n v="18"/>
    <n v="53137908"/>
    <n v="4428159"/>
    <n v="0"/>
    <n v="4428159"/>
    <n v="0"/>
    <n v="0"/>
  </r>
  <r>
    <s v="Ларссон Фредрик"/>
    <x v="3"/>
    <s v="ОПЗ"/>
    <s v="ЦПЗ"/>
    <m/>
    <s v="Рекс"/>
    <s v="Рекс"/>
    <s v="Рекс"/>
    <x v="117"/>
    <s v="Эвон"/>
    <m/>
    <n v="79.142857142857139"/>
    <n v="74"/>
    <n v="80"/>
    <n v="84"/>
    <n v="82"/>
    <n v="81"/>
    <n v="80"/>
    <n v="73"/>
    <n v="0"/>
    <n v="9640893"/>
    <n v="803407.75"/>
    <n v="0"/>
    <n v="803407.75"/>
    <n v="0"/>
    <n v="0"/>
  </r>
  <r>
    <s v="Найтленд"/>
    <x v="3"/>
    <s v="ЛПЗ"/>
    <s v="ППЗ"/>
    <m/>
    <s v="Рекс"/>
    <s v="Рекс"/>
    <s v="Рекс"/>
    <x v="117"/>
    <s v="Эвон"/>
    <m/>
    <n v="77.428571428571431"/>
    <n v="76"/>
    <n v="96"/>
    <n v="78"/>
    <n v="75"/>
    <n v="73"/>
    <n v="83"/>
    <n v="61"/>
    <n v="23"/>
    <n v="11617261"/>
    <n v="968105.08333333337"/>
    <n v="0"/>
    <n v="968105.08333333337"/>
    <n v="0"/>
    <n v="0"/>
  </r>
  <r>
    <s v="Фернефт Л-д"/>
    <x v="3"/>
    <s v="ППЗ"/>
    <s v="ЛПЗ"/>
    <s v="ОПЗ"/>
    <s v="Рекс"/>
    <s v="Рекс"/>
    <s v="Рекс"/>
    <x v="117"/>
    <s v="Эвон"/>
    <m/>
    <n v="82.142857142857139"/>
    <n v="85"/>
    <n v="91"/>
    <n v="83"/>
    <n v="83"/>
    <n v="84"/>
    <n v="74"/>
    <n v="75"/>
    <n v="12"/>
    <n v="20979219"/>
    <n v="1748268.25"/>
    <n v="0"/>
    <n v="1748268.25"/>
    <n v="0"/>
    <n v="0"/>
  </r>
  <r>
    <s v="Хачбек"/>
    <x v="3"/>
    <s v="ППЗ"/>
    <s v="АПЗ"/>
    <m/>
    <s v="Рекс"/>
    <s v="Рекс"/>
    <s v="Рекс"/>
    <x v="117"/>
    <s v="Эвон"/>
    <m/>
    <n v="90.428571428571431"/>
    <n v="92"/>
    <n v="93"/>
    <n v="89"/>
    <n v="90"/>
    <n v="90"/>
    <n v="87"/>
    <n v="92"/>
    <n v="22"/>
    <n v="54846379"/>
    <n v="4570531.583333333"/>
    <n v="0"/>
    <n v="4570531.583333333"/>
    <n v="0"/>
    <n v="0"/>
  </r>
  <r>
    <s v="Хенсом (П)"/>
    <x v="3"/>
    <s v="ЦПЗ"/>
    <s v="ОПЗ"/>
    <s v="АПЗ"/>
    <s v="Рекс"/>
    <s v="Рекс"/>
    <s v="Рекс"/>
    <x v="117"/>
    <s v="Эвон"/>
    <m/>
    <n v="93.285714285714292"/>
    <n v="93"/>
    <n v="88"/>
    <n v="90"/>
    <n v="100"/>
    <n v="93"/>
    <n v="94"/>
    <n v="95"/>
    <n v="17"/>
    <n v="74858768"/>
    <n v="6238230.666666667"/>
    <n v="0"/>
    <n v="6238230.666666667"/>
    <n v="0"/>
    <n v="0"/>
  </r>
  <r>
    <s v="Хольм Андерс"/>
    <x v="3"/>
    <s v="ЛПЗ"/>
    <s v="ЦПЗ"/>
    <m/>
    <s v="Рекс"/>
    <s v="Рекс"/>
    <s v="Рекс"/>
    <x v="117"/>
    <s v="Эвон"/>
    <m/>
    <n v="75.571428571428569"/>
    <n v="71"/>
    <n v="80"/>
    <n v="77"/>
    <n v="79"/>
    <n v="75"/>
    <n v="79"/>
    <n v="68"/>
    <n v="0"/>
    <n v="6075421"/>
    <n v="506285.08333333331"/>
    <n v="0"/>
    <n v="506285.08333333331"/>
    <n v="0"/>
    <n v="0"/>
  </r>
  <r>
    <s v="Эрикссон Виктор"/>
    <x v="3"/>
    <s v="ЦПЗ"/>
    <s v="АПЗ"/>
    <m/>
    <s v="Рекс"/>
    <s v="Рекс"/>
    <s v="Рекс"/>
    <x v="117"/>
    <s v="Эвон"/>
    <m/>
    <n v="76.714285714285708"/>
    <n v="73"/>
    <n v="82"/>
    <n v="78"/>
    <n v="81"/>
    <n v="75"/>
    <n v="78"/>
    <n v="70"/>
    <n v="0"/>
    <n v="7059314"/>
    <n v="588276.16666666663"/>
    <n v="0"/>
    <n v="588276.16666666663"/>
    <n v="0"/>
    <n v="0"/>
  </r>
  <r>
    <s v="Вонгент"/>
    <x v="4"/>
    <s v="Т"/>
    <m/>
    <m/>
    <m/>
    <s v="Рекс"/>
    <s v="Рекс"/>
    <x v="117"/>
    <s v="Эвон"/>
    <m/>
    <n v="86.571428571428569"/>
    <n v="80"/>
    <n v="86"/>
    <n v="88"/>
    <n v="93"/>
    <n v="89"/>
    <n v="93"/>
    <n v="77"/>
    <n v="0"/>
    <n v="23645356"/>
    <n v="1970446.3333333333"/>
    <n v="0"/>
    <n v="1970446.3333333333"/>
    <n v="0"/>
    <n v="0"/>
  </r>
  <r>
    <s v="Клаус"/>
    <x v="0"/>
    <s v="В"/>
    <m/>
    <m/>
    <s v="Д.С."/>
    <s v="Д.С."/>
    <s v="Д.С."/>
    <x v="118"/>
    <s v="Эвон"/>
    <m/>
    <n v="68.714285714285708"/>
    <n v="33"/>
    <n v="70"/>
    <n v="71"/>
    <n v="78"/>
    <n v="80"/>
    <n v="78"/>
    <n v="71"/>
    <n v="0"/>
    <n v="2346770"/>
    <n v="195564.16666666666"/>
    <n v="0"/>
    <n v="195564.16666666666"/>
    <n v="0"/>
    <n v="0"/>
  </r>
  <r>
    <s v="Дальмиолит"/>
    <x v="1"/>
    <s v="ЛЗ"/>
    <s v="ПЗ"/>
    <s v="ЦЗ"/>
    <s v="Д.С."/>
    <s v="Д.С."/>
    <s v="Д.С."/>
    <x v="118"/>
    <s v="Эвон"/>
    <m/>
    <n v="80.857142857142861"/>
    <n v="78"/>
    <n v="88"/>
    <n v="92"/>
    <n v="80"/>
    <n v="77"/>
    <n v="80"/>
    <n v="71"/>
    <n v="26"/>
    <n v="17917408"/>
    <n v="1493117.3333333333"/>
    <n v="0"/>
    <n v="1493117.3333333333"/>
    <n v="0"/>
    <n v="0"/>
  </r>
  <r>
    <s v="Красетер"/>
    <x v="1"/>
    <s v="ЦЗ"/>
    <s v="ОПЗ"/>
    <m/>
    <s v="Д.С."/>
    <s v="Д.С."/>
    <s v="Д.С."/>
    <x v="118"/>
    <s v="Эвон"/>
    <m/>
    <n v="77.285714285714292"/>
    <n v="64"/>
    <n v="80"/>
    <n v="82"/>
    <n v="82"/>
    <n v="83"/>
    <n v="85"/>
    <n v="65"/>
    <n v="0"/>
    <n v="7603128"/>
    <n v="633594"/>
    <n v="0"/>
    <n v="633594"/>
    <n v="0"/>
    <n v="0"/>
  </r>
  <r>
    <s v="Папирон Сокар"/>
    <x v="1"/>
    <s v="ЦЗ"/>
    <s v="ОПЗ"/>
    <m/>
    <s v="Д.С."/>
    <s v="Д.С."/>
    <s v="Д.С."/>
    <x v="118"/>
    <s v="Эвон"/>
    <m/>
    <n v="66.285714285714292"/>
    <n v="24"/>
    <n v="74"/>
    <n v="78"/>
    <n v="82"/>
    <n v="80"/>
    <n v="82"/>
    <n v="44"/>
    <n v="0"/>
    <n v="1637569"/>
    <n v="136464.08333333334"/>
    <n v="0"/>
    <n v="136464.08333333334"/>
    <n v="0"/>
    <n v="0"/>
  </r>
  <r>
    <s v="Пульминг"/>
    <x v="1"/>
    <s v="ЦЗ"/>
    <s v="ОПЗ"/>
    <m/>
    <s v="Д.С."/>
    <s v="Д.С."/>
    <s v="Д.С."/>
    <x v="118"/>
    <s v="Эвон"/>
    <m/>
    <n v="74.714285714285708"/>
    <n v="62"/>
    <n v="72"/>
    <n v="80"/>
    <n v="82"/>
    <n v="74"/>
    <n v="81"/>
    <n v="72"/>
    <n v="0"/>
    <n v="5420465"/>
    <n v="451705.41666666669"/>
    <n v="0"/>
    <n v="451705.41666666669"/>
    <n v="0"/>
    <n v="0"/>
  </r>
  <r>
    <s v="Туллер"/>
    <x v="1"/>
    <s v="ЦЗ"/>
    <m/>
    <m/>
    <s v="Д.С."/>
    <s v="Д.С."/>
    <s v="Д.С."/>
    <x v="118"/>
    <s v="Эвон"/>
    <m/>
    <n v="61.571428571428569"/>
    <n v="65"/>
    <n v="64"/>
    <n v="70"/>
    <n v="60"/>
    <n v="47"/>
    <n v="85"/>
    <n v="40"/>
    <n v="0"/>
    <n v="783056"/>
    <n v="65254.666666666664"/>
    <n v="0"/>
    <n v="65254.666666666664"/>
    <n v="0"/>
    <n v="0"/>
  </r>
  <r>
    <s v="Уканди"/>
    <x v="1"/>
    <s v="ЦЗ"/>
    <m/>
    <m/>
    <s v="Д.С."/>
    <s v="Д.С."/>
    <s v="Д.С."/>
    <x v="118"/>
    <s v="Эвон"/>
    <m/>
    <n v="55.714285714285715"/>
    <n v="24"/>
    <n v="64"/>
    <n v="69"/>
    <n v="70"/>
    <n v="30"/>
    <n v="90"/>
    <n v="43"/>
    <n v="0"/>
    <n v="288182"/>
    <n v="24015.166666666668"/>
    <n v="0"/>
    <n v="24015.166666666668"/>
    <n v="0"/>
    <n v="0"/>
  </r>
  <r>
    <s v="Цемби"/>
    <x v="1"/>
    <s v="ЦЗ"/>
    <s v="ЛЗ"/>
    <m/>
    <s v="Д.С."/>
    <s v="Д.С."/>
    <s v="Д.С."/>
    <x v="118"/>
    <s v="Эвон"/>
    <m/>
    <n v="69.285714285714292"/>
    <n v="65"/>
    <n v="70"/>
    <n v="74"/>
    <n v="73"/>
    <n v="61"/>
    <n v="87"/>
    <n v="55"/>
    <n v="0"/>
    <n v="2549395"/>
    <n v="212449.58333333334"/>
    <n v="0"/>
    <n v="212449.58333333334"/>
    <n v="0"/>
    <n v="0"/>
  </r>
  <r>
    <s v="Денар Нилас"/>
    <x v="2"/>
    <s v="ЦН"/>
    <s v="ОФ"/>
    <m/>
    <s v="Д.С."/>
    <s v="Д.С."/>
    <s v="Д.С."/>
    <x v="118"/>
    <s v="Эвон"/>
    <m/>
    <n v="70.285714285714292"/>
    <n v="25"/>
    <n v="86"/>
    <n v="82"/>
    <n v="80"/>
    <n v="84"/>
    <n v="87"/>
    <n v="48"/>
    <n v="0"/>
    <n v="2942190"/>
    <n v="245182.5"/>
    <n v="0"/>
    <n v="245182.5"/>
    <n v="0"/>
    <n v="0"/>
  </r>
  <r>
    <s v="Нот Шерт"/>
    <x v="2"/>
    <s v="ОФ"/>
    <m/>
    <m/>
    <s v="Д.С."/>
    <s v="Д.С."/>
    <s v="Д.С."/>
    <x v="118"/>
    <s v="Эвон"/>
    <m/>
    <n v="71.857142857142861"/>
    <n v="50"/>
    <n v="75"/>
    <n v="78"/>
    <n v="79"/>
    <n v="80"/>
    <n v="80"/>
    <n v="61"/>
    <n v="0"/>
    <n v="3670283"/>
    <n v="305856.91666666669"/>
    <n v="0"/>
    <n v="305856.91666666669"/>
    <n v="0"/>
    <n v="0"/>
  </r>
  <r>
    <s v="Холменг"/>
    <x v="2"/>
    <s v="ЦН"/>
    <s v="АПЗ"/>
    <m/>
    <s v="Д.С."/>
    <s v="Д.С."/>
    <s v="Д.С."/>
    <x v="118"/>
    <s v="Эвон"/>
    <m/>
    <n v="71.285714285714292"/>
    <n v="45"/>
    <n v="70"/>
    <n v="81"/>
    <n v="78"/>
    <n v="77"/>
    <n v="88"/>
    <n v="60"/>
    <n v="0"/>
    <n v="3388638"/>
    <n v="282386.5"/>
    <n v="0"/>
    <n v="282386.5"/>
    <n v="0"/>
    <n v="0"/>
  </r>
  <r>
    <s v="Батью Алонс"/>
    <x v="3"/>
    <s v="ЦПЗ"/>
    <s v="ОПЗ"/>
    <m/>
    <s v="Д.С."/>
    <s v="Д.С."/>
    <s v="Д.С."/>
    <x v="118"/>
    <s v="Эвон"/>
    <m/>
    <n v="71.428571428571431"/>
    <n v="44"/>
    <n v="78"/>
    <n v="80"/>
    <n v="81"/>
    <n v="74"/>
    <n v="80"/>
    <n v="63"/>
    <n v="0"/>
    <n v="3457162"/>
    <n v="288096.83333333331"/>
    <n v="0"/>
    <n v="288096.83333333331"/>
    <n v="0"/>
    <n v="0"/>
  </r>
  <r>
    <s v="Ветару Камару"/>
    <x v="3"/>
    <s v="АПЗ"/>
    <s v="ППЗ"/>
    <m/>
    <m/>
    <s v="Д.С."/>
    <s v="Д.С."/>
    <x v="118"/>
    <s v="Эвон"/>
    <m/>
    <n v="58.571428571428569"/>
    <n v="17"/>
    <n v="82"/>
    <n v="58"/>
    <n v="74"/>
    <n v="72"/>
    <n v="75"/>
    <n v="32"/>
    <n v="0"/>
    <n v="475181"/>
    <n v="39598.416666666664"/>
    <n v="0"/>
    <n v="39598.416666666664"/>
    <n v="0"/>
    <n v="0"/>
  </r>
  <r>
    <s v="Зернат Смолис"/>
    <x v="3"/>
    <s v="ППЗ"/>
    <s v="ЛПЗ"/>
    <m/>
    <m/>
    <s v="Д.С."/>
    <s v="Д.С."/>
    <x v="118"/>
    <s v="Эвон"/>
    <m/>
    <n v="60.428571428571431"/>
    <n v="20"/>
    <n v="80"/>
    <n v="60"/>
    <n v="72"/>
    <n v="78"/>
    <n v="76"/>
    <n v="37"/>
    <n v="0"/>
    <n v="649267"/>
    <n v="54105.583333333336"/>
    <n v="0"/>
    <n v="54105.583333333336"/>
    <n v="0"/>
    <n v="0"/>
  </r>
  <r>
    <s v="Камир Песару"/>
    <x v="3"/>
    <s v="АПЗ"/>
    <s v="ЦПЗ"/>
    <m/>
    <m/>
    <s v="Д.С."/>
    <s v="Д.С."/>
    <x v="118"/>
    <s v="Эвон"/>
    <m/>
    <n v="60.285714285714285"/>
    <n v="19"/>
    <n v="78"/>
    <n v="62"/>
    <n v="76"/>
    <n v="74"/>
    <n v="77"/>
    <n v="36"/>
    <n v="0"/>
    <n v="634081"/>
    <n v="52840.083333333336"/>
    <n v="0"/>
    <n v="52840.083333333336"/>
    <n v="0"/>
    <n v="0"/>
  </r>
  <r>
    <s v="Лотус Ибрис"/>
    <x v="3"/>
    <s v="ОПЗ"/>
    <s v="ЦЗ"/>
    <m/>
    <m/>
    <s v="Д.С."/>
    <s v="Д.С."/>
    <x v="118"/>
    <s v="Эвон"/>
    <m/>
    <n v="53.285714285714285"/>
    <n v="15"/>
    <n v="62"/>
    <n v="58"/>
    <n v="70"/>
    <n v="68"/>
    <n v="72"/>
    <n v="28"/>
    <n v="0"/>
    <n v="184548"/>
    <n v="15379"/>
    <n v="0"/>
    <n v="15379"/>
    <n v="0"/>
    <n v="0"/>
  </r>
  <r>
    <s v="Ночис Рекас"/>
    <x v="3"/>
    <s v="ЛПЗ"/>
    <s v="ОПЗ"/>
    <m/>
    <m/>
    <s v="Д.С."/>
    <s v="Д.С."/>
    <x v="118"/>
    <s v="Эвон"/>
    <m/>
    <n v="63.285714285714285"/>
    <n v="22"/>
    <n v="84"/>
    <n v="64"/>
    <n v="78"/>
    <n v="76"/>
    <n v="79"/>
    <n v="40"/>
    <n v="0"/>
    <n v="1030522"/>
    <n v="85876.833333333328"/>
    <n v="0"/>
    <n v="85876.833333333328"/>
    <n v="0"/>
    <n v="0"/>
  </r>
  <r>
    <s v="Зараб Тростен"/>
    <x v="3"/>
    <s v="ОПЗ"/>
    <s v="ЦПЗ"/>
    <m/>
    <m/>
    <s v="Д.С."/>
    <s v="Д.С."/>
    <x v="118"/>
    <s v="Эвон"/>
    <m/>
    <n v="61"/>
    <n v="21"/>
    <n v="70"/>
    <n v="64"/>
    <n v="80"/>
    <n v="76"/>
    <n v="78"/>
    <n v="38"/>
    <n v="0"/>
    <n v="713343"/>
    <n v="59445.25"/>
    <n v="0"/>
    <n v="59445.25"/>
    <n v="0"/>
    <n v="0"/>
  </r>
  <r>
    <s v="Тейса"/>
    <x v="3"/>
    <s v="ЛПЗ"/>
    <s v="ОПЗ"/>
    <m/>
    <s v="Д.С."/>
    <s v="Д.С."/>
    <s v="Д.С."/>
    <x v="118"/>
    <s v="Эвон"/>
    <m/>
    <n v="67"/>
    <n v="42"/>
    <n v="80"/>
    <n v="75"/>
    <n v="77"/>
    <n v="70"/>
    <n v="73"/>
    <n v="52"/>
    <n v="0"/>
    <n v="1822838"/>
    <n v="151903.16666666666"/>
    <n v="0"/>
    <n v="151903.16666666666"/>
    <n v="0"/>
    <n v="0"/>
  </r>
  <r>
    <s v="Тенару Светар"/>
    <x v="3"/>
    <s v="ППЗ"/>
    <s v="АПЗ"/>
    <m/>
    <m/>
    <s v="Д.С."/>
    <s v="Д.С."/>
    <x v="118"/>
    <s v="Эвон"/>
    <m/>
    <n v="55.857142857142854"/>
    <n v="16"/>
    <n v="76"/>
    <n v="56"/>
    <n v="70"/>
    <n v="70"/>
    <n v="73"/>
    <n v="30"/>
    <n v="0"/>
    <n v="295657"/>
    <n v="24638.083333333332"/>
    <n v="0"/>
    <n v="24638.083333333332"/>
    <n v="0"/>
    <n v="0"/>
  </r>
  <r>
    <s v="Анхур Кай"/>
    <x v="4"/>
    <s v="Т"/>
    <m/>
    <m/>
    <m/>
    <s v="Д.С."/>
    <s v="Д.С."/>
    <x v="118"/>
    <s v="Эвон"/>
    <m/>
    <n v="59.857142857142854"/>
    <n v="18"/>
    <n v="72"/>
    <n v="66"/>
    <n v="78"/>
    <n v="74"/>
    <n v="76"/>
    <n v="35"/>
    <n v="0"/>
    <n v="590419"/>
    <n v="49201.583333333336"/>
    <n v="0"/>
    <n v="49201.583333333336"/>
    <n v="0"/>
    <n v="0"/>
  </r>
  <r>
    <s v="Гарсон"/>
    <x v="0"/>
    <s v="В"/>
    <m/>
    <m/>
    <m/>
    <s v="Лищ"/>
    <s v="Лищ"/>
    <x v="119"/>
    <m/>
    <m/>
    <n v="71.142857142857139"/>
    <n v="52"/>
    <n v="75"/>
    <n v="79"/>
    <n v="72"/>
    <n v="84"/>
    <n v="90"/>
    <n v="46"/>
    <n v="0"/>
    <n v="3321338"/>
    <n v="276778.16666666669"/>
    <n v="0"/>
    <n v="276778.16666666669"/>
    <n v="0"/>
    <n v="1"/>
  </r>
  <r>
    <s v="Хвойный"/>
    <x v="0"/>
    <s v="В"/>
    <m/>
    <m/>
    <m/>
    <s v="А.Н."/>
    <s v="А.Н."/>
    <x v="119"/>
    <m/>
    <m/>
    <n v="74.571428571428569"/>
    <n v="60"/>
    <n v="82"/>
    <n v="82"/>
    <n v="81"/>
    <n v="85"/>
    <n v="82"/>
    <n v="50"/>
    <n v="0"/>
    <n v="5317710"/>
    <n v="443142.5"/>
    <n v="0"/>
    <n v="443142.5"/>
    <n v="0"/>
    <n v="0"/>
  </r>
  <r>
    <s v="Вожак Арсений"/>
    <x v="0"/>
    <m/>
    <m/>
    <m/>
    <s v="Тури"/>
    <s v="Тури"/>
    <s v="Тури"/>
    <x v="119"/>
    <m/>
    <m/>
    <n v="67.428571428571431"/>
    <n v="50"/>
    <n v="70"/>
    <n v="70"/>
    <n v="74"/>
    <n v="80"/>
    <n v="88"/>
    <n v="40"/>
    <n v="0"/>
    <n v="1942852"/>
    <n v="161904.33333333334"/>
    <n v="0"/>
    <n v="161904.33333333334"/>
    <n v="0"/>
    <n v="1"/>
  </r>
  <r>
    <s v="Видаль"/>
    <x v="1"/>
    <s v="ЦЗ"/>
    <s v="ПЗ"/>
    <s v="ОПЗ"/>
    <m/>
    <s v="Зар"/>
    <s v="Зар"/>
    <x v="119"/>
    <m/>
    <m/>
    <n v="80"/>
    <n v="60"/>
    <n v="81"/>
    <n v="85"/>
    <n v="84"/>
    <n v="92"/>
    <n v="95"/>
    <n v="63"/>
    <n v="26"/>
    <n v="16106128"/>
    <n v="1342177.3333333333"/>
    <n v="0"/>
    <n v="1342177.3333333333"/>
    <n v="0"/>
    <n v="1"/>
  </r>
  <r>
    <s v="Гаризон"/>
    <x v="1"/>
    <s v="ЦЗ"/>
    <s v="ОПЗ"/>
    <m/>
    <m/>
    <s v="Бел"/>
    <s v="Бел"/>
    <x v="119"/>
    <m/>
    <m/>
    <n v="75.428571428571431"/>
    <n v="51"/>
    <n v="80"/>
    <n v="78"/>
    <n v="82"/>
    <n v="85"/>
    <n v="88"/>
    <n v="64"/>
    <n v="27"/>
    <n v="8942318"/>
    <n v="745193.16666666663"/>
    <n v="0"/>
    <n v="745193.16666666663"/>
    <n v="0"/>
    <n v="1"/>
  </r>
  <r>
    <s v="Костинир"/>
    <x v="1"/>
    <s v="ЦЗ"/>
    <s v="ОПЗ"/>
    <m/>
    <s v="Лищ"/>
    <s v="Лищ"/>
    <s v="Лищ"/>
    <x v="119"/>
    <m/>
    <m/>
    <n v="73.428571428571431"/>
    <n v="50"/>
    <n v="78"/>
    <n v="80"/>
    <n v="80"/>
    <n v="88"/>
    <n v="90"/>
    <n v="48"/>
    <n v="11"/>
    <n v="6835056"/>
    <n v="569588"/>
    <n v="0"/>
    <n v="569588"/>
    <n v="0"/>
    <n v="1"/>
  </r>
  <r>
    <s v="Ийограрф"/>
    <x v="1"/>
    <s v="ЛЗ"/>
    <s v="ПЗ"/>
    <s v="ЦЗ"/>
    <m/>
    <s v="С.К."/>
    <s v="С.К."/>
    <x v="119"/>
    <m/>
    <m/>
    <n v="73.571428571428569"/>
    <n v="50"/>
    <n v="82"/>
    <n v="81"/>
    <n v="78"/>
    <n v="84"/>
    <n v="89"/>
    <n v="51"/>
    <n v="27"/>
    <n v="6969204"/>
    <n v="580767"/>
    <n v="0"/>
    <n v="580767"/>
    <n v="0"/>
    <n v="1"/>
  </r>
  <r>
    <s v="Онтагор"/>
    <x v="1"/>
    <s v="ПЗ"/>
    <s v="ЛЗ"/>
    <s v="ЦЗ"/>
    <m/>
    <s v="Рекс"/>
    <s v="Рекс"/>
    <x v="119"/>
    <m/>
    <m/>
    <n v="73.285714285714292"/>
    <n v="50"/>
    <n v="79"/>
    <n v="85"/>
    <n v="75"/>
    <n v="88"/>
    <n v="91"/>
    <n v="45"/>
    <n v="26"/>
    <n v="6703237"/>
    <n v="558603.08333333337"/>
    <n v="0"/>
    <n v="558603.08333333337"/>
    <n v="0"/>
    <n v="1"/>
  </r>
  <r>
    <s v="Денис Турба"/>
    <x v="2"/>
    <s v="ЦН"/>
    <m/>
    <m/>
    <m/>
    <s v="Сар"/>
    <s v="Сар"/>
    <x v="119"/>
    <m/>
    <m/>
    <n v="76.142857142857139"/>
    <n v="57"/>
    <n v="78"/>
    <n v="85"/>
    <n v="78"/>
    <n v="88"/>
    <n v="96"/>
    <n v="51"/>
    <n v="6"/>
    <n v="9826141"/>
    <n v="818845.08333333337"/>
    <n v="0"/>
    <n v="818845.08333333337"/>
    <n v="0"/>
    <n v="1"/>
  </r>
  <r>
    <s v="Марышев"/>
    <x v="2"/>
    <s v="ЦН"/>
    <m/>
    <m/>
    <m/>
    <s v="А.Н."/>
    <s v="А.Н."/>
    <x v="119"/>
    <m/>
    <m/>
    <n v="70.285714285714292"/>
    <n v="45"/>
    <n v="88"/>
    <n v="72"/>
    <n v="70"/>
    <n v="67"/>
    <n v="84"/>
    <n v="66"/>
    <n v="7"/>
    <n v="4413285"/>
    <n v="367773.75"/>
    <n v="0"/>
    <n v="367773.75"/>
    <n v="0"/>
    <n v="1"/>
  </r>
  <r>
    <s v="Тыгмак"/>
    <x v="2"/>
    <s v="ЦН"/>
    <s v="АПЗ"/>
    <m/>
    <m/>
    <s v="Лив"/>
    <s v="Лив"/>
    <x v="119"/>
    <m/>
    <m/>
    <n v="79.571428571428569"/>
    <n v="75"/>
    <n v="80"/>
    <n v="89"/>
    <n v="77"/>
    <n v="88"/>
    <n v="98"/>
    <n v="50"/>
    <n v="6"/>
    <n v="15263806"/>
    <n v="1271983.8333333333"/>
    <n v="0"/>
    <n v="1271983.8333333333"/>
    <n v="0"/>
    <n v="1"/>
  </r>
  <r>
    <s v="Уваров"/>
    <x v="2"/>
    <s v="ЦН"/>
    <s v="АПЗ"/>
    <m/>
    <m/>
    <s v="Нест"/>
    <s v="Нест"/>
    <x v="119"/>
    <m/>
    <m/>
    <n v="77.571428571428569"/>
    <n v="59"/>
    <n v="84"/>
    <n v="86"/>
    <n v="83"/>
    <n v="82"/>
    <n v="92"/>
    <n v="57"/>
    <n v="7"/>
    <n v="11833390"/>
    <n v="986115.83333333337"/>
    <n v="0"/>
    <n v="986115.83333333337"/>
    <n v="0"/>
    <n v="1"/>
  </r>
  <r>
    <s v="Зульджан Ахарти"/>
    <x v="2"/>
    <s v="ЦН"/>
    <m/>
    <m/>
    <s v="Хан"/>
    <s v="Хан"/>
    <s v="Хан"/>
    <x v="119"/>
    <m/>
    <m/>
    <n v="79.285714285714292"/>
    <n v="55"/>
    <n v="82"/>
    <n v="88"/>
    <n v="80"/>
    <n v="88"/>
    <n v="92"/>
    <n v="70"/>
    <n v="25"/>
    <n v="14724505"/>
    <n v="1004427.5833333334"/>
    <n v="0"/>
    <n v="1227042.0833333333"/>
    <n v="-18.14"/>
    <n v="1"/>
  </r>
  <r>
    <s v="Агларов"/>
    <x v="3"/>
    <s v="ЦПЗ"/>
    <s v="ППЗ"/>
    <m/>
    <m/>
    <s v="Нест"/>
    <s v="Нест"/>
    <x v="119"/>
    <m/>
    <m/>
    <n v="75.428571428571431"/>
    <n v="66"/>
    <n v="82"/>
    <n v="87"/>
    <n v="81"/>
    <n v="84"/>
    <n v="84"/>
    <n v="44"/>
    <n v="8"/>
    <n v="8942318"/>
    <n v="745193.16666666663"/>
    <n v="0"/>
    <n v="745193.16666666663"/>
    <n v="0"/>
    <n v="1"/>
  </r>
  <r>
    <s v="Аксель"/>
    <x v="3"/>
    <s v="ЛПЗ"/>
    <s v="ППЗ"/>
    <m/>
    <m/>
    <s v="В.И."/>
    <s v="В.И."/>
    <x v="119"/>
    <m/>
    <m/>
    <n v="75.714285714285708"/>
    <n v="55"/>
    <n v="92"/>
    <n v="82"/>
    <n v="83"/>
    <n v="71"/>
    <n v="75"/>
    <n v="72"/>
    <n v="23"/>
    <n v="9286875"/>
    <n v="773906.25"/>
    <n v="0"/>
    <n v="773906.25"/>
    <n v="0"/>
    <n v="1"/>
  </r>
  <r>
    <s v="Д.Суарес"/>
    <x v="3"/>
    <s v="ЛПЗ"/>
    <s v="ОПЗ"/>
    <m/>
    <s v="Клю"/>
    <s v="В.И."/>
    <s v="В.И."/>
    <x v="119"/>
    <m/>
    <m/>
    <n v="97.142857142857139"/>
    <n v="100"/>
    <n v="100"/>
    <n v="96"/>
    <n v="98"/>
    <n v="99"/>
    <n v="87"/>
    <n v="100"/>
    <n v="13"/>
    <n v="112253525"/>
    <n v="9354460.416666666"/>
    <n v="0"/>
    <n v="9354460.416666666"/>
    <n v="0"/>
    <n v="1"/>
  </r>
  <r>
    <s v="Монтель"/>
    <x v="3"/>
    <s v="ЦПЗ"/>
    <s v="ЛПЗ"/>
    <m/>
    <m/>
    <s v="С.К."/>
    <s v="С.К."/>
    <x v="119"/>
    <m/>
    <m/>
    <n v="76.285714285714292"/>
    <n v="56"/>
    <n v="85"/>
    <n v="79"/>
    <n v="86"/>
    <n v="81"/>
    <n v="80"/>
    <n v="67"/>
    <n v="24"/>
    <n v="10012060"/>
    <n v="834338.33333333337"/>
    <n v="0"/>
    <n v="834338.33333333337"/>
    <n v="0"/>
    <n v="1"/>
  </r>
  <r>
    <s v="Ланьерра Алон"/>
    <x v="3"/>
    <s v="АПЗ"/>
    <s v="ЛПЗ"/>
    <s v="ППЗ"/>
    <s v="Лес"/>
    <s v="Лес"/>
    <s v="Лес"/>
    <x v="119"/>
    <m/>
    <m/>
    <n v="82.428571428571431"/>
    <n v="70"/>
    <n v="91"/>
    <n v="88"/>
    <n v="86"/>
    <n v="82"/>
    <n v="80"/>
    <n v="80"/>
    <n v="3"/>
    <n v="21720459"/>
    <n v="2812566.0833333335"/>
    <n v="0"/>
    <n v="1810038.25"/>
    <n v="55.39"/>
    <n v="1"/>
  </r>
  <r>
    <s v="Блонди Эрнест"/>
    <x v="3"/>
    <s v="ЦПЗ"/>
    <s v="АПЗ"/>
    <s v="ОФ"/>
    <s v="Лин"/>
    <s v="Лин"/>
    <s v="Лин"/>
    <x v="119"/>
    <m/>
    <m/>
    <n v="79"/>
    <n v="65"/>
    <n v="88"/>
    <n v="82"/>
    <n v="84"/>
    <n v="78"/>
    <n v="81"/>
    <n v="75"/>
    <n v="19"/>
    <n v="14202415"/>
    <n v="1183534.5833333333"/>
    <n v="0"/>
    <n v="1183534.5833333333"/>
    <n v="0"/>
    <n v="1"/>
  </r>
  <r>
    <s v="Кристоф"/>
    <x v="3"/>
    <s v="ЦПЗ"/>
    <s v="ОПЗ"/>
    <s v="АПЗ"/>
    <m/>
    <s v="Кирп"/>
    <s v="Кирп"/>
    <x v="119"/>
    <m/>
    <m/>
    <n v="74.285714285714292"/>
    <n v="50"/>
    <n v="85"/>
    <n v="80"/>
    <n v="85"/>
    <n v="80"/>
    <n v="80"/>
    <n v="60"/>
    <n v="19"/>
    <n v="7676165"/>
    <n v="639680.41666666663"/>
    <n v="0"/>
    <n v="639680.41666666663"/>
    <n v="0"/>
    <n v="1"/>
  </r>
  <r>
    <s v="Тонглдон"/>
    <x v="3"/>
    <s v="ЦПЗ"/>
    <s v="ЛПЗ"/>
    <s v="ППЗ"/>
    <m/>
    <s v="Бел"/>
    <s v="Бел"/>
    <x v="119"/>
    <m/>
    <m/>
    <n v="74.428571428571431"/>
    <n v="50"/>
    <n v="85"/>
    <n v="83"/>
    <n v="78"/>
    <n v="81"/>
    <n v="86"/>
    <n v="58"/>
    <n v="19"/>
    <n v="7825068"/>
    <n v="652089"/>
    <n v="0"/>
    <n v="652089"/>
    <n v="0"/>
    <n v="1"/>
  </r>
  <r>
    <s v="Алиан Техе"/>
    <x v="4"/>
    <s v="Т"/>
    <m/>
    <m/>
    <s v="Нал"/>
    <s v="Нал"/>
    <s v="Нал"/>
    <x v="119"/>
    <m/>
    <m/>
    <n v="77.142857142857139"/>
    <n v="83"/>
    <n v="86"/>
    <n v="84"/>
    <n v="82"/>
    <n v="76"/>
    <n v="74"/>
    <n v="55"/>
    <n v="0"/>
    <n v="7463752"/>
    <n v="621979.33333333337"/>
    <n v="0"/>
    <n v="621979.33333333337"/>
    <n v="0"/>
    <n v="0"/>
  </r>
  <r>
    <s v="Алмер"/>
    <x v="4"/>
    <s v="Т"/>
    <m/>
    <m/>
    <s v="Б.Л."/>
    <s v="В.И."/>
    <s v="В.И."/>
    <x v="119"/>
    <m/>
    <m/>
    <n v="94"/>
    <n v="95"/>
    <n v="88"/>
    <n v="94"/>
    <n v="95"/>
    <n v="93"/>
    <n v="98"/>
    <n v="95"/>
    <n v="0"/>
    <n v="53861512"/>
    <n v="4488459.333333333"/>
    <n v="0"/>
    <n v="4488459.333333333"/>
    <n v="0"/>
    <n v="0"/>
  </r>
  <r>
    <s v="Ахшколит"/>
    <x v="4"/>
    <s v="Т"/>
    <m/>
    <m/>
    <s v="Своб"/>
    <s v="Хан"/>
    <s v="Хан"/>
    <x v="119"/>
    <m/>
    <m/>
    <n v="70.571428571428569"/>
    <n v="59"/>
    <n v="65"/>
    <n v="81"/>
    <n v="77"/>
    <n v="81"/>
    <n v="78"/>
    <n v="53"/>
    <n v="0"/>
    <n v="3064003"/>
    <n v="255333.58333333334"/>
    <n v="0"/>
    <n v="255333.58333333334"/>
    <n v="0"/>
    <n v="0"/>
  </r>
  <r>
    <s v="Байтерх"/>
    <x v="4"/>
    <s v="Т"/>
    <m/>
    <m/>
    <s v="Кедр"/>
    <s v="В.И."/>
    <s v="В.И."/>
    <x v="119"/>
    <m/>
    <m/>
    <n v="75.857142857142861"/>
    <n v="61"/>
    <n v="75"/>
    <n v="78"/>
    <n v="83"/>
    <n v="84"/>
    <n v="83"/>
    <n v="67"/>
    <n v="0"/>
    <n v="6309063"/>
    <n v="525755.25"/>
    <n v="0"/>
    <n v="525755.25"/>
    <n v="0"/>
    <n v="0"/>
  </r>
  <r>
    <s v="Баллистер"/>
    <x v="4"/>
    <s v="Т"/>
    <m/>
    <m/>
    <s v="Сув"/>
    <s v="Нумб"/>
    <s v="Нумб"/>
    <x v="119"/>
    <m/>
    <m/>
    <n v="85"/>
    <n v="70"/>
    <n v="93"/>
    <n v="85"/>
    <n v="86"/>
    <n v="83"/>
    <n v="95"/>
    <n v="83"/>
    <n v="0"/>
    <n v="19687441"/>
    <n v="1640620.0833333333"/>
    <n v="0"/>
    <n v="1640620.0833333333"/>
    <n v="0"/>
    <n v="0"/>
  </r>
  <r>
    <s v="Бальтцев"/>
    <x v="4"/>
    <s v="Т"/>
    <m/>
    <m/>
    <s v="Черлесск"/>
    <s v="Черлесск"/>
    <s v="Черлесск"/>
    <x v="119"/>
    <m/>
    <m/>
    <n v="71.571428571428569"/>
    <n v="55"/>
    <n v="68"/>
    <n v="80"/>
    <n v="76"/>
    <n v="74"/>
    <n v="80"/>
    <n v="68"/>
    <n v="0"/>
    <n v="3526931"/>
    <n v="293910.91666666669"/>
    <n v="0"/>
    <n v="293910.91666666669"/>
    <n v="0"/>
    <n v="0"/>
  </r>
  <r>
    <s v="Барадюзю Эри"/>
    <x v="4"/>
    <s v="Т"/>
    <m/>
    <m/>
    <s v="Сул"/>
    <s v="Сул"/>
    <s v="Сул"/>
    <x v="119"/>
    <m/>
    <m/>
    <n v="89.142857142857139"/>
    <n v="90"/>
    <n v="97"/>
    <n v="90"/>
    <n v="92"/>
    <n v="84"/>
    <n v="85"/>
    <n v="86"/>
    <n v="0"/>
    <n v="31685860"/>
    <n v="2640488.3333333335"/>
    <n v="0"/>
    <n v="2640488.3333333335"/>
    <n v="0"/>
    <n v="0"/>
  </r>
  <r>
    <s v="Баршев"/>
    <x v="4"/>
    <s v="Т"/>
    <m/>
    <m/>
    <s v="Турн"/>
    <s v="Турн"/>
    <s v="Турн"/>
    <x v="119"/>
    <m/>
    <m/>
    <n v="89.571428571428569"/>
    <n v="80"/>
    <n v="87"/>
    <n v="88"/>
    <n v="93"/>
    <n v="95"/>
    <n v="92"/>
    <n v="92"/>
    <n v="0"/>
    <n v="33242602"/>
    <n v="2770216.8333333335"/>
    <n v="0"/>
    <n v="2770216.8333333335"/>
    <n v="0"/>
    <n v="0"/>
  </r>
  <r>
    <s v="Блайшеп"/>
    <x v="4"/>
    <s v="Т"/>
    <m/>
    <m/>
    <s v="Мал"/>
    <s v="Мал"/>
    <s v="Мал"/>
    <x v="119"/>
    <m/>
    <m/>
    <n v="78.428571428571431"/>
    <n v="72"/>
    <n v="81"/>
    <n v="80"/>
    <n v="86"/>
    <n v="84"/>
    <n v="80"/>
    <n v="66"/>
    <n v="0"/>
    <n v="8805278"/>
    <n v="733773.16666666663"/>
    <n v="0"/>
    <n v="733773.16666666663"/>
    <n v="0"/>
    <n v="0"/>
  </r>
  <r>
    <s v="Бривичко"/>
    <x v="4"/>
    <s v="Т"/>
    <m/>
    <m/>
    <s v="Кут"/>
    <s v="Кут"/>
    <s v="Кут"/>
    <x v="119"/>
    <m/>
    <m/>
    <n v="78.571428571428569"/>
    <n v="60"/>
    <n v="80"/>
    <n v="85"/>
    <n v="84"/>
    <n v="83"/>
    <n v="80"/>
    <n v="78"/>
    <n v="0"/>
    <n v="8966987"/>
    <n v="747248.91666666663"/>
    <n v="0"/>
    <n v="747248.91666666663"/>
    <n v="0"/>
    <n v="0"/>
  </r>
  <r>
    <s v="Броньер"/>
    <x v="4"/>
    <s v="Т"/>
    <m/>
    <m/>
    <s v="Орех"/>
    <s v="Орех"/>
    <s v="Орех"/>
    <x v="119"/>
    <m/>
    <m/>
    <n v="75.142857142857139"/>
    <n v="60"/>
    <n v="71"/>
    <n v="84"/>
    <n v="80"/>
    <n v="84"/>
    <n v="83"/>
    <n v="64"/>
    <n v="0"/>
    <n v="5739540"/>
    <n v="478295"/>
    <n v="0"/>
    <n v="478295"/>
    <n v="0"/>
    <n v="0"/>
  </r>
  <r>
    <s v="Вильмингтон"/>
    <x v="4"/>
    <s v="Т"/>
    <m/>
    <m/>
    <s v="Ард"/>
    <s v="Эстон"/>
    <s v="Эстон"/>
    <x v="119"/>
    <m/>
    <m/>
    <n v="80.571428571428569"/>
    <n v="80"/>
    <n v="93"/>
    <n v="82"/>
    <n v="78"/>
    <n v="80"/>
    <n v="81"/>
    <n v="70"/>
    <n v="0"/>
    <n v="11529505"/>
    <n v="960792.08333333337"/>
    <n v="0"/>
    <n v="960792.08333333337"/>
    <n v="0"/>
    <n v="0"/>
  </r>
  <r>
    <s v="Висчит"/>
    <x v="4"/>
    <s v="Т"/>
    <m/>
    <m/>
    <s v="Нумб"/>
    <s v="Зар"/>
    <s v="Зар"/>
    <x v="119"/>
    <m/>
    <m/>
    <n v="69.857142857142861"/>
    <n v="62"/>
    <n v="74"/>
    <n v="82"/>
    <n v="75"/>
    <n v="70"/>
    <n v="73"/>
    <n v="53"/>
    <n v="0"/>
    <n v="2767632"/>
    <n v="230636"/>
    <n v="0"/>
    <n v="230636"/>
    <n v="0"/>
    <n v="0"/>
  </r>
  <r>
    <s v="Глю Шамрай"/>
    <x v="4"/>
    <s v="Т"/>
    <m/>
    <m/>
    <s v="Ч.Л."/>
    <s v="С.С."/>
    <s v="С.С."/>
    <x v="119"/>
    <m/>
    <m/>
    <n v="71.714285714285708"/>
    <n v="43"/>
    <n v="86"/>
    <n v="84"/>
    <n v="85"/>
    <n v="80"/>
    <n v="77"/>
    <n v="47"/>
    <n v="0"/>
    <n v="3597964"/>
    <n v="299830.33333333331"/>
    <n v="0"/>
    <n v="299830.33333333331"/>
    <n v="0"/>
    <n v="0"/>
  </r>
  <r>
    <s v="Головатый"/>
    <x v="4"/>
    <s v="Т"/>
    <m/>
    <m/>
    <s v="Н.С."/>
    <s v="Сар"/>
    <s v="Сар"/>
    <x v="119"/>
    <m/>
    <m/>
    <n v="78.285714285714292"/>
    <n v="62"/>
    <n v="80"/>
    <n v="88"/>
    <n v="81"/>
    <n v="84"/>
    <n v="80"/>
    <n v="73"/>
    <n v="0"/>
    <n v="8646199"/>
    <n v="720516.58333333337"/>
    <n v="0"/>
    <n v="720516.58333333337"/>
    <n v="0"/>
    <n v="0"/>
  </r>
  <r>
    <s v="Горсило"/>
    <x v="4"/>
    <s v="Т"/>
    <m/>
    <m/>
    <s v="Щеб"/>
    <s v="Щеб"/>
    <s v="Щеб"/>
    <x v="119"/>
    <m/>
    <m/>
    <n v="92.428571428571431"/>
    <n v="88"/>
    <n v="89"/>
    <n v="94"/>
    <n v="98"/>
    <n v="93"/>
    <n v="95"/>
    <n v="90"/>
    <n v="0"/>
    <n v="45505345"/>
    <n v="3792112.0833333335"/>
    <n v="0"/>
    <n v="3792112.0833333335"/>
    <n v="0"/>
    <n v="0"/>
  </r>
  <r>
    <s v="Грой Сметинг"/>
    <x v="4"/>
    <s v="Т"/>
    <m/>
    <m/>
    <s v="Кирп"/>
    <s v="Кирп"/>
    <s v="Кирп"/>
    <x v="119"/>
    <m/>
    <m/>
    <n v="90.714285714285708"/>
    <n v="88"/>
    <n v="87"/>
    <n v="94"/>
    <n v="95"/>
    <n v="90"/>
    <n v="89"/>
    <n v="92"/>
    <n v="0"/>
    <n v="37736086"/>
    <n v="3144673.8333333335"/>
    <n v="0"/>
    <n v="3144673.8333333335"/>
    <n v="0"/>
    <n v="0"/>
  </r>
  <r>
    <s v="Дрейвов"/>
    <x v="4"/>
    <s v="Т"/>
    <m/>
    <m/>
    <s v="Мох"/>
    <s v="Мох"/>
    <s v="Мох"/>
    <x v="119"/>
    <m/>
    <m/>
    <n v="86"/>
    <n v="76"/>
    <n v="92"/>
    <n v="90"/>
    <n v="93"/>
    <n v="95"/>
    <n v="80"/>
    <n v="76"/>
    <n v="0"/>
    <n v="22130158"/>
    <n v="1844179.8333333333"/>
    <n v="0"/>
    <n v="1844179.8333333333"/>
    <n v="0"/>
    <n v="0"/>
  </r>
  <r>
    <s v="Жубба"/>
    <x v="4"/>
    <s v="Т"/>
    <m/>
    <m/>
    <s v="Туркан"/>
    <s v="Туркан"/>
    <s v="Туркан"/>
    <x v="119"/>
    <m/>
    <m/>
    <n v="67.428571428571431"/>
    <n v="42"/>
    <n v="66"/>
    <n v="79"/>
    <n v="71"/>
    <n v="82"/>
    <n v="74"/>
    <n v="58"/>
    <n v="0"/>
    <n v="1942852"/>
    <n v="161904.33333333334"/>
    <n v="0"/>
    <n v="161904.33333333334"/>
    <n v="0"/>
    <n v="0"/>
  </r>
  <r>
    <s v="Кароллини"/>
    <x v="4"/>
    <s v="Т"/>
    <m/>
    <m/>
    <s v="Клю"/>
    <s v="В.И."/>
    <s v="В.И."/>
    <x v="119"/>
    <m/>
    <m/>
    <n v="95.571428571428569"/>
    <n v="97"/>
    <n v="90"/>
    <n v="94"/>
    <n v="97"/>
    <n v="99"/>
    <n v="99"/>
    <n v="93"/>
    <n v="0"/>
    <n v="63574182"/>
    <n v="5297848.5"/>
    <n v="0"/>
    <n v="5297848.5"/>
    <n v="0"/>
    <n v="0"/>
  </r>
  <r>
    <s v="Клаушер"/>
    <x v="4"/>
    <s v="Т"/>
    <m/>
    <m/>
    <s v="А.Н."/>
    <s v="Кирп"/>
    <s v="Кирп"/>
    <x v="119"/>
    <m/>
    <m/>
    <n v="81.857142857142861"/>
    <n v="75"/>
    <n v="83"/>
    <n v="83"/>
    <n v="85"/>
    <n v="84"/>
    <n v="88"/>
    <n v="75"/>
    <n v="0"/>
    <n v="13507216"/>
    <n v="1125601.3333333333"/>
    <n v="0"/>
    <n v="1125601.3333333333"/>
    <n v="0"/>
    <n v="0"/>
  </r>
  <r>
    <s v="Клафин"/>
    <x v="4"/>
    <s v="Т"/>
    <m/>
    <m/>
    <s v="Вод"/>
    <s v="Вод"/>
    <s v="Вод"/>
    <x v="119"/>
    <m/>
    <m/>
    <n v="69"/>
    <n v="50"/>
    <n v="71"/>
    <n v="85"/>
    <n v="75"/>
    <n v="73"/>
    <n v="75"/>
    <n v="54"/>
    <n v="0"/>
    <n v="2446195"/>
    <n v="203849.58333333334"/>
    <n v="0"/>
    <n v="203849.58333333334"/>
    <n v="0"/>
    <n v="0"/>
  </r>
  <r>
    <s v="Колдфилт"/>
    <x v="4"/>
    <s v="Т"/>
    <m/>
    <m/>
    <s v="Бел"/>
    <s v="Бел"/>
    <s v="Бел"/>
    <x v="119"/>
    <m/>
    <m/>
    <n v="81.857142857142861"/>
    <n v="70"/>
    <n v="81"/>
    <n v="88"/>
    <n v="85"/>
    <n v="86"/>
    <n v="90"/>
    <n v="73"/>
    <n v="0"/>
    <n v="13507216"/>
    <n v="1125601.3333333333"/>
    <n v="0"/>
    <n v="1125601.3333333333"/>
    <n v="0"/>
    <n v="0"/>
  </r>
  <r>
    <s v="Корланд"/>
    <x v="4"/>
    <s v="Т"/>
    <m/>
    <m/>
    <s v="Лин"/>
    <s v="Лион"/>
    <s v="Лион"/>
    <x v="119"/>
    <m/>
    <m/>
    <n v="87.571428571428569"/>
    <n v="88"/>
    <n v="93"/>
    <n v="86"/>
    <n v="90"/>
    <n v="88"/>
    <n v="83"/>
    <n v="85"/>
    <n v="0"/>
    <n v="26523104"/>
    <n v="2210258.6666666665"/>
    <n v="0"/>
    <n v="2210258.6666666665"/>
    <n v="0"/>
    <n v="0"/>
  </r>
  <r>
    <s v="Коровин"/>
    <x v="4"/>
    <s v="Т"/>
    <m/>
    <m/>
    <s v="Сар"/>
    <s v="Сар"/>
    <s v="Сар"/>
    <x v="28"/>
    <s v="Эвон"/>
    <m/>
    <n v="82.142857142857139"/>
    <n v="56"/>
    <n v="83"/>
    <n v="90"/>
    <n v="89"/>
    <n v="96"/>
    <n v="95"/>
    <n v="66"/>
    <n v="0"/>
    <n v="13986146"/>
    <n v="1165512.1666666667"/>
    <n v="0"/>
    <n v="1165512.1666666667"/>
    <n v="0"/>
    <n v="0"/>
  </r>
  <r>
    <s v="Корунков"/>
    <x v="4"/>
    <s v="Т"/>
    <m/>
    <m/>
    <s v="Зар"/>
    <s v="Зар"/>
    <s v="Зар"/>
    <x v="119"/>
    <m/>
    <m/>
    <n v="77.714285714285708"/>
    <n v="68"/>
    <n v="78"/>
    <n v="80"/>
    <n v="83"/>
    <n v="80"/>
    <n v="95"/>
    <n v="60"/>
    <n v="0"/>
    <n v="8035421"/>
    <n v="669618.41666666663"/>
    <n v="0"/>
    <n v="669618.41666666663"/>
    <n v="0"/>
    <n v="0"/>
  </r>
  <r>
    <s v="Котов"/>
    <x v="4"/>
    <s v="Т"/>
    <m/>
    <m/>
    <s v="Зем"/>
    <s v="Кут"/>
    <s v="Кут"/>
    <x v="119"/>
    <m/>
    <m/>
    <n v="76.714285714285708"/>
    <n v="68"/>
    <n v="85"/>
    <n v="80"/>
    <n v="77"/>
    <n v="83"/>
    <n v="74"/>
    <n v="70"/>
    <n v="0"/>
    <n v="7059314"/>
    <n v="588276.16666666663"/>
    <n v="0"/>
    <n v="588276.16666666663"/>
    <n v="0"/>
    <n v="0"/>
  </r>
  <r>
    <s v="Кравин"/>
    <x v="4"/>
    <s v="Т"/>
    <m/>
    <m/>
    <s v="К.С."/>
    <s v="Кут"/>
    <s v="Кут"/>
    <x v="119"/>
    <m/>
    <m/>
    <n v="69.142857142857139"/>
    <n v="61"/>
    <n v="72"/>
    <n v="74"/>
    <n v="79"/>
    <n v="73"/>
    <n v="84"/>
    <n v="41"/>
    <n v="0"/>
    <n v="2497315"/>
    <n v="208109.58333333334"/>
    <n v="0"/>
    <n v="208109.58333333334"/>
    <n v="0"/>
    <n v="0"/>
  </r>
  <r>
    <s v="Крамрук"/>
    <x v="4"/>
    <s v="Т"/>
    <m/>
    <m/>
    <s v="Заг"/>
    <s v="Заг"/>
    <s v="Заг"/>
    <x v="119"/>
    <m/>
    <m/>
    <n v="82.428571428571431"/>
    <n v="75"/>
    <n v="82"/>
    <n v="90"/>
    <n v="90"/>
    <n v="86"/>
    <n v="84"/>
    <n v="70"/>
    <n v="0"/>
    <n v="14480306"/>
    <n v="1206692.1666666667"/>
    <n v="0"/>
    <n v="1206692.1666666667"/>
    <n v="0"/>
    <n v="0"/>
  </r>
  <r>
    <s v="Лантерс"/>
    <x v="4"/>
    <s v="Т"/>
    <m/>
    <m/>
    <s v="Генуа"/>
    <s v="В.И."/>
    <s v="В.И."/>
    <x v="119"/>
    <m/>
    <m/>
    <n v="78.285714285714292"/>
    <n v="60"/>
    <n v="80"/>
    <n v="86"/>
    <n v="80"/>
    <n v="85"/>
    <n v="84"/>
    <n v="73"/>
    <n v="0"/>
    <n v="8646199"/>
    <n v="720516.58333333337"/>
    <n v="0"/>
    <n v="720516.58333333337"/>
    <n v="0"/>
    <n v="0"/>
  </r>
  <r>
    <s v="Лозинский"/>
    <x v="4"/>
    <s v="Т"/>
    <m/>
    <m/>
    <s v="Лищ"/>
    <s v="Лищ"/>
    <s v="Лищ"/>
    <x v="119"/>
    <m/>
    <m/>
    <n v="90.571428571428569"/>
    <n v="86"/>
    <n v="85"/>
    <n v="94"/>
    <n v="93"/>
    <n v="94"/>
    <n v="96"/>
    <n v="86"/>
    <n v="0"/>
    <n v="37146011"/>
    <n v="3095500.9166666665"/>
    <n v="0"/>
    <n v="3095500.9166666665"/>
    <n v="0"/>
    <n v="0"/>
  </r>
  <r>
    <s v="Лочник"/>
    <x v="4"/>
    <s v="Т"/>
    <m/>
    <m/>
    <s v="Вор"/>
    <s v="Вор"/>
    <s v="Вор"/>
    <x v="119"/>
    <m/>
    <m/>
    <n v="93.714285714285708"/>
    <n v="96"/>
    <n v="85"/>
    <n v="94"/>
    <n v="98"/>
    <n v="93"/>
    <n v="93"/>
    <n v="97"/>
    <n v="0"/>
    <n v="52246596"/>
    <n v="4353883"/>
    <n v="0"/>
    <n v="4353883"/>
    <n v="0"/>
    <n v="0"/>
  </r>
  <r>
    <s v="Лут"/>
    <x v="4"/>
    <s v="Т"/>
    <m/>
    <m/>
    <s v="Биссий"/>
    <s v="Биссий"/>
    <s v="Биссий"/>
    <x v="119"/>
    <m/>
    <m/>
    <n v="61.142857142857146"/>
    <n v="40"/>
    <n v="55"/>
    <n v="63"/>
    <n v="67"/>
    <n v="85"/>
    <n v="88"/>
    <n v="30"/>
    <n v="0"/>
    <n v="730226"/>
    <n v="60852.166666666664"/>
    <n v="0"/>
    <n v="60852.166666666664"/>
    <n v="0"/>
    <n v="0"/>
  </r>
  <r>
    <s v="Мальшер"/>
    <x v="4"/>
    <s v="Т"/>
    <m/>
    <m/>
    <s v="Перс"/>
    <s v="Перс"/>
    <s v="Перс"/>
    <x v="119"/>
    <m/>
    <m/>
    <n v="72.285714285714292"/>
    <n v="47"/>
    <n v="81"/>
    <n v="74"/>
    <n v="82"/>
    <n v="76"/>
    <n v="83"/>
    <n v="63"/>
    <n v="0"/>
    <n v="3895156"/>
    <n v="324596.33333333331"/>
    <n v="0"/>
    <n v="324596.33333333331"/>
    <n v="0"/>
    <n v="0"/>
  </r>
  <r>
    <s v="Мерлин"/>
    <x v="4"/>
    <s v="Т"/>
    <m/>
    <m/>
    <s v="С.К."/>
    <s v="С.К."/>
    <s v="С.К."/>
    <x v="119"/>
    <m/>
    <m/>
    <n v="85.857142857142861"/>
    <n v="70"/>
    <n v="82"/>
    <n v="90"/>
    <n v="95"/>
    <n v="90"/>
    <n v="89"/>
    <n v="85"/>
    <n v="0"/>
    <n v="21765284"/>
    <n v="1813773.6666666667"/>
    <n v="0"/>
    <n v="1813773.6666666667"/>
    <n v="0"/>
    <n v="0"/>
  </r>
  <r>
    <s v="Мячин"/>
    <x v="4"/>
    <s v="Т"/>
    <m/>
    <m/>
    <s v="Нест"/>
    <s v="Нест"/>
    <s v="Нест"/>
    <x v="119"/>
    <m/>
    <m/>
    <n v="91.857142857142861"/>
    <n v="92"/>
    <n v="85"/>
    <n v="96"/>
    <n v="92"/>
    <n v="90"/>
    <n v="95"/>
    <n v="93"/>
    <n v="0"/>
    <n v="42769023"/>
    <n v="3564085.25"/>
    <n v="0"/>
    <n v="3564085.25"/>
    <n v="0"/>
    <n v="0"/>
  </r>
  <r>
    <s v="Неотбин"/>
    <x v="4"/>
    <s v="Т"/>
    <m/>
    <m/>
    <s v="Р.Тесно"/>
    <s v="Нест"/>
    <s v="Нест"/>
    <x v="119"/>
    <m/>
    <m/>
    <n v="72.428571428571431"/>
    <n v="61"/>
    <n v="88"/>
    <n v="83"/>
    <n v="70"/>
    <n v="75"/>
    <n v="65"/>
    <n v="65"/>
    <n v="0"/>
    <n v="3972823"/>
    <n v="331068.58333333331"/>
    <n v="0"/>
    <n v="331068.58333333331"/>
    <n v="0"/>
    <n v="0"/>
  </r>
  <r>
    <s v="Нетми"/>
    <x v="4"/>
    <s v="Т"/>
    <m/>
    <m/>
    <s v="Тел"/>
    <s v="Тел"/>
    <s v="Тел"/>
    <x v="119"/>
    <m/>
    <m/>
    <n v="72.285714285714292"/>
    <n v="60"/>
    <n v="69"/>
    <n v="90"/>
    <n v="69"/>
    <n v="81"/>
    <n v="83"/>
    <n v="54"/>
    <n v="0"/>
    <n v="3895156"/>
    <n v="324596.33333333331"/>
    <n v="0"/>
    <n v="324596.33333333331"/>
    <n v="0"/>
    <n v="0"/>
  </r>
  <r>
    <s v="Петершельд"/>
    <x v="4"/>
    <s v="Т"/>
    <m/>
    <m/>
    <s v="Кол"/>
    <s v="Ост"/>
    <s v="Ост"/>
    <x v="119"/>
    <m/>
    <m/>
    <n v="69.714285714285708"/>
    <n v="63"/>
    <n v="72"/>
    <n v="66"/>
    <n v="66"/>
    <n v="81"/>
    <n v="82"/>
    <n v="58"/>
    <n v="0"/>
    <n v="2711552"/>
    <n v="225962.66666666666"/>
    <n v="0"/>
    <n v="225962.66666666666"/>
    <n v="0"/>
    <n v="0"/>
  </r>
  <r>
    <s v="Пивчех"/>
    <x v="4"/>
    <s v="Т"/>
    <m/>
    <m/>
    <s v="Зел.Хол"/>
    <s v="А.Н."/>
    <s v="А.Н."/>
    <x v="119"/>
    <m/>
    <m/>
    <n v="67.428571428571431"/>
    <n v="45"/>
    <n v="70"/>
    <n v="80"/>
    <n v="75"/>
    <n v="80"/>
    <n v="77"/>
    <n v="45"/>
    <n v="0"/>
    <n v="1942852"/>
    <n v="161904.33333333334"/>
    <n v="0"/>
    <n v="161904.33333333334"/>
    <n v="0"/>
    <n v="0"/>
  </r>
  <r>
    <s v="Пятов"/>
    <x v="4"/>
    <s v="Т"/>
    <m/>
    <m/>
    <s v="Орл"/>
    <s v="Орл"/>
    <s v="Орл"/>
    <x v="7"/>
    <s v="Эвон"/>
    <m/>
    <n v="70.571428571428569"/>
    <n v="41"/>
    <n v="70"/>
    <n v="88"/>
    <n v="85"/>
    <n v="80"/>
    <n v="79"/>
    <n v="51"/>
    <n v="0"/>
    <n v="3064003"/>
    <n v="255333.58333333334"/>
    <n v="0"/>
    <n v="255333.58333333334"/>
    <n v="0"/>
    <n v="0"/>
  </r>
  <r>
    <s v="Рагнарс"/>
    <x v="4"/>
    <s v="Т"/>
    <m/>
    <m/>
    <s v="Вар"/>
    <s v="Вар"/>
    <s v="Вар"/>
    <x v="119"/>
    <m/>
    <m/>
    <n v="83.285714285714292"/>
    <n v="75"/>
    <n v="83"/>
    <n v="88"/>
    <n v="82"/>
    <n v="94"/>
    <n v="89"/>
    <n v="72"/>
    <n v="0"/>
    <n v="16058507"/>
    <n v="1338208.9166666667"/>
    <n v="0"/>
    <n v="1338208.9166666667"/>
    <n v="0"/>
    <n v="0"/>
  </r>
  <r>
    <s v="Сонный"/>
    <x v="4"/>
    <s v="Т"/>
    <m/>
    <m/>
    <s v="Турк"/>
    <s v="Зар"/>
    <s v="Зар"/>
    <x v="119"/>
    <m/>
    <m/>
    <n v="78.285714285714292"/>
    <n v="63"/>
    <n v="88"/>
    <n v="85"/>
    <n v="80"/>
    <n v="85"/>
    <n v="82"/>
    <n v="65"/>
    <n v="0"/>
    <n v="8646199"/>
    <n v="720516.58333333337"/>
    <n v="0"/>
    <n v="720516.58333333337"/>
    <n v="0"/>
    <n v="0"/>
  </r>
  <r>
    <s v="Стимчински"/>
    <x v="4"/>
    <s v="Т"/>
    <m/>
    <m/>
    <s v="Переп"/>
    <s v="Зар"/>
    <s v="Зар"/>
    <x v="119"/>
    <m/>
    <m/>
    <n v="70.142857142857139"/>
    <n v="52"/>
    <n v="82"/>
    <n v="78"/>
    <n v="76"/>
    <n v="75"/>
    <n v="74"/>
    <n v="54"/>
    <n v="0"/>
    <n v="2882933"/>
    <n v="240244.41666666666"/>
    <n v="0"/>
    <n v="240244.41666666666"/>
    <n v="0"/>
    <n v="0"/>
  </r>
  <r>
    <s v="Термис"/>
    <x v="4"/>
    <s v="Т"/>
    <m/>
    <m/>
    <s v="Над"/>
    <s v="Над"/>
    <s v="Над"/>
    <x v="119"/>
    <m/>
    <m/>
    <n v="78.571428571428569"/>
    <n v="57"/>
    <n v="94"/>
    <n v="75"/>
    <n v="82"/>
    <n v="80"/>
    <n v="82"/>
    <n v="80"/>
    <n v="0"/>
    <n v="8966987"/>
    <n v="747248.91666666663"/>
    <n v="0"/>
    <n v="747248.91666666663"/>
    <n v="0"/>
    <n v="0"/>
  </r>
  <r>
    <s v="Тим Ягр"/>
    <x v="4"/>
    <s v="Т"/>
    <m/>
    <m/>
    <s v="Снег"/>
    <s v="Рекс"/>
    <s v="Рекс"/>
    <x v="119"/>
    <m/>
    <m/>
    <n v="75.142857142857139"/>
    <n v="69"/>
    <n v="89"/>
    <n v="86"/>
    <n v="78"/>
    <n v="77"/>
    <n v="78"/>
    <n v="49"/>
    <n v="0"/>
    <n v="5739540"/>
    <n v="478295"/>
    <n v="0"/>
    <n v="478295"/>
    <n v="0"/>
    <n v="0"/>
  </r>
  <r>
    <s v="Тремли"/>
    <x v="4"/>
    <s v="Т"/>
    <m/>
    <m/>
    <s v="Юл"/>
    <s v="Юл"/>
    <s v="Юл"/>
    <x v="119"/>
    <m/>
    <m/>
    <n v="75.714285714285708"/>
    <n v="56"/>
    <n v="94"/>
    <n v="74"/>
    <n v="82"/>
    <n v="87"/>
    <n v="77"/>
    <n v="60"/>
    <n v="0"/>
    <n v="6191250"/>
    <n v="515937.5"/>
    <n v="0"/>
    <n v="515937.5"/>
    <n v="0"/>
    <n v="0"/>
  </r>
  <r>
    <s v="Тью Теодор Гим"/>
    <x v="4"/>
    <s v="Т"/>
    <m/>
    <m/>
    <s v="Тури"/>
    <s v="Бел"/>
    <s v="Бел"/>
    <x v="119"/>
    <m/>
    <m/>
    <n v="75.428571428571431"/>
    <n v="61"/>
    <n v="75"/>
    <n v="89"/>
    <n v="81"/>
    <n v="85"/>
    <n v="84"/>
    <n v="53"/>
    <n v="0"/>
    <n v="5961545"/>
    <n v="496795.41666666669"/>
    <n v="0"/>
    <n v="496795.41666666669"/>
    <n v="0"/>
    <n v="0"/>
  </r>
  <r>
    <s v="Флоренц"/>
    <x v="4"/>
    <s v="Т"/>
    <m/>
    <m/>
    <s v="Шах"/>
    <s v="Бел"/>
    <s v="Бел"/>
    <x v="119"/>
    <m/>
    <m/>
    <n v="81.857142857142861"/>
    <n v="80"/>
    <n v="88"/>
    <n v="80"/>
    <n v="82"/>
    <n v="81"/>
    <n v="76"/>
    <n v="86"/>
    <n v="0"/>
    <n v="13507216"/>
    <n v="1125601.3333333333"/>
    <n v="0"/>
    <n v="1125601.3333333333"/>
    <n v="0"/>
    <n v="0"/>
  </r>
  <r>
    <s v="Фогги"/>
    <x v="4"/>
    <s v="Т"/>
    <m/>
    <m/>
    <s v="Рекс"/>
    <s v="Рекс"/>
    <s v="Рекс"/>
    <x v="119"/>
    <m/>
    <m/>
    <n v="87"/>
    <n v="75"/>
    <n v="89"/>
    <n v="90"/>
    <n v="94"/>
    <n v="85"/>
    <n v="90"/>
    <n v="86"/>
    <n v="0"/>
    <n v="24842342"/>
    <n v="2070195.1666666667"/>
    <n v="0"/>
    <n v="2070195.1666666667"/>
    <n v="0"/>
    <n v="0"/>
  </r>
  <r>
    <s v="Хаггель"/>
    <x v="4"/>
    <s v="Т"/>
    <m/>
    <m/>
    <s v="Лес"/>
    <s v="Лес"/>
    <s v="Лес"/>
    <x v="119"/>
    <m/>
    <m/>
    <n v="73.857142857142861"/>
    <n v="55"/>
    <n v="76"/>
    <n v="85"/>
    <n v="80"/>
    <n v="78"/>
    <n v="83"/>
    <n v="60"/>
    <n v="0"/>
    <n v="4829755"/>
    <n v="402479.58333333331"/>
    <n v="0"/>
    <n v="402479.58333333331"/>
    <n v="0"/>
    <n v="0"/>
  </r>
  <r>
    <s v="Хатенпак С"/>
    <x v="4"/>
    <s v="Т"/>
    <m/>
    <m/>
    <s v="В.И."/>
    <s v="Бел"/>
    <s v="Бел"/>
    <x v="119"/>
    <m/>
    <m/>
    <n v="91.142857142857139"/>
    <n v="93"/>
    <n v="85"/>
    <n v="97"/>
    <n v="96"/>
    <n v="88"/>
    <n v="89"/>
    <n v="90"/>
    <n v="0"/>
    <n v="39557277"/>
    <n v="3296439.75"/>
    <n v="0"/>
    <n v="3296439.75"/>
    <n v="0"/>
    <n v="0"/>
  </r>
  <r>
    <s v="Циримов"/>
    <x v="4"/>
    <s v="Т"/>
    <m/>
    <m/>
    <s v="Крыж"/>
    <s v="Нест"/>
    <s v="Нест"/>
    <x v="119"/>
    <m/>
    <m/>
    <n v="68.285714285714292"/>
    <n v="51"/>
    <n v="84"/>
    <n v="75"/>
    <n v="79"/>
    <n v="72"/>
    <n v="71"/>
    <n v="46"/>
    <n v="0"/>
    <n v="2204442"/>
    <n v="183703.5"/>
    <n v="0"/>
    <n v="183703.5"/>
    <n v="0"/>
    <n v="0"/>
  </r>
  <r>
    <s v="Чермингтон"/>
    <x v="4"/>
    <s v="Т"/>
    <m/>
    <m/>
    <s v="Павс"/>
    <s v="С.К."/>
    <s v="С.К."/>
    <x v="119"/>
    <m/>
    <m/>
    <n v="88.571428571428569"/>
    <n v="80"/>
    <n v="84"/>
    <n v="90"/>
    <n v="98"/>
    <n v="85"/>
    <n v="88"/>
    <n v="95"/>
    <n v="0"/>
    <n v="29712316"/>
    <n v="2476026.3333333335"/>
    <n v="0"/>
    <n v="2476026.3333333335"/>
    <n v="0"/>
    <n v="0"/>
  </r>
  <r>
    <s v="Шерлис"/>
    <x v="4"/>
    <s v="Т"/>
    <m/>
    <m/>
    <s v="Вал"/>
    <s v="Вал"/>
    <s v="Вал"/>
    <x v="119"/>
    <m/>
    <m/>
    <n v="72.428571428571431"/>
    <n v="63"/>
    <n v="96"/>
    <n v="75"/>
    <n v="70"/>
    <n v="69"/>
    <n v="74"/>
    <n v="60"/>
    <n v="0"/>
    <n v="3972823"/>
    <n v="331068.58333333331"/>
    <n v="0"/>
    <n v="331068.58333333331"/>
    <n v="0"/>
    <n v="0"/>
  </r>
  <r>
    <s v="Ширман"/>
    <x v="4"/>
    <s v="Т"/>
    <m/>
    <m/>
    <s v="Гид"/>
    <s v="Гид"/>
    <s v="Гид"/>
    <x v="119"/>
    <m/>
    <m/>
    <n v="67.714285714285708"/>
    <n v="45"/>
    <n v="73"/>
    <n v="75"/>
    <n v="71"/>
    <n v="77"/>
    <n v="78"/>
    <n v="55"/>
    <n v="0"/>
    <n v="2026764"/>
    <n v="168897"/>
    <n v="0"/>
    <n v="168897"/>
    <n v="0"/>
    <n v="0"/>
  </r>
  <r>
    <s v="Шломшан"/>
    <x v="4"/>
    <s v="Т"/>
    <m/>
    <m/>
    <s v="Хан"/>
    <s v="Хан"/>
    <s v="Хан"/>
    <x v="119"/>
    <m/>
    <m/>
    <n v="72.285714285714292"/>
    <n v="58"/>
    <n v="85"/>
    <n v="85"/>
    <n v="80"/>
    <n v="66"/>
    <n v="66"/>
    <n v="66"/>
    <n v="0"/>
    <n v="3895156"/>
    <n v="324596.33333333331"/>
    <n v="0"/>
    <n v="324596.33333333331"/>
    <n v="0"/>
    <n v="0"/>
  </r>
  <r>
    <s v="Ыбь"/>
    <x v="4"/>
    <s v="Т"/>
    <m/>
    <m/>
    <s v="Ост"/>
    <s v="Ост"/>
    <s v="Ост"/>
    <x v="119"/>
    <m/>
    <m/>
    <n v="75.857142857142861"/>
    <n v="66"/>
    <n v="85"/>
    <n v="80"/>
    <n v="75"/>
    <n v="95"/>
    <n v="88"/>
    <n v="42"/>
    <n v="0"/>
    <n v="6309063"/>
    <n v="525755.25"/>
    <n v="0"/>
    <n v="525755.25"/>
    <n v="0"/>
    <n v="0"/>
  </r>
  <r>
    <s v="Эрик Дилл"/>
    <x v="4"/>
    <s v="Т"/>
    <m/>
    <m/>
    <s v="Киш"/>
    <s v="Бел"/>
    <s v="Бел"/>
    <x v="119"/>
    <m/>
    <m/>
    <n v="75.428571428571431"/>
    <n v="59"/>
    <n v="83"/>
    <n v="82"/>
    <n v="85"/>
    <n v="82"/>
    <n v="82"/>
    <n v="55"/>
    <n v="0"/>
    <n v="5961545"/>
    <n v="496795.41666666669"/>
    <n v="0"/>
    <n v="496795.41666666669"/>
    <n v="0"/>
    <n v="0"/>
  </r>
  <r>
    <s v="Ювенков"/>
    <x v="4"/>
    <s v="Т"/>
    <m/>
    <m/>
    <s v="Смор"/>
    <s v="А.Н."/>
    <s v="А.Н."/>
    <x v="119"/>
    <m/>
    <m/>
    <n v="72.428571428571431"/>
    <n v="64"/>
    <n v="66"/>
    <n v="90"/>
    <n v="72"/>
    <n v="65"/>
    <n v="85"/>
    <n v="65"/>
    <n v="0"/>
    <n v="3972823"/>
    <n v="331068.58333333331"/>
    <n v="0"/>
    <n v="331068.58333333331"/>
    <n v="0"/>
    <n v="0"/>
  </r>
  <r>
    <s v="Юстал Герктар"/>
    <x v="4"/>
    <s v="Т"/>
    <m/>
    <m/>
    <s v="Зол.Хол"/>
    <s v="Юл"/>
    <s v="Юл"/>
    <x v="119"/>
    <m/>
    <m/>
    <n v="65.714285714285708"/>
    <n v="56"/>
    <n v="79"/>
    <n v="67"/>
    <n v="79"/>
    <n v="67"/>
    <n v="67"/>
    <n v="45"/>
    <n v="0"/>
    <n v="1501751"/>
    <n v="125145.91666666667"/>
    <n v="0"/>
    <n v="125145.91666666667"/>
    <n v="0"/>
    <n v="0"/>
  </r>
  <r>
    <s v="Ягуззи"/>
    <x v="4"/>
    <s v="Т"/>
    <m/>
    <m/>
    <s v="Мам"/>
    <s v="Мам"/>
    <s v="Мам"/>
    <x v="119"/>
    <m/>
    <m/>
    <n v="68.428571428571431"/>
    <n v="43"/>
    <n v="84"/>
    <n v="78"/>
    <n v="77"/>
    <n v="68"/>
    <n v="76"/>
    <n v="53"/>
    <n v="0"/>
    <n v="2250997"/>
    <n v="187583.08333333334"/>
    <n v="0"/>
    <n v="187583.08333333334"/>
    <n v="0"/>
    <n v="0"/>
  </r>
  <r>
    <s v="Як Бьюри"/>
    <x v="4"/>
    <s v="Т"/>
    <m/>
    <m/>
    <s v="Д.С."/>
    <s v="Лион"/>
    <s v="Лион"/>
    <x v="119"/>
    <m/>
    <m/>
    <n v="90.285714285714292"/>
    <n v="92"/>
    <n v="89"/>
    <n v="94"/>
    <n v="89"/>
    <n v="88"/>
    <n v="89"/>
    <n v="91"/>
    <n v="0"/>
    <n v="35990708"/>
    <n v="2999225.6666666665"/>
    <n v="0"/>
    <n v="2999225.6666666665"/>
    <n v="0"/>
    <n v="0"/>
  </r>
  <r>
    <s v="Тогурик Том"/>
    <x v="4"/>
    <s v="Т"/>
    <m/>
    <m/>
    <m/>
    <s v="Нал"/>
    <s v="Нал"/>
    <x v="14"/>
    <s v="Эвон"/>
    <m/>
    <n v="61.142857142857146"/>
    <n v="40"/>
    <n v="61"/>
    <n v="65"/>
    <n v="62"/>
    <n v="70"/>
    <n v="80"/>
    <n v="50"/>
    <n v="0"/>
    <n v="730226"/>
    <n v="60852.166666666664"/>
    <n v="0"/>
    <n v="60852.166666666664"/>
    <n v="0"/>
    <n v="0"/>
  </r>
  <r>
    <s v="Колкий Борис"/>
    <x v="4"/>
    <s v="Т"/>
    <m/>
    <m/>
    <m/>
    <s v="Кут"/>
    <s v="Кут"/>
    <x v="15"/>
    <s v="Эвон"/>
    <m/>
    <n v="77.714285714285708"/>
    <n v="60"/>
    <n v="75"/>
    <n v="80"/>
    <n v="85"/>
    <n v="80"/>
    <n v="84"/>
    <n v="80"/>
    <n v="0"/>
    <n v="8035421"/>
    <n v="669618.41666666663"/>
    <n v="0"/>
    <n v="669618.41666666663"/>
    <n v="0"/>
    <n v="0"/>
  </r>
  <r>
    <s v="Дюгба Антолий"/>
    <x v="4"/>
    <s v="Т"/>
    <m/>
    <m/>
    <m/>
    <s v="Орех"/>
    <s v="Орех"/>
    <x v="32"/>
    <s v="Эвон"/>
    <m/>
    <n v="62.142857142857146"/>
    <n v="44"/>
    <n v="80"/>
    <n v="60"/>
    <n v="62"/>
    <n v="74"/>
    <n v="60"/>
    <n v="55"/>
    <n v="0"/>
    <n v="858840"/>
    <n v="71570"/>
    <n v="0"/>
    <n v="71570"/>
    <n v="0"/>
    <n v="0"/>
  </r>
  <r>
    <s v="Каньелис Угвей"/>
    <x v="4"/>
    <s v="Т"/>
    <m/>
    <m/>
    <m/>
    <s v="Вал"/>
    <s v="Вал"/>
    <x v="38"/>
    <s v="Эвон"/>
    <m/>
    <n v="65.428571428571431"/>
    <n v="40"/>
    <n v="95"/>
    <n v="85"/>
    <n v="60"/>
    <n v="62"/>
    <n v="56"/>
    <n v="60"/>
    <n v="0"/>
    <n v="1437721"/>
    <n v="119810.08333333333"/>
    <n v="0"/>
    <n v="119810.08333333333"/>
    <n v="0"/>
    <n v="0"/>
  </r>
  <r>
    <s v="Алиссе Луран"/>
    <x v="4"/>
    <s v="Т"/>
    <m/>
    <m/>
    <m/>
    <s v="Павс"/>
    <s v="Павс"/>
    <x v="59"/>
    <s v="Эвон"/>
    <m/>
    <n v="79.428571428571431"/>
    <n v="60"/>
    <n v="80"/>
    <n v="80"/>
    <n v="95"/>
    <n v="80"/>
    <n v="81"/>
    <n v="80"/>
    <n v="0"/>
    <n v="9994649"/>
    <n v="832887.41666666663"/>
    <n v="0"/>
    <n v="832887.41666666663"/>
    <n v="0"/>
    <n v="0"/>
  </r>
  <r>
    <s v="Нолий Раскар"/>
    <x v="4"/>
    <s v="Т"/>
    <m/>
    <m/>
    <m/>
    <s v="Снег"/>
    <s v="Снег"/>
    <x v="84"/>
    <s v="Эвон"/>
    <m/>
    <n v="59.285714285714285"/>
    <n v="37"/>
    <n v="61"/>
    <n v="83"/>
    <n v="64"/>
    <n v="62"/>
    <n v="66"/>
    <n v="42"/>
    <n v="0"/>
    <n v="536415"/>
    <n v="44701.25"/>
    <n v="0"/>
    <n v="44701.25"/>
    <n v="0"/>
    <n v="0"/>
  </r>
  <r>
    <s v="Эвиш Ласкес"/>
    <x v="4"/>
    <s v="Т"/>
    <m/>
    <m/>
    <m/>
    <s v="Киш"/>
    <s v="Киш"/>
    <x v="91"/>
    <s v="Эвон"/>
    <m/>
    <n v="82.285714285714292"/>
    <n v="85"/>
    <n v="83"/>
    <n v="80"/>
    <n v="84"/>
    <n v="80"/>
    <n v="88"/>
    <n v="76"/>
    <n v="0"/>
    <n v="14231296"/>
    <n v="1185941.3333333333"/>
    <n v="0"/>
    <n v="1185941.3333333333"/>
    <n v="0"/>
    <n v="0"/>
  </r>
  <r>
    <s v="Хугура Велий"/>
    <x v="4"/>
    <s v="Т"/>
    <m/>
    <m/>
    <m/>
    <s v="Орех"/>
    <s v="Орех"/>
    <x v="103"/>
    <s v="Эвон"/>
    <m/>
    <n v="71.571428571428569"/>
    <n v="50"/>
    <n v="75"/>
    <n v="74"/>
    <n v="76"/>
    <n v="87"/>
    <n v="89"/>
    <n v="50"/>
    <n v="0"/>
    <n v="3526931"/>
    <n v="293910.91666666669"/>
    <n v="0"/>
    <n v="293910.91666666669"/>
    <n v="0"/>
    <n v="0"/>
  </r>
  <r>
    <s v="Цэдиантон Яж"/>
    <x v="4"/>
    <s v="Т"/>
    <m/>
    <m/>
    <m/>
    <s v="К.К."/>
    <s v="К.К."/>
    <x v="110"/>
    <s v="Эвон"/>
    <m/>
    <n v="81.714285714285708"/>
    <n v="80"/>
    <n v="88"/>
    <n v="86"/>
    <n v="87"/>
    <n v="80"/>
    <n v="76"/>
    <n v="75"/>
    <n v="0"/>
    <n v="13273330"/>
    <n v="1106110.8333333333"/>
    <n v="0"/>
    <n v="1106110.8333333333"/>
    <n v="0"/>
    <n v="0"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  <r>
    <m/>
    <x v="5"/>
    <m/>
    <m/>
    <m/>
    <m/>
    <m/>
    <m/>
    <x v="119"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6">
  <r>
    <s v="Бэйгуш-Морэль"/>
    <s v="В"/>
    <s v="В"/>
    <m/>
    <m/>
    <m/>
    <s v="Сул"/>
    <s v="Сул"/>
    <x v="0"/>
    <x v="0"/>
    <m/>
    <n v="61.142857142857146"/>
    <n v="16"/>
    <n v="77"/>
    <n v="69"/>
    <n v="75"/>
    <n v="77"/>
    <n v="79"/>
    <n v="35"/>
    <n v="0"/>
    <n v="730226"/>
    <n v="60852.166666666664"/>
    <n v="0"/>
  </r>
  <r>
    <s v="Жрэль Януарий"/>
    <s v="В"/>
    <s v="В"/>
    <m/>
    <m/>
    <m/>
    <s v="Сул"/>
    <s v="Сул"/>
    <x v="0"/>
    <x v="0"/>
    <m/>
    <n v="63.571428571428569"/>
    <n v="18"/>
    <n v="81"/>
    <n v="71"/>
    <n v="77"/>
    <n v="79"/>
    <n v="81"/>
    <n v="38"/>
    <n v="0"/>
    <n v="1078003"/>
    <n v="89833.583333333328"/>
    <n v="0"/>
  </r>
  <r>
    <s v="Денетц Рой"/>
    <s v="З"/>
    <s v="ЦЗ"/>
    <s v="ЛЗ"/>
    <m/>
    <m/>
    <s v="Сул"/>
    <s v="Сул"/>
    <x v="0"/>
    <x v="0"/>
    <m/>
    <n v="65"/>
    <n v="21"/>
    <n v="85"/>
    <n v="73"/>
    <n v="77"/>
    <n v="79"/>
    <n v="81"/>
    <n v="39"/>
    <n v="0"/>
    <n v="1346275"/>
    <n v="112189.58333333333"/>
    <n v="0"/>
  </r>
  <r>
    <s v="Лаггиззи"/>
    <s v="З"/>
    <s v="ПЗ"/>
    <s v="ЦЗ"/>
    <m/>
    <s v="Сул"/>
    <s v="Сул"/>
    <s v="Сул"/>
    <x v="0"/>
    <x v="0"/>
    <m/>
    <n v="84.142857142857139"/>
    <n v="70"/>
    <n v="96"/>
    <n v="80"/>
    <n v="87"/>
    <n v="86"/>
    <n v="84"/>
    <n v="86"/>
    <n v="27"/>
    <n v="26684792"/>
    <n v="2223732.6666666665"/>
    <n v="0"/>
  </r>
  <r>
    <s v="Ортонс Люкси"/>
    <s v="З"/>
    <s v="ЦЗ"/>
    <s v="ОПЗ"/>
    <m/>
    <m/>
    <s v="Сул"/>
    <s v="Сул"/>
    <x v="0"/>
    <x v="0"/>
    <m/>
    <n v="60.142857142857146"/>
    <n v="16"/>
    <n v="80"/>
    <n v="67"/>
    <n v="73"/>
    <n v="75"/>
    <n v="77"/>
    <n v="33"/>
    <n v="0"/>
    <n v="619214"/>
    <n v="51601.166666666664"/>
    <n v="0"/>
  </r>
  <r>
    <s v="Саор Кириан"/>
    <s v="З"/>
    <s v="ЛЗ"/>
    <s v="ЦЗ"/>
    <m/>
    <m/>
    <s v="Сул"/>
    <s v="Сул"/>
    <x v="0"/>
    <x v="0"/>
    <m/>
    <n v="64.571428571428569"/>
    <n v="20"/>
    <n v="84"/>
    <n v="73"/>
    <n v="77"/>
    <n v="79"/>
    <n v="81"/>
    <n v="38"/>
    <n v="0"/>
    <n v="1260097"/>
    <n v="105008.08333333333"/>
    <n v="0"/>
  </r>
  <r>
    <s v="ТьюндрТаг"/>
    <s v="З"/>
    <s v="ПЗ"/>
    <s v="ЦЗ"/>
    <m/>
    <m/>
    <s v="Сул"/>
    <s v="Сул"/>
    <x v="0"/>
    <x v="0"/>
    <m/>
    <n v="62.857142857142854"/>
    <n v="19"/>
    <n v="83"/>
    <n v="71"/>
    <n v="75"/>
    <n v="77"/>
    <n v="79"/>
    <n v="36"/>
    <n v="0"/>
    <n v="962823"/>
    <n v="80235.25"/>
    <n v="0"/>
  </r>
  <r>
    <s v="Ураэт Ян"/>
    <s v="З"/>
    <s v="ПЗ"/>
    <s v="ЛЗ"/>
    <m/>
    <m/>
    <s v="Сул"/>
    <s v="Сул"/>
    <x v="0"/>
    <x v="0"/>
    <m/>
    <n v="59.857142857142854"/>
    <n v="16"/>
    <n v="79"/>
    <n v="67"/>
    <n v="73"/>
    <n v="75"/>
    <n v="77"/>
    <n v="32"/>
    <n v="0"/>
    <n v="590419"/>
    <n v="49201.583333333336"/>
    <n v="0"/>
  </r>
  <r>
    <s v="Дайавш Эрл"/>
    <s v="Н"/>
    <s v="ОФ"/>
    <s v="ЦН"/>
    <m/>
    <m/>
    <s v="Сул"/>
    <s v="Сул"/>
    <x v="0"/>
    <x v="0"/>
    <m/>
    <n v="60.142857142857146"/>
    <n v="17"/>
    <n v="79"/>
    <n v="67"/>
    <n v="73"/>
    <n v="75"/>
    <n v="77"/>
    <n v="33"/>
    <n v="0"/>
    <n v="619214"/>
    <n v="51601.166666666664"/>
    <n v="0"/>
  </r>
  <r>
    <s v="Нортк Дан"/>
    <s v="Н"/>
    <s v="ОФ"/>
    <s v="ЦН"/>
    <m/>
    <m/>
    <s v="Сул"/>
    <s v="Сул"/>
    <x v="0"/>
    <x v="0"/>
    <m/>
    <n v="69"/>
    <n v="36"/>
    <n v="81"/>
    <n v="75"/>
    <n v="80"/>
    <n v="77"/>
    <n v="79"/>
    <n v="55"/>
    <n v="0"/>
    <n v="2446195"/>
    <n v="69941.666666666672"/>
    <n v="0"/>
  </r>
  <r>
    <s v="Туэльдо Торвальд"/>
    <s v="Н"/>
    <s v="ЦН"/>
    <s v="ОФ"/>
    <m/>
    <m/>
    <s v="Сул"/>
    <s v="Сул"/>
    <x v="0"/>
    <x v="0"/>
    <m/>
    <n v="72.285714285714292"/>
    <n v="24"/>
    <n v="90"/>
    <n v="83"/>
    <n v="85"/>
    <n v="87"/>
    <n v="89"/>
    <n v="48"/>
    <n v="0"/>
    <n v="3895156"/>
    <n v="324596.33333333331"/>
    <n v="0"/>
  </r>
  <r>
    <s v="Алиан Техе"/>
    <s v="П"/>
    <s v="АПЗ"/>
    <s v="ЦН"/>
    <s v="ЦПЗ"/>
    <s v="Нал"/>
    <s v="Нал"/>
    <s v="Нал"/>
    <x v="0"/>
    <x v="0"/>
    <m/>
    <n v="95.428571428571431"/>
    <n v="100"/>
    <n v="90"/>
    <n v="100"/>
    <n v="100"/>
    <n v="90"/>
    <n v="88"/>
    <n v="100"/>
    <n v="13"/>
    <n v="93945393"/>
    <n v="7828782.75"/>
    <n v="0"/>
  </r>
  <r>
    <s v="Денетц Дар"/>
    <s v="П"/>
    <s v="ОПЗ"/>
    <s v="ЦПЗ"/>
    <m/>
    <m/>
    <s v="Сул"/>
    <s v="Сул"/>
    <x v="0"/>
    <x v="0"/>
    <m/>
    <n v="61.857142857142854"/>
    <n v="18"/>
    <n v="81"/>
    <n v="69"/>
    <n v="75"/>
    <n v="77"/>
    <n v="79"/>
    <n v="34"/>
    <n v="0"/>
    <n v="820160"/>
    <n v="68346.666666666672"/>
    <n v="0"/>
  </r>
  <r>
    <s v="Кндрэль Кайус"/>
    <s v="П"/>
    <s v="ЦПЗ"/>
    <s v="ОПЗ"/>
    <m/>
    <m/>
    <s v="Сул"/>
    <s v="Сул"/>
    <x v="0"/>
    <x v="0"/>
    <m/>
    <n v="60.857142857142854"/>
    <n v="17"/>
    <n v="80"/>
    <n v="68"/>
    <n v="74"/>
    <n v="76"/>
    <n v="78"/>
    <n v="33"/>
    <n v="0"/>
    <n v="696812"/>
    <n v="58067.666666666664"/>
    <n v="0"/>
  </r>
  <r>
    <s v="Морэль Кс"/>
    <s v="П"/>
    <s v="ППЗ"/>
    <s v="АПЗ"/>
    <m/>
    <m/>
    <s v="Сул"/>
    <s v="Сул"/>
    <x v="0"/>
    <x v="0"/>
    <m/>
    <n v="68.857142857142861"/>
    <n v="22"/>
    <n v="88"/>
    <n v="79"/>
    <n v="81"/>
    <n v="83"/>
    <n v="85"/>
    <n v="44"/>
    <n v="0"/>
    <n v="2396018"/>
    <n v="199668.16666666666"/>
    <n v="0"/>
  </r>
  <r>
    <s v="Морэль Пол"/>
    <s v="П"/>
    <s v="АПЗ"/>
    <s v="ЦПЗ"/>
    <m/>
    <m/>
    <s v="Сул"/>
    <s v="Сул"/>
    <x v="0"/>
    <x v="0"/>
    <m/>
    <n v="64.714285714285708"/>
    <n v="19"/>
    <n v="85"/>
    <n v="72"/>
    <n v="78"/>
    <n v="80"/>
    <n v="82"/>
    <n v="37"/>
    <n v="0"/>
    <n v="1288255"/>
    <n v="107354.58333333333"/>
    <n v="0"/>
  </r>
  <r>
    <s v="Саамор Стан"/>
    <s v="П"/>
    <s v="ЛПЗ"/>
    <s v="ОПЗ"/>
    <m/>
    <m/>
    <s v="Сул"/>
    <s v="Сул"/>
    <x v="0"/>
    <x v="0"/>
    <m/>
    <n v="58.285714285714285"/>
    <n v="16"/>
    <n v="77"/>
    <n v="65"/>
    <n v="71"/>
    <n v="73"/>
    <n v="75"/>
    <n v="31"/>
    <n v="0"/>
    <n v="452503"/>
    <n v="37708.583333333336"/>
    <n v="0"/>
  </r>
  <r>
    <s v="Тайгуш Мэйс"/>
    <s v="П"/>
    <s v="ОПЗ"/>
    <s v="ЦЗ"/>
    <m/>
    <m/>
    <s v="Сул"/>
    <s v="Сул"/>
    <x v="0"/>
    <x v="0"/>
    <m/>
    <n v="70.142857142857139"/>
    <n v="23"/>
    <n v="89"/>
    <n v="79"/>
    <n v="83"/>
    <n v="85"/>
    <n v="87"/>
    <n v="45"/>
    <n v="0"/>
    <n v="2882933"/>
    <n v="240244.41666666666"/>
    <n v="0"/>
  </r>
  <r>
    <s v="Талкест Ирж"/>
    <s v="П"/>
    <s v="ЛПЗ"/>
    <s v="ЦПЗ"/>
    <m/>
    <m/>
    <s v="Сул"/>
    <s v="Сул"/>
    <x v="0"/>
    <x v="0"/>
    <m/>
    <n v="62.285714285714285"/>
    <n v="18"/>
    <n v="83"/>
    <n v="69"/>
    <n v="75"/>
    <n v="77"/>
    <n v="79"/>
    <n v="35"/>
    <n v="0"/>
    <n v="878789"/>
    <n v="73232.416666666672"/>
    <n v="0"/>
  </r>
  <r>
    <s v="Юрал Остин"/>
    <s v="Т"/>
    <s v="Т"/>
    <m/>
    <m/>
    <m/>
    <s v="Сул"/>
    <s v="Сул"/>
    <x v="0"/>
    <x v="0"/>
    <m/>
    <n v="62.285714285714285"/>
    <n v="17"/>
    <n v="79"/>
    <n v="70"/>
    <n v="76"/>
    <n v="78"/>
    <n v="80"/>
    <n v="36"/>
    <n v="0"/>
    <n v="878789"/>
    <n v="73232.416666666672"/>
    <n v="0"/>
  </r>
  <r>
    <s v="Стонли Картер"/>
    <s v="В"/>
    <s v="В"/>
    <m/>
    <m/>
    <m/>
    <s v="Бел"/>
    <s v="Бел"/>
    <x v="1"/>
    <x v="0"/>
    <m/>
    <n v="65.571428571428569"/>
    <n v="24"/>
    <n v="75"/>
    <n v="73"/>
    <n v="79"/>
    <n v="81"/>
    <n v="83"/>
    <n v="44"/>
    <n v="0"/>
    <n v="1469422"/>
    <n v="122451.83333333333"/>
    <n v="0"/>
  </r>
  <r>
    <s v="Стоун (В)"/>
    <s v="В"/>
    <s v="В"/>
    <m/>
    <m/>
    <s v="Бел"/>
    <s v="Бел"/>
    <s v="Бел"/>
    <x v="1"/>
    <x v="0"/>
    <m/>
    <n v="76.142857142857139"/>
    <n v="47"/>
    <n v="76"/>
    <n v="80"/>
    <n v="80"/>
    <n v="85"/>
    <n v="85"/>
    <n v="80"/>
    <n v="30"/>
    <n v="9826141"/>
    <n v="818845.08333333337"/>
    <n v="0"/>
  </r>
  <r>
    <s v="Кларксон Дэрил"/>
    <s v="З"/>
    <s v="ЦЗ"/>
    <s v="ОПЗ"/>
    <m/>
    <m/>
    <s v="Бел"/>
    <s v="Бел"/>
    <x v="1"/>
    <x v="0"/>
    <m/>
    <n v="61.285714285714285"/>
    <n v="21"/>
    <n v="77"/>
    <n v="70"/>
    <n v="73"/>
    <n v="75"/>
    <n v="77"/>
    <n v="36"/>
    <n v="0"/>
    <n v="747468"/>
    <n v="62289"/>
    <n v="0"/>
  </r>
  <r>
    <s v="Мэйхью Рэндалл"/>
    <s v="З"/>
    <s v="ПЗ"/>
    <s v="ЦЗ"/>
    <m/>
    <m/>
    <s v="Бел"/>
    <s v="Бел"/>
    <x v="1"/>
    <x v="0"/>
    <m/>
    <n v="63.142857142857146"/>
    <n v="22"/>
    <n v="80"/>
    <n v="72"/>
    <n v="75"/>
    <n v="77"/>
    <n v="79"/>
    <n v="37"/>
    <n v="0"/>
    <n v="1007494"/>
    <n v="83957.833333333328"/>
    <n v="0"/>
  </r>
  <r>
    <s v="Пемброук Шелдон"/>
    <s v="З"/>
    <s v="ЛЗ"/>
    <s v="ЦЗ"/>
    <m/>
    <m/>
    <s v="Бел"/>
    <s v="Бел"/>
    <x v="1"/>
    <x v="0"/>
    <m/>
    <n v="61.428571428571431"/>
    <n v="21"/>
    <n v="79"/>
    <n v="70"/>
    <n v="73"/>
    <n v="75"/>
    <n v="77"/>
    <n v="35"/>
    <n v="0"/>
    <n v="765076"/>
    <n v="63756.333333333336"/>
    <n v="0"/>
  </r>
  <r>
    <s v="Уинслоу Грант"/>
    <s v="З"/>
    <s v="ПЗ"/>
    <s v="ЦЗ"/>
    <m/>
    <m/>
    <s v="Бел"/>
    <s v="Бел"/>
    <x v="1"/>
    <x v="0"/>
    <m/>
    <n v="65.142857142857139"/>
    <n v="23"/>
    <n v="83"/>
    <n v="74"/>
    <n v="77"/>
    <n v="79"/>
    <n v="81"/>
    <n v="39"/>
    <n v="0"/>
    <n v="1376158"/>
    <n v="114679.83333333333"/>
    <n v="0"/>
  </r>
  <r>
    <s v="Хенгель"/>
    <s v="З"/>
    <s v="ЦЗ"/>
    <s v="ЛЗ"/>
    <s v="ОПЗ"/>
    <s v="Рекс"/>
    <s v="Рекс"/>
    <s v="Рекс"/>
    <x v="1"/>
    <x v="0"/>
    <m/>
    <n v="86.714285714285708"/>
    <n v="80"/>
    <n v="83"/>
    <n v="90"/>
    <n v="89"/>
    <n v="92"/>
    <n v="91"/>
    <n v="82"/>
    <n v="26"/>
    <n v="36057680"/>
    <n v="2186265.4166666665"/>
    <n v="0"/>
  </r>
  <r>
    <s v="Марлоу Дэйн"/>
    <s v="Н"/>
    <s v="ОФ"/>
    <s v="ЦН"/>
    <m/>
    <m/>
    <s v="Бел"/>
    <s v="Бел"/>
    <x v="1"/>
    <x v="0"/>
    <m/>
    <n v="63"/>
    <n v="21"/>
    <n v="77"/>
    <n v="70"/>
    <n v="77"/>
    <n v="79"/>
    <n v="81"/>
    <n v="36"/>
    <n v="0"/>
    <n v="984931"/>
    <n v="82077.583333333328"/>
    <n v="0"/>
  </r>
  <r>
    <s v="Пакстон Эллсворт"/>
    <s v="Н"/>
    <s v="ЦН"/>
    <s v="ОФ"/>
    <m/>
    <m/>
    <s v="Бел"/>
    <s v="Бел"/>
    <x v="1"/>
    <x v="0"/>
    <m/>
    <n v="67.571428571428569"/>
    <n v="24"/>
    <n v="83"/>
    <n v="76"/>
    <n v="81"/>
    <n v="83"/>
    <n v="85"/>
    <n v="41"/>
    <n v="0"/>
    <n v="1984409"/>
    <n v="165367.41666666666"/>
    <n v="0"/>
  </r>
  <r>
    <s v="Хуарсес (Н)"/>
    <s v="Н"/>
    <s v="ЦН"/>
    <s v="ОФ"/>
    <m/>
    <s v="Шах"/>
    <s v="Бел"/>
    <s v="Бел"/>
    <x v="1"/>
    <x v="0"/>
    <m/>
    <n v="79.571428571428569"/>
    <n v="75"/>
    <n v="85"/>
    <n v="83"/>
    <n v="80"/>
    <n v="80"/>
    <n v="86"/>
    <n v="68"/>
    <n v="0"/>
    <n v="10175871"/>
    <n v="847989.25"/>
    <n v="0"/>
  </r>
  <r>
    <s v="Бэлчер Спенс"/>
    <s v="П"/>
    <s v="ЛПЗ"/>
    <s v="ЦПЗ"/>
    <m/>
    <m/>
    <s v="Бел"/>
    <s v="Бел"/>
    <x v="1"/>
    <x v="0"/>
    <m/>
    <n v="62.285714285714285"/>
    <n v="22"/>
    <n v="80"/>
    <n v="70"/>
    <n v="75"/>
    <n v="77"/>
    <n v="79"/>
    <n v="33"/>
    <n v="0"/>
    <n v="878789"/>
    <n v="73232.416666666672"/>
    <n v="0"/>
  </r>
  <r>
    <s v="Гохорн Кларк"/>
    <s v="П"/>
    <s v="ППЗ"/>
    <s v="ЛПЗ"/>
    <m/>
    <m/>
    <s v="Бел"/>
    <s v="Бел"/>
    <x v="1"/>
    <x v="0"/>
    <m/>
    <n v="70.285714285714292"/>
    <n v="27"/>
    <n v="88"/>
    <n v="80"/>
    <n v="83"/>
    <n v="85"/>
    <n v="87"/>
    <n v="42"/>
    <n v="0"/>
    <n v="2942190"/>
    <n v="245182.5"/>
    <n v="0"/>
  </r>
  <r>
    <s v="Кальмус"/>
    <s v="П"/>
    <s v="ОПЗ"/>
    <m/>
    <m/>
    <s v="Шах"/>
    <s v="Шах"/>
    <s v="Шах"/>
    <x v="1"/>
    <x v="0"/>
    <m/>
    <n v="54.285714285714285"/>
    <n v="54"/>
    <n v="62"/>
    <n v="52"/>
    <n v="52"/>
    <n v="66"/>
    <n v="59"/>
    <n v="35"/>
    <n v="0"/>
    <n v="222258"/>
    <n v="18521.5"/>
    <n v="0"/>
  </r>
  <r>
    <s v="Лэнгфорд Тревор"/>
    <s v="П"/>
    <s v="АПЗ"/>
    <s v="ЦПЗ"/>
    <m/>
    <m/>
    <s v="Бел"/>
    <s v="Бел"/>
    <x v="1"/>
    <x v="0"/>
    <m/>
    <n v="63"/>
    <n v="21"/>
    <n v="77"/>
    <n v="72"/>
    <n v="77"/>
    <n v="79"/>
    <n v="81"/>
    <n v="34"/>
    <n v="0"/>
    <n v="984931"/>
    <n v="82077.583333333328"/>
    <n v="0"/>
  </r>
  <r>
    <s v="Рэдклифф Морган"/>
    <s v="П"/>
    <s v="АПЗ"/>
    <s v="ППЗ"/>
    <m/>
    <m/>
    <s v="Бел"/>
    <s v="Бел"/>
    <x v="1"/>
    <x v="0"/>
    <m/>
    <n v="70"/>
    <n v="26"/>
    <n v="86"/>
    <n v="80"/>
    <n v="83"/>
    <n v="85"/>
    <n v="87"/>
    <n v="43"/>
    <n v="0"/>
    <n v="2824753"/>
    <n v="235396.08333333334"/>
    <n v="0"/>
  </r>
  <r>
    <s v="Стэнхоуп Ридли"/>
    <s v="П"/>
    <s v="ППЗ"/>
    <s v="АПЗ"/>
    <m/>
    <m/>
    <s v="Бел"/>
    <s v="Бел"/>
    <x v="1"/>
    <x v="0"/>
    <m/>
    <n v="60.857142857142854"/>
    <n v="20"/>
    <n v="75"/>
    <n v="68"/>
    <n v="75"/>
    <n v="77"/>
    <n v="79"/>
    <n v="32"/>
    <n v="0"/>
    <n v="696812"/>
    <n v="58067.666666666664"/>
    <n v="0"/>
  </r>
  <r>
    <s v="Уитмор Дэшл"/>
    <s v="П"/>
    <s v="ЛПЗ"/>
    <s v="ОПЗ"/>
    <m/>
    <m/>
    <s v="Бел"/>
    <s v="Бел"/>
    <x v="1"/>
    <x v="0"/>
    <m/>
    <n v="72.142857142857139"/>
    <n v="28"/>
    <n v="89"/>
    <n v="82"/>
    <n v="85"/>
    <n v="87"/>
    <n v="89"/>
    <n v="45"/>
    <n v="0"/>
    <n v="3818857"/>
    <n v="318238.08333333331"/>
    <n v="0"/>
  </r>
  <r>
    <s v="Фэрчайлд Брэдли"/>
    <s v="П"/>
    <s v="ЦПЗ"/>
    <s v="ОПЗ"/>
    <m/>
    <m/>
    <s v="Бел"/>
    <s v="Бел"/>
    <x v="1"/>
    <x v="0"/>
    <m/>
    <n v="65.571428571428569"/>
    <n v="23"/>
    <n v="81"/>
    <n v="76"/>
    <n v="81"/>
    <n v="79"/>
    <n v="81"/>
    <n v="38"/>
    <n v="0"/>
    <n v="1469422"/>
    <n v="122451.83333333333"/>
    <n v="0"/>
  </r>
  <r>
    <s v="Холлингс Кортни"/>
    <s v="П"/>
    <s v="ЦПЗ"/>
    <s v="ОПЗ"/>
    <m/>
    <m/>
    <s v="Бел"/>
    <s v="Бел"/>
    <x v="1"/>
    <x v="0"/>
    <m/>
    <n v="68.142857142857139"/>
    <n v="21"/>
    <n v="83"/>
    <n v="79"/>
    <n v="84"/>
    <n v="86"/>
    <n v="88"/>
    <n v="36"/>
    <n v="0"/>
    <n v="2158756"/>
    <n v="179896.33333333334"/>
    <n v="0"/>
  </r>
  <r>
    <s v="Брендвуд Холт"/>
    <s v="Т"/>
    <s v="Т"/>
    <m/>
    <m/>
    <m/>
    <s v="Бел"/>
    <s v="Бел"/>
    <x v="1"/>
    <x v="0"/>
    <m/>
    <n v="63.285714285714285"/>
    <n v="22"/>
    <n v="73"/>
    <n v="70"/>
    <n v="77"/>
    <n v="79"/>
    <n v="81"/>
    <n v="41"/>
    <n v="0"/>
    <n v="1030522"/>
    <n v="85876.833333333328"/>
    <n v="0"/>
  </r>
  <r>
    <s v="Велехов Арсений"/>
    <s v="В"/>
    <s v="В"/>
    <m/>
    <m/>
    <m/>
    <s v="Лищ"/>
    <s v="Лищ"/>
    <x v="2"/>
    <x v="0"/>
    <m/>
    <n v="70.714285714285708"/>
    <n v="38"/>
    <n v="73"/>
    <n v="74"/>
    <n v="78"/>
    <n v="82"/>
    <n v="79"/>
    <n v="71"/>
    <n v="0"/>
    <n v="3126595"/>
    <n v="260549.58333333334"/>
    <n v="0"/>
  </r>
  <r>
    <s v="Давр (В)"/>
    <s v="В"/>
    <s v="В"/>
    <m/>
    <m/>
    <s v="Лищ"/>
    <s v="Лищ"/>
    <s v="Лищ"/>
    <x v="2"/>
    <x v="0"/>
    <m/>
    <n v="80.571428571428569"/>
    <n v="70"/>
    <n v="80"/>
    <n v="86"/>
    <n v="80"/>
    <n v="85"/>
    <n v="84"/>
    <n v="79"/>
    <n v="31"/>
    <n v="17294257"/>
    <n v="1441188.0833333333"/>
    <n v="0"/>
  </r>
  <r>
    <s v="Братинов Домир"/>
    <s v="З"/>
    <s v="ПЗ"/>
    <s v="ЦЗ"/>
    <m/>
    <m/>
    <s v="Лищ"/>
    <s v="Лищ"/>
    <x v="2"/>
    <x v="0"/>
    <m/>
    <n v="72.571428571428569"/>
    <n v="42"/>
    <n v="76"/>
    <n v="81"/>
    <n v="79"/>
    <n v="77"/>
    <n v="80"/>
    <n v="73"/>
    <n v="0"/>
    <n v="4051882"/>
    <n v="337656.83333333331"/>
    <n v="0"/>
  </r>
  <r>
    <s v="Горстов"/>
    <s v="З"/>
    <s v="ЦЗ"/>
    <s v="ПЗ"/>
    <m/>
    <s v="Лищ"/>
    <s v="Лищ"/>
    <s v="Лищ"/>
    <x v="2"/>
    <x v="0"/>
    <m/>
    <n v="81.285714285714292"/>
    <n v="78"/>
    <n v="76"/>
    <n v="83"/>
    <n v="84"/>
    <n v="88"/>
    <n v="90"/>
    <n v="70"/>
    <n v="26"/>
    <n v="18890069"/>
    <n v="1574172.4166666667"/>
    <n v="0"/>
  </r>
  <r>
    <s v="Дроста (З)"/>
    <s v="З"/>
    <s v="ЛЗ"/>
    <s v="ЦЗ"/>
    <m/>
    <s v="Сар"/>
    <s v="Сар"/>
    <s v="Сар"/>
    <x v="2"/>
    <x v="0"/>
    <m/>
    <n v="88"/>
    <n v="86"/>
    <n v="90"/>
    <n v="84"/>
    <n v="93"/>
    <n v="89"/>
    <n v="86"/>
    <n v="88"/>
    <n v="28"/>
    <n v="41775147"/>
    <n v="3481262.25"/>
    <n v="0"/>
  </r>
  <r>
    <s v="Кривцов Светозар"/>
    <s v="З"/>
    <s v="ПЗ"/>
    <s v="ЛЗ"/>
    <m/>
    <m/>
    <s v="Лищ"/>
    <s v="Лищ"/>
    <x v="2"/>
    <x v="0"/>
    <m/>
    <n v="70.714285714285708"/>
    <n v="31"/>
    <n v="77"/>
    <n v="80"/>
    <n v="79"/>
    <n v="77"/>
    <n v="81"/>
    <n v="70"/>
    <n v="0"/>
    <n v="3126595"/>
    <n v="260549.58333333334"/>
    <n v="0"/>
  </r>
  <r>
    <s v="Надар (З)"/>
    <s v="З"/>
    <s v="ЦЗ"/>
    <s v="ПЗ"/>
    <m/>
    <s v="Ост"/>
    <s v="Ост"/>
    <s v="Ост"/>
    <x v="2"/>
    <x v="0"/>
    <m/>
    <n v="87.142857142857139"/>
    <n v="80"/>
    <n v="84"/>
    <n v="88"/>
    <n v="84"/>
    <n v="95"/>
    <n v="92"/>
    <n v="87"/>
    <n v="26"/>
    <n v="37879934"/>
    <n v="3156661.1666666665"/>
    <n v="0"/>
  </r>
  <r>
    <s v="Полинтром"/>
    <s v="З"/>
    <s v="ЦЗ"/>
    <s v="ОПЗ"/>
    <m/>
    <s v="Лищ"/>
    <s v="Лищ"/>
    <s v="Лищ"/>
    <x v="2"/>
    <x v="0"/>
    <m/>
    <n v="80.857142857142861"/>
    <n v="79"/>
    <n v="77"/>
    <n v="80"/>
    <n v="82"/>
    <n v="90"/>
    <n v="86"/>
    <n v="72"/>
    <n v="26"/>
    <n v="17917408"/>
    <n v="1493117.3333333333"/>
    <n v="0"/>
  </r>
  <r>
    <s v="Смоляров Добрыня"/>
    <s v="З"/>
    <s v="ЛЗ"/>
    <s v="ЦЗ"/>
    <m/>
    <m/>
    <s v="Лищ"/>
    <s v="Лищ"/>
    <x v="2"/>
    <x v="0"/>
    <m/>
    <n v="71.428571428571431"/>
    <n v="35"/>
    <n v="78"/>
    <n v="79"/>
    <n v="81"/>
    <n v="76"/>
    <n v="82"/>
    <n v="69"/>
    <n v="0"/>
    <n v="3457162"/>
    <n v="288096.83333333331"/>
    <n v="0"/>
  </r>
  <r>
    <s v="Твердинов Ратмир"/>
    <s v="З"/>
    <s v="ЦЗ"/>
    <s v="ОПЗ"/>
    <m/>
    <m/>
    <s v="Лищ"/>
    <s v="Лищ"/>
    <x v="2"/>
    <x v="0"/>
    <m/>
    <n v="73"/>
    <n v="47"/>
    <n v="74"/>
    <n v="80"/>
    <n v="78"/>
    <n v="81"/>
    <n v="79"/>
    <n v="72"/>
    <n v="0"/>
    <n v="4297626"/>
    <n v="358135.5"/>
    <n v="0"/>
  </r>
  <r>
    <s v="Уткин (З)"/>
    <s v="З"/>
    <s v="ЦЗ"/>
    <s v="ЛЗ"/>
    <m/>
    <s v="Лищ"/>
    <s v="Лищ"/>
    <s v="Лищ"/>
    <x v="2"/>
    <x v="0"/>
    <m/>
    <n v="83.285714285714292"/>
    <n v="80"/>
    <n v="76"/>
    <n v="90"/>
    <n v="80"/>
    <n v="88"/>
    <n v="89"/>
    <n v="80"/>
    <n v="28"/>
    <n v="24087760"/>
    <n v="2007313.3333333333"/>
    <n v="0"/>
  </r>
  <r>
    <s v="Вифлеев (Н)"/>
    <s v="Н"/>
    <s v="ЦН"/>
    <s v="АПЗ"/>
    <m/>
    <s v="Лищ"/>
    <s v="Лищ"/>
    <s v="Лищ"/>
    <x v="2"/>
    <x v="0"/>
    <m/>
    <n v="90.571428571428569"/>
    <n v="90"/>
    <n v="92"/>
    <n v="93"/>
    <n v="90"/>
    <n v="87"/>
    <n v="91"/>
    <n v="91"/>
    <n v="12"/>
    <n v="55719016"/>
    <n v="4643251.333333333"/>
    <n v="0"/>
  </r>
  <r>
    <s v="Кипренский (Н)"/>
    <s v="Н"/>
    <s v="ЦН"/>
    <s v="ОФ"/>
    <m/>
    <s v="Лищ"/>
    <s v="Лищ"/>
    <s v="Лищ"/>
    <x v="2"/>
    <x v="0"/>
    <m/>
    <n v="88.428571428571431"/>
    <n v="88"/>
    <n v="86"/>
    <n v="90"/>
    <n v="85"/>
    <n v="95"/>
    <n v="90"/>
    <n v="85"/>
    <n v="11"/>
    <n v="43854822"/>
    <n v="3654568.5"/>
    <n v="0"/>
  </r>
  <r>
    <s v="Осинов (Н)"/>
    <s v="Н"/>
    <s v="ОФ"/>
    <s v="ППЗ"/>
    <m/>
    <s v="Лищ"/>
    <s v="Лищ"/>
    <s v="Лищ"/>
    <x v="2"/>
    <x v="0"/>
    <m/>
    <n v="87.857142857142861"/>
    <n v="83"/>
    <n v="87"/>
    <n v="92"/>
    <n v="94"/>
    <n v="85"/>
    <n v="84"/>
    <n v="90"/>
    <n v="8"/>
    <n v="41101912"/>
    <n v="3425159.3333333335"/>
    <n v="0"/>
  </r>
  <r>
    <s v="Остромиров Радислав"/>
    <s v="Н"/>
    <s v="ЦН"/>
    <s v="ОФ"/>
    <m/>
    <m/>
    <s v="Лищ"/>
    <s v="Лищ"/>
    <x v="2"/>
    <x v="0"/>
    <m/>
    <n v="73.285714285714292"/>
    <n v="46"/>
    <n v="74"/>
    <n v="82"/>
    <n v="80"/>
    <n v="84"/>
    <n v="76"/>
    <n v="71"/>
    <n v="0"/>
    <n v="4468825"/>
    <n v="372402.08333333331"/>
    <n v="0"/>
  </r>
  <r>
    <s v="Вышеславский Гордей"/>
    <s v="П"/>
    <s v="ЦПЗ"/>
    <s v="ППЗ"/>
    <m/>
    <m/>
    <s v="Лищ"/>
    <s v="Лищ"/>
    <x v="2"/>
    <x v="0"/>
    <m/>
    <n v="72.857142857142861"/>
    <n v="37"/>
    <n v="79"/>
    <n v="83"/>
    <n v="81"/>
    <n v="80"/>
    <n v="79"/>
    <n v="71"/>
    <n v="0"/>
    <n v="4214261"/>
    <n v="351188.41666666669"/>
    <n v="0"/>
  </r>
  <r>
    <s v="Жданов Мирослав"/>
    <s v="П"/>
    <s v="ЦПЗ"/>
    <s v="АПЗ"/>
    <m/>
    <m/>
    <s v="Лищ"/>
    <s v="Лищ"/>
    <x v="2"/>
    <x v="0"/>
    <m/>
    <n v="71.857142857142861"/>
    <n v="39"/>
    <n v="82"/>
    <n v="78"/>
    <n v="81"/>
    <n v="75"/>
    <n v="78"/>
    <n v="70"/>
    <n v="0"/>
    <n v="3670283"/>
    <n v="305856.91666666669"/>
    <n v="0"/>
  </r>
  <r>
    <s v="Заславский Богдан"/>
    <s v="П"/>
    <s v="ЛПЗ"/>
    <s v="ЦПЗ"/>
    <m/>
    <m/>
    <s v="Лищ"/>
    <s v="Лищ"/>
    <x v="2"/>
    <x v="0"/>
    <m/>
    <n v="73.142857142857139"/>
    <n v="48"/>
    <n v="81"/>
    <n v="78"/>
    <n v="80"/>
    <n v="76"/>
    <n v="80"/>
    <n v="69"/>
    <n v="0"/>
    <n v="4382473"/>
    <n v="365206.08333333331"/>
    <n v="0"/>
  </r>
  <r>
    <s v="Коховский (П)"/>
    <s v="П"/>
    <s v="ЦПЗ"/>
    <s v="АПЗ"/>
    <m/>
    <s v="Лищ"/>
    <s v="Лищ"/>
    <s v="Лищ"/>
    <x v="2"/>
    <x v="0"/>
    <m/>
    <n v="91.571428571428569"/>
    <n v="86"/>
    <n v="84"/>
    <n v="93"/>
    <n v="98"/>
    <n v="97"/>
    <n v="95"/>
    <n v="88"/>
    <n v="18"/>
    <n v="62185790"/>
    <n v="5182149.166666667"/>
    <n v="0"/>
  </r>
  <r>
    <s v="Лесчинский (П)"/>
    <s v="П"/>
    <s v="ЦПЗ"/>
    <s v="ОПЗ"/>
    <m/>
    <s v="Лищ"/>
    <s v="Лищ"/>
    <s v="Лищ"/>
    <x v="2"/>
    <x v="0"/>
    <m/>
    <n v="89.571428571428569"/>
    <n v="85"/>
    <n v="89"/>
    <n v="89"/>
    <n v="94"/>
    <n v="91"/>
    <n v="89"/>
    <n v="90"/>
    <n v="22"/>
    <n v="49863903"/>
    <n v="4155325.25"/>
    <n v="0"/>
  </r>
  <r>
    <s v="Лясковский (П)"/>
    <s v="П"/>
    <s v="ОПЗ"/>
    <s v="ЦПЗ"/>
    <s v="ЦЗ"/>
    <s v="Лищ"/>
    <s v="Лищ"/>
    <s v="Лищ"/>
    <x v="2"/>
    <x v="0"/>
    <m/>
    <n v="90"/>
    <n v="90"/>
    <n v="92"/>
    <n v="86"/>
    <n v="91"/>
    <n v="90"/>
    <n v="88"/>
    <n v="93"/>
    <n v="23"/>
    <n v="52301767"/>
    <n v="4358480.583333333"/>
    <n v="0"/>
  </r>
  <r>
    <s v="Морозов Ярополк"/>
    <s v="П"/>
    <s v="ОПЗ"/>
    <s v="ЦПЗ"/>
    <m/>
    <m/>
    <s v="Лищ"/>
    <s v="Лищ"/>
    <x v="2"/>
    <x v="0"/>
    <m/>
    <n v="74.857142857142861"/>
    <n v="44"/>
    <n v="80"/>
    <n v="84"/>
    <n v="82"/>
    <n v="81"/>
    <n v="80"/>
    <n v="73"/>
    <n v="0"/>
    <n v="5525003"/>
    <n v="460416.91666666669"/>
    <n v="0"/>
  </r>
  <r>
    <s v="Оляс (П)"/>
    <s v="П"/>
    <s v="ЛПЗ"/>
    <s v="ОПЗ"/>
    <m/>
    <s v="Лищ"/>
    <s v="Лищ"/>
    <s v="Лищ"/>
    <x v="2"/>
    <x v="0"/>
    <m/>
    <n v="93.571428571428569"/>
    <n v="95"/>
    <n v="98"/>
    <n v="92"/>
    <n v="95"/>
    <n v="88"/>
    <n v="91"/>
    <n v="96"/>
    <n v="10"/>
    <n v="77183392"/>
    <n v="6431949.333333333"/>
    <n v="0"/>
  </r>
  <r>
    <s v="Ратмиров Велимир"/>
    <s v="П"/>
    <s v="ППЗ"/>
    <s v="АПЗ"/>
    <m/>
    <m/>
    <s v="Лищ"/>
    <s v="Лищ"/>
    <x v="2"/>
    <x v="0"/>
    <m/>
    <n v="70.428571428571431"/>
    <n v="33"/>
    <n v="80"/>
    <n v="77"/>
    <n v="81"/>
    <n v="75"/>
    <n v="79"/>
    <n v="68"/>
    <n v="0"/>
    <n v="3002540"/>
    <n v="250211.66666666666"/>
    <n v="0"/>
  </r>
  <r>
    <s v="Твайлен"/>
    <s v="П"/>
    <s v="ЦПЗ"/>
    <s v="ППЗ"/>
    <s v="ОПЗ"/>
    <s v="Лищ"/>
    <s v="Лищ"/>
    <s v="Лищ"/>
    <x v="2"/>
    <x v="0"/>
    <m/>
    <n v="83.857142857142861"/>
    <n v="73"/>
    <n v="84"/>
    <n v="85"/>
    <n v="87"/>
    <n v="85"/>
    <n v="88"/>
    <n v="85"/>
    <n v="18"/>
    <n v="25792407"/>
    <n v="1718100.4166666667"/>
    <n v="0"/>
  </r>
  <r>
    <s v="Тихомиров Влас"/>
    <s v="П"/>
    <s v="ОПЗ"/>
    <s v="ЦЗ"/>
    <m/>
    <m/>
    <s v="Лищ"/>
    <s v="Лищ"/>
    <x v="2"/>
    <x v="0"/>
    <m/>
    <n v="72.285714285714292"/>
    <n v="41"/>
    <n v="81"/>
    <n v="79"/>
    <n v="80"/>
    <n v="77"/>
    <n v="78"/>
    <n v="70"/>
    <n v="0"/>
    <n v="3895156"/>
    <n v="324596.33333333331"/>
    <n v="0"/>
  </r>
  <r>
    <s v="Квайтовский"/>
    <s v="Т"/>
    <s v="Т"/>
    <m/>
    <m/>
    <m/>
    <s v="Лищ"/>
    <s v="Лищ"/>
    <x v="2"/>
    <x v="0"/>
    <m/>
    <n v="87.857142857142861"/>
    <n v="73"/>
    <n v="88"/>
    <n v="94"/>
    <n v="92"/>
    <n v="96"/>
    <n v="91"/>
    <n v="81"/>
    <n v="0"/>
    <n v="27401275"/>
    <n v="2283439.5833333335"/>
    <n v="0"/>
  </r>
  <r>
    <s v="Брувис"/>
    <s v="В"/>
    <s v="В"/>
    <m/>
    <m/>
    <s v="Вар"/>
    <s v="Вар"/>
    <s v="Вар"/>
    <x v="3"/>
    <x v="0"/>
    <m/>
    <n v="80.142857142857139"/>
    <n v="70"/>
    <n v="80"/>
    <n v="80"/>
    <n v="80"/>
    <n v="87"/>
    <n v="89"/>
    <n v="75"/>
    <n v="0"/>
    <n v="10930706"/>
    <n v="910892.16666666663"/>
    <n v="0"/>
  </r>
  <r>
    <s v="Дарвис Илия"/>
    <s v="В"/>
    <s v="В"/>
    <m/>
    <m/>
    <s v="Вар"/>
    <s v="Вар"/>
    <s v="Вар"/>
    <x v="3"/>
    <x v="0"/>
    <m/>
    <n v="75.571428571428569"/>
    <n v="69"/>
    <n v="74"/>
    <n v="75"/>
    <n v="79"/>
    <n v="82"/>
    <n v="78"/>
    <n v="72"/>
    <n v="0"/>
    <n v="6075421"/>
    <n v="506285.08333333331"/>
    <n v="0"/>
  </r>
  <r>
    <s v="Сальжанеро (В)"/>
    <s v="В"/>
    <s v="В"/>
    <m/>
    <m/>
    <s v="Мал"/>
    <s v="В.И."/>
    <s v="В.И."/>
    <x v="3"/>
    <x v="0"/>
    <m/>
    <n v="86.428571428571431"/>
    <n v="75"/>
    <n v="85"/>
    <n v="87"/>
    <n v="85"/>
    <n v="90"/>
    <n v="92"/>
    <n v="91"/>
    <n v="31"/>
    <n v="34887079"/>
    <n v="2907256.5833333335"/>
    <n v="0"/>
  </r>
  <r>
    <s v="Айалла (З)"/>
    <s v="З"/>
    <s v="ЦЗ"/>
    <s v="ПЗ"/>
    <m/>
    <s v="Киш"/>
    <s v="Киш"/>
    <s v="Киш"/>
    <x v="3"/>
    <x v="0"/>
    <m/>
    <n v="91.285714285714292"/>
    <n v="90"/>
    <n v="84"/>
    <n v="100"/>
    <n v="87"/>
    <n v="94"/>
    <n v="91"/>
    <n v="93"/>
    <n v="1"/>
    <n v="60272533"/>
    <n v="5022711.083333333"/>
    <n v="0"/>
  </r>
  <r>
    <s v="Армаш (З)"/>
    <s v="З"/>
    <s v="ЦЗ"/>
    <s v="ОПЗ"/>
    <s v="ЛЗ"/>
    <s v="Вар"/>
    <s v="Вар"/>
    <s v="Вар"/>
    <x v="3"/>
    <x v="0"/>
    <m/>
    <n v="87.714285714285708"/>
    <n v="81"/>
    <n v="80"/>
    <n v="97"/>
    <n v="90"/>
    <n v="87"/>
    <n v="99"/>
    <n v="80"/>
    <n v="1"/>
    <n v="40438457"/>
    <n v="3369871.4166666665"/>
    <n v="0"/>
  </r>
  <r>
    <s v="Баллак Драган"/>
    <s v="З"/>
    <s v="ЛЗ"/>
    <s v="ЦЗ"/>
    <m/>
    <s v="Вар"/>
    <s v="Вар"/>
    <s v="Вар"/>
    <x v="3"/>
    <x v="0"/>
    <m/>
    <n v="77.285714285714292"/>
    <n v="70"/>
    <n v="79"/>
    <n v="80"/>
    <n v="82"/>
    <n v="77"/>
    <n v="83"/>
    <n v="70"/>
    <n v="0"/>
    <n v="7603128"/>
    <n v="633594"/>
    <n v="0"/>
  </r>
  <r>
    <s v="Вегер (З)"/>
    <s v="З"/>
    <s v="ЦЗ"/>
    <s v="ЛЗ"/>
    <m/>
    <s v="Вар"/>
    <s v="Вар"/>
    <s v="Вар"/>
    <x v="3"/>
    <x v="0"/>
    <m/>
    <n v="89.714285714285708"/>
    <n v="82"/>
    <n v="82"/>
    <n v="92"/>
    <n v="93"/>
    <n v="94"/>
    <n v="95"/>
    <n v="90"/>
    <n v="26"/>
    <n v="50664913"/>
    <n v="4222076.083333333"/>
    <n v="0"/>
  </r>
  <r>
    <s v="Вермар Тихомир"/>
    <s v="З"/>
    <s v="ЦЗ"/>
    <s v="ОПЗ"/>
    <m/>
    <s v="Вар"/>
    <s v="Вар"/>
    <s v="Вар"/>
    <x v="3"/>
    <x v="0"/>
    <m/>
    <n v="77.285714285714292"/>
    <n v="71"/>
    <n v="75"/>
    <n v="81"/>
    <n v="79"/>
    <n v="82"/>
    <n v="80"/>
    <n v="73"/>
    <n v="0"/>
    <n v="7603128"/>
    <n v="633594"/>
    <n v="0"/>
  </r>
  <r>
    <s v="Гормеш Стоян"/>
    <s v="З"/>
    <s v="ПЗ"/>
    <s v="ЦЗ"/>
    <m/>
    <s v="Вар"/>
    <s v="Вар"/>
    <s v="Вар"/>
    <x v="3"/>
    <x v="0"/>
    <m/>
    <n v="77.857142857142861"/>
    <n v="73"/>
    <n v="77"/>
    <n v="82"/>
    <n v="80"/>
    <n v="78"/>
    <n v="81"/>
    <n v="74"/>
    <n v="0"/>
    <n v="8184359"/>
    <n v="682029.91666666663"/>
    <n v="0"/>
  </r>
  <r>
    <s v="Гульшер (З)"/>
    <s v="З"/>
    <s v="ЛЗ"/>
    <s v="ПЗ"/>
    <m/>
    <s v="Вар"/>
    <s v="Вар"/>
    <s v="Вар"/>
    <x v="3"/>
    <x v="0"/>
    <m/>
    <n v="83"/>
    <n v="72"/>
    <n v="89"/>
    <n v="92"/>
    <n v="81"/>
    <n v="84"/>
    <n v="88"/>
    <n v="75"/>
    <n v="26"/>
    <n v="23274062"/>
    <n v="1939505.1666666667"/>
    <n v="0"/>
  </r>
  <r>
    <s v="Столла"/>
    <s v="З"/>
    <s v="ЦЗ"/>
    <s v="ПЗ"/>
    <m/>
    <s v="Вар"/>
    <s v="Вар"/>
    <s v="Вар"/>
    <x v="3"/>
    <x v="0"/>
    <m/>
    <n v="81.571428571428569"/>
    <n v="65"/>
    <n v="85"/>
    <n v="90"/>
    <n v="82"/>
    <n v="85"/>
    <n v="90"/>
    <n v="74"/>
    <n v="26"/>
    <n v="19564644"/>
    <n v="1630387"/>
    <n v="0"/>
  </r>
  <r>
    <s v="Струвис Радован"/>
    <s v="З"/>
    <s v="ПЗ"/>
    <s v="ЛЗ"/>
    <m/>
    <s v="Вар"/>
    <s v="Вар"/>
    <s v="Вар"/>
    <x v="3"/>
    <x v="0"/>
    <m/>
    <n v="75.142857142857139"/>
    <n v="68"/>
    <n v="76"/>
    <n v="79"/>
    <n v="78"/>
    <n v="76"/>
    <n v="80"/>
    <n v="69"/>
    <n v="0"/>
    <n v="5739540"/>
    <n v="478295"/>
    <n v="0"/>
  </r>
  <r>
    <s v="Бормир (Н)"/>
    <s v="Н"/>
    <s v="ОФ"/>
    <s v="ЛПЗ"/>
    <m/>
    <s v="Вар"/>
    <s v="Вар"/>
    <s v="Вар"/>
    <x v="3"/>
    <x v="0"/>
    <m/>
    <n v="89"/>
    <n v="85"/>
    <n v="92"/>
    <n v="90"/>
    <n v="91"/>
    <n v="93"/>
    <n v="83"/>
    <n v="89"/>
    <n v="11"/>
    <n v="46772580"/>
    <n v="3897715"/>
    <n v="0"/>
  </r>
  <r>
    <s v="Бормислав Влатко"/>
    <s v="Н"/>
    <s v="ЦН"/>
    <s v="ОФ"/>
    <m/>
    <s v="Вар"/>
    <s v="Вар"/>
    <s v="Вар"/>
    <x v="3"/>
    <x v="0"/>
    <m/>
    <n v="76.714285714285708"/>
    <n v="73"/>
    <n v="75"/>
    <n v="81"/>
    <n v="79"/>
    <n v="83"/>
    <n v="76"/>
    <n v="70"/>
    <n v="0"/>
    <n v="7059314"/>
    <n v="588276.16666666663"/>
    <n v="0"/>
  </r>
  <r>
    <s v="Варгон"/>
    <s v="Н"/>
    <s v="ЦН"/>
    <m/>
    <m/>
    <s v="Вар"/>
    <s v="Вар"/>
    <s v="Вар"/>
    <x v="3"/>
    <x v="0"/>
    <m/>
    <n v="80.142857142857139"/>
    <n v="72"/>
    <n v="80"/>
    <n v="86"/>
    <n v="81"/>
    <n v="90"/>
    <n v="92"/>
    <n v="60"/>
    <n v="6"/>
    <n v="16396059"/>
    <n v="882414.16666666663"/>
    <n v="0"/>
  </r>
  <r>
    <s v="Вирравек (Н)"/>
    <s v="Н"/>
    <s v="ЦН"/>
    <s v="АПЗ"/>
    <s v="ОФ"/>
    <s v="Вар"/>
    <s v="Вар"/>
    <s v="Вар"/>
    <x v="3"/>
    <x v="0"/>
    <m/>
    <n v="88.857142857142861"/>
    <n v="84"/>
    <n v="85"/>
    <n v="94"/>
    <n v="90"/>
    <n v="85"/>
    <n v="91"/>
    <n v="93"/>
    <n v="7"/>
    <n v="46027216"/>
    <n v="3835601.3333333335"/>
    <n v="0"/>
  </r>
  <r>
    <s v="Реш (Н)"/>
    <s v="Н"/>
    <s v="ЦН"/>
    <m/>
    <m/>
    <s v="Вар"/>
    <s v="Вар"/>
    <s v="Вар"/>
    <x v="3"/>
    <x v="0"/>
    <m/>
    <n v="82.571428571428569"/>
    <n v="70"/>
    <n v="82"/>
    <n v="92"/>
    <n v="80"/>
    <n v="94"/>
    <n v="95"/>
    <n v="65"/>
    <n v="6"/>
    <n v="22099846"/>
    <n v="1519708.25"/>
    <n v="0"/>
  </r>
  <r>
    <s v="Аршев Боривое"/>
    <s v="П"/>
    <s v="ОПЗ"/>
    <s v="ЦПЗ"/>
    <m/>
    <s v="Вар"/>
    <s v="Вар"/>
    <s v="Вар"/>
    <x v="3"/>
    <x v="0"/>
    <m/>
    <n v="80.142857142857139"/>
    <n v="75"/>
    <n v="81"/>
    <n v="85"/>
    <n v="83"/>
    <n v="82"/>
    <n v="81"/>
    <n v="74"/>
    <n v="0"/>
    <n v="10930706"/>
    <n v="910892.16666666663"/>
    <n v="0"/>
  </r>
  <r>
    <s v="Варварра (П)"/>
    <s v="П"/>
    <s v="ОПЗ"/>
    <s v="ЦПЗ"/>
    <s v="ЦЗ"/>
    <s v="Вар"/>
    <s v="Вар"/>
    <s v="Вар"/>
    <x v="3"/>
    <x v="0"/>
    <m/>
    <n v="91.428571428571431"/>
    <n v="90"/>
    <n v="88"/>
    <n v="91"/>
    <n v="90"/>
    <n v="98"/>
    <n v="97"/>
    <n v="86"/>
    <n v="18"/>
    <n v="61222435"/>
    <n v="5101869.583333333"/>
    <n v="0"/>
  </r>
  <r>
    <s v="Вивойчик (П)"/>
    <s v="П"/>
    <s v="ОПЗ"/>
    <s v="ЦЗ"/>
    <m/>
    <s v="Вар"/>
    <s v="Вар"/>
    <s v="Вар"/>
    <x v="3"/>
    <x v="0"/>
    <m/>
    <n v="90"/>
    <n v="89"/>
    <n v="89"/>
    <n v="90"/>
    <n v="91"/>
    <n v="94"/>
    <n v="93"/>
    <n v="84"/>
    <n v="17"/>
    <n v="52301767"/>
    <n v="4358480.583333333"/>
    <n v="0"/>
  </r>
  <r>
    <s v="Вишнер Горан"/>
    <s v="П"/>
    <s v="ЦПЗ"/>
    <s v="АПЗ"/>
    <m/>
    <s v="Вар"/>
    <s v="Вар"/>
    <s v="Вар"/>
    <x v="3"/>
    <x v="0"/>
    <m/>
    <n v="77.714285714285708"/>
    <n v="74"/>
    <n v="83"/>
    <n v="79"/>
    <n v="82"/>
    <n v="76"/>
    <n v="79"/>
    <n v="71"/>
    <n v="0"/>
    <n v="8035421"/>
    <n v="669618.41666666663"/>
    <n v="0"/>
  </r>
  <r>
    <s v="Гуллев Милен"/>
    <s v="П"/>
    <s v="ЛПЗ"/>
    <s v="ЦПЗ"/>
    <m/>
    <s v="Вар"/>
    <s v="Вар"/>
    <s v="Вар"/>
    <x v="3"/>
    <x v="0"/>
    <m/>
    <n v="76.571428571428569"/>
    <n v="72"/>
    <n v="81"/>
    <n v="78"/>
    <n v="80"/>
    <n v="76"/>
    <n v="80"/>
    <n v="69"/>
    <n v="0"/>
    <n v="6928952"/>
    <n v="577412.66666666663"/>
    <n v="0"/>
  </r>
  <r>
    <s v="Корсмар"/>
    <s v="П"/>
    <s v="ОПЗ"/>
    <s v="ЦЗ"/>
    <s v="ЦПЗ"/>
    <s v="Н.С."/>
    <s v="Н.С."/>
    <s v="Н.С."/>
    <x v="3"/>
    <x v="0"/>
    <m/>
    <n v="77.571428571428569"/>
    <n v="50"/>
    <n v="84"/>
    <n v="82"/>
    <n v="82"/>
    <n v="88"/>
    <n v="82"/>
    <n v="75"/>
    <n v="26"/>
    <n v="11833390"/>
    <n v="986115.83333333337"/>
    <n v="0"/>
  </r>
  <r>
    <s v="Талли Эста"/>
    <s v="П"/>
    <s v="ППЗ"/>
    <s v="ОПЗ"/>
    <m/>
    <s v="Лин"/>
    <s v="Лин"/>
    <s v="Лин"/>
    <x v="3"/>
    <x v="0"/>
    <m/>
    <n v="81"/>
    <n v="60"/>
    <n v="90"/>
    <n v="88"/>
    <n v="80"/>
    <n v="88"/>
    <n v="85"/>
    <n v="76"/>
    <n v="19"/>
    <n v="18236499"/>
    <n v="1519708.25"/>
    <n v="0"/>
  </r>
  <r>
    <s v="Толлак Зоран"/>
    <s v="П"/>
    <s v="ППЗ"/>
    <s v="АПЗ"/>
    <m/>
    <s v="Вар"/>
    <s v="Вар"/>
    <s v="Вар"/>
    <x v="3"/>
    <x v="0"/>
    <m/>
    <n v="75.571428571428569"/>
    <n v="69"/>
    <n v="80"/>
    <n v="77"/>
    <n v="81"/>
    <n v="75"/>
    <n v="79"/>
    <n v="68"/>
    <n v="0"/>
    <n v="6075421"/>
    <n v="506285.08333333331"/>
    <n v="0"/>
  </r>
  <r>
    <s v="Тасил"/>
    <s v="Т"/>
    <s v="Т"/>
    <m/>
    <m/>
    <m/>
    <s v="Вар"/>
    <s v="Вар"/>
    <x v="3"/>
    <x v="0"/>
    <m/>
    <n v="88"/>
    <n v="75"/>
    <n v="84"/>
    <n v="88"/>
    <n v="90"/>
    <n v="98"/>
    <n v="93"/>
    <n v="88"/>
    <n v="0"/>
    <n v="27850098"/>
    <n v="2320841.5"/>
    <n v="0"/>
  </r>
  <r>
    <s v="Виртанен Остин"/>
    <s v="В"/>
    <s v="В"/>
    <m/>
    <m/>
    <m/>
    <s v="Нумб"/>
    <s v="Нумб"/>
    <x v="4"/>
    <x v="0"/>
    <m/>
    <n v="52.714285714285715"/>
    <n v="10"/>
    <n v="67"/>
    <n v="59"/>
    <n v="65"/>
    <n v="67"/>
    <n v="69"/>
    <n v="32"/>
    <n v="0"/>
    <n v="165686"/>
    <n v="13807.166666666666"/>
    <n v="0"/>
  </r>
  <r>
    <s v="Корхонен Рэй"/>
    <s v="В"/>
    <s v="В"/>
    <m/>
    <m/>
    <m/>
    <s v="Нумб"/>
    <s v="Нумб"/>
    <x v="4"/>
    <x v="0"/>
    <m/>
    <n v="50.285714285714285"/>
    <n v="8"/>
    <n v="64"/>
    <n v="56"/>
    <n v="63"/>
    <n v="65"/>
    <n v="67"/>
    <n v="29"/>
    <n v="0"/>
    <n v="103383"/>
    <n v="8615.25"/>
    <n v="0"/>
  </r>
  <r>
    <s v="Турунен Остин"/>
    <s v="В"/>
    <s v="В"/>
    <m/>
    <m/>
    <m/>
    <s v="Нумб"/>
    <s v="Нумб"/>
    <x v="4"/>
    <x v="0"/>
    <m/>
    <n v="50.857142857142854"/>
    <n v="8"/>
    <n v="65"/>
    <n v="58"/>
    <n v="63"/>
    <n v="65"/>
    <n v="67"/>
    <n v="30"/>
    <n v="0"/>
    <n v="115750"/>
    <n v="9645.8333333333339"/>
    <n v="0"/>
  </r>
  <r>
    <s v="Лайне Ян"/>
    <s v="З"/>
    <s v="ЛЗ"/>
    <s v="ЦЗ"/>
    <m/>
    <m/>
    <s v="Нумб"/>
    <s v="Нумб"/>
    <x v="4"/>
    <x v="0"/>
    <m/>
    <n v="53.857142857142854"/>
    <n v="31"/>
    <n v="65"/>
    <n v="58"/>
    <n v="63"/>
    <n v="65"/>
    <n v="67"/>
    <n v="28"/>
    <n v="0"/>
    <n v="205321"/>
    <n v="8863.1666666666661"/>
    <n v="0"/>
  </r>
  <r>
    <s v="Мякеля Рой"/>
    <s v="З"/>
    <s v="ЦЗ"/>
    <s v="ЛЗ"/>
    <m/>
    <m/>
    <s v="Нумб"/>
    <s v="Нумб"/>
    <x v="4"/>
    <x v="0"/>
    <m/>
    <n v="55.428571428571431"/>
    <n v="12"/>
    <n v="71"/>
    <n v="63"/>
    <n v="67"/>
    <n v="69"/>
    <n v="71"/>
    <n v="35"/>
    <n v="0"/>
    <n v="273740"/>
    <n v="22811.666666666668"/>
    <n v="0"/>
  </r>
  <r>
    <s v="Ниемунен Люк"/>
    <s v="З"/>
    <s v="ЦЗ"/>
    <s v="ОПЗ"/>
    <m/>
    <m/>
    <s v="Нумб"/>
    <s v="Нумб"/>
    <x v="4"/>
    <x v="0"/>
    <m/>
    <n v="47.428571428571431"/>
    <n v="6"/>
    <n v="61"/>
    <n v="54"/>
    <n v="60"/>
    <n v="62"/>
    <n v="64"/>
    <n v="25"/>
    <n v="0"/>
    <n v="57598"/>
    <n v="4799.833333333333"/>
    <n v="0"/>
  </r>
  <r>
    <s v="Сконский Д"/>
    <s v="З"/>
    <s v="ЛЗ"/>
    <s v="ПЗ"/>
    <m/>
    <m/>
    <s v="В.И."/>
    <s v="В.И."/>
    <x v="4"/>
    <x v="0"/>
    <m/>
    <n v="52.428571428571431"/>
    <n v="21"/>
    <n v="66"/>
    <n v="45"/>
    <n v="47"/>
    <n v="78"/>
    <n v="88"/>
    <n v="22"/>
    <n v="0"/>
    <n v="156921"/>
    <n v="1924.3333333333333"/>
    <n v="0"/>
  </r>
  <r>
    <s v="Хямяляйнен Тим"/>
    <s v="З"/>
    <s v="ПЗ"/>
    <s v="ЦЗ"/>
    <m/>
    <m/>
    <s v="Нумб"/>
    <s v="Нумб"/>
    <x v="4"/>
    <x v="0"/>
    <m/>
    <n v="60.142857142857146"/>
    <n v="40"/>
    <n v="69"/>
    <n v="80"/>
    <n v="65"/>
    <n v="67"/>
    <n v="69"/>
    <n v="31"/>
    <n v="16"/>
    <n v="928821"/>
    <n v="14185.916666666666"/>
    <n v="0"/>
  </r>
  <r>
    <s v="Киннунен Торвальд"/>
    <s v="Н"/>
    <s v="ЦН"/>
    <s v="ОФ"/>
    <m/>
    <m/>
    <s v="Нумб"/>
    <s v="Нумб"/>
    <x v="4"/>
    <x v="0"/>
    <m/>
    <n v="63.857142857142854"/>
    <n v="15"/>
    <n v="75"/>
    <n v="80"/>
    <n v="75"/>
    <n v="77"/>
    <n v="80"/>
    <n v="45"/>
    <n v="0"/>
    <n v="1127444"/>
    <n v="93953.666666666672"/>
    <n v="0"/>
  </r>
  <r>
    <s v="Ниеми Эрл"/>
    <s v="Н"/>
    <s v="ОФ"/>
    <s v="ЦН"/>
    <m/>
    <m/>
    <s v="Нумб"/>
    <s v="Нумб"/>
    <x v="4"/>
    <x v="0"/>
    <m/>
    <n v="55"/>
    <n v="10"/>
    <n v="70"/>
    <n v="63"/>
    <n v="68"/>
    <n v="70"/>
    <n v="72"/>
    <n v="32"/>
    <n v="0"/>
    <n v="253296"/>
    <n v="21108"/>
    <n v="0"/>
  </r>
  <r>
    <s v="Хейнонен Дан"/>
    <s v="Н"/>
    <s v="ОФ"/>
    <s v="ЦН"/>
    <m/>
    <m/>
    <s v="Нумб"/>
    <s v="Нумб"/>
    <x v="4"/>
    <x v="0"/>
    <m/>
    <n v="60"/>
    <n v="14"/>
    <n v="75"/>
    <n v="68"/>
    <n v="73"/>
    <n v="75"/>
    <n v="77"/>
    <n v="38"/>
    <n v="0"/>
    <n v="604662"/>
    <n v="50388.5"/>
    <n v="0"/>
  </r>
  <r>
    <s v="Коскинен Дар"/>
    <s v="П"/>
    <s v="ОПЗ"/>
    <s v="ЦЗ"/>
    <m/>
    <m/>
    <s v="Нумб"/>
    <s v="Нумб"/>
    <x v="4"/>
    <x v="0"/>
    <m/>
    <n v="53.428571428571431"/>
    <n v="9"/>
    <n v="68"/>
    <n v="60"/>
    <n v="67"/>
    <n v="69"/>
    <n v="71"/>
    <n v="30"/>
    <n v="0"/>
    <n v="189556"/>
    <n v="15796.333333333334"/>
    <n v="0"/>
  </r>
  <r>
    <s v="Лехтинен Пол"/>
    <s v="П"/>
    <s v="АПЗ"/>
    <s v="ЦПЗ"/>
    <m/>
    <m/>
    <s v="Нумб"/>
    <s v="Нумб"/>
    <x v="4"/>
    <x v="0"/>
    <m/>
    <n v="64.285714285714292"/>
    <n v="33"/>
    <n v="80"/>
    <n v="70"/>
    <n v="67"/>
    <n v="69"/>
    <n v="71"/>
    <n v="60"/>
    <n v="19"/>
    <n v="1808157"/>
    <n v="19014.666666666668"/>
    <n v="0"/>
  </r>
  <r>
    <s v="Лехтонен Кайус"/>
    <s v="П"/>
    <s v="ЦПЗ"/>
    <s v="ЛПЗ"/>
    <m/>
    <m/>
    <s v="Нумб"/>
    <s v="Нумб"/>
    <x v="4"/>
    <x v="0"/>
    <m/>
    <n v="52"/>
    <n v="34"/>
    <n v="60"/>
    <n v="54"/>
    <n v="62"/>
    <n v="64"/>
    <n v="66"/>
    <n v="24"/>
    <n v="0"/>
    <n v="144556"/>
    <n v="5410.5"/>
    <n v="0"/>
  </r>
  <r>
    <s v="Сааринен Стан"/>
    <s v="П"/>
    <s v="АПЗ"/>
    <s v="ППЗ"/>
    <m/>
    <m/>
    <s v="Нумб"/>
    <s v="Нумб"/>
    <x v="4"/>
    <x v="0"/>
    <m/>
    <n v="49.857142857142854"/>
    <n v="7"/>
    <n v="64"/>
    <n v="57"/>
    <n v="63"/>
    <n v="65"/>
    <n v="67"/>
    <n v="26"/>
    <n v="0"/>
    <n v="94902"/>
    <n v="7908.5"/>
    <n v="0"/>
  </r>
  <r>
    <s v="Лалминен Колли"/>
    <s v="П"/>
    <s v="ЛПЗ"/>
    <s v="ОПЗ"/>
    <m/>
    <m/>
    <s v="Нумб"/>
    <s v="Нумб"/>
    <x v="4"/>
    <x v="0"/>
    <m/>
    <n v="56.142857142857146"/>
    <n v="11"/>
    <n v="71"/>
    <n v="64"/>
    <n v="69"/>
    <n v="71"/>
    <n v="73"/>
    <n v="34"/>
    <n v="0"/>
    <n v="311133"/>
    <n v="25927.75"/>
    <n v="0"/>
  </r>
  <r>
    <s v="Салонен Кс"/>
    <s v="П"/>
    <s v="ППЗ"/>
    <s v="АПЗ"/>
    <m/>
    <m/>
    <s v="Нумб"/>
    <s v="Нумб"/>
    <x v="4"/>
    <x v="0"/>
    <m/>
    <n v="62.571428571428569"/>
    <n v="14"/>
    <n v="73"/>
    <n v="77"/>
    <n v="75"/>
    <n v="77"/>
    <n v="79"/>
    <n v="43"/>
    <n v="0"/>
    <n v="919943"/>
    <n v="76661.916666666672"/>
    <n v="0"/>
  </r>
  <r>
    <s v="Хейккинен Кир"/>
    <s v="П"/>
    <s v="ОПЗ"/>
    <s v="ЦПЗ"/>
    <m/>
    <m/>
    <s v="Нумб"/>
    <s v="Нумб"/>
    <x v="4"/>
    <x v="0"/>
    <m/>
    <n v="54.428571428571431"/>
    <n v="11"/>
    <n v="70"/>
    <n v="62"/>
    <n v="66"/>
    <n v="68"/>
    <n v="70"/>
    <n v="34"/>
    <n v="0"/>
    <n v="228176"/>
    <n v="19014.666666666668"/>
    <n v="0"/>
  </r>
  <r>
    <s v="Ярвинен Мэйс"/>
    <s v="П"/>
    <s v="ЦПЗ"/>
    <s v="ОПЗ"/>
    <m/>
    <m/>
    <s v="Нумб"/>
    <s v="Нумб"/>
    <x v="4"/>
    <x v="0"/>
    <m/>
    <n v="58.285714285714285"/>
    <n v="13"/>
    <n v="73"/>
    <n v="66"/>
    <n v="71"/>
    <n v="73"/>
    <n v="75"/>
    <n v="37"/>
    <n v="0"/>
    <n v="452503"/>
    <n v="37708.583333333336"/>
    <n v="0"/>
  </r>
  <r>
    <s v="Мякинен Элд"/>
    <s v="Т"/>
    <s v="Т"/>
    <m/>
    <m/>
    <m/>
    <s v="Нумб"/>
    <s v="Нумб"/>
    <x v="4"/>
    <x v="0"/>
    <m/>
    <n v="51.285714285714285"/>
    <n v="9"/>
    <n v="65"/>
    <n v="57"/>
    <n v="64"/>
    <n v="66"/>
    <n v="68"/>
    <n v="30"/>
    <n v="0"/>
    <n v="125883"/>
    <n v="10490.25"/>
    <n v="0"/>
  </r>
  <r>
    <s v="Койсон"/>
    <s v="В"/>
    <s v="В"/>
    <m/>
    <m/>
    <s v="Переп"/>
    <s v="Переп"/>
    <s v="Переп"/>
    <x v="5"/>
    <x v="0"/>
    <m/>
    <n v="69.714285714285708"/>
    <n v="51"/>
    <n v="82"/>
    <n v="78"/>
    <n v="80"/>
    <n v="70"/>
    <n v="67"/>
    <n v="60"/>
    <n v="0"/>
    <n v="2711552"/>
    <n v="19519.666666666668"/>
    <n v="0"/>
  </r>
  <r>
    <s v="Флюкз Картер"/>
    <s v="В"/>
    <s v="В"/>
    <m/>
    <m/>
    <m/>
    <s v="Зар"/>
    <s v="Зар"/>
    <x v="5"/>
    <x v="0"/>
    <m/>
    <n v="56.285714285714285"/>
    <n v="10"/>
    <n v="72"/>
    <n v="64"/>
    <n v="70"/>
    <n v="72"/>
    <n v="74"/>
    <n v="32"/>
    <n v="0"/>
    <n v="319141"/>
    <n v="26595.083333333332"/>
    <n v="0"/>
  </r>
  <r>
    <s v="Люменз Лука"/>
    <s v="З"/>
    <s v="ПЗ"/>
    <s v="ЛЗ"/>
    <m/>
    <m/>
    <s v="Зар"/>
    <s v="Зар"/>
    <x v="5"/>
    <x v="0"/>
    <m/>
    <n v="54"/>
    <n v="7"/>
    <n v="70"/>
    <n v="63"/>
    <n v="68"/>
    <n v="70"/>
    <n v="72"/>
    <n v="28"/>
    <n v="0"/>
    <n v="210833"/>
    <n v="17569.416666666668"/>
    <n v="0"/>
  </r>
  <r>
    <s v="Морфез Драж"/>
    <s v="З"/>
    <s v="ЦЗ"/>
    <s v="ОПЗ"/>
    <m/>
    <m/>
    <s v="Зар"/>
    <s v="Зар"/>
    <x v="5"/>
    <x v="0"/>
    <m/>
    <n v="51"/>
    <n v="6"/>
    <n v="66"/>
    <n v="59"/>
    <n v="65"/>
    <n v="67"/>
    <n v="69"/>
    <n v="25"/>
    <n v="0"/>
    <n v="119043"/>
    <n v="9920.25"/>
    <n v="0"/>
  </r>
  <r>
    <s v="Скалярвич Тим"/>
    <s v="З"/>
    <s v="ЛЗ"/>
    <s v="ЦЗ"/>
    <m/>
    <m/>
    <s v="Зар"/>
    <s v="Зар"/>
    <x v="5"/>
    <x v="0"/>
    <m/>
    <n v="58"/>
    <n v="11"/>
    <n v="75"/>
    <n v="67"/>
    <n v="71"/>
    <n v="73"/>
    <n v="75"/>
    <n v="34"/>
    <n v="0"/>
    <n v="430805"/>
    <n v="35900.416666666664"/>
    <n v="0"/>
  </r>
  <r>
    <s v="Тенорвич Ян"/>
    <s v="З"/>
    <s v="ПЗ"/>
    <s v="ЦЗ"/>
    <m/>
    <m/>
    <s v="Зар"/>
    <s v="Зар"/>
    <x v="5"/>
    <x v="0"/>
    <m/>
    <n v="56.428571428571431"/>
    <n v="9"/>
    <n v="74"/>
    <n v="65"/>
    <n v="70"/>
    <n v="72"/>
    <n v="74"/>
    <n v="31"/>
    <n v="0"/>
    <n v="327334"/>
    <n v="27277.833333333332"/>
    <n v="0"/>
  </r>
  <r>
    <s v="Эхоз Стан"/>
    <s v="З"/>
    <s v="ЦЗ"/>
    <s v="ЛЗ"/>
    <m/>
    <m/>
    <s v="Зар"/>
    <s v="Зар"/>
    <x v="5"/>
    <x v="0"/>
    <m/>
    <n v="59"/>
    <n v="12"/>
    <n v="76"/>
    <n v="68"/>
    <n v="72"/>
    <n v="74"/>
    <n v="76"/>
    <n v="35"/>
    <n v="0"/>
    <n v="511117"/>
    <n v="42593.083333333336"/>
    <n v="0"/>
  </r>
  <r>
    <s v="Вихрзвич Тор"/>
    <s v="Н"/>
    <s v="ЦН"/>
    <m/>
    <m/>
    <m/>
    <s v="Зар"/>
    <s v="Зар"/>
    <x v="5"/>
    <x v="0"/>
    <m/>
    <n v="59.714285714285715"/>
    <n v="11"/>
    <n v="76"/>
    <n v="69"/>
    <n v="74"/>
    <n v="76"/>
    <n v="78"/>
    <n v="34"/>
    <n v="0"/>
    <n v="576478"/>
    <n v="48039.833333333336"/>
    <n v="0"/>
  </r>
  <r>
    <s v="Ноктюрз Дэн"/>
    <s v="Н"/>
    <s v="ОФ"/>
    <s v="ЦН"/>
    <m/>
    <m/>
    <s v="Зар"/>
    <s v="Зар"/>
    <x v="5"/>
    <x v="0"/>
    <m/>
    <n v="63.571428571428569"/>
    <n v="14"/>
    <n v="80"/>
    <n v="73"/>
    <n v="78"/>
    <n v="80"/>
    <n v="82"/>
    <n v="38"/>
    <n v="0"/>
    <n v="1078003"/>
    <n v="89833.583333333328"/>
    <n v="0"/>
  </r>
  <r>
    <s v="Резоназ Эрл"/>
    <s v="Н"/>
    <s v="ЦН"/>
    <s v="ОФ"/>
    <m/>
    <m/>
    <s v="Зар"/>
    <s v="Зар"/>
    <x v="5"/>
    <x v="0"/>
    <m/>
    <n v="58.571428571428569"/>
    <n v="10"/>
    <n v="75"/>
    <n v="68"/>
    <n v="73"/>
    <n v="75"/>
    <n v="77"/>
    <n v="32"/>
    <n v="0"/>
    <n v="475181"/>
    <n v="39598.416666666664"/>
    <n v="0"/>
  </r>
  <r>
    <s v="Ютенс"/>
    <s v="Н"/>
    <s v="ОФ"/>
    <m/>
    <m/>
    <s v="Переп"/>
    <s v="Переп"/>
    <s v="Переп"/>
    <x v="5"/>
    <x v="0"/>
    <m/>
    <n v="45.857142857142854"/>
    <n v="12"/>
    <n v="52"/>
    <n v="58"/>
    <n v="61"/>
    <n v="53"/>
    <n v="64"/>
    <n v="21"/>
    <n v="0"/>
    <n v="41122"/>
    <n v="3426.8333333333335"/>
    <n v="0"/>
  </r>
  <r>
    <s v="Анринский (П)"/>
    <s v="П"/>
    <s v="ЦПЗ"/>
    <s v="ЛПЗ"/>
    <s v="АПЗ"/>
    <s v="Зар"/>
    <s v="Зар"/>
    <s v="Зар"/>
    <x v="5"/>
    <x v="0"/>
    <m/>
    <n v="83.428571428571431"/>
    <n v="81"/>
    <n v="85"/>
    <n v="87"/>
    <n v="87"/>
    <n v="80"/>
    <n v="83"/>
    <n v="81"/>
    <n v="22"/>
    <n v="24504133"/>
    <n v="2042011.0833333333"/>
    <n v="0"/>
  </r>
  <r>
    <s v="Вираз Дар"/>
    <s v="П"/>
    <s v="ЦПЗ"/>
    <s v="ОПЗ"/>
    <m/>
    <m/>
    <s v="Зар"/>
    <s v="Зар"/>
    <x v="5"/>
    <x v="0"/>
    <m/>
    <n v="61.857142857142854"/>
    <n v="13"/>
    <n v="78"/>
    <n v="71"/>
    <n v="76"/>
    <n v="78"/>
    <n v="80"/>
    <n v="37"/>
    <n v="0"/>
    <n v="820160"/>
    <n v="68346.666666666672"/>
    <n v="0"/>
  </r>
  <r>
    <s v="Квартез Стан"/>
    <s v="П"/>
    <s v="АПЗ"/>
    <s v="ЦПЗ"/>
    <m/>
    <m/>
    <s v="Зар"/>
    <s v="Зар"/>
    <x v="5"/>
    <x v="0"/>
    <m/>
    <n v="55.571428571428569"/>
    <n v="8"/>
    <n v="72"/>
    <n v="64"/>
    <n v="70"/>
    <n v="72"/>
    <n v="74"/>
    <n v="29"/>
    <n v="0"/>
    <n v="280877"/>
    <n v="23406.416666666668"/>
    <n v="0"/>
  </r>
  <r>
    <s v="Кобальз Кай"/>
    <s v="П"/>
    <s v="ППЗ"/>
    <s v="АПЗ"/>
    <m/>
    <m/>
    <s v="Зар"/>
    <s v="Зар"/>
    <x v="5"/>
    <x v="0"/>
    <m/>
    <n v="69.857142857142861"/>
    <n v="44"/>
    <n v="80"/>
    <n v="80"/>
    <n v="80"/>
    <n v="78"/>
    <n v="87"/>
    <n v="40"/>
    <n v="0"/>
    <n v="2767632"/>
    <n v="230636"/>
    <n v="0"/>
  </r>
  <r>
    <s v="Мимвич Ирж"/>
    <s v="П"/>
    <s v="ЛПЗ"/>
    <s v="ОПЗ"/>
    <m/>
    <m/>
    <s v="Зар"/>
    <s v="Зар"/>
    <x v="5"/>
    <x v="0"/>
    <m/>
    <n v="53.428571428571431"/>
    <n v="7"/>
    <n v="69"/>
    <n v="62"/>
    <n v="68"/>
    <n v="70"/>
    <n v="72"/>
    <n v="26"/>
    <n v="0"/>
    <n v="189556"/>
    <n v="15796.333333333334"/>
    <n v="0"/>
  </r>
  <r>
    <s v="Морфезвич Ксандр"/>
    <s v="П"/>
    <s v="ОПЗ"/>
    <s v="ЦЗ"/>
    <m/>
    <m/>
    <s v="Зар"/>
    <s v="Зар"/>
    <x v="5"/>
    <x v="0"/>
    <m/>
    <n v="59.714285714285715"/>
    <n v="11"/>
    <n v="76"/>
    <n v="69"/>
    <n v="74"/>
    <n v="76"/>
    <n v="78"/>
    <n v="34"/>
    <n v="0"/>
    <n v="576478"/>
    <n v="48039.833333333336"/>
    <n v="0"/>
  </r>
  <r>
    <s v="Пиксез Дар"/>
    <s v="П"/>
    <s v="ОПЗ"/>
    <s v="ЦПЗ"/>
    <m/>
    <m/>
    <s v="Зар"/>
    <s v="Зар"/>
    <x v="5"/>
    <x v="0"/>
    <m/>
    <n v="57"/>
    <n v="9"/>
    <n v="73"/>
    <n v="65"/>
    <n v="72"/>
    <n v="74"/>
    <n v="76"/>
    <n v="30"/>
    <n v="0"/>
    <n v="362034"/>
    <n v="30169.5"/>
    <n v="0"/>
  </r>
  <r>
    <s v="Эфирвич Пол"/>
    <s v="П"/>
    <s v="ППЗ"/>
    <s v="ЛПЗ"/>
    <m/>
    <m/>
    <s v="Зар"/>
    <s v="Зар"/>
    <x v="5"/>
    <x v="0"/>
    <m/>
    <n v="58"/>
    <n v="10"/>
    <n v="74"/>
    <n v="67"/>
    <n v="72"/>
    <n v="74"/>
    <n v="76"/>
    <n v="33"/>
    <n v="0"/>
    <n v="430805"/>
    <n v="35900.416666666664"/>
    <n v="0"/>
  </r>
  <r>
    <s v="Кварзвич Олег"/>
    <s v="Т"/>
    <s v="Т"/>
    <m/>
    <m/>
    <m/>
    <s v="Зар"/>
    <s v="Зар"/>
    <x v="5"/>
    <x v="0"/>
    <m/>
    <n v="53.857142857142854"/>
    <n v="8"/>
    <n v="69"/>
    <n v="61"/>
    <n v="68"/>
    <n v="70"/>
    <n v="72"/>
    <n v="29"/>
    <n v="0"/>
    <n v="205321"/>
    <n v="17110.083333333332"/>
    <n v="0"/>
  </r>
  <r>
    <s v="Стор (В)"/>
    <s v="В"/>
    <s v="В"/>
    <m/>
    <m/>
    <s v="Бел"/>
    <s v="Бел"/>
    <s v="Бел"/>
    <x v="6"/>
    <x v="0"/>
    <m/>
    <n v="80.285714285714292"/>
    <n v="67"/>
    <n v="75"/>
    <n v="75"/>
    <n v="85"/>
    <n v="90"/>
    <n v="90"/>
    <n v="80"/>
    <n v="29"/>
    <n v="16690680"/>
    <n v="1390890"/>
    <n v="0"/>
  </r>
  <r>
    <s v="Штайнберг Курт"/>
    <s v="В"/>
    <s v="В"/>
    <m/>
    <m/>
    <m/>
    <s v="Бел"/>
    <s v="Бел"/>
    <x v="6"/>
    <x v="0"/>
    <m/>
    <n v="73.857142857142861"/>
    <n v="31"/>
    <n v="78"/>
    <n v="79"/>
    <n v="88"/>
    <n v="92"/>
    <n v="93"/>
    <n v="56"/>
    <n v="0"/>
    <n v="4829755"/>
    <n v="402479.58333333331"/>
    <n v="0"/>
  </r>
  <r>
    <s v="Бер (З)"/>
    <s v="З"/>
    <s v="ЦЗ"/>
    <m/>
    <m/>
    <s v="Бел"/>
    <s v="Бел"/>
    <s v="Бел"/>
    <x v="6"/>
    <x v="0"/>
    <m/>
    <n v="70.571428571428569"/>
    <n v="36"/>
    <n v="75"/>
    <n v="77"/>
    <n v="85"/>
    <n v="81"/>
    <n v="80"/>
    <n v="60"/>
    <n v="26"/>
    <n v="4596004"/>
    <n v="383000.33333333331"/>
    <n v="0"/>
  </r>
  <r>
    <s v="Костилини Вернер"/>
    <s v="З"/>
    <s v="ЦЗ"/>
    <s v="ОПЗ"/>
    <m/>
    <m/>
    <s v="Бел"/>
    <s v="Бел"/>
    <x v="6"/>
    <x v="0"/>
    <m/>
    <n v="68.428571428571431"/>
    <n v="28"/>
    <n v="82"/>
    <n v="68"/>
    <n v="80"/>
    <n v="85"/>
    <n v="86"/>
    <n v="50"/>
    <n v="0"/>
    <n v="2250997"/>
    <n v="187583.08333333334"/>
    <n v="0"/>
  </r>
  <r>
    <s v="Вайсман Хельмут"/>
    <s v="З"/>
    <s v="ЦЗ"/>
    <s v="ОПЗ"/>
    <m/>
    <m/>
    <s v="Бел"/>
    <s v="Бел"/>
    <x v="6"/>
    <x v="0"/>
    <m/>
    <n v="71"/>
    <n v="36"/>
    <n v="77"/>
    <n v="72"/>
    <n v="86"/>
    <n v="87"/>
    <n v="88"/>
    <n v="51"/>
    <n v="0"/>
    <n v="3255244"/>
    <n v="271270.33333333331"/>
    <n v="0"/>
  </r>
  <r>
    <s v="Кравц"/>
    <s v="З"/>
    <s v="ЦЗ"/>
    <m/>
    <m/>
    <s v="Шах"/>
    <s v="Шах"/>
    <s v="Шах"/>
    <x v="6"/>
    <x v="0"/>
    <m/>
    <n v="66.714285714285708"/>
    <n v="50"/>
    <n v="63"/>
    <n v="75"/>
    <n v="70"/>
    <n v="73"/>
    <n v="84"/>
    <n v="52"/>
    <n v="0"/>
    <n v="1746580"/>
    <n v="145548.33333333334"/>
    <n v="0"/>
  </r>
  <r>
    <s v="Крюгер Дитер"/>
    <s v="З"/>
    <s v="ЦЗ"/>
    <s v="ЛЗ"/>
    <m/>
    <m/>
    <s v="Бел"/>
    <s v="Бел"/>
    <x v="6"/>
    <x v="0"/>
    <m/>
    <n v="67"/>
    <n v="24"/>
    <n v="80"/>
    <n v="66"/>
    <n v="82"/>
    <n v="84"/>
    <n v="85"/>
    <n v="48"/>
    <n v="0"/>
    <n v="1822838"/>
    <n v="151903.16666666666"/>
    <n v="0"/>
  </r>
  <r>
    <s v="Метер (З)"/>
    <s v="З"/>
    <s v="ЦЗ"/>
    <s v="ОПЗ"/>
    <m/>
    <s v="Бел"/>
    <s v="Бел"/>
    <s v="Бел"/>
    <x v="6"/>
    <x v="0"/>
    <m/>
    <n v="70"/>
    <n v="41"/>
    <n v="74"/>
    <n v="73"/>
    <n v="88"/>
    <n v="80"/>
    <n v="79"/>
    <n v="55"/>
    <n v="0"/>
    <n v="2824753"/>
    <n v="235396.08333333334"/>
    <n v="0"/>
  </r>
  <r>
    <s v="Хоффманн Отто"/>
    <s v="З"/>
    <s v="ЦЗ"/>
    <m/>
    <m/>
    <m/>
    <s v="Бел"/>
    <s v="Бел"/>
    <x v="6"/>
    <x v="0"/>
    <m/>
    <n v="67"/>
    <n v="24"/>
    <n v="80"/>
    <n v="66"/>
    <n v="82"/>
    <n v="84"/>
    <n v="85"/>
    <n v="48"/>
    <n v="0"/>
    <n v="1822838"/>
    <n v="151903.16666666666"/>
    <n v="0"/>
  </r>
  <r>
    <s v="Хуальди (З)"/>
    <s v="З"/>
    <s v="ЦЗ"/>
    <s v="ОПЗ"/>
    <m/>
    <s v="Вор"/>
    <s v="Вор"/>
    <s v="Вор"/>
    <x v="6"/>
    <x v="0"/>
    <m/>
    <n v="73.285714285714292"/>
    <n v="70"/>
    <n v="72"/>
    <n v="76"/>
    <n v="70"/>
    <n v="72"/>
    <n v="82"/>
    <n v="71"/>
    <n v="0"/>
    <n v="4468825"/>
    <n v="372402.08333333331"/>
    <n v="0"/>
  </r>
  <r>
    <s v="Камилот"/>
    <s v="Н"/>
    <s v="ЦН"/>
    <s v="АПЗ"/>
    <m/>
    <s v="Клю"/>
    <s v="Фин"/>
    <s v="Фин"/>
    <x v="6"/>
    <x v="0"/>
    <m/>
    <n v="85.142857142857139"/>
    <n v="83"/>
    <n v="91"/>
    <n v="89"/>
    <n v="88"/>
    <n v="81"/>
    <n v="75"/>
    <n v="89"/>
    <n v="9"/>
    <n v="30031254"/>
    <n v="2502604.5"/>
    <n v="0"/>
  </r>
  <r>
    <s v="Моторс (Н)"/>
    <s v="Н"/>
    <s v="ЦН"/>
    <s v="АПЗ"/>
    <m/>
    <s v="Бел"/>
    <s v="Бел"/>
    <s v="Бел"/>
    <x v="6"/>
    <x v="0"/>
    <m/>
    <n v="81.428571428571431"/>
    <n v="70"/>
    <n v="82"/>
    <n v="88"/>
    <n v="84"/>
    <n v="88"/>
    <n v="88"/>
    <n v="70"/>
    <n v="16"/>
    <n v="19224694"/>
    <n v="1602057.8333333333"/>
    <n v="0"/>
  </r>
  <r>
    <s v="Монли Олове"/>
    <s v="Н"/>
    <s v="ЦН"/>
    <s v="АПЗ"/>
    <m/>
    <m/>
    <s v="Бел"/>
    <s v="Бел"/>
    <x v="6"/>
    <x v="0"/>
    <m/>
    <n v="73.714285714285708"/>
    <n v="37"/>
    <n v="80"/>
    <n v="83"/>
    <n v="82"/>
    <n v="88"/>
    <n v="89"/>
    <n v="57"/>
    <n v="0"/>
    <n v="4737145"/>
    <n v="394762.08333333331"/>
    <n v="0"/>
  </r>
  <r>
    <s v="Шмидт Ганс"/>
    <s v="Н"/>
    <s v="ЦН"/>
    <s v="АПЗ"/>
    <m/>
    <m/>
    <s v="Бел"/>
    <s v="Бел"/>
    <x v="6"/>
    <x v="0"/>
    <m/>
    <n v="68.714285714285708"/>
    <n v="25"/>
    <n v="76"/>
    <n v="78"/>
    <n v="80"/>
    <n v="84"/>
    <n v="86"/>
    <n v="52"/>
    <n v="0"/>
    <n v="2346770"/>
    <n v="195564.16666666666"/>
    <n v="0"/>
  </r>
  <r>
    <s v="Аз (П)"/>
    <s v="П"/>
    <s v="ЦПЗ"/>
    <s v="АПЗ"/>
    <s v="ЛПЗ"/>
    <s v="А.Н."/>
    <s v="А.Н."/>
    <s v="А.Н."/>
    <x v="6"/>
    <x v="0"/>
    <m/>
    <n v="91.571428571428569"/>
    <n v="86"/>
    <n v="91"/>
    <n v="95"/>
    <n v="98"/>
    <n v="90"/>
    <n v="87"/>
    <n v="94"/>
    <n v="22"/>
    <n v="62185790"/>
    <n v="5182149.166666667"/>
    <n v="0"/>
  </r>
  <r>
    <s v="Брохирич (П)"/>
    <s v="П"/>
    <s v="ОПЗ"/>
    <s v="ЦПЗ"/>
    <m/>
    <s v="Вар"/>
    <s v="Вар"/>
    <s v="Вар"/>
    <x v="6"/>
    <x v="0"/>
    <m/>
    <n v="89.142857142857139"/>
    <n v="86"/>
    <n v="85"/>
    <n v="92"/>
    <n v="93"/>
    <n v="96"/>
    <n v="88"/>
    <n v="84"/>
    <n v="18"/>
    <n v="47528790"/>
    <n v="3960732.5"/>
    <n v="0"/>
  </r>
  <r>
    <s v="Вагнер Эрих"/>
    <s v="П"/>
    <s v="ОПЗ"/>
    <s v="ЦПЗ"/>
    <m/>
    <m/>
    <s v="Бел"/>
    <s v="Бел"/>
    <x v="6"/>
    <x v="0"/>
    <m/>
    <n v="72.142857142857139"/>
    <n v="33"/>
    <n v="79"/>
    <n v="76"/>
    <n v="87"/>
    <n v="88"/>
    <n v="87"/>
    <n v="55"/>
    <n v="0"/>
    <n v="3818857"/>
    <n v="318238.08333333331"/>
    <n v="0"/>
  </r>
  <r>
    <s v="Нестерал (П)"/>
    <s v="П"/>
    <s v="ОПЗ"/>
    <s v="ЦЗ"/>
    <s v="ЦПЗ"/>
    <s v="Турн"/>
    <s v="Турн"/>
    <s v="Турн"/>
    <x v="6"/>
    <x v="0"/>
    <m/>
    <n v="89.142857142857139"/>
    <n v="89"/>
    <n v="87"/>
    <n v="88"/>
    <n v="90"/>
    <n v="91"/>
    <n v="94"/>
    <n v="85"/>
    <n v="22"/>
    <n v="47528790"/>
    <n v="3960732.5"/>
    <n v="0"/>
  </r>
  <r>
    <s v="Фишер Карл"/>
    <s v="П"/>
    <s v="ЦПЗ"/>
    <s v="АПЗ"/>
    <m/>
    <m/>
    <s v="Бел"/>
    <s v="Бел"/>
    <x v="6"/>
    <x v="0"/>
    <m/>
    <n v="65.857142857142861"/>
    <n v="22"/>
    <n v="75"/>
    <n v="70"/>
    <n v="78"/>
    <n v="84"/>
    <n v="83"/>
    <n v="49"/>
    <n v="0"/>
    <n v="1534719"/>
    <n v="127893.25"/>
    <n v="0"/>
  </r>
  <r>
    <s v="Хатенпак М (П)"/>
    <s v="П"/>
    <s v="ОПЗ"/>
    <s v="ЦЗ"/>
    <s v="ЦПЗ"/>
    <s v="Бел"/>
    <s v="Бел"/>
    <s v="Бел"/>
    <x v="6"/>
    <x v="0"/>
    <m/>
    <n v="82.714285714285708"/>
    <n v="75"/>
    <n v="81"/>
    <n v="85"/>
    <n v="88"/>
    <n v="85"/>
    <n v="92"/>
    <n v="73"/>
    <n v="25"/>
    <n v="22485187"/>
    <n v="1873765.5833333333"/>
    <n v="0"/>
  </r>
  <r>
    <s v="Циммерманн Людвиг"/>
    <s v="П"/>
    <s v="ЛПЗ"/>
    <s v="ОПЗ"/>
    <m/>
    <m/>
    <s v="Бел"/>
    <s v="Бел"/>
    <x v="6"/>
    <x v="0"/>
    <m/>
    <n v="65.428571428571431"/>
    <n v="20"/>
    <n v="84"/>
    <n v="65"/>
    <n v="79"/>
    <n v="82"/>
    <n v="81"/>
    <n v="47"/>
    <n v="0"/>
    <n v="1437721"/>
    <n v="119810.08333333333"/>
    <n v="0"/>
  </r>
  <r>
    <s v="Филл Еж"/>
    <s v="Т"/>
    <s v="Т"/>
    <m/>
    <m/>
    <m/>
    <s v="Бел"/>
    <s v="Бел"/>
    <x v="6"/>
    <x v="0"/>
    <m/>
    <n v="67.571428571428569"/>
    <n v="47"/>
    <n v="84"/>
    <n v="71"/>
    <n v="65"/>
    <n v="69"/>
    <n v="67"/>
    <n v="70"/>
    <n v="0"/>
    <n v="1984409"/>
    <n v="165367.41666666666"/>
    <n v="0"/>
  </r>
  <r>
    <s v="Бранд Ким"/>
    <s v="В"/>
    <s v="В"/>
    <m/>
    <m/>
    <m/>
    <s v="Орл"/>
    <s v="Орл"/>
    <x v="7"/>
    <x v="0"/>
    <m/>
    <n v="62.142857142857146"/>
    <n v="22"/>
    <n v="71"/>
    <n v="82"/>
    <n v="73"/>
    <n v="79"/>
    <n v="74"/>
    <n v="34"/>
    <n v="0"/>
    <n v="858840"/>
    <n v="71570"/>
    <n v="0"/>
  </r>
  <r>
    <s v="Жлобс"/>
    <s v="В"/>
    <s v="В"/>
    <m/>
    <m/>
    <s v="Орл"/>
    <s v="Орл"/>
    <s v="Орл"/>
    <x v="7"/>
    <x v="0"/>
    <m/>
    <n v="70.285714285714292"/>
    <n v="53"/>
    <n v="77"/>
    <n v="85"/>
    <n v="76"/>
    <n v="82"/>
    <n v="77"/>
    <n v="42"/>
    <n v="0"/>
    <n v="2942190"/>
    <n v="245182.5"/>
    <n v="0"/>
  </r>
  <r>
    <s v="Гвидо Марк"/>
    <s v="З"/>
    <s v="ПЗ"/>
    <s v="ЛЗ"/>
    <m/>
    <m/>
    <s v="Орл"/>
    <s v="Орл"/>
    <x v="7"/>
    <x v="0"/>
    <m/>
    <n v="63.142857142857146"/>
    <n v="27"/>
    <n v="81"/>
    <n v="70"/>
    <n v="72"/>
    <n v="71"/>
    <n v="79"/>
    <n v="42"/>
    <n v="0"/>
    <n v="1007494"/>
    <n v="83957.833333333328"/>
    <n v="0"/>
  </r>
  <r>
    <s v="Здонг"/>
    <s v="З"/>
    <s v="ЦЗ"/>
    <m/>
    <m/>
    <s v="Орл"/>
    <s v="Орл"/>
    <s v="Орл"/>
    <x v="7"/>
    <x v="0"/>
    <m/>
    <n v="61"/>
    <n v="36"/>
    <n v="64"/>
    <n v="79"/>
    <n v="65"/>
    <n v="68"/>
    <n v="85"/>
    <n v="30"/>
    <n v="0"/>
    <n v="713343"/>
    <n v="59445.25"/>
    <n v="0"/>
  </r>
  <r>
    <s v="Кранц Олаф"/>
    <s v="З"/>
    <s v="ЦЗ"/>
    <s v="ОПЗ"/>
    <m/>
    <m/>
    <s v="Орл"/>
    <s v="Орл"/>
    <x v="7"/>
    <x v="0"/>
    <m/>
    <n v="62.571428571428569"/>
    <n v="25"/>
    <n v="63"/>
    <n v="68"/>
    <n v="80"/>
    <n v="83"/>
    <n v="81"/>
    <n v="38"/>
    <n v="0"/>
    <n v="919943"/>
    <n v="76661.916666666672"/>
    <n v="0"/>
  </r>
  <r>
    <s v="Свенд Хуго"/>
    <s v="З"/>
    <s v="ЦЗ"/>
    <s v="ЛЗ"/>
    <m/>
    <s v="Орл"/>
    <s v="Орл"/>
    <s v="Орл"/>
    <x v="7"/>
    <x v="0"/>
    <m/>
    <n v="68.857142857142861"/>
    <n v="29"/>
    <n v="76"/>
    <n v="78"/>
    <n v="86"/>
    <n v="84"/>
    <n v="82"/>
    <n v="47"/>
    <n v="0"/>
    <n v="2396018"/>
    <n v="199668.16666666666"/>
    <n v="0"/>
  </r>
  <r>
    <s v="Сенди (З)"/>
    <s v="З"/>
    <s v="ЦЗ"/>
    <s v="ЛЗ"/>
    <m/>
    <s v="Орл"/>
    <s v="Орл"/>
    <s v="Орл"/>
    <x v="7"/>
    <x v="0"/>
    <m/>
    <n v="77.714285714285708"/>
    <n v="71"/>
    <n v="72"/>
    <n v="80"/>
    <n v="85"/>
    <n v="82"/>
    <n v="84"/>
    <n v="70"/>
    <n v="0"/>
    <n v="8035421"/>
    <n v="669618.41666666663"/>
    <n v="0"/>
  </r>
  <r>
    <s v="Таннер Ларс"/>
    <s v="З"/>
    <s v="ЦЗ"/>
    <s v="ПЗ"/>
    <m/>
    <m/>
    <s v="Орл"/>
    <s v="Орл"/>
    <x v="7"/>
    <x v="0"/>
    <m/>
    <n v="54.285714285714285"/>
    <n v="21"/>
    <n v="58"/>
    <n v="63"/>
    <n v="64"/>
    <n v="66"/>
    <n v="77"/>
    <n v="31"/>
    <n v="0"/>
    <n v="222258"/>
    <n v="18521.5"/>
    <n v="0"/>
  </r>
  <r>
    <s v="Торгула"/>
    <s v="З"/>
    <s v="ЦЗ"/>
    <m/>
    <m/>
    <s v="Орл"/>
    <s v="Орл"/>
    <s v="Орл"/>
    <x v="7"/>
    <x v="0"/>
    <m/>
    <n v="65.857142857142861"/>
    <n v="36"/>
    <n v="73"/>
    <n v="74"/>
    <n v="68"/>
    <n v="71"/>
    <n v="95"/>
    <n v="44"/>
    <n v="0"/>
    <n v="1534719"/>
    <n v="127893.25"/>
    <n v="0"/>
  </r>
  <r>
    <s v="Хаухин (З)"/>
    <s v="З"/>
    <s v="ЦЗ"/>
    <s v="ПЗ"/>
    <m/>
    <s v="Орл"/>
    <s v="Орл"/>
    <s v="Орл"/>
    <x v="7"/>
    <x v="0"/>
    <m/>
    <n v="67.428571428571431"/>
    <n v="51"/>
    <n v="67"/>
    <n v="74"/>
    <n v="74"/>
    <n v="73"/>
    <n v="83"/>
    <n v="50"/>
    <n v="0"/>
    <n v="1942852"/>
    <n v="161904.33333333334"/>
    <n v="0"/>
  </r>
  <r>
    <s v="Цыбула"/>
    <s v="З"/>
    <s v="ЦЗ"/>
    <m/>
    <m/>
    <s v="Орл"/>
    <s v="Орл"/>
    <s v="Орл"/>
    <x v="7"/>
    <x v="0"/>
    <m/>
    <n v="66.428571428571431"/>
    <n v="48"/>
    <n v="61"/>
    <n v="85"/>
    <n v="70"/>
    <n v="70"/>
    <n v="91"/>
    <n v="40"/>
    <n v="0"/>
    <n v="1673205"/>
    <n v="139433.75"/>
    <n v="0"/>
  </r>
  <r>
    <s v="Велло Рауль"/>
    <s v="Н"/>
    <s v="ЦН"/>
    <s v="ОФ"/>
    <m/>
    <m/>
    <s v="Орл"/>
    <s v="Орл"/>
    <x v="7"/>
    <x v="0"/>
    <m/>
    <n v="66.571428571428569"/>
    <n v="28"/>
    <n v="78"/>
    <n v="74"/>
    <n v="75"/>
    <n v="80"/>
    <n v="86"/>
    <n v="45"/>
    <n v="0"/>
    <n v="1709539"/>
    <n v="142461.58333333334"/>
    <n v="0"/>
  </r>
  <r>
    <s v="Гагги"/>
    <s v="Н"/>
    <s v="ОФ"/>
    <s v="ППЗ"/>
    <m/>
    <s v="Орл"/>
    <s v="Орл"/>
    <s v="Орл"/>
    <x v="7"/>
    <x v="0"/>
    <m/>
    <n v="68.428571428571431"/>
    <n v="46"/>
    <n v="74"/>
    <n v="70"/>
    <n v="77"/>
    <n v="83"/>
    <n v="76"/>
    <n v="53"/>
    <n v="0"/>
    <n v="2250997"/>
    <n v="187583.08333333334"/>
    <n v="0"/>
  </r>
  <r>
    <s v="Дорно Пабло"/>
    <s v="Н"/>
    <s v="ЦН"/>
    <m/>
    <m/>
    <m/>
    <s v="Орл"/>
    <s v="Орл"/>
    <x v="7"/>
    <x v="0"/>
    <m/>
    <n v="66.571428571428569"/>
    <n v="28"/>
    <n v="78"/>
    <n v="74"/>
    <n v="75"/>
    <n v="80"/>
    <n v="86"/>
    <n v="45"/>
    <n v="0"/>
    <n v="1709539"/>
    <n v="142461.58333333334"/>
    <n v="0"/>
  </r>
  <r>
    <s v="Санди (Н)"/>
    <s v="Н"/>
    <s v="ЦН"/>
    <m/>
    <m/>
    <s v="Орл"/>
    <s v="Орл"/>
    <s v="Орл"/>
    <x v="7"/>
    <x v="0"/>
    <m/>
    <n v="78"/>
    <n v="63"/>
    <n v="79"/>
    <n v="81"/>
    <n v="80"/>
    <n v="81"/>
    <n v="84"/>
    <n v="78"/>
    <n v="0"/>
    <n v="8335776"/>
    <n v="694648"/>
    <n v="0"/>
  </r>
  <r>
    <s v="Тиббо Жан"/>
    <s v="Н"/>
    <s v="ОФ"/>
    <s v="ППЗ"/>
    <m/>
    <m/>
    <s v="Орл"/>
    <s v="Орл"/>
    <x v="7"/>
    <x v="0"/>
    <m/>
    <n v="61.142857142857146"/>
    <n v="24"/>
    <n v="83"/>
    <n v="65"/>
    <n v="70"/>
    <n v="75"/>
    <n v="72"/>
    <n v="39"/>
    <n v="0"/>
    <n v="730226"/>
    <n v="60852.166666666664"/>
    <n v="0"/>
  </r>
  <r>
    <s v="Тонни"/>
    <s v="Н"/>
    <s v="ЦН"/>
    <m/>
    <m/>
    <s v="Орл"/>
    <s v="Орл"/>
    <s v="Орл"/>
    <x v="7"/>
    <x v="0"/>
    <m/>
    <n v="74"/>
    <n v="51"/>
    <n v="75"/>
    <n v="84"/>
    <n v="76"/>
    <n v="78"/>
    <n v="88"/>
    <n v="66"/>
    <n v="0"/>
    <n v="4923991"/>
    <n v="299830.33333333331"/>
    <n v="0"/>
  </r>
  <r>
    <s v="Гэйбен"/>
    <s v="П"/>
    <s v="ЦПЗ"/>
    <s v="АПЗ"/>
    <m/>
    <s v="Орл"/>
    <s v="Орл"/>
    <s v="Орл"/>
    <x v="7"/>
    <x v="0"/>
    <m/>
    <n v="70"/>
    <n v="50"/>
    <n v="80"/>
    <n v="75"/>
    <n v="78"/>
    <n v="73"/>
    <n v="79"/>
    <n v="55"/>
    <n v="0"/>
    <n v="2824753"/>
    <n v="127893.25"/>
    <n v="0"/>
  </r>
  <r>
    <s v="Забер (П)"/>
    <s v="П"/>
    <s v="ЛПЗ"/>
    <s v="ОПЗ"/>
    <m/>
    <s v="Орл"/>
    <s v="Орл"/>
    <s v="Орл"/>
    <x v="7"/>
    <x v="0"/>
    <m/>
    <n v="79.428571428571431"/>
    <n v="71"/>
    <n v="88"/>
    <n v="81"/>
    <n v="80"/>
    <n v="79"/>
    <n v="82"/>
    <n v="75"/>
    <n v="23"/>
    <n v="14991973"/>
    <n v="1249331.0833333333"/>
    <n v="0"/>
  </r>
  <r>
    <s v="Квайголленд"/>
    <s v="П"/>
    <s v="ЦПЗ"/>
    <s v="АПЗ"/>
    <m/>
    <s v="Орл"/>
    <s v="Орл"/>
    <s v="Орл"/>
    <x v="7"/>
    <x v="0"/>
    <m/>
    <n v="89.857142857142861"/>
    <n v="85"/>
    <n v="89"/>
    <n v="90"/>
    <n v="92"/>
    <n v="90"/>
    <n v="95"/>
    <n v="88"/>
    <n v="17"/>
    <n v="51477485"/>
    <n v="1630387"/>
    <n v="0"/>
  </r>
  <r>
    <s v="Ксавье Поль"/>
    <s v="П"/>
    <s v="ЦПЗ"/>
    <s v="АПЗ"/>
    <m/>
    <m/>
    <s v="Орл"/>
    <s v="Орл"/>
    <x v="7"/>
    <x v="0"/>
    <m/>
    <n v="56.428571428571431"/>
    <n v="23"/>
    <n v="64"/>
    <n v="60"/>
    <n v="72"/>
    <n v="68"/>
    <n v="76"/>
    <n v="32"/>
    <n v="0"/>
    <n v="327334"/>
    <n v="27277.833333333332"/>
    <n v="0"/>
  </r>
  <r>
    <s v="Фриго Мика"/>
    <s v="П"/>
    <s v="ЛПЗ"/>
    <s v="ППЗ"/>
    <m/>
    <m/>
    <s v="Орл"/>
    <s v="Орл"/>
    <x v="7"/>
    <x v="0"/>
    <m/>
    <n v="67.571428571428569"/>
    <n v="26"/>
    <n v="88"/>
    <n v="76"/>
    <n v="81"/>
    <n v="78"/>
    <n v="80"/>
    <n v="44"/>
    <n v="0"/>
    <n v="1984409"/>
    <n v="165367.41666666666"/>
    <n v="0"/>
  </r>
  <r>
    <s v="Хави (П)"/>
    <s v="П"/>
    <s v="ЛПЗ"/>
    <s v="ППЗ"/>
    <s v="ОПЗ"/>
    <s v="Орл"/>
    <s v="Орл"/>
    <s v="Орл"/>
    <x v="7"/>
    <x v="0"/>
    <m/>
    <n v="80.714285714285708"/>
    <n v="70"/>
    <n v="90"/>
    <n v="83"/>
    <n v="82"/>
    <n v="80"/>
    <n v="80"/>
    <n v="80"/>
    <n v="23"/>
    <n v="17603351"/>
    <n v="1466945.9166666667"/>
    <n v="0"/>
  </r>
  <r>
    <s v="Цырмун"/>
    <s v="П"/>
    <s v="ЦПЗ"/>
    <s v="ОПЗ"/>
    <m/>
    <s v="Орл"/>
    <s v="Орл"/>
    <s v="Орл"/>
    <x v="7"/>
    <x v="0"/>
    <m/>
    <n v="68.571428571428569"/>
    <n v="49"/>
    <n v="68"/>
    <n v="79"/>
    <n v="72"/>
    <n v="82"/>
    <n v="88"/>
    <n v="42"/>
    <n v="0"/>
    <n v="2298434"/>
    <n v="191536.16666666666"/>
    <n v="0"/>
  </r>
  <r>
    <s v="Грайзенхаузер М"/>
    <s v="В"/>
    <s v="В"/>
    <m/>
    <m/>
    <s v="С.К."/>
    <s v="С.К."/>
    <s v="С.К."/>
    <x v="8"/>
    <x v="0"/>
    <m/>
    <n v="75.571428571428569"/>
    <n v="61"/>
    <n v="63"/>
    <n v="66"/>
    <n v="89"/>
    <n v="77"/>
    <n v="91"/>
    <n v="82"/>
    <n v="29"/>
    <n v="9113131"/>
    <n v="759427.58333333337"/>
    <n v="0"/>
  </r>
  <r>
    <s v="Альмарин (З)"/>
    <s v="З"/>
    <s v="ЦЗ"/>
    <s v="ОПЗ"/>
    <m/>
    <s v="Нест"/>
    <s v="Нест"/>
    <s v="Нест"/>
    <x v="8"/>
    <x v="0"/>
    <m/>
    <n v="73.571428571428569"/>
    <n v="48"/>
    <n v="79"/>
    <n v="80"/>
    <n v="79"/>
    <n v="82"/>
    <n v="87"/>
    <n v="60"/>
    <n v="0"/>
    <n v="4646136"/>
    <n v="387178"/>
    <n v="0"/>
  </r>
  <r>
    <s v="Германт"/>
    <s v="З"/>
    <s v="ЦЗ"/>
    <m/>
    <m/>
    <s v="Тури"/>
    <s v="Тури"/>
    <s v="Тури"/>
    <x v="8"/>
    <x v="0"/>
    <m/>
    <n v="69.428571428571431"/>
    <n v="42"/>
    <n v="68"/>
    <n v="74"/>
    <n v="74"/>
    <n v="80"/>
    <n v="85"/>
    <n v="63"/>
    <n v="0"/>
    <n v="2602450"/>
    <n v="216870.83333333334"/>
    <n v="0"/>
  </r>
  <r>
    <s v="Крконош Яромир"/>
    <s v="З"/>
    <s v="ПЗ"/>
    <s v="ЦЗ"/>
    <m/>
    <m/>
    <s v="Нест"/>
    <s v="Нест"/>
    <x v="8"/>
    <x v="0"/>
    <m/>
    <n v="59.142857142857146"/>
    <n v="16"/>
    <n v="66"/>
    <n v="64"/>
    <n v="74"/>
    <n v="80"/>
    <n v="82"/>
    <n v="32"/>
    <n v="0"/>
    <n v="523629"/>
    <n v="43635.75"/>
    <n v="0"/>
  </r>
  <r>
    <s v="Мырча Флорин"/>
    <s v="З"/>
    <s v="ЦЗ"/>
    <m/>
    <m/>
    <m/>
    <s v="Нест"/>
    <s v="Нест"/>
    <x v="8"/>
    <x v="0"/>
    <m/>
    <n v="56.142857142857146"/>
    <n v="18"/>
    <n v="62"/>
    <n v="62"/>
    <n v="70"/>
    <n v="74"/>
    <n v="77"/>
    <n v="30"/>
    <n v="0"/>
    <n v="311133"/>
    <n v="25927.75"/>
    <n v="0"/>
  </r>
  <r>
    <s v="Фольбыш Тонни"/>
    <s v="З"/>
    <s v="ЦЗ"/>
    <s v="ОПЗ"/>
    <m/>
    <m/>
    <s v="Нест"/>
    <s v="Нест"/>
    <x v="8"/>
    <x v="0"/>
    <m/>
    <n v="66.285714285714292"/>
    <n v="23"/>
    <n v="76"/>
    <n v="70"/>
    <n v="82"/>
    <n v="84"/>
    <n v="86"/>
    <n v="43"/>
    <n v="0"/>
    <n v="1637569"/>
    <n v="136464.08333333334"/>
    <n v="0"/>
  </r>
  <r>
    <s v="Толжер"/>
    <s v="З"/>
    <s v="ЦЗ"/>
    <s v="ЛЗ"/>
    <m/>
    <s v="Тури"/>
    <s v="Тури"/>
    <s v="Тури"/>
    <x v="8"/>
    <x v="0"/>
    <m/>
    <n v="68.142857142857139"/>
    <n v="41"/>
    <n v="62"/>
    <n v="73"/>
    <n v="75"/>
    <n v="81"/>
    <n v="84"/>
    <n v="61"/>
    <n v="0"/>
    <n v="2158756"/>
    <n v="179896.33333333334"/>
    <n v="0"/>
  </r>
  <r>
    <s v="Ростов"/>
    <s v="Н"/>
    <s v="ЦН"/>
    <m/>
    <m/>
    <s v="Тури"/>
    <s v="Тури"/>
    <s v="Тури"/>
    <x v="8"/>
    <x v="0"/>
    <m/>
    <n v="71.857142857142861"/>
    <n v="50"/>
    <n v="75"/>
    <n v="89"/>
    <n v="71"/>
    <n v="70"/>
    <n v="88"/>
    <n v="60"/>
    <n v="0"/>
    <n v="3670283"/>
    <n v="230636"/>
    <n v="0"/>
  </r>
  <r>
    <s v="Стаккато Никола"/>
    <s v="Н"/>
    <s v="ОФ"/>
    <s v="ЦН"/>
    <m/>
    <m/>
    <s v="Нест"/>
    <s v="Нест"/>
    <x v="8"/>
    <x v="0"/>
    <m/>
    <n v="68"/>
    <n v="24"/>
    <n v="80"/>
    <n v="80"/>
    <n v="81"/>
    <n v="82"/>
    <n v="85"/>
    <n v="44"/>
    <n v="0"/>
    <n v="2113923"/>
    <n v="176160.25"/>
    <n v="0"/>
  </r>
  <r>
    <s v="Ласлон Акуба"/>
    <s v="П"/>
    <s v="АПЗ"/>
    <s v="ЦПЗ"/>
    <m/>
    <m/>
    <s v="Нест"/>
    <s v="Нест"/>
    <x v="8"/>
    <x v="0"/>
    <m/>
    <n v="61.571428571428569"/>
    <n v="21"/>
    <n v="72"/>
    <n v="68"/>
    <n v="80"/>
    <n v="76"/>
    <n v="78"/>
    <n v="36"/>
    <n v="0"/>
    <n v="783056"/>
    <n v="65254.666666666664"/>
    <n v="0"/>
  </r>
  <r>
    <s v="Думбрава Ион"/>
    <s v="П"/>
    <s v="ЦПЗ"/>
    <s v="ОПЗ"/>
    <m/>
    <m/>
    <s v="Нест"/>
    <s v="Нест"/>
    <x v="8"/>
    <x v="0"/>
    <m/>
    <n v="54.714285714285715"/>
    <n v="16"/>
    <n v="60"/>
    <n v="64"/>
    <n v="72"/>
    <n v="70"/>
    <n v="73"/>
    <n v="28"/>
    <n v="0"/>
    <n v="240441"/>
    <n v="20036.75"/>
    <n v="0"/>
  </r>
  <r>
    <s v="Завадский Тад"/>
    <s v="П"/>
    <s v="ОПЗ"/>
    <s v="ЦПЗ"/>
    <m/>
    <m/>
    <s v="Нест"/>
    <s v="Нест"/>
    <x v="8"/>
    <x v="0"/>
    <m/>
    <n v="65.571428571428569"/>
    <n v="24"/>
    <n v="78"/>
    <n v="74"/>
    <n v="84"/>
    <n v="78"/>
    <n v="80"/>
    <n v="41"/>
    <n v="0"/>
    <n v="1469422"/>
    <n v="122451.83333333333"/>
    <n v="0"/>
  </r>
  <r>
    <s v="Криатов (П)"/>
    <s v="П"/>
    <s v="ППЗ"/>
    <s v="ЦПЗ"/>
    <s v="ОПЗ"/>
    <s v="Нест"/>
    <s v="Нест"/>
    <s v="Нест"/>
    <x v="8"/>
    <x v="0"/>
    <m/>
    <n v="83.714285714285708"/>
    <n v="77"/>
    <n v="87"/>
    <n v="84"/>
    <n v="83"/>
    <n v="83"/>
    <n v="87"/>
    <n v="85"/>
    <n v="22"/>
    <n v="25356367"/>
    <n v="2113030.5833333335"/>
    <n v="0"/>
  </r>
  <r>
    <s v="Мохов (П)"/>
    <s v="П"/>
    <s v="ОПЗ"/>
    <s v="ЦЗ"/>
    <s v="ЦПЗ"/>
    <s v="Нест"/>
    <s v="Нест"/>
    <s v="Нест"/>
    <x v="8"/>
    <x v="0"/>
    <m/>
    <n v="87.428571428571431"/>
    <n v="80"/>
    <n v="86"/>
    <n v="90"/>
    <n v="90"/>
    <n v="86"/>
    <n v="92"/>
    <n v="88"/>
    <n v="1"/>
    <n v="39140384"/>
    <n v="3261698.6666666665"/>
    <n v="0"/>
  </r>
  <r>
    <s v="Пелли"/>
    <s v="П"/>
    <s v="ОПЗ"/>
    <s v="ЦПЗ"/>
    <m/>
    <s v="Тури"/>
    <s v="Тури"/>
    <s v="Тури"/>
    <x v="8"/>
    <x v="0"/>
    <m/>
    <n v="56.285714285714285"/>
    <n v="32"/>
    <n v="63"/>
    <n v="66"/>
    <n v="63"/>
    <n v="68"/>
    <n v="66"/>
    <n v="36"/>
    <n v="0"/>
    <n v="319141"/>
    <n v="26595.083333333332"/>
    <n v="0"/>
  </r>
  <r>
    <s v="Стлипта (П)"/>
    <s v="П"/>
    <s v="ЦПЗ"/>
    <s v="ЛПЗ"/>
    <m/>
    <s v="Мох"/>
    <s v="Мох"/>
    <s v="Мох"/>
    <x v="8"/>
    <x v="0"/>
    <m/>
    <n v="75.285714285714292"/>
    <n v="50"/>
    <n v="79"/>
    <n v="76"/>
    <n v="88"/>
    <n v="86"/>
    <n v="88"/>
    <n v="60"/>
    <n v="26"/>
    <n v="8774392"/>
    <n v="731199.33333333337"/>
    <n v="0"/>
  </r>
  <r>
    <s v="Фекете Тибор"/>
    <s v="П"/>
    <s v="ППЗ"/>
    <s v="ЛПЗ"/>
    <m/>
    <m/>
    <s v="Нест"/>
    <s v="Нест"/>
    <x v="8"/>
    <x v="0"/>
    <m/>
    <n v="69.857142857142861"/>
    <n v="40"/>
    <n v="85"/>
    <n v="68"/>
    <n v="80"/>
    <n v="74"/>
    <n v="76"/>
    <n v="66"/>
    <n v="23"/>
    <n v="4151447"/>
    <n v="345953.91666666669"/>
    <n v="0"/>
  </r>
  <r>
    <s v="Фильфи (П)"/>
    <s v="П"/>
    <s v="ОПЗ"/>
    <m/>
    <m/>
    <s v="Мох"/>
    <s v="Мох"/>
    <s v="Мох"/>
    <x v="8"/>
    <x v="0"/>
    <m/>
    <n v="76.428571428571431"/>
    <n v="60"/>
    <n v="71"/>
    <n v="80"/>
    <n v="80"/>
    <n v="89"/>
    <n v="90"/>
    <n v="65"/>
    <n v="26"/>
    <n v="10201140"/>
    <n v="850095"/>
    <n v="0"/>
  </r>
  <r>
    <s v="Циприан Марек"/>
    <s v="П"/>
    <s v="ЛПЗ"/>
    <s v="ОПЗ"/>
    <m/>
    <m/>
    <s v="Нест"/>
    <s v="Нест"/>
    <x v="8"/>
    <x v="0"/>
    <m/>
    <n v="57.142857142857146"/>
    <n v="18"/>
    <n v="64"/>
    <n v="66"/>
    <n v="74"/>
    <n v="72"/>
    <n v="75"/>
    <n v="31"/>
    <n v="0"/>
    <n v="371210"/>
    <n v="30934.166666666668"/>
    <n v="0"/>
  </r>
  <r>
    <s v="Гвездослав Радек"/>
    <s v="Т"/>
    <s v="Т"/>
    <m/>
    <m/>
    <m/>
    <s v="Нест"/>
    <s v="Нест"/>
    <x v="8"/>
    <x v="0"/>
    <m/>
    <n v="62.285714285714285"/>
    <n v="21"/>
    <n v="74"/>
    <n v="68"/>
    <n v="78"/>
    <n v="76"/>
    <n v="79"/>
    <n v="40"/>
    <n v="0"/>
    <n v="878789"/>
    <n v="73232.416666666672"/>
    <n v="0"/>
  </r>
  <r>
    <s v="Кроу Дэл"/>
    <s v="В"/>
    <s v="В"/>
    <m/>
    <m/>
    <m/>
    <s v="Бел"/>
    <s v="Бел"/>
    <x v="9"/>
    <x v="0"/>
    <m/>
    <n v="62.714285714285715"/>
    <n v="18"/>
    <n v="75"/>
    <n v="71"/>
    <n v="77"/>
    <n v="79"/>
    <n v="81"/>
    <n v="38"/>
    <n v="0"/>
    <n v="941163"/>
    <n v="78430.25"/>
    <n v="0"/>
  </r>
  <r>
    <s v="Финн Рой"/>
    <s v="В"/>
    <s v="В"/>
    <m/>
    <m/>
    <m/>
    <s v="Бел"/>
    <s v="Бел"/>
    <x v="9"/>
    <x v="0"/>
    <m/>
    <n v="67.571428571428569"/>
    <n v="45"/>
    <n v="73"/>
    <n v="69"/>
    <n v="75"/>
    <n v="77"/>
    <n v="79"/>
    <n v="55"/>
    <n v="0"/>
    <n v="1984409"/>
    <n v="55398.416666666664"/>
    <n v="0"/>
  </r>
  <r>
    <s v="Бэк Росс"/>
    <s v="З"/>
    <s v="ЦЗ"/>
    <s v="ЛЗ"/>
    <m/>
    <m/>
    <s v="Бел"/>
    <s v="Бел"/>
    <x v="9"/>
    <x v="0"/>
    <m/>
    <n v="64.428571428571431"/>
    <n v="21"/>
    <n v="81"/>
    <n v="73"/>
    <n v="77"/>
    <n v="79"/>
    <n v="81"/>
    <n v="39"/>
    <n v="0"/>
    <n v="1232495"/>
    <n v="102707.91666666667"/>
    <n v="0"/>
  </r>
  <r>
    <s v="Гарднер Ллойд"/>
    <s v="З"/>
    <s v="ЦЗ"/>
    <s v="ОПЗ"/>
    <m/>
    <m/>
    <s v="Бел"/>
    <s v="Бел"/>
    <x v="9"/>
    <x v="0"/>
    <m/>
    <n v="59.428571428571431"/>
    <n v="16"/>
    <n v="75"/>
    <n v="67"/>
    <n v="73"/>
    <n v="75"/>
    <n v="77"/>
    <n v="33"/>
    <n v="0"/>
    <n v="549482"/>
    <n v="45790.166666666664"/>
    <n v="0"/>
  </r>
  <r>
    <s v="Кейн Кирк"/>
    <s v="З"/>
    <s v="ЛЗ"/>
    <s v="ЦЗ"/>
    <m/>
    <m/>
    <s v="Бел"/>
    <s v="Бел"/>
    <x v="9"/>
    <x v="0"/>
    <m/>
    <n v="64"/>
    <n v="20"/>
    <n v="80"/>
    <n v="73"/>
    <n v="77"/>
    <n v="79"/>
    <n v="81"/>
    <n v="38"/>
    <n v="0"/>
    <n v="1152922"/>
    <n v="96076.833333333328"/>
    <n v="0"/>
  </r>
  <r>
    <s v="Флинн Брент"/>
    <s v="З"/>
    <s v="ПЗ"/>
    <s v="ЛЗ"/>
    <m/>
    <m/>
    <s v="Бел"/>
    <s v="Бел"/>
    <x v="9"/>
    <x v="0"/>
    <m/>
    <n v="59.285714285714285"/>
    <n v="16"/>
    <n v="75"/>
    <n v="67"/>
    <n v="73"/>
    <n v="75"/>
    <n v="77"/>
    <n v="32"/>
    <n v="0"/>
    <n v="536415"/>
    <n v="44701.25"/>
    <n v="0"/>
  </r>
  <r>
    <s v="Шоу Дэйв"/>
    <s v="З"/>
    <s v="ПЗ"/>
    <s v="ЦЗ"/>
    <m/>
    <m/>
    <s v="Бел"/>
    <s v="Бел"/>
    <x v="9"/>
    <x v="0"/>
    <m/>
    <n v="62.285714285714285"/>
    <n v="19"/>
    <n v="79"/>
    <n v="71"/>
    <n v="75"/>
    <n v="77"/>
    <n v="79"/>
    <n v="36"/>
    <n v="0"/>
    <n v="878789"/>
    <n v="73232.416666666672"/>
    <n v="0"/>
  </r>
  <r>
    <s v="Кларк Вэйд"/>
    <s v="Н"/>
    <s v="ЦН"/>
    <m/>
    <m/>
    <m/>
    <s v="Бел"/>
    <s v="Бел"/>
    <x v="9"/>
    <x v="0"/>
    <m/>
    <n v="59.571428571428569"/>
    <n v="17"/>
    <n v="75"/>
    <n v="67"/>
    <n v="73"/>
    <n v="75"/>
    <n v="77"/>
    <n v="33"/>
    <n v="0"/>
    <n v="562834"/>
    <n v="46902.833333333336"/>
    <n v="0"/>
  </r>
  <r>
    <s v="Мэйсон Дэйл"/>
    <s v="Н"/>
    <s v="ОФ"/>
    <s v="ЦН"/>
    <m/>
    <m/>
    <s v="Бел"/>
    <s v="Бел"/>
    <x v="9"/>
    <x v="0"/>
    <m/>
    <n v="61.428571428571431"/>
    <n v="18"/>
    <n v="77"/>
    <n v="69"/>
    <n v="75"/>
    <n v="77"/>
    <n v="79"/>
    <n v="35"/>
    <n v="0"/>
    <n v="765076"/>
    <n v="63756.333333333336"/>
    <n v="0"/>
  </r>
  <r>
    <s v="Рид Эрл"/>
    <s v="Н"/>
    <s v="ЦН"/>
    <s v="ОФ"/>
    <m/>
    <m/>
    <s v="Бел"/>
    <s v="Бел"/>
    <x v="9"/>
    <x v="0"/>
    <m/>
    <n v="59.571428571428569"/>
    <n v="17"/>
    <n v="75"/>
    <n v="67"/>
    <n v="73"/>
    <n v="75"/>
    <n v="77"/>
    <n v="33"/>
    <n v="0"/>
    <n v="562834"/>
    <n v="46902.833333333336"/>
    <n v="0"/>
  </r>
  <r>
    <s v="Хенк Дости"/>
    <s v="Н"/>
    <s v="ОФ"/>
    <s v="ЦН"/>
    <m/>
    <s v="Шах"/>
    <s v="Шах"/>
    <s v="Шах"/>
    <x v="9"/>
    <x v="0"/>
    <m/>
    <n v="59.857142857142854"/>
    <n v="36"/>
    <n v="69"/>
    <n v="65"/>
    <n v="66"/>
    <n v="68"/>
    <n v="75"/>
    <n v="40"/>
    <n v="0"/>
    <n v="590419"/>
    <n v="49201.583333333336"/>
    <n v="0"/>
  </r>
  <r>
    <s v="Бэйтс Спэнс"/>
    <s v="П"/>
    <s v="АПЗ"/>
    <s v="ППЗ"/>
    <m/>
    <m/>
    <s v="Бел"/>
    <s v="Бел"/>
    <x v="9"/>
    <x v="0"/>
    <m/>
    <n v="64.142857142857139"/>
    <n v="19"/>
    <n v="81"/>
    <n v="72"/>
    <n v="78"/>
    <n v="80"/>
    <n v="82"/>
    <n v="37"/>
    <n v="0"/>
    <n v="1178917"/>
    <n v="98243.083333333328"/>
    <n v="0"/>
  </r>
  <r>
    <s v="Голуши"/>
    <s v="П"/>
    <s v="ЦПЗ"/>
    <s v="ЛПЗ"/>
    <s v="ППЗ"/>
    <s v="Бел"/>
    <s v="Бел"/>
    <s v="Бел"/>
    <x v="9"/>
    <x v="0"/>
    <m/>
    <n v="76.571428571428569"/>
    <n v="72"/>
    <n v="75"/>
    <n v="77"/>
    <n v="78"/>
    <n v="83"/>
    <n v="86"/>
    <n v="65"/>
    <n v="18"/>
    <n v="10393427"/>
    <n v="866118.91666666663"/>
    <n v="0"/>
  </r>
  <r>
    <s v="Грин Рид"/>
    <s v="П"/>
    <s v="ЛПЗ"/>
    <s v="ОПЗ"/>
    <m/>
    <m/>
    <s v="Бел"/>
    <s v="Бел"/>
    <x v="9"/>
    <x v="0"/>
    <m/>
    <n v="57.714285714285715"/>
    <n v="16"/>
    <n v="73"/>
    <n v="65"/>
    <n v="71"/>
    <n v="73"/>
    <n v="75"/>
    <n v="31"/>
    <n v="0"/>
    <n v="410047"/>
    <n v="34170.583333333336"/>
    <n v="0"/>
  </r>
  <r>
    <s v="Иксвинг (П)"/>
    <s v="П"/>
    <s v="ЛПЗ"/>
    <s v="ОПЗ"/>
    <m/>
    <s v="Шах"/>
    <s v="Фин"/>
    <s v="Фин"/>
    <x v="9"/>
    <x v="0"/>
    <m/>
    <n v="83"/>
    <n v="85"/>
    <n v="92"/>
    <n v="84"/>
    <n v="85"/>
    <n v="80"/>
    <n v="75"/>
    <n v="80"/>
    <n v="9"/>
    <n v="23274062"/>
    <n v="1939505.1666666667"/>
    <n v="0"/>
  </r>
  <r>
    <s v="Лоусон Трой"/>
    <s v="П"/>
    <s v="ОПЗ"/>
    <s v="ЦПЗ"/>
    <m/>
    <m/>
    <s v="Бел"/>
    <s v="Бел"/>
    <x v="9"/>
    <x v="0"/>
    <m/>
    <n v="61.285714285714285"/>
    <n v="18"/>
    <n v="77"/>
    <n v="69"/>
    <n v="75"/>
    <n v="77"/>
    <n v="79"/>
    <n v="34"/>
    <n v="0"/>
    <n v="747468"/>
    <n v="62289"/>
    <n v="0"/>
  </r>
  <r>
    <s v="Пирс Клэй"/>
    <s v="П"/>
    <s v="ППЗ"/>
    <s v="АПЗ"/>
    <m/>
    <m/>
    <s v="Бел"/>
    <s v="Бел"/>
    <x v="9"/>
    <x v="0"/>
    <m/>
    <n v="67.714285714285708"/>
    <n v="22"/>
    <n v="83"/>
    <n v="77"/>
    <n v="81"/>
    <n v="83"/>
    <n v="85"/>
    <n v="43"/>
    <n v="0"/>
    <n v="2026764"/>
    <n v="168897"/>
    <n v="0"/>
  </r>
  <r>
    <s v="Уинстон Дэш"/>
    <s v="П"/>
    <s v="АПЗ"/>
    <s v="ЦПЗ"/>
    <m/>
    <m/>
    <s v="Бел"/>
    <s v="Бел"/>
    <x v="9"/>
    <x v="0"/>
    <m/>
    <n v="60.285714285714285"/>
    <n v="17"/>
    <n v="76"/>
    <n v="68"/>
    <n v="74"/>
    <n v="76"/>
    <n v="78"/>
    <n v="33"/>
    <n v="0"/>
    <n v="634081"/>
    <n v="52840.083333333336"/>
    <n v="0"/>
  </r>
  <r>
    <s v="Харт Мэйс"/>
    <s v="П"/>
    <s v="ЦПЗ"/>
    <s v="ОПЗ"/>
    <m/>
    <m/>
    <s v="Бел"/>
    <s v="Бел"/>
    <x v="9"/>
    <x v="0"/>
    <m/>
    <n v="69.571428571428569"/>
    <n v="23"/>
    <n v="85"/>
    <n v="79"/>
    <n v="83"/>
    <n v="85"/>
    <n v="87"/>
    <n v="45"/>
    <n v="0"/>
    <n v="2656497"/>
    <n v="221374.75"/>
    <n v="0"/>
  </r>
  <r>
    <s v="Холт Клайд"/>
    <s v="Т"/>
    <s v="Т"/>
    <m/>
    <m/>
    <m/>
    <s v="Бел"/>
    <s v="Бел"/>
    <x v="9"/>
    <x v="0"/>
    <m/>
    <n v="61.571428571428569"/>
    <n v="17"/>
    <n v="74"/>
    <n v="70"/>
    <n v="76"/>
    <n v="78"/>
    <n v="80"/>
    <n v="36"/>
    <n v="0"/>
    <n v="783056"/>
    <n v="65254.666666666664"/>
    <n v="0"/>
  </r>
  <r>
    <s v="Тарковский Ян"/>
    <s v="В"/>
    <s v="В"/>
    <m/>
    <m/>
    <m/>
    <s v="Гид"/>
    <s v="Гид"/>
    <x v="10"/>
    <x v="0"/>
    <m/>
    <n v="58.428571428571431"/>
    <n v="18"/>
    <n v="65"/>
    <n v="57"/>
    <n v="79"/>
    <n v="75"/>
    <n v="73"/>
    <n v="42"/>
    <n v="0"/>
    <n v="463717"/>
    <n v="38643.083333333336"/>
    <n v="0"/>
  </r>
  <r>
    <s v="Барехин"/>
    <s v="З"/>
    <s v="ЦЗ"/>
    <m/>
    <m/>
    <s v="Гид"/>
    <s v="Гид"/>
    <s v="Гид"/>
    <x v="10"/>
    <x v="0"/>
    <m/>
    <n v="66.428571428571431"/>
    <n v="36"/>
    <n v="56"/>
    <n v="75"/>
    <n v="80"/>
    <n v="75"/>
    <n v="73"/>
    <n v="70"/>
    <n v="0"/>
    <n v="1673205"/>
    <n v="139433.75"/>
    <n v="0"/>
  </r>
  <r>
    <s v="Бугвай Ален"/>
    <s v="З"/>
    <s v="ЦЗ"/>
    <s v="ПЗ"/>
    <m/>
    <s v="Гид"/>
    <s v="Гид"/>
    <s v="Гид"/>
    <x v="10"/>
    <x v="0"/>
    <m/>
    <n v="72"/>
    <n v="51"/>
    <n v="57"/>
    <n v="79"/>
    <n v="81"/>
    <n v="69"/>
    <n v="87"/>
    <n v="80"/>
    <n v="0"/>
    <n v="3743907"/>
    <n v="311992.25"/>
    <n v="0"/>
  </r>
  <r>
    <s v="Бурибов"/>
    <s v="З"/>
    <s v="ЦЗ"/>
    <s v="ПЗ"/>
    <m/>
    <s v="Гид"/>
    <s v="Гид"/>
    <s v="Гид"/>
    <x v="10"/>
    <x v="0"/>
    <m/>
    <n v="69"/>
    <n v="50"/>
    <n v="58"/>
    <n v="75"/>
    <n v="81"/>
    <n v="72"/>
    <n v="73"/>
    <n v="74"/>
    <n v="0"/>
    <n v="2446195"/>
    <n v="203849.58333333334"/>
    <n v="0"/>
  </r>
  <r>
    <s v="Вергас Люк"/>
    <s v="З"/>
    <s v="ЦЗ"/>
    <s v="ЛЗ"/>
    <m/>
    <m/>
    <s v="Гид"/>
    <s v="Гид"/>
    <x v="10"/>
    <x v="0"/>
    <m/>
    <n v="60.142857142857146"/>
    <n v="21"/>
    <n v="67"/>
    <n v="61"/>
    <n v="81"/>
    <n v="77"/>
    <n v="75"/>
    <n v="39"/>
    <n v="0"/>
    <n v="619214"/>
    <n v="51601.166666666664"/>
    <n v="0"/>
  </r>
  <r>
    <s v="Горбелин Марек"/>
    <s v="З"/>
    <s v="ЦЗ"/>
    <s v="ПЗ"/>
    <m/>
    <m/>
    <s v="Гид"/>
    <s v="Гид"/>
    <x v="10"/>
    <x v="0"/>
    <m/>
    <n v="60.428571428571431"/>
    <n v="24"/>
    <n v="61"/>
    <n v="65"/>
    <n v="77"/>
    <n v="81"/>
    <n v="79"/>
    <n v="36"/>
    <n v="0"/>
    <n v="649267"/>
    <n v="54105.583333333336"/>
    <n v="0"/>
  </r>
  <r>
    <s v="Зоннин Алексей"/>
    <s v="З"/>
    <s v="ЦЗ"/>
    <m/>
    <m/>
    <m/>
    <s v="Гид"/>
    <s v="Гид"/>
    <x v="10"/>
    <x v="0"/>
    <m/>
    <n v="54.285714285714285"/>
    <n v="17"/>
    <n v="57"/>
    <n v="59"/>
    <n v="73"/>
    <n v="71"/>
    <n v="72"/>
    <n v="31"/>
    <n v="0"/>
    <n v="222258"/>
    <n v="18521.5"/>
    <n v="0"/>
  </r>
  <r>
    <s v="Стрельцов Иржи"/>
    <s v="З"/>
    <s v="ЦЗ"/>
    <m/>
    <m/>
    <m/>
    <s v="Гид"/>
    <s v="Гид"/>
    <x v="10"/>
    <x v="0"/>
    <m/>
    <n v="51.571428571428569"/>
    <n v="15"/>
    <n v="53"/>
    <n v="55"/>
    <n v="71"/>
    <n v="69"/>
    <n v="70"/>
    <n v="28"/>
    <n v="0"/>
    <n v="133074"/>
    <n v="11089.5"/>
    <n v="0"/>
  </r>
  <r>
    <s v="Эрешков"/>
    <s v="З"/>
    <s v="ЦЗ"/>
    <s v="ЛЗ"/>
    <m/>
    <s v="Гид"/>
    <s v="Гид"/>
    <s v="Гид"/>
    <x v="10"/>
    <x v="0"/>
    <m/>
    <n v="70.285714285714292"/>
    <n v="52"/>
    <n v="62"/>
    <n v="72"/>
    <n v="83"/>
    <n v="68"/>
    <n v="80"/>
    <n v="75"/>
    <n v="0"/>
    <n v="2942190"/>
    <n v="245182.5"/>
    <n v="0"/>
  </r>
  <r>
    <s v="Аги"/>
    <s v="Н"/>
    <s v="ОФ"/>
    <m/>
    <m/>
    <s v="Гид"/>
    <s v="Гид"/>
    <s v="Гид"/>
    <x v="10"/>
    <x v="0"/>
    <m/>
    <n v="54.571428571428569"/>
    <n v="11"/>
    <n v="76"/>
    <n v="63"/>
    <n v="68"/>
    <n v="65"/>
    <n v="55"/>
    <n v="44"/>
    <n v="0"/>
    <n v="234236"/>
    <n v="19519.666666666668"/>
    <n v="0"/>
  </r>
  <r>
    <s v="Мейсмост"/>
    <s v="Н"/>
    <s v="ЦН"/>
    <m/>
    <m/>
    <s v="Гид"/>
    <s v="Гид"/>
    <s v="Гид"/>
    <x v="10"/>
    <x v="0"/>
    <m/>
    <n v="57.142857142857146"/>
    <n v="22"/>
    <n v="63"/>
    <n v="70"/>
    <n v="65"/>
    <n v="60"/>
    <n v="70"/>
    <n v="50"/>
    <n v="0"/>
    <n v="371210"/>
    <n v="30934.166666666668"/>
    <n v="0"/>
  </r>
  <r>
    <s v="Тярцев Тимур"/>
    <s v="Н"/>
    <s v="ЦН"/>
    <s v="ОФ"/>
    <m/>
    <m/>
    <s v="Гид"/>
    <s v="Гид"/>
    <x v="10"/>
    <x v="0"/>
    <m/>
    <n v="65.714285714285708"/>
    <n v="26"/>
    <n v="79"/>
    <n v="73"/>
    <n v="78"/>
    <n v="79"/>
    <n v="81"/>
    <n v="44"/>
    <n v="0"/>
    <n v="1501751"/>
    <n v="125145.91666666667"/>
    <n v="0"/>
  </r>
  <r>
    <s v="Вошников"/>
    <s v="П"/>
    <s v="ЦПЗ"/>
    <m/>
    <m/>
    <s v="Гид"/>
    <s v="Гид"/>
    <s v="Гид"/>
    <x v="10"/>
    <x v="0"/>
    <m/>
    <n v="59.428571428571431"/>
    <n v="35"/>
    <n v="60"/>
    <n v="65"/>
    <n v="73"/>
    <n v="60"/>
    <n v="73"/>
    <n v="50"/>
    <n v="0"/>
    <n v="549482"/>
    <n v="45790.166666666664"/>
    <n v="0"/>
  </r>
  <r>
    <s v="Генушников"/>
    <s v="П"/>
    <s v="ЦПЗ"/>
    <s v="ОПЗ"/>
    <s v="АПЗ"/>
    <s v="Гид"/>
    <s v="Гид"/>
    <s v="Гид"/>
    <x v="10"/>
    <x v="0"/>
    <m/>
    <n v="77.571428571428569"/>
    <n v="75"/>
    <n v="73"/>
    <n v="83"/>
    <n v="85"/>
    <n v="68"/>
    <n v="81"/>
    <n v="78"/>
    <n v="24"/>
    <n v="11833390"/>
    <n v="986115.83333333337"/>
    <n v="0"/>
  </r>
  <r>
    <s v="Гунаев Олег"/>
    <s v="П"/>
    <s v="ЦПЗ"/>
    <s v="ППЗ"/>
    <m/>
    <m/>
    <s v="Гид"/>
    <s v="Гид"/>
    <x v="10"/>
    <x v="0"/>
    <m/>
    <n v="68.571428571428569"/>
    <n v="40"/>
    <n v="75"/>
    <n v="71"/>
    <n v="85"/>
    <n v="80"/>
    <n v="77"/>
    <n v="52"/>
    <n v="0"/>
    <n v="2298434"/>
    <n v="114679.83333333333"/>
    <n v="0"/>
  </r>
  <r>
    <s v="Колон Анноа"/>
    <s v="П"/>
    <s v="ЦПЗ"/>
    <m/>
    <m/>
    <m/>
    <s v="Гид"/>
    <s v="Гид"/>
    <x v="10"/>
    <x v="0"/>
    <m/>
    <n v="52.571428571428569"/>
    <n v="15"/>
    <n v="61"/>
    <n v="57"/>
    <n v="75"/>
    <n v="63"/>
    <n v="68"/>
    <n v="29"/>
    <n v="0"/>
    <n v="161250"/>
    <n v="13437.5"/>
    <n v="0"/>
  </r>
  <r>
    <s v="Мартинес Рауль"/>
    <s v="П"/>
    <s v="ЛПЗ"/>
    <s v="АПЗ"/>
    <m/>
    <m/>
    <s v="Гид"/>
    <s v="Гид"/>
    <x v="10"/>
    <x v="0"/>
    <m/>
    <n v="56.428571428571431"/>
    <n v="16"/>
    <n v="77"/>
    <n v="55"/>
    <n v="83"/>
    <n v="65"/>
    <n v="69"/>
    <n v="30"/>
    <n v="0"/>
    <n v="327334"/>
    <n v="27277.833333333332"/>
    <n v="0"/>
  </r>
  <r>
    <s v="Пурков (П)"/>
    <s v="П"/>
    <s v="ЦПЗ"/>
    <s v="ППЗ"/>
    <m/>
    <s v="Вод"/>
    <s v="Вод"/>
    <s v="Вод"/>
    <x v="10"/>
    <x v="0"/>
    <m/>
    <n v="78"/>
    <n v="81"/>
    <n v="76"/>
    <n v="83"/>
    <n v="76"/>
    <n v="77"/>
    <n v="79"/>
    <n v="74"/>
    <n v="2"/>
    <n v="12503664"/>
    <n v="1041972"/>
    <n v="0"/>
  </r>
  <r>
    <s v="Сей"/>
    <s v="П"/>
    <s v="ЛПЗ"/>
    <s v="АПЗ"/>
    <m/>
    <s v="Гид"/>
    <s v="Гид"/>
    <s v="Гид"/>
    <x v="10"/>
    <x v="0"/>
    <m/>
    <n v="67.428571428571431"/>
    <n v="45"/>
    <n v="79"/>
    <n v="70"/>
    <n v="76"/>
    <n v="70"/>
    <n v="72"/>
    <n v="60"/>
    <n v="23"/>
    <n v="2914278"/>
    <n v="134750.33333333334"/>
    <n v="0"/>
  </r>
  <r>
    <s v="Смолин Павел"/>
    <s v="П"/>
    <s v="ЦПЗ"/>
    <s v="ОПЗ"/>
    <m/>
    <m/>
    <s v="Гид"/>
    <s v="Гид"/>
    <x v="10"/>
    <x v="0"/>
    <m/>
    <n v="58.285714285714285"/>
    <n v="20"/>
    <n v="67"/>
    <n v="63"/>
    <n v="80"/>
    <n v="69"/>
    <n v="74"/>
    <n v="35"/>
    <n v="0"/>
    <n v="452503"/>
    <n v="37708.583333333336"/>
    <n v="0"/>
  </r>
  <r>
    <s v="Тарсет"/>
    <s v="П"/>
    <s v="ЦПЗ"/>
    <m/>
    <m/>
    <s v="Гид"/>
    <s v="Гид"/>
    <s v="Гид"/>
    <x v="10"/>
    <x v="0"/>
    <m/>
    <n v="58.857142857142854"/>
    <n v="30"/>
    <n v="59"/>
    <n v="63"/>
    <n v="75"/>
    <n v="59"/>
    <n v="75"/>
    <n v="51"/>
    <n v="0"/>
    <n v="498876"/>
    <n v="41573"/>
    <n v="0"/>
  </r>
  <r>
    <s v="Цускар"/>
    <s v="П"/>
    <s v="ЦПЗ"/>
    <s v="АПЗ"/>
    <m/>
    <s v="Гид"/>
    <s v="Гид"/>
    <s v="Гид"/>
    <x v="10"/>
    <x v="0"/>
    <m/>
    <n v="67.285714285714292"/>
    <n v="44"/>
    <n v="68"/>
    <n v="80"/>
    <n v="80"/>
    <n v="70"/>
    <n v="79"/>
    <n v="50"/>
    <n v="0"/>
    <n v="1902080"/>
    <n v="40574.833333333336"/>
    <n v="0"/>
  </r>
  <r>
    <s v="Крустье Лаво"/>
    <s v="Т"/>
    <s v="Т"/>
    <m/>
    <m/>
    <m/>
    <s v="Гид"/>
    <s v="Гид"/>
    <x v="10"/>
    <x v="0"/>
    <m/>
    <n v="58.714285714285715"/>
    <n v="19"/>
    <n v="69"/>
    <n v="65"/>
    <n v="81"/>
    <n v="71"/>
    <n v="73"/>
    <n v="33"/>
    <n v="0"/>
    <n v="486898"/>
    <n v="40574.833333333336"/>
    <n v="0"/>
  </r>
  <r>
    <s v="Азотов (В)"/>
    <s v="В"/>
    <s v="В"/>
    <m/>
    <m/>
    <s v="Нест"/>
    <s v="Нест"/>
    <s v="Нест"/>
    <x v="11"/>
    <x v="0"/>
    <m/>
    <n v="83.714285714285708"/>
    <n v="79"/>
    <n v="75"/>
    <n v="82"/>
    <n v="86"/>
    <n v="90"/>
    <n v="92"/>
    <n v="82"/>
    <n v="29"/>
    <n v="25356367"/>
    <n v="2113030.5833333335"/>
    <n v="0"/>
  </r>
  <r>
    <s v="Востер"/>
    <s v="З"/>
    <s v="ЦЗ"/>
    <s v="ЛЗ"/>
    <m/>
    <s v="Мох"/>
    <s v="Мох"/>
    <s v="Мох"/>
    <x v="11"/>
    <x v="0"/>
    <m/>
    <n v="82.285714285714292"/>
    <n v="80"/>
    <n v="84"/>
    <n v="83"/>
    <n v="80"/>
    <n v="85"/>
    <n v="84"/>
    <n v="80"/>
    <n v="26"/>
    <n v="21346944"/>
    <n v="1778912"/>
    <n v="0"/>
  </r>
  <r>
    <s v="Горовой Евгений"/>
    <s v="З"/>
    <s v="ЛЗ"/>
    <s v="ПЗ"/>
    <m/>
    <m/>
    <s v="Нест"/>
    <s v="Нест"/>
    <x v="11"/>
    <x v="0"/>
    <m/>
    <n v="72.142857142857139"/>
    <n v="34"/>
    <n v="84"/>
    <n v="70"/>
    <n v="78"/>
    <n v="82"/>
    <n v="87"/>
    <n v="70"/>
    <n v="0"/>
    <n v="3818857"/>
    <n v="318238.08333333331"/>
    <n v="0"/>
  </r>
  <r>
    <s v="Гушин (З)"/>
    <s v="З"/>
    <s v="ЦЗ"/>
    <s v="ОПЗ"/>
    <s v="ЛЗ"/>
    <s v="Нест"/>
    <s v="Нест"/>
    <s v="Нест"/>
    <x v="11"/>
    <x v="0"/>
    <m/>
    <n v="83"/>
    <n v="78"/>
    <n v="81"/>
    <n v="84"/>
    <n v="84"/>
    <n v="85"/>
    <n v="88"/>
    <n v="81"/>
    <n v="28"/>
    <n v="23274062"/>
    <n v="1939505.1666666667"/>
    <n v="0"/>
  </r>
  <r>
    <s v="Керимов (З)"/>
    <s v="З"/>
    <s v="ЦЗ"/>
    <s v="ПЗ"/>
    <s v="ЛЗ"/>
    <s v="Зар"/>
    <s v="Зар"/>
    <s v="Зар"/>
    <x v="11"/>
    <x v="0"/>
    <m/>
    <n v="86"/>
    <n v="79"/>
    <n v="80"/>
    <n v="90"/>
    <n v="80"/>
    <n v="94"/>
    <n v="91"/>
    <n v="88"/>
    <n v="28"/>
    <n v="33195237"/>
    <n v="2766269.75"/>
    <n v="0"/>
  </r>
  <r>
    <s v="Костин (З)"/>
    <s v="З"/>
    <s v="ЦЗ"/>
    <s v="ПЗ"/>
    <s v="ЛЗ"/>
    <s v="Нест"/>
    <s v="Нест"/>
    <s v="Нест"/>
    <x v="11"/>
    <x v="0"/>
    <m/>
    <n v="86.714285714285708"/>
    <n v="83"/>
    <n v="82"/>
    <n v="90"/>
    <n v="88"/>
    <n v="90"/>
    <n v="89"/>
    <n v="85"/>
    <n v="28"/>
    <n v="36057680"/>
    <n v="3004806.6666666665"/>
    <n v="0"/>
  </r>
  <r>
    <s v="Санта (З)"/>
    <s v="З"/>
    <s v="ЦЗ"/>
    <s v="ПЗ"/>
    <s v="ОПЗ"/>
    <s v="Зар"/>
    <s v="Зар"/>
    <s v="Зар"/>
    <x v="11"/>
    <x v="0"/>
    <m/>
    <n v="81.285714285714292"/>
    <n v="72"/>
    <n v="76"/>
    <n v="78"/>
    <n v="86"/>
    <n v="86"/>
    <n v="90"/>
    <n v="81"/>
    <n v="27"/>
    <n v="18890069"/>
    <n v="1574172.4166666667"/>
    <n v="0"/>
  </r>
  <r>
    <s v="Ункен"/>
    <s v="З"/>
    <s v="ЦЗ"/>
    <s v="ПЗ"/>
    <m/>
    <s v="Нест"/>
    <s v="Нест"/>
    <s v="Нест"/>
    <x v="11"/>
    <x v="0"/>
    <m/>
    <n v="89.857142857142861"/>
    <n v="85"/>
    <n v="85"/>
    <n v="87"/>
    <n v="91"/>
    <n v="97"/>
    <n v="92"/>
    <n v="92"/>
    <n v="28"/>
    <n v="51477485"/>
    <n v="4289790.416666667"/>
    <n v="0"/>
  </r>
  <r>
    <s v="Доррут"/>
    <s v="Н"/>
    <s v="ЦН"/>
    <s v="ОФ"/>
    <m/>
    <s v="Нест"/>
    <s v="Нест"/>
    <s v="Нест"/>
    <x v="11"/>
    <x v="0"/>
    <m/>
    <n v="77.285714285714292"/>
    <n v="55"/>
    <n v="78"/>
    <n v="84"/>
    <n v="83"/>
    <n v="81"/>
    <n v="95"/>
    <n v="65"/>
    <n v="12"/>
    <n v="11404691"/>
    <n v="950390.91666666663"/>
    <n v="0"/>
  </r>
  <r>
    <s v="Кожевников (Н)"/>
    <s v="Н"/>
    <s v="ЦН"/>
    <s v="ОФ"/>
    <m/>
    <s v="Нест"/>
    <s v="Нест"/>
    <s v="Нест"/>
    <x v="11"/>
    <x v="0"/>
    <m/>
    <n v="90.142857142857139"/>
    <n v="92"/>
    <n v="88"/>
    <n v="93"/>
    <n v="90"/>
    <n v="90"/>
    <n v="88"/>
    <n v="90"/>
    <n v="7"/>
    <n v="53137908"/>
    <n v="4428159"/>
    <n v="0"/>
  </r>
  <r>
    <s v="Ожедубов (Н)"/>
    <s v="Н"/>
    <s v="ЦН"/>
    <s v="АПЗ"/>
    <m/>
    <s v="Нест"/>
    <s v="Нест"/>
    <s v="Нест"/>
    <x v="11"/>
    <x v="0"/>
    <m/>
    <n v="92.571428571428569"/>
    <n v="90"/>
    <n v="94"/>
    <n v="94"/>
    <n v="92"/>
    <n v="94"/>
    <n v="87"/>
    <n v="97"/>
    <n v="14"/>
    <n v="69320378"/>
    <n v="5776698.166666667"/>
    <n v="0"/>
  </r>
  <r>
    <s v="Питбуль (Н)"/>
    <s v="Н"/>
    <s v="ЦН"/>
    <s v="ОФ"/>
    <m/>
    <s v="Киш"/>
    <s v="Киш"/>
    <s v="Киш"/>
    <x v="11"/>
    <x v="0"/>
    <m/>
    <n v="80.714285714285708"/>
    <n v="60"/>
    <n v="83"/>
    <n v="87"/>
    <n v="83"/>
    <n v="86"/>
    <n v="88"/>
    <n v="78"/>
    <n v="6"/>
    <n v="17603351"/>
    <n v="1466945.9166666667"/>
    <n v="0"/>
  </r>
  <r>
    <s v="Бестужев (П)"/>
    <s v="П"/>
    <s v="ЦПЗ"/>
    <s v="ЛПЗ"/>
    <s v="ОПЗ"/>
    <s v="Мох"/>
    <s v="Мох"/>
    <s v="Мох"/>
    <x v="11"/>
    <x v="0"/>
    <m/>
    <n v="93"/>
    <n v="93"/>
    <n v="88"/>
    <n v="93"/>
    <n v="95"/>
    <n v="93"/>
    <n v="93"/>
    <n v="96"/>
    <n v="10"/>
    <n v="72597347"/>
    <n v="6049778.916666667"/>
    <n v="0"/>
  </r>
  <r>
    <s v="Брагидич (П)"/>
    <s v="П"/>
    <s v="ЦПЗ"/>
    <s v="ОПЗ"/>
    <s v="ЛПЗ"/>
    <s v="Зар"/>
    <s v="Зар"/>
    <s v="Зар"/>
    <x v="11"/>
    <x v="0"/>
    <m/>
    <n v="86.142857142857139"/>
    <n v="84"/>
    <n v="82"/>
    <n v="91"/>
    <n v="91"/>
    <n v="85"/>
    <n v="85"/>
    <n v="85"/>
    <n v="21"/>
    <n v="33750793"/>
    <n v="2812566.0833333335"/>
    <n v="0"/>
  </r>
  <r>
    <s v="Лапшев Тун"/>
    <s v="П"/>
    <s v="ЛПЗ"/>
    <s v="ЦПЗ"/>
    <m/>
    <m/>
    <s v="Нест"/>
    <s v="Нест"/>
    <x v="11"/>
    <x v="0"/>
    <m/>
    <n v="76.857142857142861"/>
    <n v="45"/>
    <n v="88"/>
    <n v="80"/>
    <n v="80"/>
    <n v="80"/>
    <n v="85"/>
    <n v="80"/>
    <n v="0"/>
    <n v="7191879"/>
    <n v="288096.83333333331"/>
    <n v="0"/>
  </r>
  <r>
    <s v="Неомов (П)"/>
    <s v="П"/>
    <s v="ЦПЗ"/>
    <s v="ЛПЗ"/>
    <s v="ППЗ"/>
    <s v="Нест"/>
    <s v="Нест"/>
    <s v="Нест"/>
    <x v="11"/>
    <x v="0"/>
    <m/>
    <n v="89"/>
    <n v="85"/>
    <n v="83"/>
    <n v="92"/>
    <n v="93"/>
    <n v="86"/>
    <n v="93"/>
    <n v="91"/>
    <n v="21"/>
    <n v="46772580"/>
    <n v="3897715"/>
    <n v="0"/>
  </r>
  <r>
    <s v="Нестеров (П)"/>
    <s v="П"/>
    <s v="ЦПЗ"/>
    <s v="ОПЗ"/>
    <s v="АПЗ"/>
    <s v="Нест"/>
    <s v="Нест"/>
    <s v="Нест"/>
    <x v="11"/>
    <x v="0"/>
    <m/>
    <n v="92.571428571428569"/>
    <n v="91"/>
    <n v="83"/>
    <n v="96"/>
    <n v="98"/>
    <n v="90"/>
    <n v="94"/>
    <n v="96"/>
    <n v="8"/>
    <n v="69320378"/>
    <n v="5776698.166666667"/>
    <n v="0"/>
  </r>
  <r>
    <s v="Требухов (П)"/>
    <s v="П"/>
    <s v="АПЗ"/>
    <s v="ППЗ"/>
    <s v="ЦПЗ"/>
    <s v="Н.С."/>
    <s v="Н.С."/>
    <s v="Н.С."/>
    <x v="11"/>
    <x v="0"/>
    <m/>
    <n v="88"/>
    <n v="85"/>
    <n v="86"/>
    <n v="95"/>
    <n v="88"/>
    <n v="85"/>
    <n v="88"/>
    <n v="89"/>
    <n v="17"/>
    <n v="41775147"/>
    <n v="3481262.25"/>
    <n v="0"/>
  </r>
  <r>
    <s v="Тутовников"/>
    <s v="П"/>
    <s v="ОПЗ"/>
    <s v="ЦЗ"/>
    <s v="ЦПЗ"/>
    <s v="Нест"/>
    <s v="Нест"/>
    <s v="Нест"/>
    <x v="11"/>
    <x v="0"/>
    <m/>
    <n v="80.285714285714292"/>
    <n v="77"/>
    <n v="85"/>
    <n v="80"/>
    <n v="85"/>
    <n v="82"/>
    <n v="90"/>
    <n v="63"/>
    <n v="0"/>
    <n v="11127120"/>
    <n v="927260"/>
    <n v="0"/>
  </r>
  <r>
    <s v="Фолкен"/>
    <s v="П"/>
    <s v="ЦПЗ"/>
    <m/>
    <m/>
    <s v="Тури"/>
    <s v="Тури"/>
    <s v="Тури"/>
    <x v="11"/>
    <x v="0"/>
    <m/>
    <n v="53.142857142857146"/>
    <n v="44"/>
    <n v="53"/>
    <n v="50"/>
    <n v="59"/>
    <n v="54"/>
    <n v="54"/>
    <n v="58"/>
    <n v="0"/>
    <n v="179660"/>
    <n v="14971.666666666666"/>
    <n v="0"/>
  </r>
  <r>
    <s v="Шоруш Максим"/>
    <s v="П"/>
    <s v="ОПЗ"/>
    <s v="ЦПЗ"/>
    <m/>
    <m/>
    <s v="Нест"/>
    <s v="Нест"/>
    <x v="11"/>
    <x v="0"/>
    <m/>
    <n v="70.857142857142861"/>
    <n v="36"/>
    <n v="79"/>
    <n v="77"/>
    <n v="74"/>
    <n v="86"/>
    <n v="84"/>
    <n v="60"/>
    <n v="0"/>
    <n v="3190336"/>
    <n v="265861.33333333331"/>
    <n v="0"/>
  </r>
  <r>
    <s v="Боровой"/>
    <s v="Т"/>
    <s v="Т"/>
    <m/>
    <m/>
    <m/>
    <s v="Нест"/>
    <s v="Нест"/>
    <x v="11"/>
    <x v="0"/>
    <m/>
    <n v="86.285714285714292"/>
    <n v="78"/>
    <n v="84"/>
    <n v="93"/>
    <n v="90"/>
    <n v="89"/>
    <n v="84"/>
    <n v="86"/>
    <n v="0"/>
    <n v="22876469"/>
    <n v="1906372.4166666667"/>
    <n v="0"/>
  </r>
  <r>
    <s v="Синди (В)"/>
    <s v="В"/>
    <s v="В"/>
    <m/>
    <m/>
    <s v="Ост"/>
    <s v="Ост"/>
    <s v="Ост"/>
    <x v="12"/>
    <x v="0"/>
    <m/>
    <n v="72.571428571428569"/>
    <n v="70"/>
    <n v="70"/>
    <n v="90"/>
    <n v="72"/>
    <n v="80"/>
    <n v="82"/>
    <n v="44"/>
    <n v="0"/>
    <n v="4051882"/>
    <n v="337656.83333333331"/>
    <n v="0"/>
  </r>
  <r>
    <s v="Алькам (З)"/>
    <s v="З"/>
    <s v="ЦЗ"/>
    <m/>
    <m/>
    <s v="Ост"/>
    <s v="Дант"/>
    <s v="Дант"/>
    <x v="12"/>
    <x v="0"/>
    <m/>
    <n v="77.857142857142861"/>
    <n v="71"/>
    <n v="75"/>
    <n v="80"/>
    <n v="74"/>
    <n v="91"/>
    <n v="93"/>
    <n v="61"/>
    <n v="26"/>
    <n v="12276538"/>
    <n v="1023044.8333333334"/>
    <n v="0"/>
  </r>
  <r>
    <s v="Винтик (З)"/>
    <s v="З"/>
    <s v="ЦЗ"/>
    <s v="ПЗ"/>
    <m/>
    <s v="Ост"/>
    <s v="Ост"/>
    <s v="Ост"/>
    <x v="12"/>
    <x v="0"/>
    <m/>
    <n v="83.428571428571431"/>
    <n v="75"/>
    <n v="80"/>
    <n v="85"/>
    <n v="80"/>
    <n v="93"/>
    <n v="97"/>
    <n v="74"/>
    <n v="26"/>
    <n v="24504133"/>
    <n v="2042011.0833333333"/>
    <n v="0"/>
  </r>
  <r>
    <s v="Гримхольд Бран"/>
    <s v="З"/>
    <s v="ЦЗ"/>
    <s v="ОПЗ"/>
    <m/>
    <m/>
    <s v="Ост"/>
    <s v="Ост"/>
    <x v="12"/>
    <x v="0"/>
    <m/>
    <n v="66.285714285714292"/>
    <n v="23"/>
    <n v="76"/>
    <n v="70"/>
    <n v="82"/>
    <n v="84"/>
    <n v="86"/>
    <n v="43"/>
    <n v="0"/>
    <n v="1637569"/>
    <n v="136464.08333333334"/>
    <n v="0"/>
  </r>
  <r>
    <s v="Ольтор (З)"/>
    <s v="З"/>
    <s v="ЦЗ"/>
    <m/>
    <m/>
    <s v="Ост"/>
    <s v="Ост"/>
    <s v="Ост"/>
    <x v="12"/>
    <x v="0"/>
    <m/>
    <n v="75.714285714285708"/>
    <n v="60"/>
    <n v="77"/>
    <n v="78"/>
    <n v="73"/>
    <n v="88"/>
    <n v="99"/>
    <n v="55"/>
    <n v="26"/>
    <n v="9286875"/>
    <n v="773906.25"/>
    <n v="0"/>
  </r>
  <r>
    <s v="Скаллгрим Торви"/>
    <s v="З"/>
    <s v="ЛЗ"/>
    <s v="ЦЗ"/>
    <m/>
    <m/>
    <s v="Ост"/>
    <s v="Ост"/>
    <x v="12"/>
    <x v="0"/>
    <m/>
    <n v="58.857142857142854"/>
    <n v="16"/>
    <n v="66"/>
    <n v="62"/>
    <n v="74"/>
    <n v="80"/>
    <n v="82"/>
    <n v="32"/>
    <n v="0"/>
    <n v="498876"/>
    <n v="41573"/>
    <n v="0"/>
  </r>
  <r>
    <s v="Бьорнссон Ранар"/>
    <s v="Н"/>
    <s v="ОФ"/>
    <s v="ЦН"/>
    <m/>
    <m/>
    <s v="Ост"/>
    <s v="Ост"/>
    <x v="12"/>
    <x v="0"/>
    <m/>
    <n v="68"/>
    <n v="24"/>
    <n v="80"/>
    <n v="80"/>
    <n v="81"/>
    <n v="82"/>
    <n v="85"/>
    <n v="44"/>
    <n v="0"/>
    <n v="2113923"/>
    <n v="176160.25"/>
    <n v="0"/>
  </r>
  <r>
    <s v="Неон (Н)"/>
    <s v="Н"/>
    <s v="ЦН"/>
    <s v="АПЗ"/>
    <m/>
    <s v="Ост"/>
    <s v="Лив"/>
    <s v="Лив"/>
    <x v="12"/>
    <x v="0"/>
    <m/>
    <n v="85.142857142857139"/>
    <n v="80"/>
    <n v="84"/>
    <n v="88"/>
    <n v="84"/>
    <n v="86"/>
    <n v="90"/>
    <n v="84"/>
    <n v="7"/>
    <n v="30031254"/>
    <n v="2502604.5"/>
    <n v="0"/>
  </r>
  <r>
    <s v="Савин (Н)"/>
    <s v="Н"/>
    <s v="ЦН"/>
    <s v="ОФ"/>
    <m/>
    <s v="Ост"/>
    <s v="Ост"/>
    <s v="Ост"/>
    <x v="12"/>
    <x v="0"/>
    <m/>
    <n v="79.285714285714292"/>
    <n v="70"/>
    <n v="79"/>
    <n v="83"/>
    <n v="80"/>
    <n v="87"/>
    <n v="91"/>
    <n v="65"/>
    <n v="6"/>
    <n v="14724505"/>
    <n v="1227042.0833333333"/>
    <n v="0"/>
  </r>
  <r>
    <s v="Верблум"/>
    <s v="П"/>
    <s v="АПЗ"/>
    <s v="ЦПЗ"/>
    <m/>
    <s v="Ост"/>
    <s v="Ост"/>
    <s v="Ост"/>
    <x v="12"/>
    <x v="0"/>
    <m/>
    <n v="91.857142857142861"/>
    <n v="93"/>
    <n v="82"/>
    <n v="98"/>
    <n v="94"/>
    <n v="95"/>
    <n v="95"/>
    <n v="86"/>
    <n v="18"/>
    <n v="64153535"/>
    <n v="5346127.916666667"/>
    <n v="0"/>
  </r>
  <r>
    <s v="Кальдрин Олас"/>
    <s v="П"/>
    <s v="ЛПЗ"/>
    <s v="ОПЗ"/>
    <m/>
    <m/>
    <s v="Ост"/>
    <s v="Ост"/>
    <x v="12"/>
    <x v="0"/>
    <m/>
    <n v="61.571428571428569"/>
    <n v="21"/>
    <n v="72"/>
    <n v="68"/>
    <n v="80"/>
    <n v="76"/>
    <n v="78"/>
    <n v="36"/>
    <n v="0"/>
    <n v="783056"/>
    <n v="65254.666666666664"/>
    <n v="0"/>
  </r>
  <r>
    <s v="Колен (П)"/>
    <s v="П"/>
    <s v="ОПЗ"/>
    <s v="ЦЗ"/>
    <m/>
    <s v="Ост"/>
    <s v="Ост"/>
    <s v="Ост"/>
    <x v="12"/>
    <x v="0"/>
    <m/>
    <n v="81.428571428571431"/>
    <n v="72"/>
    <n v="80"/>
    <n v="83"/>
    <n v="85"/>
    <n v="90"/>
    <n v="90"/>
    <n v="70"/>
    <n v="26"/>
    <n v="19224694"/>
    <n v="1602057.8333333333"/>
    <n v="0"/>
  </r>
  <r>
    <s v="Крагнор Дуин"/>
    <s v="П"/>
    <s v="ОПЗ"/>
    <s v="ЦПЗ"/>
    <m/>
    <m/>
    <s v="Ост"/>
    <s v="Ост"/>
    <x v="12"/>
    <x v="0"/>
    <m/>
    <n v="56.142857142857146"/>
    <n v="18"/>
    <n v="62"/>
    <n v="62"/>
    <n v="70"/>
    <n v="74"/>
    <n v="77"/>
    <n v="30"/>
    <n v="0"/>
    <n v="311133"/>
    <n v="25927.75"/>
    <n v="0"/>
  </r>
  <r>
    <s v="Лаир (П)"/>
    <s v="П"/>
    <s v="ОПЗ"/>
    <s v="ЦПЗ"/>
    <m/>
    <s v="Ост"/>
    <s v="Ост"/>
    <s v="Ост"/>
    <x v="12"/>
    <x v="0"/>
    <m/>
    <n v="75.285714285714292"/>
    <n v="51"/>
    <n v="77"/>
    <n v="81"/>
    <n v="81"/>
    <n v="87"/>
    <n v="85"/>
    <n v="65"/>
    <n v="26"/>
    <n v="8774392"/>
    <n v="731199.33333333337"/>
    <n v="0"/>
  </r>
  <r>
    <s v="Мордхель Свен"/>
    <s v="П"/>
    <s v="АПЗ"/>
    <s v="ЦПЗ"/>
    <m/>
    <m/>
    <s v="Ост"/>
    <s v="Ост"/>
    <x v="12"/>
    <x v="0"/>
    <m/>
    <n v="54.714285714285715"/>
    <n v="16"/>
    <n v="60"/>
    <n v="64"/>
    <n v="72"/>
    <n v="70"/>
    <n v="73"/>
    <n v="28"/>
    <n v="0"/>
    <n v="240441"/>
    <n v="20036.75"/>
    <n v="0"/>
  </r>
  <r>
    <s v="Скеллур Хальвар"/>
    <s v="П"/>
    <s v="ППЗ"/>
    <s v="ЛПЗ"/>
    <m/>
    <m/>
    <s v="Ост"/>
    <s v="Ост"/>
    <x v="12"/>
    <x v="0"/>
    <m/>
    <n v="57.142857142857146"/>
    <n v="18"/>
    <n v="64"/>
    <n v="66"/>
    <n v="74"/>
    <n v="72"/>
    <n v="75"/>
    <n v="31"/>
    <n v="0"/>
    <n v="371210"/>
    <n v="30934.166666666668"/>
    <n v="0"/>
  </r>
  <r>
    <s v="Торнвальд Эйрик"/>
    <s v="П"/>
    <s v="ЦПЗ"/>
    <s v="ОПЗ"/>
    <m/>
    <m/>
    <s v="Ост"/>
    <s v="Ост"/>
    <x v="12"/>
    <x v="0"/>
    <m/>
    <n v="65.571428571428569"/>
    <n v="24"/>
    <n v="78"/>
    <n v="74"/>
    <n v="84"/>
    <n v="78"/>
    <n v="80"/>
    <n v="41"/>
    <n v="0"/>
    <n v="1469422"/>
    <n v="122451.83333333333"/>
    <n v="0"/>
  </r>
  <r>
    <s v="Тролле Снорри"/>
    <s v="П"/>
    <s v="ППЗ"/>
    <s v="АПЗ"/>
    <m/>
    <m/>
    <s v="Ост"/>
    <s v="Ост"/>
    <x v="12"/>
    <x v="0"/>
    <m/>
    <n v="59.428571428571431"/>
    <n v="19"/>
    <n v="70"/>
    <n v="68"/>
    <n v="76"/>
    <n v="74"/>
    <n v="76"/>
    <n v="33"/>
    <n v="0"/>
    <n v="549482"/>
    <n v="45790.166666666664"/>
    <n v="0"/>
  </r>
  <r>
    <s v="Дракхар Бьорн"/>
    <s v="Т"/>
    <s v="Т"/>
    <m/>
    <m/>
    <m/>
    <s v="Ост"/>
    <s v="Ост"/>
    <x v="12"/>
    <x v="0"/>
    <m/>
    <n v="61.857142857142854"/>
    <n v="21"/>
    <n v="72"/>
    <n v="66"/>
    <n v="76"/>
    <n v="78"/>
    <n v="80"/>
    <n v="40"/>
    <n v="0"/>
    <n v="820160"/>
    <n v="68346.666666666672"/>
    <n v="0"/>
  </r>
  <r>
    <s v="Айнук Остин"/>
    <s v="В"/>
    <s v="В"/>
    <m/>
    <m/>
    <m/>
    <s v="Б.Л."/>
    <s v="Б.Л."/>
    <x v="13"/>
    <x v="0"/>
    <m/>
    <n v="52.714285714285715"/>
    <n v="10"/>
    <n v="67"/>
    <n v="59"/>
    <n v="65"/>
    <n v="67"/>
    <n v="69"/>
    <n v="32"/>
    <n v="0"/>
    <n v="165686"/>
    <n v="13807.166666666666"/>
    <n v="0"/>
  </r>
  <r>
    <s v="Андамар Остин"/>
    <s v="В"/>
    <s v="В"/>
    <m/>
    <m/>
    <m/>
    <s v="Б.Л."/>
    <s v="Б.Л."/>
    <x v="13"/>
    <x v="0"/>
    <m/>
    <n v="50.857142857142854"/>
    <n v="8"/>
    <n v="65"/>
    <n v="58"/>
    <n v="63"/>
    <n v="65"/>
    <n v="67"/>
    <n v="30"/>
    <n v="0"/>
    <n v="115750"/>
    <n v="9645.8333333333339"/>
    <n v="0"/>
  </r>
  <r>
    <s v="Орхотур Зонни"/>
    <s v="В"/>
    <s v="В"/>
    <m/>
    <m/>
    <m/>
    <s v="Б.Л."/>
    <s v="Б.Л."/>
    <x v="13"/>
    <x v="0"/>
    <m/>
    <n v="50.285714285714285"/>
    <n v="8"/>
    <n v="64"/>
    <n v="56"/>
    <n v="63"/>
    <n v="65"/>
    <n v="67"/>
    <n v="29"/>
    <n v="0"/>
    <n v="103383"/>
    <n v="8615.25"/>
    <n v="0"/>
  </r>
  <r>
    <s v="Апачур Рой"/>
    <s v="З"/>
    <s v="ЦЗ"/>
    <s v="ЛЗ"/>
    <m/>
    <m/>
    <s v="Б.Л."/>
    <s v="Б.Л."/>
    <x v="13"/>
    <x v="0"/>
    <m/>
    <n v="55.428571428571431"/>
    <n v="12"/>
    <n v="71"/>
    <n v="63"/>
    <n v="67"/>
    <n v="69"/>
    <n v="71"/>
    <n v="35"/>
    <n v="0"/>
    <n v="273740"/>
    <n v="22811.666666666668"/>
    <n v="0"/>
  </r>
  <r>
    <s v="Гуаран Кир"/>
    <s v="З"/>
    <s v="ЛЗ"/>
    <s v="ЦЗ"/>
    <m/>
    <m/>
    <s v="Б.Л."/>
    <s v="Б.Л."/>
    <x v="13"/>
    <x v="0"/>
    <m/>
    <n v="54.428571428571431"/>
    <n v="11"/>
    <n v="70"/>
    <n v="62"/>
    <n v="66"/>
    <n v="68"/>
    <n v="70"/>
    <n v="34"/>
    <n v="0"/>
    <n v="228176"/>
    <n v="19014.666666666668"/>
    <n v="0"/>
  </r>
  <r>
    <s v="Инкуш Тим"/>
    <s v="З"/>
    <s v="ПЗ"/>
    <s v="ЦЗ"/>
    <m/>
    <m/>
    <s v="Б.Л."/>
    <s v="Б.Л."/>
    <x v="13"/>
    <x v="0"/>
    <m/>
    <n v="52.857142857142854"/>
    <n v="9"/>
    <n v="69"/>
    <n v="60"/>
    <n v="65"/>
    <n v="67"/>
    <n v="69"/>
    <n v="31"/>
    <n v="0"/>
    <n v="170231"/>
    <n v="14185.916666666666"/>
    <n v="0"/>
  </r>
  <r>
    <s v="Сиукан Люк"/>
    <s v="З"/>
    <s v="ЦЗ"/>
    <s v="ОПЗ"/>
    <m/>
    <m/>
    <s v="Б.Л."/>
    <s v="Б.Л."/>
    <x v="13"/>
    <x v="0"/>
    <m/>
    <n v="47.428571428571431"/>
    <n v="6"/>
    <n v="61"/>
    <n v="54"/>
    <n v="60"/>
    <n v="62"/>
    <n v="64"/>
    <n v="25"/>
    <n v="0"/>
    <n v="57598"/>
    <n v="4799.833333333333"/>
    <n v="0"/>
  </r>
  <r>
    <s v="Тупур Ян"/>
    <s v="З"/>
    <s v="ПЗ"/>
    <s v="ЛЗ"/>
    <m/>
    <m/>
    <s v="Б.Л."/>
    <s v="Б.Л."/>
    <x v="13"/>
    <x v="0"/>
    <m/>
    <n v="50.428571428571431"/>
    <n v="7"/>
    <n v="65"/>
    <n v="58"/>
    <n v="63"/>
    <n v="65"/>
    <n v="67"/>
    <n v="28"/>
    <n v="0"/>
    <n v="106358"/>
    <n v="8863.1666666666661"/>
    <n v="0"/>
  </r>
  <r>
    <s v="Аторигун Торвальд"/>
    <s v="Н"/>
    <s v="ЦН"/>
    <s v="ОФ"/>
    <m/>
    <m/>
    <s v="Б.Л."/>
    <s v="Б.Л."/>
    <x v="13"/>
    <x v="0"/>
    <m/>
    <n v="63.857142857142854"/>
    <n v="15"/>
    <n v="75"/>
    <n v="80"/>
    <n v="75"/>
    <n v="77"/>
    <n v="80"/>
    <n v="45"/>
    <n v="0"/>
    <n v="1127444"/>
    <n v="93953.666666666672"/>
    <n v="0"/>
  </r>
  <r>
    <s v="Меланек Эрл"/>
    <s v="Н"/>
    <s v="ОФ"/>
    <s v="ЦН"/>
    <m/>
    <m/>
    <s v="Б.Л."/>
    <s v="Б.Л."/>
    <x v="13"/>
    <x v="0"/>
    <m/>
    <n v="55"/>
    <n v="10"/>
    <n v="70"/>
    <n v="63"/>
    <n v="68"/>
    <n v="70"/>
    <n v="72"/>
    <n v="32"/>
    <n v="0"/>
    <n v="253296"/>
    <n v="21108"/>
    <n v="0"/>
  </r>
  <r>
    <s v="Микронек Дан"/>
    <s v="Н"/>
    <s v="ОФ"/>
    <s v="ЦН"/>
    <m/>
    <m/>
    <s v="Б.Л."/>
    <s v="Б.Л."/>
    <x v="13"/>
    <x v="0"/>
    <m/>
    <n v="60"/>
    <n v="14"/>
    <n v="75"/>
    <n v="68"/>
    <n v="73"/>
    <n v="75"/>
    <n v="77"/>
    <n v="38"/>
    <n v="0"/>
    <n v="604662"/>
    <n v="50388.5"/>
    <n v="0"/>
  </r>
  <r>
    <s v="Ительмэн Пол"/>
    <s v="П"/>
    <s v="АПЗ"/>
    <s v="ЛПЗ"/>
    <m/>
    <m/>
    <s v="Б.Л."/>
    <s v="Б.Л."/>
    <x v="13"/>
    <x v="0"/>
    <m/>
    <n v="54.428571428571431"/>
    <n v="10"/>
    <n v="69"/>
    <n v="62"/>
    <n v="67"/>
    <n v="69"/>
    <n v="71"/>
    <n v="33"/>
    <n v="0"/>
    <n v="228176"/>
    <n v="19014.666666666668"/>
    <n v="0"/>
  </r>
  <r>
    <s v="Корякуш Стан"/>
    <s v="П"/>
    <s v="ЛПЗ"/>
    <s v="ОПЗ"/>
    <m/>
    <m/>
    <s v="Б.Л."/>
    <s v="Б.Л."/>
    <x v="13"/>
    <x v="0"/>
    <m/>
    <n v="49.857142857142854"/>
    <n v="7"/>
    <n v="64"/>
    <n v="57"/>
    <n v="63"/>
    <n v="65"/>
    <n v="67"/>
    <n v="26"/>
    <n v="0"/>
    <n v="94902"/>
    <n v="7908.5"/>
    <n v="0"/>
  </r>
  <r>
    <s v="Мапуак Ксон"/>
    <s v="П"/>
    <s v="ППЗ"/>
    <s v="АПЗ"/>
    <m/>
    <m/>
    <s v="Б.Л."/>
    <s v="Б.Л."/>
    <x v="13"/>
    <x v="0"/>
    <m/>
    <n v="62.571428571428569"/>
    <n v="14"/>
    <n v="73"/>
    <n v="77"/>
    <n v="75"/>
    <n v="77"/>
    <n v="79"/>
    <n v="43"/>
    <n v="0"/>
    <n v="919943"/>
    <n v="76661.916666666672"/>
    <n v="0"/>
  </r>
  <r>
    <s v="Мапук Дар"/>
    <s v="П"/>
    <s v="ОПЗ"/>
    <s v="ЦПЗ"/>
    <m/>
    <m/>
    <s v="Б.Л."/>
    <s v="Б.Л."/>
    <x v="13"/>
    <x v="0"/>
    <m/>
    <n v="53.428571428571431"/>
    <n v="9"/>
    <n v="68"/>
    <n v="60"/>
    <n v="67"/>
    <n v="69"/>
    <n v="71"/>
    <n v="30"/>
    <n v="0"/>
    <n v="189556"/>
    <n v="15796.333333333334"/>
    <n v="0"/>
  </r>
  <r>
    <s v="Нивхур Кайус"/>
    <s v="П"/>
    <s v="АПЗ"/>
    <s v="ЦПЗ"/>
    <m/>
    <m/>
    <s v="Б.Л."/>
    <s v="Б.Л."/>
    <x v="13"/>
    <x v="0"/>
    <m/>
    <n v="48"/>
    <n v="6"/>
    <n v="60"/>
    <n v="54"/>
    <n v="62"/>
    <n v="64"/>
    <n v="66"/>
    <n v="24"/>
    <n v="0"/>
    <n v="64926"/>
    <n v="5410.5"/>
    <n v="0"/>
  </r>
  <r>
    <s v="Полинек Ирж"/>
    <s v="П"/>
    <s v="ППЗ"/>
    <s v="АПЗ"/>
    <m/>
    <m/>
    <s v="Б.Л."/>
    <s v="Б.Л."/>
    <x v="13"/>
    <x v="0"/>
    <m/>
    <n v="56.142857142857146"/>
    <n v="11"/>
    <n v="71"/>
    <n v="64"/>
    <n v="69"/>
    <n v="71"/>
    <n v="73"/>
    <n v="34"/>
    <n v="0"/>
    <n v="311133"/>
    <n v="25927.75"/>
    <n v="0"/>
  </r>
  <r>
    <s v="Семанк Мэйс"/>
    <s v="П"/>
    <s v="ЦПЗ"/>
    <s v="ОПЗ"/>
    <m/>
    <m/>
    <s v="Б.Л."/>
    <s v="Б.Л."/>
    <x v="13"/>
    <x v="0"/>
    <m/>
    <n v="58.285714285714285"/>
    <n v="13"/>
    <n v="73"/>
    <n v="66"/>
    <n v="71"/>
    <n v="73"/>
    <n v="75"/>
    <n v="37"/>
    <n v="0"/>
    <n v="452503"/>
    <n v="37708.583333333336"/>
    <n v="0"/>
  </r>
  <r>
    <s v="Туровой"/>
    <s v="П"/>
    <s v="ЦПЗ"/>
    <s v="ОПЗ"/>
    <m/>
    <s v="Б.Л."/>
    <s v="Б.Л."/>
    <s v="Б.Л."/>
    <x v="13"/>
    <x v="0"/>
    <m/>
    <n v="48.714285714285715"/>
    <n v="20"/>
    <n v="50"/>
    <n v="60"/>
    <n v="55"/>
    <n v="59"/>
    <n v="66"/>
    <n v="31"/>
    <n v="0"/>
    <n v="75260"/>
    <n v="6271.666666666667"/>
    <n v="0"/>
  </r>
  <r>
    <s v="Черокуш Элд"/>
    <s v="Т"/>
    <s v="Т"/>
    <m/>
    <m/>
    <m/>
    <s v="Б.Л."/>
    <s v="Б.Л."/>
    <x v="13"/>
    <x v="0"/>
    <m/>
    <n v="51.285714285714285"/>
    <n v="9"/>
    <n v="65"/>
    <n v="57"/>
    <n v="64"/>
    <n v="66"/>
    <n v="68"/>
    <n v="30"/>
    <n v="0"/>
    <n v="125883"/>
    <n v="10490.25"/>
    <n v="0"/>
  </r>
  <r>
    <s v="Бронн Каспар"/>
    <s v="В"/>
    <s v="В"/>
    <m/>
    <m/>
    <m/>
    <s v="Нал"/>
    <s v="Нал"/>
    <x v="14"/>
    <x v="0"/>
    <m/>
    <n v="55"/>
    <n v="28"/>
    <n v="52"/>
    <n v="48"/>
    <n v="61"/>
    <n v="64"/>
    <n v="78"/>
    <n v="54"/>
    <n v="0"/>
    <n v="253296"/>
    <n v="21108"/>
    <n v="0"/>
  </r>
  <r>
    <s v="Илион (В)"/>
    <s v="В"/>
    <s v="В"/>
    <m/>
    <m/>
    <s v="Нал"/>
    <s v="Нал"/>
    <s v="Нал"/>
    <x v="14"/>
    <x v="0"/>
    <m/>
    <n v="80.285714285714292"/>
    <n v="70"/>
    <n v="76"/>
    <n v="82"/>
    <n v="81"/>
    <n v="94"/>
    <n v="80"/>
    <n v="79"/>
    <n v="30"/>
    <n v="16690680"/>
    <n v="1390890"/>
    <n v="0"/>
  </r>
  <r>
    <s v="Вовон"/>
    <s v="З"/>
    <s v="ЦЗ"/>
    <s v="ПЗ"/>
    <m/>
    <s v="Нал"/>
    <s v="Нал"/>
    <s v="Нал"/>
    <x v="14"/>
    <x v="0"/>
    <m/>
    <n v="68.142857142857139"/>
    <n v="45"/>
    <n v="55"/>
    <n v="83"/>
    <n v="71"/>
    <n v="76"/>
    <n v="95"/>
    <n v="52"/>
    <n v="0"/>
    <n v="2158756"/>
    <n v="179896.33333333334"/>
    <n v="0"/>
  </r>
  <r>
    <s v="Ворн Стефан"/>
    <s v="З"/>
    <s v="ЦЗ"/>
    <s v="ОПЗ"/>
    <m/>
    <m/>
    <s v="Нал"/>
    <s v="Нал"/>
    <x v="14"/>
    <x v="0"/>
    <m/>
    <n v="58.428571428571431"/>
    <n v="37"/>
    <n v="61"/>
    <n v="52"/>
    <n v="58"/>
    <n v="86"/>
    <n v="74"/>
    <n v="41"/>
    <n v="0"/>
    <n v="463717"/>
    <n v="38643.083333333336"/>
    <n v="0"/>
  </r>
  <r>
    <s v="Гасьте"/>
    <s v="З"/>
    <s v="ЦЗ"/>
    <s v="ОПЗ"/>
    <m/>
    <s v="Нал"/>
    <s v="Нал"/>
    <s v="Нал"/>
    <x v="14"/>
    <x v="0"/>
    <m/>
    <n v="71"/>
    <n v="52"/>
    <n v="65"/>
    <n v="75"/>
    <n v="82"/>
    <n v="80"/>
    <n v="83"/>
    <n v="60"/>
    <n v="0"/>
    <n v="3255244"/>
    <n v="271270.33333333331"/>
    <n v="0"/>
  </r>
  <r>
    <s v="Лунд Эйнар"/>
    <s v="З"/>
    <s v="ПЗ"/>
    <s v="ЦЗ"/>
    <m/>
    <m/>
    <s v="Нал"/>
    <s v="Нал"/>
    <x v="14"/>
    <x v="0"/>
    <m/>
    <n v="57.857142857142854"/>
    <n v="32"/>
    <n v="88"/>
    <n v="44"/>
    <n v="63"/>
    <n v="71"/>
    <n v="62"/>
    <n v="45"/>
    <n v="0"/>
    <n v="420311"/>
    <n v="35025.916666666664"/>
    <n v="0"/>
  </r>
  <r>
    <s v="Тарвел Йонас"/>
    <s v="З"/>
    <s v="ПЗ"/>
    <s v="ЛЗ"/>
    <m/>
    <m/>
    <s v="Нал"/>
    <s v="Нал"/>
    <x v="14"/>
    <x v="0"/>
    <m/>
    <n v="54.714285714285715"/>
    <n v="21"/>
    <n v="91"/>
    <n v="36"/>
    <n v="60"/>
    <n v="68"/>
    <n v="58"/>
    <n v="49"/>
    <n v="0"/>
    <n v="240441"/>
    <n v="20036.75"/>
    <n v="0"/>
  </r>
  <r>
    <s v="Таркино"/>
    <s v="З"/>
    <s v="ЦЗ"/>
    <m/>
    <m/>
    <s v="Нал"/>
    <s v="Нал"/>
    <s v="Нал"/>
    <x v="14"/>
    <x v="0"/>
    <m/>
    <n v="71.714285714285708"/>
    <n v="59"/>
    <n v="70"/>
    <n v="72"/>
    <n v="73"/>
    <n v="89"/>
    <n v="81"/>
    <n v="58"/>
    <n v="0"/>
    <n v="3597964"/>
    <n v="299830.33333333331"/>
    <n v="0"/>
  </r>
  <r>
    <s v="Торлунд"/>
    <s v="З"/>
    <s v="ЦЗ"/>
    <s v="ЛЗ"/>
    <m/>
    <s v="Нал"/>
    <s v="Нал"/>
    <s v="Нал"/>
    <x v="14"/>
    <x v="0"/>
    <m/>
    <n v="75.714285714285708"/>
    <n v="65"/>
    <n v="70"/>
    <n v="80"/>
    <n v="79"/>
    <n v="83"/>
    <n v="88"/>
    <n v="65"/>
    <n v="0"/>
    <n v="6191250"/>
    <n v="515937.5"/>
    <n v="0"/>
  </r>
  <r>
    <s v="Хестон Ральф"/>
    <s v="З"/>
    <s v="ЛЗ"/>
    <s v="ЦЗ"/>
    <m/>
    <m/>
    <s v="Нал"/>
    <s v="Нал"/>
    <x v="14"/>
    <x v="0"/>
    <m/>
    <n v="55.571428571428569"/>
    <n v="25"/>
    <n v="57"/>
    <n v="39"/>
    <n v="74"/>
    <n v="62"/>
    <n v="80"/>
    <n v="52"/>
    <n v="0"/>
    <n v="280877"/>
    <n v="23406.416666666668"/>
    <n v="0"/>
  </r>
  <r>
    <s v="Яхе"/>
    <s v="З"/>
    <s v="ПЗ"/>
    <s v="ЦЗ"/>
    <m/>
    <s v="Нал"/>
    <s v="Нал"/>
    <s v="Нал"/>
    <x v="14"/>
    <x v="0"/>
    <m/>
    <n v="76.428571428571431"/>
    <n v="70"/>
    <n v="85"/>
    <n v="71"/>
    <n v="86"/>
    <n v="73"/>
    <n v="74"/>
    <n v="76"/>
    <n v="0"/>
    <n v="6800760"/>
    <n v="545896.75"/>
    <n v="0"/>
  </r>
  <r>
    <s v="Акс Мелдерн"/>
    <s v="Н"/>
    <s v="ЦН"/>
    <m/>
    <m/>
    <s v="Нал"/>
    <s v="Нал"/>
    <s v="Нал"/>
    <x v="14"/>
    <x v="0"/>
    <m/>
    <n v="70.142857142857139"/>
    <n v="45"/>
    <n v="85"/>
    <n v="80"/>
    <n v="77"/>
    <n v="73"/>
    <n v="76"/>
    <n v="55"/>
    <n v="0"/>
    <n v="2882933"/>
    <n v="216870.83333333334"/>
    <n v="0"/>
  </r>
  <r>
    <s v="Берни"/>
    <s v="Н"/>
    <s v="ЦН"/>
    <s v="АПЗ"/>
    <m/>
    <s v="Нал"/>
    <s v="Нал"/>
    <s v="Нал"/>
    <x v="14"/>
    <x v="0"/>
    <m/>
    <n v="69.285714285714292"/>
    <n v="44"/>
    <n v="80"/>
    <n v="80"/>
    <n v="74"/>
    <n v="71"/>
    <n v="85"/>
    <n v="51"/>
    <n v="0"/>
    <n v="2549395"/>
    <n v="183703.5"/>
    <n v="0"/>
  </r>
  <r>
    <s v="Гроод"/>
    <s v="Н"/>
    <s v="ЦН"/>
    <s v="АПЗ"/>
    <m/>
    <s v="Нал"/>
    <s v="Нал"/>
    <s v="Нал"/>
    <x v="14"/>
    <x v="0"/>
    <m/>
    <n v="78.571428571428569"/>
    <n v="70"/>
    <n v="73"/>
    <n v="85"/>
    <n v="82"/>
    <n v="85"/>
    <n v="95"/>
    <n v="60"/>
    <n v="6"/>
    <n v="13450480"/>
    <n v="1120873.3333333333"/>
    <n v="0"/>
  </r>
  <r>
    <s v="Мадуу"/>
    <s v="Н"/>
    <s v="ЦН"/>
    <s v="АПЗ"/>
    <m/>
    <s v="Кедр"/>
    <s v="Кедр"/>
    <s v="Кедр"/>
    <x v="14"/>
    <x v="0"/>
    <m/>
    <n v="80"/>
    <n v="75"/>
    <n v="80"/>
    <n v="90"/>
    <n v="71"/>
    <n v="90"/>
    <n v="94"/>
    <n v="60"/>
    <n v="6"/>
    <n v="16106128"/>
    <n v="1100659.75"/>
    <n v="0"/>
  </r>
  <r>
    <s v="Найденов (Н)"/>
    <s v="Н"/>
    <s v="ОФ"/>
    <s v="АПЗ"/>
    <m/>
    <s v="Нал"/>
    <s v="Нал"/>
    <s v="Нал"/>
    <x v="14"/>
    <x v="0"/>
    <m/>
    <n v="84.571428571428569"/>
    <n v="80"/>
    <n v="86"/>
    <n v="86"/>
    <n v="87"/>
    <n v="83"/>
    <n v="85"/>
    <n v="85"/>
    <n v="12"/>
    <n v="28075528"/>
    <n v="2339627.3333333335"/>
    <n v="0"/>
  </r>
  <r>
    <s v="Бернт Хенрик"/>
    <s v="П"/>
    <s v="ЦПЗ"/>
    <s v="ОПЗ"/>
    <m/>
    <m/>
    <s v="Нал"/>
    <s v="Нал"/>
    <x v="14"/>
    <x v="0"/>
    <m/>
    <n v="59.142857142857146"/>
    <n v="31"/>
    <n v="59"/>
    <n v="46"/>
    <n v="66"/>
    <n v="90"/>
    <n v="70"/>
    <n v="52"/>
    <n v="0"/>
    <n v="523629"/>
    <n v="43635.75"/>
    <n v="0"/>
  </r>
  <r>
    <s v="Больбон"/>
    <s v="П"/>
    <s v="АПЗ"/>
    <s v="ЦН"/>
    <s v="ППЗ"/>
    <s v="Нал"/>
    <s v="Нал"/>
    <s v="Нал"/>
    <x v="14"/>
    <x v="0"/>
    <m/>
    <n v="88.571428571428569"/>
    <n v="84"/>
    <n v="82"/>
    <n v="100"/>
    <n v="88"/>
    <n v="98"/>
    <n v="98"/>
    <n v="70"/>
    <n v="1"/>
    <n v="44568473"/>
    <n v="3714039.4166666665"/>
    <n v="0"/>
  </r>
  <r>
    <s v="Гривс Эдгар"/>
    <s v="П"/>
    <s v="ОПЗ"/>
    <s v="ЦПЗ"/>
    <m/>
    <m/>
    <s v="Нал"/>
    <s v="Нал"/>
    <x v="14"/>
    <x v="0"/>
    <m/>
    <n v="58.428571428571431"/>
    <n v="34"/>
    <n v="55"/>
    <n v="41"/>
    <n v="84"/>
    <n v="82"/>
    <n v="66"/>
    <n v="47"/>
    <n v="0"/>
    <n v="463717"/>
    <n v="38643.083333333336"/>
    <n v="0"/>
  </r>
  <r>
    <s v="Гулиавандент"/>
    <s v="П"/>
    <s v="ЦПЗ"/>
    <m/>
    <m/>
    <s v="Нал"/>
    <s v="Нал"/>
    <s v="Нал"/>
    <x v="14"/>
    <x v="0"/>
    <m/>
    <n v="72.142857142857139"/>
    <n v="57"/>
    <n v="75"/>
    <n v="83"/>
    <n v="78"/>
    <n v="84"/>
    <n v="86"/>
    <n v="42"/>
    <n v="0"/>
    <n v="3818857"/>
    <n v="318238.08333333331"/>
    <n v="0"/>
  </r>
  <r>
    <s v="Дорнбург Феликс"/>
    <s v="П"/>
    <s v="ППЗ"/>
    <s v="АПЗ"/>
    <m/>
    <m/>
    <s v="Нал"/>
    <s v="Нал"/>
    <x v="14"/>
    <x v="0"/>
    <m/>
    <n v="63.285714285714285"/>
    <n v="38"/>
    <n v="63"/>
    <n v="58"/>
    <n v="88"/>
    <n v="61"/>
    <n v="79"/>
    <n v="56"/>
    <n v="0"/>
    <n v="1030522"/>
    <n v="85876.833333333328"/>
    <n v="0"/>
  </r>
  <r>
    <s v="Клеберн"/>
    <s v="П"/>
    <s v="ЦПЗ"/>
    <s v="АПЗ"/>
    <m/>
    <s v="Нал"/>
    <s v="Нал"/>
    <s v="Нал"/>
    <x v="14"/>
    <x v="0"/>
    <m/>
    <n v="73"/>
    <n v="66"/>
    <n v="70"/>
    <n v="82"/>
    <n v="80"/>
    <n v="80"/>
    <n v="88"/>
    <n v="45"/>
    <n v="0"/>
    <n v="4297626"/>
    <n v="358135.5"/>
    <n v="0"/>
  </r>
  <r>
    <s v="Клевен Люк"/>
    <s v="П"/>
    <s v="ЛПЗ"/>
    <s v="ЦПЗ"/>
    <m/>
    <m/>
    <s v="Нал"/>
    <s v="Нал"/>
    <x v="14"/>
    <x v="0"/>
    <m/>
    <n v="51.714285714285715"/>
    <n v="23"/>
    <n v="84"/>
    <n v="35"/>
    <n v="71"/>
    <n v="60"/>
    <n v="49"/>
    <n v="40"/>
    <n v="0"/>
    <n v="136807"/>
    <n v="11400.583333333334"/>
    <n v="0"/>
  </r>
  <r>
    <s v="Марлон Тибо"/>
    <s v="П"/>
    <s v="ЦПЗ"/>
    <s v="АПЗ"/>
    <m/>
    <m/>
    <s v="Нал"/>
    <s v="Нал"/>
    <x v="14"/>
    <x v="0"/>
    <m/>
    <n v="53.714285714285715"/>
    <n v="29"/>
    <n v="89"/>
    <n v="38"/>
    <n v="67"/>
    <n v="58"/>
    <n v="52"/>
    <n v="43"/>
    <n v="0"/>
    <n v="199940"/>
    <n v="16661.666666666668"/>
    <n v="0"/>
  </r>
  <r>
    <s v="Неока (П)"/>
    <s v="П"/>
    <s v="ЛПЗ"/>
    <s v="ППЗ"/>
    <s v="ОПЗ"/>
    <s v="Нал"/>
    <s v="Эстл"/>
    <s v="Эстл"/>
    <x v="14"/>
    <x v="0"/>
    <m/>
    <n v="86.571428571428569"/>
    <n v="83"/>
    <n v="94"/>
    <n v="84"/>
    <n v="87"/>
    <n v="86"/>
    <n v="86"/>
    <n v="86"/>
    <n v="3"/>
    <n v="35468033"/>
    <n v="2955669.4166666665"/>
    <n v="0"/>
  </r>
  <r>
    <s v="Стабилин (П)"/>
    <s v="П"/>
    <s v="АПЗ"/>
    <s v="ЦПЗ"/>
    <m/>
    <s v="Нал"/>
    <s v="Нал"/>
    <s v="Нал"/>
    <x v="14"/>
    <x v="0"/>
    <m/>
    <n v="78.714285714285708"/>
    <n v="65"/>
    <n v="86"/>
    <n v="90"/>
    <n v="82"/>
    <n v="83"/>
    <n v="90"/>
    <n v="55"/>
    <n v="18"/>
    <n v="13697044"/>
    <n v="1141420.3333333333"/>
    <n v="0"/>
  </r>
  <r>
    <s v="И. Щитован"/>
    <s v="В"/>
    <s v="В"/>
    <m/>
    <m/>
    <s v="Кут"/>
    <s v="Кут"/>
    <s v="Кут"/>
    <x v="15"/>
    <x v="0"/>
    <m/>
    <n v="87.571428571428569"/>
    <n v="93"/>
    <n v="89"/>
    <n v="88"/>
    <n v="86"/>
    <n v="90"/>
    <n v="87"/>
    <n v="80"/>
    <n v="30"/>
    <n v="39784656"/>
    <n v="3315388"/>
    <n v="0"/>
  </r>
  <r>
    <s v="Пшибыльский Казик"/>
    <s v="В"/>
    <s v="В"/>
    <m/>
    <m/>
    <m/>
    <s v="Кут"/>
    <s v="Кут"/>
    <x v="15"/>
    <x v="0"/>
    <m/>
    <n v="65"/>
    <n v="27"/>
    <n v="74"/>
    <n v="72"/>
    <n v="81"/>
    <n v="83"/>
    <n v="80"/>
    <n v="38"/>
    <n v="0"/>
    <n v="1346275"/>
    <n v="112189.58333333333"/>
    <n v="0"/>
  </r>
  <r>
    <s v="Енотов"/>
    <s v="З"/>
    <s v="ЦЗ"/>
    <m/>
    <m/>
    <s v="Кут"/>
    <s v="Кут"/>
    <s v="Кут"/>
    <x v="15"/>
    <x v="0"/>
    <m/>
    <n v="75.571428571428569"/>
    <n v="52"/>
    <n v="60"/>
    <n v="80"/>
    <n v="85"/>
    <n v="88"/>
    <n v="90"/>
    <n v="74"/>
    <n v="0"/>
    <n v="6075421"/>
    <n v="506285.08333333331"/>
    <n v="0"/>
  </r>
  <r>
    <s v="Жижковский Сташек"/>
    <s v="З"/>
    <s v="ЦЗ"/>
    <s v="ПЗ"/>
    <m/>
    <s v="Кут"/>
    <s v="Кут"/>
    <s v="Кут"/>
    <x v="15"/>
    <x v="0"/>
    <m/>
    <n v="67.571428571428569"/>
    <n v="29"/>
    <n v="66"/>
    <n v="76"/>
    <n v="82"/>
    <n v="86"/>
    <n v="88"/>
    <n v="46"/>
    <n v="0"/>
    <n v="1984409"/>
    <n v="165367.41666666666"/>
    <n v="0"/>
  </r>
  <r>
    <s v="Жовуш"/>
    <s v="З"/>
    <s v="ЦЗ"/>
    <m/>
    <m/>
    <s v="Кут"/>
    <s v="Кут"/>
    <s v="Кут"/>
    <x v="15"/>
    <x v="0"/>
    <m/>
    <n v="63.142857142857146"/>
    <n v="30"/>
    <n v="55"/>
    <n v="60"/>
    <n v="70"/>
    <n v="78"/>
    <n v="84"/>
    <n v="65"/>
    <n v="0"/>
    <n v="1007494"/>
    <n v="83957.833333333328"/>
    <n v="0"/>
  </r>
  <r>
    <s v="Кркоун Йозеф"/>
    <s v="З"/>
    <s v="ЦЗ"/>
    <s v="ЛЗ"/>
    <m/>
    <m/>
    <s v="Кут"/>
    <s v="Кут"/>
    <x v="15"/>
    <x v="0"/>
    <m/>
    <n v="58.142857142857146"/>
    <n v="21"/>
    <n v="57"/>
    <n v="64"/>
    <n v="70"/>
    <n v="79"/>
    <n v="85"/>
    <n v="31"/>
    <n v="0"/>
    <n v="441534"/>
    <n v="36794.5"/>
    <n v="0"/>
  </r>
  <r>
    <s v="Кузьман"/>
    <s v="З"/>
    <s v="ЦЗ"/>
    <s v="ПЗ"/>
    <m/>
    <s v="Кут"/>
    <s v="Кут"/>
    <s v="Кут"/>
    <x v="15"/>
    <x v="0"/>
    <m/>
    <n v="76.857142857142861"/>
    <n v="55"/>
    <n v="58"/>
    <n v="81"/>
    <n v="83"/>
    <n v="90"/>
    <n v="93"/>
    <n v="78"/>
    <n v="0"/>
    <n v="7191879"/>
    <n v="599323.25"/>
    <n v="0"/>
  </r>
  <r>
    <s v="Ползитер"/>
    <s v="З"/>
    <s v="ЦЗ"/>
    <m/>
    <m/>
    <s v="Кут"/>
    <s v="Кут"/>
    <s v="Кут"/>
    <x v="15"/>
    <x v="0"/>
    <m/>
    <n v="72.857142857142861"/>
    <n v="50"/>
    <n v="65"/>
    <n v="75"/>
    <n v="80"/>
    <n v="83"/>
    <n v="87"/>
    <n v="70"/>
    <n v="0"/>
    <n v="4214261"/>
    <n v="351188.41666666669"/>
    <n v="0"/>
  </r>
  <r>
    <s v="Пупчик Милан"/>
    <s v="З"/>
    <s v="ЦЗ"/>
    <s v="ОПЗ"/>
    <m/>
    <m/>
    <s v="Кут"/>
    <s v="Кут"/>
    <x v="15"/>
    <x v="0"/>
    <m/>
    <n v="59"/>
    <n v="23"/>
    <n v="61"/>
    <n v="59"/>
    <n v="73"/>
    <n v="80"/>
    <n v="82"/>
    <n v="35"/>
    <n v="0"/>
    <n v="511117"/>
    <n v="42593.083333333336"/>
    <n v="0"/>
  </r>
  <r>
    <s v="Тарни"/>
    <s v="З"/>
    <s v="ЦЗ"/>
    <s v="ОПЗ"/>
    <m/>
    <s v="Кут"/>
    <s v="Кут"/>
    <s v="Кут"/>
    <x v="15"/>
    <x v="0"/>
    <m/>
    <n v="71.857142857142861"/>
    <n v="48"/>
    <n v="70"/>
    <n v="62"/>
    <n v="74"/>
    <n v="84"/>
    <n v="90"/>
    <n v="75"/>
    <n v="0"/>
    <n v="3670283"/>
    <n v="305856.91666666669"/>
    <n v="0"/>
  </r>
  <r>
    <s v="Тлустоух Янек"/>
    <s v="З"/>
    <s v="ЦЗ"/>
    <m/>
    <m/>
    <m/>
    <s v="Кут"/>
    <s v="Кут"/>
    <x v="15"/>
    <x v="0"/>
    <m/>
    <n v="53"/>
    <n v="20"/>
    <n v="54"/>
    <n v="55"/>
    <n v="62"/>
    <n v="71"/>
    <n v="79"/>
    <n v="30"/>
    <n v="0"/>
    <n v="174888"/>
    <n v="14574"/>
    <n v="0"/>
  </r>
  <r>
    <s v="Тунс"/>
    <s v="З"/>
    <s v="ЦЗ"/>
    <s v="ПЗ"/>
    <m/>
    <s v="Кут"/>
    <s v="Кут"/>
    <s v="Кут"/>
    <x v="15"/>
    <x v="0"/>
    <m/>
    <n v="63.285714285714285"/>
    <n v="35"/>
    <n v="58"/>
    <n v="59"/>
    <n v="66"/>
    <n v="77"/>
    <n v="88"/>
    <n v="60"/>
    <n v="0"/>
    <n v="1030522"/>
    <n v="85876.833333333328"/>
    <n v="0"/>
  </r>
  <r>
    <s v="Хваталка Войтек"/>
    <s v="З"/>
    <s v="ЦЗ"/>
    <s v="ПЗ"/>
    <m/>
    <m/>
    <s v="Кут"/>
    <s v="Кут"/>
    <x v="15"/>
    <x v="0"/>
    <m/>
    <n v="64.428571428571431"/>
    <n v="26"/>
    <n v="69"/>
    <n v="68"/>
    <n v="76"/>
    <n v="85"/>
    <n v="86"/>
    <n v="41"/>
    <n v="0"/>
    <n v="1232495"/>
    <n v="102707.91666666667"/>
    <n v="0"/>
  </r>
  <r>
    <s v="Жабка Ладислав"/>
    <s v="Н"/>
    <s v="ЦН"/>
    <s v="ОФ"/>
    <m/>
    <s v="Кут"/>
    <s v="Кут"/>
    <s v="Кут"/>
    <x v="15"/>
    <x v="0"/>
    <m/>
    <n v="68.571428571428569"/>
    <n v="28"/>
    <n v="76"/>
    <n v="83"/>
    <n v="78"/>
    <n v="82"/>
    <n v="89"/>
    <n v="44"/>
    <n v="0"/>
    <n v="2298434"/>
    <n v="191536.16666666666"/>
    <n v="0"/>
  </r>
  <r>
    <s v="Косоног (Н)"/>
    <s v="Н"/>
    <s v="ЦН"/>
    <s v="ОФ"/>
    <m/>
    <s v="Кут"/>
    <s v="Кут"/>
    <s v="Кут"/>
    <x v="15"/>
    <x v="0"/>
    <m/>
    <n v="81.285714285714292"/>
    <n v="74"/>
    <n v="71"/>
    <n v="95"/>
    <n v="80"/>
    <n v="85"/>
    <n v="94"/>
    <n v="70"/>
    <n v="6"/>
    <n v="18890069"/>
    <n v="1574172.4166666667"/>
    <n v="0"/>
  </r>
  <r>
    <s v="Кукучка Богуш"/>
    <s v="Н"/>
    <s v="ОФ"/>
    <m/>
    <m/>
    <m/>
    <s v="Кут"/>
    <s v="Кут"/>
    <x v="15"/>
    <x v="0"/>
    <m/>
    <n v="60.857142857142854"/>
    <n v="22"/>
    <n v="80"/>
    <n v="66"/>
    <n v="74"/>
    <n v="73"/>
    <n v="78"/>
    <n v="33"/>
    <n v="0"/>
    <n v="696812"/>
    <n v="58067.666666666664"/>
    <n v="0"/>
  </r>
  <r>
    <s v="Лайлан"/>
    <s v="Н"/>
    <s v="ОФ"/>
    <m/>
    <m/>
    <s v="Кут"/>
    <s v="Кут"/>
    <s v="Кут"/>
    <x v="15"/>
    <x v="0"/>
    <m/>
    <n v="73.428571428571431"/>
    <n v="51"/>
    <n v="83"/>
    <n v="78"/>
    <n v="79"/>
    <n v="76"/>
    <n v="82"/>
    <n v="65"/>
    <n v="0"/>
    <n v="4556704"/>
    <n v="379725.33333333331"/>
    <n v="0"/>
  </r>
  <r>
    <s v="Ахоли (П)"/>
    <s v="П"/>
    <s v="ППЗ"/>
    <s v="ОПЗ"/>
    <m/>
    <s v="Кут"/>
    <s v="Кут"/>
    <s v="Кут"/>
    <x v="15"/>
    <x v="0"/>
    <m/>
    <n v="85.571428571428569"/>
    <n v="84"/>
    <n v="92"/>
    <n v="88"/>
    <n v="89"/>
    <n v="83"/>
    <n v="80"/>
    <n v="83"/>
    <n v="22"/>
    <n v="31577598"/>
    <n v="2631466.5"/>
    <n v="0"/>
  </r>
  <r>
    <s v="В. Полюшко (П)"/>
    <s v="П"/>
    <s v="ЦПЗ"/>
    <s v="ЛПЗ"/>
    <s v="АПЗ"/>
    <s v="Кут"/>
    <s v="Кут"/>
    <s v="Кут"/>
    <x v="15"/>
    <x v="0"/>
    <m/>
    <n v="80.714285714285708"/>
    <n v="74"/>
    <n v="85"/>
    <n v="86"/>
    <n v="84"/>
    <n v="81"/>
    <n v="83"/>
    <n v="72"/>
    <n v="22"/>
    <n v="17603351"/>
    <n v="1466945.9166666667"/>
    <n v="0"/>
  </r>
  <r>
    <s v="Д. Полюшко (П)"/>
    <s v="П"/>
    <s v="ЦПЗ"/>
    <s v="ППЗ"/>
    <s v="АПЗ"/>
    <s v="Кут"/>
    <s v="Кут"/>
    <s v="Кут"/>
    <x v="15"/>
    <x v="0"/>
    <m/>
    <n v="80.857142857142861"/>
    <n v="74"/>
    <n v="84"/>
    <n v="87"/>
    <n v="84"/>
    <n v="82"/>
    <n v="83"/>
    <n v="72"/>
    <n v="22"/>
    <n v="17917408"/>
    <n v="1493117.3333333333"/>
    <n v="0"/>
  </r>
  <r>
    <s v="Молчко Радован"/>
    <s v="П"/>
    <s v="ЦПЗ"/>
    <s v="АПЗ"/>
    <m/>
    <m/>
    <s v="Кут"/>
    <s v="Кут"/>
    <x v="15"/>
    <x v="0"/>
    <m/>
    <n v="55.428571428571431"/>
    <n v="21"/>
    <n v="63"/>
    <n v="57"/>
    <n v="71"/>
    <n v="69"/>
    <n v="75"/>
    <n v="32"/>
    <n v="0"/>
    <n v="273740"/>
    <n v="22811.666666666668"/>
    <n v="0"/>
  </r>
  <r>
    <s v="Пискляк Зденек"/>
    <s v="П"/>
    <s v="ППЗ"/>
    <s v="ОПЗ"/>
    <m/>
    <m/>
    <s v="Кут"/>
    <s v="Кут"/>
    <x v="15"/>
    <x v="0"/>
    <m/>
    <n v="65"/>
    <n v="25"/>
    <n v="85"/>
    <n v="74"/>
    <n v="79"/>
    <n v="77"/>
    <n v="78"/>
    <n v="37"/>
    <n v="0"/>
    <n v="1346275"/>
    <n v="112189.58333333333"/>
    <n v="0"/>
  </r>
  <r>
    <s v="Тонтлер"/>
    <s v="П"/>
    <s v="ОПЗ"/>
    <s v="ЦЗ"/>
    <s v="ЦПЗ"/>
    <s v="Кут"/>
    <s v="Кут"/>
    <s v="Кут"/>
    <x v="15"/>
    <x v="0"/>
    <m/>
    <n v="73.428571428571431"/>
    <n v="60"/>
    <n v="74"/>
    <n v="78"/>
    <n v="77"/>
    <n v="84"/>
    <n v="90"/>
    <n v="51"/>
    <n v="0"/>
    <n v="4556704"/>
    <n v="379725.33333333331"/>
    <n v="0"/>
  </r>
  <r>
    <s v="Кулзэр Рэйм"/>
    <s v="В"/>
    <s v="В"/>
    <m/>
    <m/>
    <m/>
    <s v="Турк"/>
    <s v="Турк"/>
    <x v="16"/>
    <x v="0"/>
    <m/>
    <n v="31.571428571428573"/>
    <n v="8"/>
    <n v="40"/>
    <n v="34"/>
    <n v="38"/>
    <n v="40"/>
    <n v="42"/>
    <n v="19"/>
    <n v="0"/>
    <n v="984"/>
    <n v="82"/>
    <n v="0"/>
  </r>
  <r>
    <s v="Суржан Остак"/>
    <s v="В"/>
    <s v="В"/>
    <m/>
    <m/>
    <m/>
    <s v="Турк"/>
    <s v="Турк"/>
    <x v="16"/>
    <x v="0"/>
    <m/>
    <n v="35.428571428571431"/>
    <n v="10"/>
    <n v="46"/>
    <n v="38"/>
    <n v="42"/>
    <n v="44"/>
    <n v="46"/>
    <n v="22"/>
    <n v="0"/>
    <n v="3116"/>
    <n v="259.66666666666669"/>
    <n v="0"/>
  </r>
  <r>
    <s v="Тулдэш Останис"/>
    <s v="В"/>
    <s v="В"/>
    <m/>
    <m/>
    <m/>
    <s v="Турк"/>
    <s v="Турк"/>
    <x v="16"/>
    <x v="0"/>
    <m/>
    <n v="31.857142857142858"/>
    <n v="8"/>
    <n v="42"/>
    <n v="34"/>
    <n v="38"/>
    <n v="40"/>
    <n v="42"/>
    <n v="19"/>
    <n v="0"/>
    <n v="1077"/>
    <n v="89.75"/>
    <n v="0"/>
  </r>
  <r>
    <s v="Булгэр Роймунд"/>
    <s v="З"/>
    <s v="ЦЗ"/>
    <s v="ЛЗ"/>
    <m/>
    <m/>
    <s v="Турк"/>
    <s v="Турк"/>
    <x v="16"/>
    <x v="0"/>
    <m/>
    <n v="39.142857142857146"/>
    <n v="12"/>
    <n v="52"/>
    <n v="42"/>
    <n v="46"/>
    <n v="48"/>
    <n v="50"/>
    <n v="24"/>
    <n v="0"/>
    <n v="8444"/>
    <n v="703.66666666666663"/>
    <n v="0"/>
  </r>
  <r>
    <s v="Дулзэр Ян"/>
    <s v="З"/>
    <s v="ПЗ"/>
    <s v="ЛЗ"/>
    <m/>
    <m/>
    <s v="Турк"/>
    <s v="Турк"/>
    <x v="16"/>
    <x v="0"/>
    <m/>
    <n v="31.285714285714285"/>
    <n v="7"/>
    <n v="40"/>
    <n v="34"/>
    <n v="38"/>
    <n v="40"/>
    <n v="42"/>
    <n v="18"/>
    <n v="0"/>
    <n v="899"/>
    <n v="74.916666666666671"/>
    <n v="0"/>
  </r>
  <r>
    <s v="Сульзан"/>
    <s v="З"/>
    <s v="ЦЗ"/>
    <s v="ПЗ"/>
    <s v="ЛЗ"/>
    <m/>
    <s v="Турк"/>
    <s v="Турк"/>
    <x v="16"/>
    <x v="0"/>
    <m/>
    <n v="60.142857142857146"/>
    <n v="45"/>
    <n v="65"/>
    <n v="67"/>
    <n v="60"/>
    <n v="70"/>
    <n v="74"/>
    <n v="40"/>
    <n v="0"/>
    <n v="619214"/>
    <n v="1575.5"/>
    <n v="0"/>
  </r>
  <r>
    <s v="Сурхэл Люкас"/>
    <s v="З"/>
    <s v="ЦЗ"/>
    <s v="ОПЗ"/>
    <m/>
    <m/>
    <s v="Турк"/>
    <s v="Турк"/>
    <x v="16"/>
    <x v="0"/>
    <m/>
    <n v="28.142857142857142"/>
    <n v="6"/>
    <n v="36"/>
    <n v="30"/>
    <n v="34"/>
    <n v="36"/>
    <n v="38"/>
    <n v="17"/>
    <n v="0"/>
    <n v="312"/>
    <n v="26"/>
    <n v="0"/>
  </r>
  <r>
    <s v="Тулгэн Тимон"/>
    <s v="З"/>
    <s v="ПЗ"/>
    <s v="ЦЗ"/>
    <m/>
    <m/>
    <s v="Турк"/>
    <s v="Турк"/>
    <x v="16"/>
    <x v="0"/>
    <m/>
    <n v="35.142857142857146"/>
    <n v="9"/>
    <n v="46"/>
    <n v="38"/>
    <n v="42"/>
    <n v="44"/>
    <n v="46"/>
    <n v="21"/>
    <n v="0"/>
    <n v="2874"/>
    <n v="239.5"/>
    <n v="0"/>
  </r>
  <r>
    <s v="Хулдэш Торвальд"/>
    <s v="Н"/>
    <s v="ОФ"/>
    <s v="ЦН"/>
    <m/>
    <m/>
    <s v="Турк"/>
    <s v="Турк"/>
    <x v="16"/>
    <x v="0"/>
    <m/>
    <n v="55.428571428571431"/>
    <n v="18"/>
    <n v="70"/>
    <n v="62"/>
    <n v="64"/>
    <n v="66"/>
    <n v="68"/>
    <n v="40"/>
    <n v="0"/>
    <n v="273740"/>
    <n v="22811.666666666668"/>
    <n v="0"/>
  </r>
  <r>
    <s v="Сулдэш Ксавьер"/>
    <s v="Н"/>
    <s v="ЦН"/>
    <s v="ОФ"/>
    <m/>
    <m/>
    <s v="Турк"/>
    <s v="Турк"/>
    <x v="16"/>
    <x v="0"/>
    <m/>
    <n v="52.142857142857146"/>
    <n v="15"/>
    <n v="64"/>
    <n v="58"/>
    <n v="62"/>
    <n v="64"/>
    <n v="66"/>
    <n v="36"/>
    <n v="0"/>
    <n v="148576"/>
    <n v="12381.333333333334"/>
    <n v="0"/>
  </r>
  <r>
    <s v="Султэш Эрлик"/>
    <s v="Н"/>
    <s v="ОФ"/>
    <s v="ЦН"/>
    <m/>
    <m/>
    <s v="Турк"/>
    <s v="Турк"/>
    <x v="16"/>
    <x v="0"/>
    <m/>
    <n v="36.142857142857146"/>
    <n v="10"/>
    <n v="46"/>
    <n v="38"/>
    <n v="44"/>
    <n v="46"/>
    <n v="48"/>
    <n v="21"/>
    <n v="0"/>
    <n v="3804"/>
    <n v="317"/>
    <n v="0"/>
  </r>
  <r>
    <s v="Бултэк Кайус"/>
    <s v="П"/>
    <s v="ЦПЗ"/>
    <s v="ЛПЗ"/>
    <m/>
    <m/>
    <s v="Турк"/>
    <s v="Турк"/>
    <x v="16"/>
    <x v="0"/>
    <m/>
    <n v="28"/>
    <n v="6"/>
    <n v="36"/>
    <n v="30"/>
    <n v="34"/>
    <n v="36"/>
    <n v="38"/>
    <n v="16"/>
    <n v="0"/>
    <n v="297"/>
    <n v="24.75"/>
    <n v="0"/>
  </r>
  <r>
    <s v="Кулмэн Кириан"/>
    <s v="П"/>
    <s v="ОПЗ"/>
    <s v="ЦПЗ"/>
    <m/>
    <m/>
    <s v="Турк"/>
    <s v="Турк"/>
    <x v="16"/>
    <x v="0"/>
    <m/>
    <n v="37.428571428571431"/>
    <n v="11"/>
    <n v="50"/>
    <n v="40"/>
    <n v="44"/>
    <n v="46"/>
    <n v="48"/>
    <n v="23"/>
    <n v="0"/>
    <n v="5396"/>
    <n v="449.66666666666669"/>
    <n v="0"/>
  </r>
  <r>
    <s v="Кулпэр Иржик"/>
    <s v="П"/>
    <s v="ЛПЗ"/>
    <s v="ОПЗ"/>
    <m/>
    <m/>
    <s v="Турк"/>
    <s v="Турк"/>
    <x v="16"/>
    <x v="0"/>
    <m/>
    <n v="38.285714285714285"/>
    <n v="11"/>
    <n v="50"/>
    <n v="40"/>
    <n v="46"/>
    <n v="48"/>
    <n v="50"/>
    <n v="23"/>
    <n v="0"/>
    <n v="6767"/>
    <n v="563.91666666666663"/>
    <n v="0"/>
  </r>
  <r>
    <s v="Мулпэр Даниэль"/>
    <s v="П"/>
    <s v="ППЗ"/>
    <s v="АПЗ"/>
    <m/>
    <m/>
    <s v="Турк"/>
    <s v="Турк"/>
    <x v="16"/>
    <x v="0"/>
    <m/>
    <n v="42.571428571428569"/>
    <n v="14"/>
    <n v="56"/>
    <n v="46"/>
    <n v="50"/>
    <n v="52"/>
    <n v="54"/>
    <n v="26"/>
    <n v="0"/>
    <n v="19552"/>
    <n v="1629.3333333333333"/>
    <n v="0"/>
  </r>
  <r>
    <s v="Мултэк Мэйсон"/>
    <s v="П"/>
    <s v="ЦПЗ"/>
    <s v="ОПЗ"/>
    <m/>
    <m/>
    <s v="Турк"/>
    <s v="Турк"/>
    <x v="16"/>
    <x v="0"/>
    <m/>
    <n v="40.857142857142854"/>
    <n v="13"/>
    <n v="54"/>
    <n v="44"/>
    <n v="48"/>
    <n v="50"/>
    <n v="52"/>
    <n v="25"/>
    <n v="0"/>
    <n v="12963"/>
    <n v="1080.25"/>
    <n v="0"/>
  </r>
  <r>
    <s v="Сулпэр Станис"/>
    <s v="П"/>
    <s v="АПЗ"/>
    <s v="ППЗ"/>
    <m/>
    <m/>
    <s v="Турк"/>
    <s v="Турк"/>
    <x v="16"/>
    <x v="0"/>
    <m/>
    <n v="29.857142857142858"/>
    <n v="7"/>
    <n v="38"/>
    <n v="32"/>
    <n v="36"/>
    <n v="38"/>
    <n v="40"/>
    <n v="18"/>
    <n v="0"/>
    <n v="563"/>
    <n v="46.916666666666664"/>
    <n v="0"/>
  </r>
  <r>
    <s v="Султэр Дариус"/>
    <s v="П"/>
    <s v="ОПЗ"/>
    <s v="ЦЗ"/>
    <m/>
    <m/>
    <s v="Турк"/>
    <s v="Турк"/>
    <x v="16"/>
    <x v="0"/>
    <m/>
    <n v="34.428571428571431"/>
    <n v="9"/>
    <n v="44"/>
    <n v="36"/>
    <n v="42"/>
    <n v="44"/>
    <n v="46"/>
    <n v="20"/>
    <n v="0"/>
    <n v="2340"/>
    <n v="195"/>
    <n v="0"/>
  </r>
  <r>
    <s v="Тулпэр Полус"/>
    <s v="П"/>
    <s v="АПЗ"/>
    <s v="ЦПЗ"/>
    <m/>
    <m/>
    <s v="Турк"/>
    <s v="Турк"/>
    <x v="16"/>
    <x v="0"/>
    <m/>
    <n v="36.571428571428569"/>
    <n v="10"/>
    <n v="48"/>
    <n v="38"/>
    <n v="44"/>
    <n v="46"/>
    <n v="48"/>
    <n v="22"/>
    <n v="0"/>
    <n v="4280"/>
    <n v="356.66666666666669"/>
    <n v="0"/>
  </r>
  <r>
    <s v="Мулдар Элдок"/>
    <s v="Т"/>
    <s v="Т"/>
    <m/>
    <m/>
    <m/>
    <s v="Турк"/>
    <s v="Турк"/>
    <x v="16"/>
    <x v="0"/>
    <m/>
    <n v="33.571428571428569"/>
    <n v="9"/>
    <n v="44"/>
    <n v="36"/>
    <n v="40"/>
    <n v="42"/>
    <n v="44"/>
    <n v="20"/>
    <n v="0"/>
    <n v="1819"/>
    <n v="151.58333333333334"/>
    <n v="0"/>
  </r>
  <r>
    <s v="Ротор"/>
    <s v="В"/>
    <s v="В"/>
    <m/>
    <m/>
    <s v="С.К."/>
    <s v="С.К."/>
    <s v="С.К."/>
    <x v="17"/>
    <x v="0"/>
    <m/>
    <n v="85.142857142857139"/>
    <n v="75"/>
    <n v="86"/>
    <n v="86"/>
    <n v="82"/>
    <n v="85"/>
    <n v="92"/>
    <n v="90"/>
    <n v="30"/>
    <n v="30031254"/>
    <n v="2502604.5"/>
    <n v="0"/>
  </r>
  <r>
    <s v="Сальпитон"/>
    <s v="В"/>
    <s v="В"/>
    <m/>
    <m/>
    <s v="Перс"/>
    <s v="Перс"/>
    <s v="Перс"/>
    <x v="17"/>
    <x v="0"/>
    <m/>
    <n v="62.285714285714285"/>
    <n v="41"/>
    <n v="64"/>
    <n v="60"/>
    <n v="70"/>
    <n v="72"/>
    <n v="71"/>
    <n v="58"/>
    <n v="0"/>
    <n v="878789"/>
    <n v="73232.416666666672"/>
    <n v="0"/>
  </r>
  <r>
    <s v="Бурвес"/>
    <s v="З"/>
    <s v="ЦЗ"/>
    <s v="ПЗ"/>
    <s v="ОПЗ"/>
    <s v="С.К."/>
    <s v="С.К."/>
    <s v="С.К."/>
    <x v="17"/>
    <x v="0"/>
    <m/>
    <n v="82.428571428571431"/>
    <n v="70"/>
    <n v="75"/>
    <n v="89"/>
    <n v="80"/>
    <n v="89"/>
    <n v="98"/>
    <n v="76"/>
    <n v="28"/>
    <n v="21720459"/>
    <n v="1810038.25"/>
    <n v="0"/>
  </r>
  <r>
    <s v="Кирми"/>
    <s v="З"/>
    <s v="ЦЗ"/>
    <m/>
    <m/>
    <s v="Мам"/>
    <s v="Мам"/>
    <s v="Мам"/>
    <x v="17"/>
    <x v="0"/>
    <m/>
    <n v="51.571428571428569"/>
    <n v="30"/>
    <n v="40"/>
    <n v="50"/>
    <n v="68"/>
    <n v="73"/>
    <n v="70"/>
    <n v="30"/>
    <n v="0"/>
    <n v="133074"/>
    <n v="11089.5"/>
    <n v="0"/>
  </r>
  <r>
    <s v="Телби"/>
    <s v="З"/>
    <s v="ЦЗ"/>
    <s v="ОПЗ"/>
    <m/>
    <s v="С.К."/>
    <s v="С.К."/>
    <s v="С.К."/>
    <x v="17"/>
    <x v="0"/>
    <m/>
    <n v="86.428571428571431"/>
    <n v="80"/>
    <n v="81"/>
    <n v="90"/>
    <n v="85"/>
    <n v="90"/>
    <n v="99"/>
    <n v="80"/>
    <n v="27"/>
    <n v="34887079"/>
    <n v="2907256.5833333335"/>
    <n v="0"/>
  </r>
  <r>
    <s v="Термич"/>
    <s v="З"/>
    <s v="ЦЗ"/>
    <s v="ПЗ"/>
    <s v="ОПЗ"/>
    <s v="Турн"/>
    <s v="Турн"/>
    <s v="Турн"/>
    <x v="17"/>
    <x v="0"/>
    <m/>
    <n v="84"/>
    <n v="81"/>
    <n v="80"/>
    <n v="81"/>
    <n v="80"/>
    <n v="87"/>
    <n v="98"/>
    <n v="81"/>
    <n v="26"/>
    <n v="26235185"/>
    <n v="2186265.4166666665"/>
    <n v="0"/>
  </r>
  <r>
    <s v="Киану"/>
    <s v="Н"/>
    <s v="ОФ"/>
    <s v="ППЗ"/>
    <m/>
    <s v="С.К."/>
    <s v="С.К."/>
    <s v="С.К."/>
    <x v="17"/>
    <x v="0"/>
    <m/>
    <n v="84"/>
    <n v="82"/>
    <n v="91"/>
    <n v="83"/>
    <n v="84"/>
    <n v="79"/>
    <n v="84"/>
    <n v="85"/>
    <n v="12"/>
    <n v="26235185"/>
    <n v="2186265.4166666665"/>
    <n v="0"/>
  </r>
  <r>
    <s v="Раш"/>
    <s v="Н"/>
    <s v="ЦН"/>
    <m/>
    <m/>
    <s v="С.К."/>
    <s v="С.К."/>
    <s v="С.К."/>
    <x v="17"/>
    <x v="0"/>
    <m/>
    <n v="82.142857142857139"/>
    <n v="80"/>
    <n v="82"/>
    <n v="88"/>
    <n v="78"/>
    <n v="84"/>
    <n v="93"/>
    <n v="70"/>
    <n v="6"/>
    <n v="20979219"/>
    <n v="1748268.25"/>
    <n v="0"/>
  </r>
  <r>
    <s v="Тайлуг"/>
    <s v="Н"/>
    <s v="ЦН"/>
    <s v="АПЗ"/>
    <m/>
    <s v="Хан"/>
    <s v="Хан"/>
    <s v="Хан"/>
    <x v="17"/>
    <x v="0"/>
    <m/>
    <n v="68.571428571428569"/>
    <n v="41"/>
    <n v="71"/>
    <n v="80"/>
    <n v="70"/>
    <n v="80"/>
    <n v="88"/>
    <n v="50"/>
    <n v="0"/>
    <n v="2298434"/>
    <n v="191536.16666666666"/>
    <n v="0"/>
  </r>
  <r>
    <s v="Эрмунд Сэр"/>
    <s v="Н"/>
    <s v="ЦН"/>
    <s v="АПЗ"/>
    <m/>
    <s v="С.К."/>
    <s v="С.К."/>
    <s v="С.К."/>
    <x v="17"/>
    <x v="0"/>
    <m/>
    <n v="78.428571428571431"/>
    <n v="72"/>
    <n v="84"/>
    <n v="81"/>
    <n v="80"/>
    <n v="73"/>
    <n v="86"/>
    <n v="73"/>
    <n v="8"/>
    <n v="13207917"/>
    <n v="1100659.75"/>
    <n v="0"/>
  </r>
  <r>
    <s v="Барричи"/>
    <s v="П"/>
    <s v="ППЗ"/>
    <m/>
    <m/>
    <s v="С.К."/>
    <s v="С.К."/>
    <s v="С.К."/>
    <x v="17"/>
    <x v="0"/>
    <m/>
    <n v="75.857142857142861"/>
    <n v="55"/>
    <n v="86"/>
    <n v="77"/>
    <n v="82"/>
    <n v="81"/>
    <n v="80"/>
    <n v="70"/>
    <n v="0"/>
    <n v="6309063"/>
    <n v="525755.25"/>
    <n v="0"/>
  </r>
  <r>
    <s v="Бловар"/>
    <s v="П"/>
    <s v="ОПЗ"/>
    <s v="ЦПЗ"/>
    <m/>
    <s v="С.К."/>
    <s v="С.К."/>
    <s v="С.К."/>
    <x v="17"/>
    <x v="0"/>
    <m/>
    <n v="77.285714285714292"/>
    <n v="55"/>
    <n v="83"/>
    <n v="82"/>
    <n v="80"/>
    <n v="77"/>
    <n v="91"/>
    <n v="73"/>
    <n v="0"/>
    <n v="7603128"/>
    <n v="633594"/>
    <n v="0"/>
  </r>
  <r>
    <s v="В. Новый (П)"/>
    <s v="П"/>
    <s v="АПЗ"/>
    <s v="ЦН"/>
    <m/>
    <s v="Заг"/>
    <s v="Заг"/>
    <s v="Заг"/>
    <x v="17"/>
    <x v="0"/>
    <m/>
    <n v="77.714285714285708"/>
    <n v="62"/>
    <n v="78"/>
    <n v="84"/>
    <n v="80"/>
    <n v="78"/>
    <n v="82"/>
    <n v="80"/>
    <n v="12"/>
    <n v="12053131"/>
    <n v="1004427.5833333334"/>
    <n v="0"/>
  </r>
  <r>
    <s v="Глаузен"/>
    <s v="П"/>
    <s v="ЦПЗ"/>
    <s v="АПЗ"/>
    <m/>
    <s v="С.К."/>
    <s v="С.К."/>
    <s v="С.К."/>
    <x v="17"/>
    <x v="0"/>
    <m/>
    <n v="76.428571428571431"/>
    <n v="61"/>
    <n v="81"/>
    <n v="79"/>
    <n v="82"/>
    <n v="76"/>
    <n v="85"/>
    <n v="71"/>
    <n v="0"/>
    <n v="6800760"/>
    <n v="566730"/>
    <n v="0"/>
  </r>
  <r>
    <s v="Грёз"/>
    <s v="П"/>
    <s v="ОПЗ"/>
    <s v="ЦПЗ"/>
    <m/>
    <s v="С.К."/>
    <s v="С.К."/>
    <s v="С.К."/>
    <x v="17"/>
    <x v="0"/>
    <m/>
    <n v="77.714285714285708"/>
    <n v="56"/>
    <n v="81"/>
    <n v="81"/>
    <n v="83"/>
    <n v="78"/>
    <n v="94"/>
    <n v="71"/>
    <n v="0"/>
    <n v="8035421"/>
    <n v="669618.41666666663"/>
    <n v="0"/>
  </r>
  <r>
    <s v="Гривион"/>
    <s v="П"/>
    <s v="ЦПЗ"/>
    <m/>
    <m/>
    <s v="С.К."/>
    <s v="С.К."/>
    <s v="С.К."/>
    <x v="17"/>
    <x v="0"/>
    <m/>
    <n v="77"/>
    <n v="61"/>
    <n v="80"/>
    <n v="80"/>
    <n v="84"/>
    <n v="74"/>
    <n v="88"/>
    <n v="72"/>
    <n v="0"/>
    <n v="7326681"/>
    <n v="610556.75"/>
    <n v="0"/>
  </r>
  <r>
    <s v="Лаг-Аци"/>
    <s v="П"/>
    <s v="ППЗ"/>
    <s v="ЛПЗ"/>
    <s v="ОПЗ"/>
    <s v="С.К."/>
    <s v="С.К."/>
    <s v="С.К."/>
    <x v="17"/>
    <x v="0"/>
    <m/>
    <n v="75.285714285714292"/>
    <n v="61"/>
    <n v="89"/>
    <n v="80"/>
    <n v="84"/>
    <n v="78"/>
    <n v="69"/>
    <n v="66"/>
    <n v="0"/>
    <n v="5849595"/>
    <n v="487466.25"/>
    <n v="0"/>
  </r>
  <r>
    <s v="Молочников (П)"/>
    <s v="П"/>
    <s v="АПЗ"/>
    <s v="ЦН"/>
    <m/>
    <s v="Заг"/>
    <s v="Заг"/>
    <s v="Заг"/>
    <x v="17"/>
    <x v="0"/>
    <m/>
    <n v="79.714285714285708"/>
    <n v="68"/>
    <n v="80"/>
    <n v="86"/>
    <n v="82"/>
    <n v="77"/>
    <n v="84"/>
    <n v="81"/>
    <n v="12"/>
    <n v="15540066"/>
    <n v="1295005.5"/>
    <n v="0"/>
  </r>
  <r>
    <s v="Тарминг"/>
    <s v="П"/>
    <s v="ОПЗ"/>
    <s v="ЦПЗ"/>
    <s v="ЦЗ"/>
    <s v="Вар"/>
    <s v="Вар"/>
    <s v="Вар"/>
    <x v="17"/>
    <x v="0"/>
    <m/>
    <n v="84.428571428571431"/>
    <n v="77"/>
    <n v="80"/>
    <n v="82"/>
    <n v="84"/>
    <n v="92"/>
    <n v="96"/>
    <n v="80"/>
    <n v="18"/>
    <n v="27604868"/>
    <n v="2300405.6666666665"/>
    <n v="0"/>
  </r>
  <r>
    <s v="Форнет"/>
    <s v="П"/>
    <s v="ЦПЗ"/>
    <s v="ППЗ"/>
    <s v="ОПЗ"/>
    <s v="С.К."/>
    <s v="С.К."/>
    <s v="С.К."/>
    <x v="17"/>
    <x v="0"/>
    <m/>
    <n v="82.285714285714292"/>
    <n v="70"/>
    <n v="85"/>
    <n v="85"/>
    <n v="85"/>
    <n v="85"/>
    <n v="91"/>
    <n v="75"/>
    <n v="9"/>
    <n v="21346944"/>
    <n v="789023.08333333337"/>
    <n v="0"/>
  </r>
  <r>
    <s v="Штриман"/>
    <s v="П"/>
    <s v="ЦПЗ"/>
    <s v="ОПЗ"/>
    <m/>
    <s v="С.К."/>
    <s v="С.К."/>
    <s v="С.К."/>
    <x v="17"/>
    <x v="0"/>
    <m/>
    <n v="79.714285714285708"/>
    <n v="70"/>
    <n v="84"/>
    <n v="84"/>
    <n v="81"/>
    <n v="83"/>
    <n v="93"/>
    <n v="63"/>
    <n v="0"/>
    <n v="10360044"/>
    <n v="863337"/>
    <n v="0"/>
  </r>
  <r>
    <s v="Грайзенхаузер С"/>
    <s v="Т"/>
    <s v="Т"/>
    <m/>
    <m/>
    <m/>
    <s v="С.К."/>
    <s v="С.К."/>
    <x v="17"/>
    <x v="0"/>
    <m/>
    <n v="81.714285714285708"/>
    <n v="62"/>
    <n v="80"/>
    <n v="88"/>
    <n v="91"/>
    <n v="90"/>
    <n v="85"/>
    <n v="76"/>
    <n v="0"/>
    <n v="13273330"/>
    <n v="1106110.8333333333"/>
    <n v="0"/>
  </r>
  <r>
    <s v="Брундыр Рэймунд"/>
    <s v="В"/>
    <s v="В"/>
    <m/>
    <m/>
    <m/>
    <s v="Ост"/>
    <s v="В.И."/>
    <x v="18"/>
    <x v="0"/>
    <m/>
    <n v="50.285714285714285"/>
    <n v="8"/>
    <n v="64"/>
    <n v="56"/>
    <n v="63"/>
    <n v="65"/>
    <n v="67"/>
    <n v="29"/>
    <n v="0"/>
    <n v="103383"/>
    <n v="8615.25"/>
    <n v="0"/>
  </r>
  <r>
    <s v="Клайсор Останис"/>
    <s v="В"/>
    <s v="В"/>
    <m/>
    <m/>
    <m/>
    <s v="Ост"/>
    <s v="В.И."/>
    <x v="18"/>
    <x v="0"/>
    <m/>
    <n v="50.857142857142854"/>
    <n v="8"/>
    <n v="65"/>
    <n v="58"/>
    <n v="63"/>
    <n v="65"/>
    <n v="67"/>
    <n v="30"/>
    <n v="0"/>
    <n v="115750"/>
    <n v="9645.8333333333339"/>
    <n v="0"/>
  </r>
  <r>
    <s v="Дундир Останис"/>
    <s v="В"/>
    <s v="В"/>
    <m/>
    <m/>
    <m/>
    <s v="Ост"/>
    <s v="В.И."/>
    <x v="18"/>
    <x v="0"/>
    <m/>
    <n v="52.714285714285715"/>
    <n v="10"/>
    <n v="67"/>
    <n v="59"/>
    <n v="65"/>
    <n v="67"/>
    <n v="69"/>
    <n v="32"/>
    <n v="0"/>
    <n v="165686"/>
    <n v="13807.166666666666"/>
    <n v="0"/>
  </r>
  <r>
    <s v="Вундыр Роймунд"/>
    <s v="З"/>
    <s v="ЦЗ"/>
    <s v="ЛЗ"/>
    <m/>
    <m/>
    <s v="Ост"/>
    <s v="В.И."/>
    <x v="18"/>
    <x v="0"/>
    <m/>
    <n v="55.428571428571431"/>
    <n v="12"/>
    <n v="71"/>
    <n v="63"/>
    <n v="67"/>
    <n v="69"/>
    <n v="71"/>
    <n v="35"/>
    <n v="0"/>
    <n v="273740"/>
    <n v="22811.666666666668"/>
    <n v="0"/>
  </r>
  <r>
    <s v="Грундыр Янис"/>
    <s v="З"/>
    <s v="ПЗ"/>
    <s v="ЛЗ"/>
    <m/>
    <m/>
    <s v="Ост"/>
    <s v="В.И."/>
    <x v="18"/>
    <x v="0"/>
    <m/>
    <n v="50.428571428571431"/>
    <n v="7"/>
    <n v="65"/>
    <n v="58"/>
    <n v="63"/>
    <n v="65"/>
    <n v="67"/>
    <n v="28"/>
    <n v="0"/>
    <n v="106358"/>
    <n v="8863.1666666666661"/>
    <n v="0"/>
  </r>
  <r>
    <s v="Стындыр Тимон"/>
    <s v="З"/>
    <s v="ПЗ"/>
    <s v="ЦЗ"/>
    <m/>
    <m/>
    <s v="Ост"/>
    <s v="В.И."/>
    <x v="18"/>
    <x v="0"/>
    <m/>
    <n v="52.857142857142854"/>
    <n v="9"/>
    <n v="69"/>
    <n v="60"/>
    <n v="65"/>
    <n v="67"/>
    <n v="69"/>
    <n v="31"/>
    <n v="0"/>
    <n v="170231"/>
    <n v="14185.916666666666"/>
    <n v="0"/>
  </r>
  <r>
    <s v="Трундыр Люкас"/>
    <s v="З"/>
    <s v="ЦЗ"/>
    <s v="ОПЗ"/>
    <m/>
    <m/>
    <s v="Ост"/>
    <s v="В.И."/>
    <x v="18"/>
    <x v="0"/>
    <m/>
    <n v="47.428571428571431"/>
    <n v="6"/>
    <n v="61"/>
    <n v="54"/>
    <n v="60"/>
    <n v="62"/>
    <n v="64"/>
    <n v="25"/>
    <n v="0"/>
    <n v="57598"/>
    <n v="4799.833333333333"/>
    <n v="0"/>
  </r>
  <r>
    <s v="Хундыр Кириан"/>
    <s v="З"/>
    <s v="ЛЗ"/>
    <s v="ЦЗ"/>
    <m/>
    <m/>
    <s v="Ост"/>
    <s v="В.И."/>
    <x v="18"/>
    <x v="0"/>
    <m/>
    <n v="54.428571428571431"/>
    <n v="11"/>
    <n v="70"/>
    <n v="62"/>
    <n v="66"/>
    <n v="68"/>
    <n v="70"/>
    <n v="34"/>
    <n v="0"/>
    <n v="228176"/>
    <n v="19014.666666666668"/>
    <n v="0"/>
  </r>
  <r>
    <s v="Дондер"/>
    <s v="Н"/>
    <s v="ЦН"/>
    <s v="ОФ"/>
    <m/>
    <m/>
    <s v="Ост"/>
    <s v="В.И."/>
    <x v="18"/>
    <x v="0"/>
    <m/>
    <n v="62.857142857142854"/>
    <n v="40"/>
    <n v="70"/>
    <n v="70"/>
    <n v="60"/>
    <n v="75"/>
    <n v="85"/>
    <n v="40"/>
    <n v="6"/>
    <n v="1444235"/>
    <n v="1199"/>
    <n v="0"/>
  </r>
  <r>
    <s v="Дондырун Торвальд"/>
    <s v="Н"/>
    <s v="ЦН"/>
    <s v="ОФ"/>
    <m/>
    <m/>
    <s v="Ост"/>
    <s v="В.И."/>
    <x v="18"/>
    <x v="0"/>
    <m/>
    <n v="63.857142857142854"/>
    <n v="15"/>
    <n v="75"/>
    <n v="80"/>
    <n v="75"/>
    <n v="77"/>
    <n v="80"/>
    <n v="45"/>
    <n v="0"/>
    <n v="1127444"/>
    <n v="93953.666666666672"/>
    <n v="0"/>
  </r>
  <r>
    <s v="Зундыр Эрлик"/>
    <s v="Н"/>
    <s v="ОФ"/>
    <s v="ЦН"/>
    <m/>
    <m/>
    <s v="Ост"/>
    <s v="В.И."/>
    <x v="18"/>
    <x v="0"/>
    <m/>
    <n v="55"/>
    <n v="10"/>
    <n v="70"/>
    <n v="63"/>
    <n v="68"/>
    <n v="70"/>
    <n v="72"/>
    <n v="32"/>
    <n v="0"/>
    <n v="253296"/>
    <n v="21108"/>
    <n v="0"/>
  </r>
  <r>
    <s v="Кундыр Даниэль"/>
    <s v="Н"/>
    <s v="ОФ"/>
    <s v="ЦН"/>
    <m/>
    <m/>
    <s v="Ост"/>
    <s v="В.И."/>
    <x v="18"/>
    <x v="0"/>
    <m/>
    <n v="60"/>
    <n v="14"/>
    <n v="75"/>
    <n v="68"/>
    <n v="73"/>
    <n v="75"/>
    <n v="77"/>
    <n v="38"/>
    <n v="0"/>
    <n v="604662"/>
    <n v="50388.5"/>
    <n v="0"/>
  </r>
  <r>
    <s v="Бундыр Иржик"/>
    <s v="П"/>
    <s v="ППЗ"/>
    <s v="ЛПЗ"/>
    <m/>
    <m/>
    <s v="Ост"/>
    <s v="В.И."/>
    <x v="18"/>
    <x v="0"/>
    <m/>
    <n v="56.142857142857146"/>
    <n v="11"/>
    <n v="71"/>
    <n v="64"/>
    <n v="69"/>
    <n v="71"/>
    <n v="73"/>
    <n v="34"/>
    <n v="0"/>
    <n v="311133"/>
    <n v="25927.75"/>
    <n v="0"/>
  </r>
  <r>
    <s v="Крындыр Ксавьер"/>
    <s v="П"/>
    <s v="ППЗ"/>
    <s v="АПЗ"/>
    <m/>
    <m/>
    <s v="Ост"/>
    <s v="В.И."/>
    <x v="18"/>
    <x v="0"/>
    <m/>
    <n v="62.571428571428569"/>
    <n v="14"/>
    <n v="73"/>
    <n v="77"/>
    <n v="75"/>
    <n v="77"/>
    <n v="79"/>
    <n v="43"/>
    <n v="0"/>
    <n v="919943"/>
    <n v="76661.916666666672"/>
    <n v="0"/>
  </r>
  <r>
    <s v="Лундыр Мэйсон"/>
    <s v="П"/>
    <s v="ЦПЗ"/>
    <s v="ОПЗ"/>
    <m/>
    <m/>
    <s v="Ост"/>
    <s v="В.И."/>
    <x v="18"/>
    <x v="0"/>
    <m/>
    <n v="58.285714285714285"/>
    <n v="13"/>
    <n v="73"/>
    <n v="66"/>
    <n v="71"/>
    <n v="73"/>
    <n v="75"/>
    <n v="37"/>
    <n v="0"/>
    <n v="452503"/>
    <n v="37708.583333333336"/>
    <n v="0"/>
  </r>
  <r>
    <s v="Мундыр Кайус"/>
    <s v="П"/>
    <s v="АПЗ"/>
    <s v="ЦПЗ"/>
    <m/>
    <m/>
    <s v="Ост"/>
    <s v="В.И."/>
    <x v="18"/>
    <x v="0"/>
    <m/>
    <n v="48"/>
    <n v="6"/>
    <n v="60"/>
    <n v="54"/>
    <n v="62"/>
    <n v="64"/>
    <n v="66"/>
    <n v="24"/>
    <n v="0"/>
    <n v="64926"/>
    <n v="5410.5"/>
    <n v="0"/>
  </r>
  <r>
    <s v="Рундыр Полус"/>
    <s v="П"/>
    <s v="ЛПЗ"/>
    <s v="ОПЗ"/>
    <m/>
    <m/>
    <s v="Ост"/>
    <s v="В.И."/>
    <x v="18"/>
    <x v="0"/>
    <m/>
    <n v="54.428571428571431"/>
    <n v="10"/>
    <n v="69"/>
    <n v="62"/>
    <n v="67"/>
    <n v="69"/>
    <n v="71"/>
    <n v="33"/>
    <n v="0"/>
    <n v="228176"/>
    <n v="19014.666666666668"/>
    <n v="0"/>
  </r>
  <r>
    <s v="Тундыр Станис"/>
    <s v="П"/>
    <s v="ППЗ"/>
    <s v="АПЗ"/>
    <m/>
    <m/>
    <s v="Ост"/>
    <s v="В.И."/>
    <x v="18"/>
    <x v="0"/>
    <m/>
    <n v="49.857142857142854"/>
    <n v="7"/>
    <n v="64"/>
    <n v="57"/>
    <n v="63"/>
    <n v="65"/>
    <n v="67"/>
    <n v="26"/>
    <n v="0"/>
    <n v="94902"/>
    <n v="7908.5"/>
    <n v="0"/>
  </r>
  <r>
    <s v="Фундыр Дариус"/>
    <s v="П"/>
    <s v="ОПЗ"/>
    <s v="ЦПЗ"/>
    <m/>
    <m/>
    <s v="Ост"/>
    <s v="В.И."/>
    <x v="18"/>
    <x v="0"/>
    <m/>
    <n v="53.428571428571431"/>
    <n v="9"/>
    <n v="68"/>
    <n v="60"/>
    <n v="67"/>
    <n v="69"/>
    <n v="71"/>
    <n v="30"/>
    <n v="0"/>
    <n v="189556"/>
    <n v="15796.333333333334"/>
    <n v="0"/>
  </r>
  <r>
    <s v="Крындыр Элдрик"/>
    <s v="Т"/>
    <s v="Т"/>
    <m/>
    <m/>
    <m/>
    <s v="Ост"/>
    <s v="В.И."/>
    <x v="18"/>
    <x v="0"/>
    <m/>
    <n v="51.285714285714285"/>
    <n v="9"/>
    <n v="65"/>
    <n v="57"/>
    <n v="64"/>
    <n v="66"/>
    <n v="68"/>
    <n v="30"/>
    <n v="0"/>
    <n v="125883"/>
    <n v="10490.25"/>
    <n v="0"/>
  </r>
  <r>
    <s v="Братин Олег"/>
    <s v="В"/>
    <s v="В"/>
    <m/>
    <m/>
    <m/>
    <s v="Вор"/>
    <s v="Вор"/>
    <x v="19"/>
    <x v="0"/>
    <m/>
    <n v="65"/>
    <n v="26"/>
    <n v="71"/>
    <n v="66"/>
    <n v="74"/>
    <n v="78"/>
    <n v="72"/>
    <n v="68"/>
    <n v="0"/>
    <n v="1346275"/>
    <n v="112189.58333333333"/>
    <n v="0"/>
  </r>
  <r>
    <s v="Столл (В)"/>
    <s v="В"/>
    <s v="В"/>
    <m/>
    <m/>
    <s v="Вор"/>
    <s v="Вор"/>
    <s v="Вор"/>
    <x v="19"/>
    <x v="0"/>
    <m/>
    <n v="90.428571428571431"/>
    <n v="85"/>
    <n v="83"/>
    <n v="83"/>
    <n v="96"/>
    <n v="94"/>
    <n v="97"/>
    <n v="95"/>
    <n v="30"/>
    <n v="54846379"/>
    <n v="4570531.583333333"/>
    <n v="0"/>
  </r>
  <r>
    <s v="Аляпис (З)"/>
    <s v="З"/>
    <s v="ЦЗ"/>
    <s v="ЛЗ"/>
    <m/>
    <s v="Вор"/>
    <s v="Вор"/>
    <s v="Вор"/>
    <x v="19"/>
    <x v="0"/>
    <m/>
    <n v="87.142857142857139"/>
    <n v="80"/>
    <n v="70"/>
    <n v="84"/>
    <n v="100"/>
    <n v="90"/>
    <n v="94"/>
    <n v="92"/>
    <n v="26"/>
    <n v="37879934"/>
    <n v="3156661.1666666665"/>
    <n v="0"/>
  </r>
  <r>
    <s v="Бирба (З)"/>
    <s v="З"/>
    <s v="ЦЗ"/>
    <s v="ЛЗ"/>
    <s v="ОПЗ"/>
    <s v="Вор"/>
    <s v="Лиф"/>
    <s v="Лиф"/>
    <x v="19"/>
    <x v="0"/>
    <m/>
    <n v="84"/>
    <n v="80"/>
    <n v="79"/>
    <n v="80"/>
    <n v="71"/>
    <n v="92"/>
    <n v="94"/>
    <n v="92"/>
    <n v="27"/>
    <n v="26235185"/>
    <n v="2186265.4166666665"/>
    <n v="0"/>
  </r>
  <r>
    <s v="Вормин Сергей"/>
    <s v="З"/>
    <s v="ЦЗ"/>
    <s v="ОПЗ"/>
    <m/>
    <m/>
    <s v="Вор"/>
    <s v="Вор"/>
    <x v="19"/>
    <x v="0"/>
    <m/>
    <n v="65.142857142857139"/>
    <n v="37"/>
    <n v="69"/>
    <n v="60"/>
    <n v="65"/>
    <n v="88"/>
    <n v="76"/>
    <n v="61"/>
    <n v="0"/>
    <n v="1376158"/>
    <n v="114679.83333333333"/>
    <n v="0"/>
  </r>
  <r>
    <s v="Кратин Илья"/>
    <s v="З"/>
    <s v="ПЗ"/>
    <s v="ЛЗ"/>
    <m/>
    <m/>
    <s v="Вор"/>
    <s v="Вор"/>
    <x v="19"/>
    <x v="0"/>
    <m/>
    <n v="60.428571428571431"/>
    <n v="29"/>
    <n v="82"/>
    <n v="55"/>
    <n v="68"/>
    <n v="70"/>
    <n v="67"/>
    <n v="52"/>
    <n v="0"/>
    <n v="649267"/>
    <n v="54105.583333333336"/>
    <n v="0"/>
  </r>
  <r>
    <s v="Нука (З)"/>
    <s v="З"/>
    <s v="ЦЗ"/>
    <s v="ОПЗ"/>
    <m/>
    <s v="Вор"/>
    <s v="Вор"/>
    <s v="Вор"/>
    <x v="19"/>
    <x v="0"/>
    <m/>
    <n v="84.714285714285708"/>
    <n v="77"/>
    <n v="74"/>
    <n v="84"/>
    <n v="80"/>
    <n v="98"/>
    <n v="92"/>
    <n v="88"/>
    <n v="28"/>
    <n v="28553398"/>
    <n v="2379449.8333333335"/>
    <n v="0"/>
  </r>
  <r>
    <s v="Сурмин Вадим"/>
    <s v="З"/>
    <s v="ПЗ"/>
    <s v="ЦЗ"/>
    <m/>
    <m/>
    <s v="Вор"/>
    <s v="Вор"/>
    <x v="19"/>
    <x v="0"/>
    <m/>
    <n v="65.142857142857139"/>
    <n v="34"/>
    <n v="78"/>
    <n v="62"/>
    <n v="70"/>
    <n v="80"/>
    <n v="74"/>
    <n v="58"/>
    <n v="0"/>
    <n v="1376158"/>
    <n v="114679.83333333333"/>
    <n v="0"/>
  </r>
  <r>
    <s v="Талис Дмитрий"/>
    <s v="З"/>
    <s v="ЛЗ"/>
    <s v="ЦЗ"/>
    <m/>
    <m/>
    <s v="Вор"/>
    <s v="Вор"/>
    <x v="19"/>
    <x v="0"/>
    <m/>
    <n v="59.857142857142854"/>
    <n v="22"/>
    <n v="66"/>
    <n v="57"/>
    <n v="73"/>
    <n v="68"/>
    <n v="79"/>
    <n v="54"/>
    <n v="0"/>
    <n v="590419"/>
    <n v="49201.583333333336"/>
    <n v="0"/>
  </r>
  <r>
    <s v="Тригин (З)"/>
    <s v="З"/>
    <s v="ЦЗ"/>
    <s v="ОПЗ"/>
    <m/>
    <s v="Вор"/>
    <s v="Вор"/>
    <s v="Вор"/>
    <x v="19"/>
    <x v="0"/>
    <m/>
    <n v="83.714285714285708"/>
    <n v="75"/>
    <n v="73"/>
    <n v="80"/>
    <n v="95"/>
    <n v="80"/>
    <n v="83"/>
    <n v="100"/>
    <n v="27"/>
    <n v="25356367"/>
    <n v="2113030.5833333335"/>
    <n v="0"/>
  </r>
  <r>
    <s v="Турив (Н)"/>
    <s v="Н"/>
    <s v="ЦН"/>
    <m/>
    <m/>
    <s v="Вор"/>
    <s v="Вор"/>
    <s v="Вор"/>
    <x v="19"/>
    <x v="0"/>
    <m/>
    <n v="73"/>
    <n v="60"/>
    <n v="80"/>
    <n v="80"/>
    <n v="75"/>
    <n v="80"/>
    <n v="86"/>
    <n v="50"/>
    <n v="0"/>
    <n v="4297626"/>
    <n v="358135.5"/>
    <n v="0"/>
  </r>
  <r>
    <s v="Туринцев Андрей"/>
    <s v="Н"/>
    <s v="ЦН"/>
    <s v="ОФ"/>
    <m/>
    <m/>
    <s v="Вор"/>
    <s v="Вор"/>
    <x v="19"/>
    <x v="0"/>
    <m/>
    <n v="64.285714285714292"/>
    <n v="35"/>
    <n v="77"/>
    <n v="64"/>
    <n v="69"/>
    <n v="76"/>
    <n v="70"/>
    <n v="59"/>
    <n v="0"/>
    <n v="1205438"/>
    <n v="100453.16666666667"/>
    <n v="0"/>
  </r>
  <r>
    <s v="Уренья (Н)"/>
    <s v="Н"/>
    <s v="ОФ"/>
    <s v="ЦН"/>
    <m/>
    <s v="Сув"/>
    <s v="В.И."/>
    <s v="В.И."/>
    <x v="19"/>
    <x v="0"/>
    <m/>
    <n v="86.142857142857139"/>
    <n v="84"/>
    <n v="93"/>
    <n v="84"/>
    <n v="89"/>
    <n v="85"/>
    <n v="83"/>
    <n v="85"/>
    <n v="3"/>
    <n v="33750793"/>
    <n v="2812566.0833333335"/>
    <n v="0"/>
  </r>
  <r>
    <s v="Юлаев (Н)"/>
    <s v="Н"/>
    <s v="ОФ"/>
    <s v="АПЗ"/>
    <s v="ЛПЗ"/>
    <s v="Вор"/>
    <s v="Вор"/>
    <s v="Вор"/>
    <x v="19"/>
    <x v="0"/>
    <m/>
    <n v="84.285714285714292"/>
    <n v="83"/>
    <n v="86"/>
    <n v="85"/>
    <n v="90"/>
    <n v="86"/>
    <n v="80"/>
    <n v="80"/>
    <n v="7"/>
    <n v="27141321"/>
    <n v="2261776.75"/>
    <n v="0"/>
  </r>
  <r>
    <s v="Гокин (П)"/>
    <s v="П"/>
    <s v="ОПЗ"/>
    <s v="ЦЗ"/>
    <s v="ЦПЗ"/>
    <s v="Вор"/>
    <s v="Вор"/>
    <s v="Вор"/>
    <x v="19"/>
    <x v="0"/>
    <m/>
    <n v="81.142857142857139"/>
    <n v="72"/>
    <n v="83"/>
    <n v="85"/>
    <n v="82"/>
    <n v="91"/>
    <n v="90"/>
    <n v="65"/>
    <n v="18"/>
    <n v="18560695"/>
    <n v="1546724.5833333333"/>
    <n v="0"/>
  </r>
  <r>
    <s v="Голдин Артём"/>
    <s v="П"/>
    <s v="ОПЗ"/>
    <s v="ЦПЗ"/>
    <m/>
    <m/>
    <s v="Вор"/>
    <s v="Вор"/>
    <x v="19"/>
    <x v="0"/>
    <m/>
    <n v="64.857142857142861"/>
    <n v="38"/>
    <n v="64"/>
    <n v="58"/>
    <n v="81"/>
    <n v="79"/>
    <n v="71"/>
    <n v="63"/>
    <n v="0"/>
    <n v="1316977"/>
    <n v="109748.08333333333"/>
    <n v="0"/>
  </r>
  <r>
    <s v="Ельцов Максим"/>
    <s v="П"/>
    <s v="ЛПЗ"/>
    <s v="ЦПЗ"/>
    <m/>
    <m/>
    <s v="Вор"/>
    <s v="Вор"/>
    <x v="19"/>
    <x v="0"/>
    <m/>
    <n v="60"/>
    <n v="27"/>
    <n v="80"/>
    <n v="51"/>
    <n v="74"/>
    <n v="68"/>
    <n v="65"/>
    <n v="55"/>
    <n v="0"/>
    <n v="604662"/>
    <n v="50388.5"/>
    <n v="0"/>
  </r>
  <r>
    <s v="Ермолаев (П)"/>
    <s v="П"/>
    <s v="ОПЗ"/>
    <s v="ЦЗ"/>
    <s v="ЦПЗ"/>
    <s v="Вор"/>
    <s v="Вор"/>
    <s v="Вор"/>
    <x v="19"/>
    <x v="0"/>
    <m/>
    <n v="89.142857142857139"/>
    <n v="90"/>
    <n v="88"/>
    <n v="91"/>
    <n v="85"/>
    <n v="93"/>
    <n v="93"/>
    <n v="84"/>
    <n v="19"/>
    <n v="47528790"/>
    <n v="3960732.5"/>
    <n v="0"/>
  </r>
  <r>
    <s v="Кельн (П)"/>
    <s v="П"/>
    <s v="ЦПЗ"/>
    <s v="ОПЗ"/>
    <m/>
    <s v="Вор"/>
    <s v="Лион"/>
    <s v="Лион"/>
    <x v="19"/>
    <x v="0"/>
    <m/>
    <n v="88.428571428571431"/>
    <n v="85"/>
    <n v="87"/>
    <n v="88"/>
    <n v="92"/>
    <n v="90"/>
    <n v="91"/>
    <n v="86"/>
    <n v="24"/>
    <n v="43854822"/>
    <n v="3654568.5"/>
    <n v="0"/>
  </r>
  <r>
    <s v="Миртов Кирилл"/>
    <s v="П"/>
    <s v="ЦПЗ"/>
    <s v="АПЗ"/>
    <m/>
    <m/>
    <s v="Вор"/>
    <s v="Вор"/>
    <x v="19"/>
    <x v="0"/>
    <m/>
    <n v="60.571428571428569"/>
    <n v="31"/>
    <n v="72"/>
    <n v="54"/>
    <n v="76"/>
    <n v="66"/>
    <n v="68"/>
    <n v="57"/>
    <n v="0"/>
    <n v="664781"/>
    <n v="55398.416666666664"/>
    <n v="0"/>
  </r>
  <r>
    <s v="Редиган (П)"/>
    <s v="П"/>
    <s v="ЛПЗ"/>
    <s v="ЦПЗ"/>
    <m/>
    <s v="Вор"/>
    <s v="Вор"/>
    <s v="Вор"/>
    <x v="19"/>
    <x v="0"/>
    <m/>
    <n v="87.142857142857139"/>
    <n v="84"/>
    <n v="95"/>
    <n v="86"/>
    <n v="90"/>
    <n v="90"/>
    <n v="85"/>
    <n v="80"/>
    <n v="23"/>
    <n v="37879934"/>
    <n v="3156661.1666666665"/>
    <n v="0"/>
  </r>
  <r>
    <s v="Снежин Павел"/>
    <s v="П"/>
    <s v="ППЗ"/>
    <s v="АПЗ"/>
    <m/>
    <m/>
    <s v="Вор"/>
    <s v="Вор"/>
    <x v="19"/>
    <x v="0"/>
    <m/>
    <n v="64.714285714285708"/>
    <n v="40"/>
    <n v="75"/>
    <n v="63"/>
    <n v="70"/>
    <n v="72"/>
    <n v="73"/>
    <n v="60"/>
    <n v="0"/>
    <n v="1288255"/>
    <n v="107354.58333333333"/>
    <n v="0"/>
  </r>
  <r>
    <s v="Снексер (П)"/>
    <s v="П"/>
    <s v="ЛПЗ"/>
    <s v="ППЗ"/>
    <m/>
    <s v="Кирп"/>
    <s v="Кирп"/>
    <s v="Кирп"/>
    <x v="19"/>
    <x v="0"/>
    <m/>
    <n v="85.857142857142861"/>
    <n v="80"/>
    <n v="90"/>
    <n v="87"/>
    <n v="86"/>
    <n v="86"/>
    <n v="88"/>
    <n v="84"/>
    <n v="22"/>
    <n v="32647925"/>
    <n v="2720660.4166666665"/>
    <n v="0"/>
  </r>
  <r>
    <s v="Юзепсен (П)"/>
    <s v="П"/>
    <s v="ЦПЗ"/>
    <s v="ОПЗ"/>
    <s v="ППЗ"/>
    <s v="Кирп"/>
    <s v="Кирп"/>
    <s v="Кирп"/>
    <x v="19"/>
    <x v="0"/>
    <m/>
    <n v="95.142857142857139"/>
    <n v="97"/>
    <n v="94"/>
    <n v="98"/>
    <n v="100"/>
    <n v="90"/>
    <n v="88"/>
    <n v="99"/>
    <n v="10"/>
    <n v="91170252"/>
    <n v="7597521"/>
    <n v="0"/>
  </r>
  <r>
    <s v="Цоттов"/>
    <s v="Т"/>
    <s v="Т"/>
    <m/>
    <m/>
    <m/>
    <s v="Вор"/>
    <s v="Вор"/>
    <x v="19"/>
    <x v="0"/>
    <m/>
    <n v="83.857142857142861"/>
    <n v="70"/>
    <n v="85"/>
    <n v="86"/>
    <n v="94"/>
    <n v="93"/>
    <n v="90"/>
    <n v="69"/>
    <n v="0"/>
    <n v="17194938"/>
    <n v="1432911.5"/>
    <n v="0"/>
  </r>
  <r>
    <s v="Ваней Наком"/>
    <s v="В"/>
    <s v="В"/>
    <m/>
    <m/>
    <m/>
    <s v="Мох"/>
    <s v="Мох"/>
    <x v="20"/>
    <x v="0"/>
    <m/>
    <n v="31.571428571428573"/>
    <n v="8"/>
    <n v="40"/>
    <n v="34"/>
    <n v="38"/>
    <n v="40"/>
    <n v="42"/>
    <n v="19"/>
    <n v="0"/>
    <n v="984"/>
    <n v="82"/>
    <n v="0"/>
  </r>
  <r>
    <s v="Морей Атанес"/>
    <s v="В"/>
    <s v="В"/>
    <m/>
    <m/>
    <m/>
    <s v="Мох"/>
    <s v="Мох"/>
    <x v="20"/>
    <x v="0"/>
    <m/>
    <n v="31.857142857142858"/>
    <n v="8"/>
    <n v="42"/>
    <n v="34"/>
    <n v="38"/>
    <n v="40"/>
    <n v="42"/>
    <n v="19"/>
    <n v="0"/>
    <n v="1077"/>
    <n v="89.75"/>
    <n v="0"/>
  </r>
  <r>
    <s v="Раней Анрок"/>
    <s v="В"/>
    <s v="В"/>
    <m/>
    <m/>
    <m/>
    <s v="Мох"/>
    <s v="Мох"/>
    <x v="20"/>
    <x v="0"/>
    <m/>
    <n v="35.428571428571431"/>
    <n v="10"/>
    <n v="46"/>
    <n v="38"/>
    <n v="42"/>
    <n v="44"/>
    <n v="46"/>
    <n v="22"/>
    <n v="0"/>
    <n v="3116"/>
    <n v="259.66666666666669"/>
    <n v="0"/>
  </r>
  <r>
    <s v="Гоцыйзул Ронос"/>
    <s v="З"/>
    <s v="ЦЗ"/>
    <s v="ОПЗ"/>
    <m/>
    <m/>
    <s v="Мох"/>
    <s v="Мох"/>
    <x v="20"/>
    <x v="0"/>
    <m/>
    <n v="28.142857142857142"/>
    <n v="6"/>
    <n v="36"/>
    <n v="30"/>
    <n v="34"/>
    <n v="36"/>
    <n v="38"/>
    <n v="17"/>
    <n v="0"/>
    <n v="312"/>
    <n v="26"/>
    <n v="0"/>
  </r>
  <r>
    <s v="Моц Ар"/>
    <s v="З"/>
    <s v="ПЗ"/>
    <s v="ЛЗ"/>
    <m/>
    <m/>
    <s v="Мох"/>
    <s v="Мох"/>
    <x v="20"/>
    <x v="0"/>
    <m/>
    <n v="45.571428571428569"/>
    <n v="33"/>
    <n v="45"/>
    <n v="50"/>
    <n v="50"/>
    <n v="50"/>
    <n v="55"/>
    <n v="36"/>
    <n v="0"/>
    <n v="38631"/>
    <n v="74.916666666666671"/>
    <n v="0"/>
  </r>
  <r>
    <s v="Наней Ранен"/>
    <s v="З"/>
    <s v="ПЗ"/>
    <s v="ЦЗ"/>
    <m/>
    <m/>
    <s v="Мох"/>
    <s v="Мох"/>
    <x v="20"/>
    <x v="0"/>
    <m/>
    <n v="35.142857142857146"/>
    <n v="9"/>
    <n v="46"/>
    <n v="38"/>
    <n v="42"/>
    <n v="44"/>
    <n v="46"/>
    <n v="21"/>
    <n v="0"/>
    <n v="2874"/>
    <n v="239.5"/>
    <n v="0"/>
  </r>
  <r>
    <s v="Таней Ланмонд"/>
    <s v="З"/>
    <s v="ЦЗ"/>
    <s v="ЛЗ"/>
    <m/>
    <m/>
    <s v="Мох"/>
    <s v="Мох"/>
    <x v="20"/>
    <x v="0"/>
    <m/>
    <n v="39.142857142857146"/>
    <n v="12"/>
    <n v="52"/>
    <n v="42"/>
    <n v="46"/>
    <n v="48"/>
    <n v="50"/>
    <n v="24"/>
    <n v="0"/>
    <n v="8444"/>
    <n v="703.66666666666663"/>
    <n v="0"/>
  </r>
  <r>
    <s v="Маней Рарнельд"/>
    <s v="Н"/>
    <s v="ОФ"/>
    <s v="ЦН"/>
    <m/>
    <m/>
    <s v="Мох"/>
    <s v="Мох"/>
    <x v="20"/>
    <x v="0"/>
    <m/>
    <n v="55.428571428571431"/>
    <n v="18"/>
    <n v="70"/>
    <n v="62"/>
    <n v="64"/>
    <n v="66"/>
    <n v="68"/>
    <n v="40"/>
    <n v="0"/>
    <n v="273740"/>
    <n v="22811.666666666668"/>
    <n v="0"/>
  </r>
  <r>
    <s v="Щоцыйдор Анкек"/>
    <s v="Н"/>
    <s v="ОФ"/>
    <s v="ЦН"/>
    <m/>
    <m/>
    <s v="Мох"/>
    <s v="Мох"/>
    <x v="20"/>
    <x v="0"/>
    <m/>
    <n v="36.142857142857146"/>
    <n v="10"/>
    <n v="46"/>
    <n v="38"/>
    <n v="44"/>
    <n v="46"/>
    <n v="48"/>
    <n v="21"/>
    <n v="0"/>
    <n v="3804"/>
    <n v="317"/>
    <n v="0"/>
  </r>
  <r>
    <s v="Баней Наксен"/>
    <s v="П"/>
    <s v="ЦПЗ"/>
    <s v="ОПЗ"/>
    <m/>
    <m/>
    <s v="Мох"/>
    <s v="Мох"/>
    <x v="20"/>
    <x v="0"/>
    <m/>
    <n v="40.857142857142854"/>
    <n v="13"/>
    <n v="54"/>
    <n v="44"/>
    <n v="48"/>
    <n v="50"/>
    <n v="52"/>
    <n v="25"/>
    <n v="0"/>
    <n v="12963"/>
    <n v="1080.25"/>
    <n v="0"/>
  </r>
  <r>
    <s v="Коцый"/>
    <s v="П"/>
    <s v="ЦПЗ"/>
    <s v="ОПЗ"/>
    <m/>
    <m/>
    <s v="Мох"/>
    <s v="Мох"/>
    <x v="20"/>
    <x v="0"/>
    <m/>
    <n v="37.285714285714285"/>
    <n v="20"/>
    <n v="44"/>
    <n v="47"/>
    <n v="45"/>
    <n v="42"/>
    <n v="52"/>
    <n v="11"/>
    <n v="0"/>
    <n v="5194"/>
    <n v="432.83333333333331"/>
    <n v="0"/>
  </r>
  <r>
    <s v="Ланей Толеус"/>
    <s v="П"/>
    <s v="ОПЗ"/>
    <s v="ЦЗ"/>
    <m/>
    <m/>
    <s v="Мох"/>
    <s v="Мох"/>
    <x v="20"/>
    <x v="0"/>
    <m/>
    <n v="34.428571428571431"/>
    <n v="9"/>
    <n v="44"/>
    <n v="36"/>
    <n v="42"/>
    <n v="44"/>
    <n v="46"/>
    <n v="20"/>
    <n v="0"/>
    <n v="2340"/>
    <n v="195"/>
    <n v="0"/>
  </r>
  <r>
    <s v="Лоней Гновьир"/>
    <s v="П"/>
    <s v="ППЗ"/>
    <s v="АПЗ"/>
    <m/>
    <m/>
    <s v="Мох"/>
    <s v="Мох"/>
    <x v="20"/>
    <x v="0"/>
    <m/>
    <n v="52.142857142857146"/>
    <n v="15"/>
    <n v="64"/>
    <n v="58"/>
    <n v="62"/>
    <n v="64"/>
    <n v="66"/>
    <n v="36"/>
    <n v="0"/>
    <n v="148576"/>
    <n v="12381.333333333334"/>
    <n v="0"/>
  </r>
  <r>
    <s v="Нанел Тонанс"/>
    <s v="П"/>
    <s v="АПЗ"/>
    <s v="ППЗ"/>
    <m/>
    <m/>
    <s v="Мох"/>
    <s v="Мох"/>
    <x v="20"/>
    <x v="0"/>
    <m/>
    <n v="29.857142857142858"/>
    <n v="7"/>
    <n v="38"/>
    <n v="32"/>
    <n v="36"/>
    <n v="38"/>
    <n v="40"/>
    <n v="18"/>
    <n v="0"/>
    <n v="563"/>
    <n v="46.916666666666664"/>
    <n v="0"/>
  </r>
  <r>
    <s v="Поцыймир Ганон"/>
    <s v="П"/>
    <s v="ОПЗ"/>
    <s v="ЦПЗ"/>
    <m/>
    <m/>
    <s v="Мох"/>
    <s v="Мох"/>
    <x v="20"/>
    <x v="0"/>
    <m/>
    <n v="37.428571428571431"/>
    <n v="11"/>
    <n v="50"/>
    <n v="40"/>
    <n v="44"/>
    <n v="46"/>
    <n v="48"/>
    <n v="23"/>
    <n v="0"/>
    <n v="5396"/>
    <n v="449.66666666666669"/>
    <n v="0"/>
  </r>
  <r>
    <s v="Соц Гоенс"/>
    <s v="П"/>
    <s v="ЦПЗ"/>
    <s v="ЛПЗ"/>
    <m/>
    <m/>
    <s v="Мох"/>
    <s v="Мох"/>
    <x v="20"/>
    <x v="0"/>
    <m/>
    <n v="28"/>
    <n v="6"/>
    <n v="36"/>
    <n v="30"/>
    <n v="34"/>
    <n v="36"/>
    <n v="38"/>
    <n v="16"/>
    <n v="0"/>
    <n v="297"/>
    <n v="24.75"/>
    <n v="0"/>
  </r>
  <r>
    <s v="Хоцыйбер Бансе"/>
    <s v="П"/>
    <s v="АПЗ"/>
    <s v="ЦПЗ"/>
    <m/>
    <m/>
    <s v="Мох"/>
    <s v="Мох"/>
    <x v="20"/>
    <x v="0"/>
    <m/>
    <n v="36.571428571428569"/>
    <n v="10"/>
    <n v="48"/>
    <n v="38"/>
    <n v="44"/>
    <n v="46"/>
    <n v="48"/>
    <n v="22"/>
    <n v="0"/>
    <n v="4280"/>
    <n v="356.66666666666669"/>
    <n v="0"/>
  </r>
  <r>
    <s v="Шаней Алкек"/>
    <s v="П"/>
    <s v="ЛПЗ"/>
    <s v="ОПЗ"/>
    <m/>
    <m/>
    <s v="Мох"/>
    <s v="Мох"/>
    <x v="20"/>
    <x v="0"/>
    <m/>
    <n v="38.285714285714285"/>
    <n v="11"/>
    <n v="50"/>
    <n v="40"/>
    <n v="46"/>
    <n v="48"/>
    <n v="50"/>
    <n v="23"/>
    <n v="0"/>
    <n v="6767"/>
    <n v="563.91666666666663"/>
    <n v="0"/>
  </r>
  <r>
    <s v="Шоц Толеэль"/>
    <s v="П"/>
    <s v="ППЗ"/>
    <s v="АПЗ"/>
    <m/>
    <m/>
    <s v="Мох"/>
    <s v="Мох"/>
    <x v="20"/>
    <x v="0"/>
    <m/>
    <n v="42.571428571428569"/>
    <n v="14"/>
    <n v="56"/>
    <n v="46"/>
    <n v="50"/>
    <n v="52"/>
    <n v="54"/>
    <n v="26"/>
    <n v="0"/>
    <n v="19552"/>
    <n v="1629.3333333333333"/>
    <n v="0"/>
  </r>
  <r>
    <s v="Тоц Аркек"/>
    <s v="Т"/>
    <s v="Т"/>
    <m/>
    <m/>
    <m/>
    <s v="Мох"/>
    <s v="Мох"/>
    <x v="20"/>
    <x v="0"/>
    <m/>
    <n v="33.571428571428569"/>
    <n v="9"/>
    <n v="44"/>
    <n v="36"/>
    <n v="40"/>
    <n v="42"/>
    <n v="44"/>
    <n v="20"/>
    <n v="0"/>
    <n v="1819"/>
    <n v="151.58333333333334"/>
    <n v="0"/>
  </r>
  <r>
    <s v="Велензар Добрын"/>
    <s v="В"/>
    <s v="В"/>
    <m/>
    <m/>
    <m/>
    <s v="Турн"/>
    <s v="Турн"/>
    <x v="21"/>
    <x v="0"/>
    <m/>
    <n v="68.857142857142861"/>
    <n v="24"/>
    <n v="78"/>
    <n v="74"/>
    <n v="84"/>
    <n v="86"/>
    <n v="88"/>
    <n v="48"/>
    <n v="0"/>
    <n v="2396018"/>
    <n v="199668.16666666666"/>
    <n v="0"/>
  </r>
  <r>
    <s v="Роиз"/>
    <s v="В"/>
    <s v="В"/>
    <m/>
    <m/>
    <s v="Турн"/>
    <s v="Турн"/>
    <s v="Турн"/>
    <x v="21"/>
    <x v="0"/>
    <m/>
    <n v="71.714285714285708"/>
    <n v="70"/>
    <n v="79"/>
    <n v="89"/>
    <n v="25"/>
    <n v="76"/>
    <n v="82"/>
    <n v="81"/>
    <n v="0"/>
    <n v="3597964"/>
    <n v="299830.33333333331"/>
    <n v="0"/>
  </r>
  <r>
    <s v="Бордез Сятогар"/>
    <s v="З"/>
    <s v="ЦЗ"/>
    <s v="ОПЗ"/>
    <m/>
    <m/>
    <s v="Турн"/>
    <s v="Турн"/>
    <x v="21"/>
    <x v="0"/>
    <m/>
    <n v="65.857142857142861"/>
    <n v="21"/>
    <n v="85"/>
    <n v="73"/>
    <n v="81"/>
    <n v="83"/>
    <n v="85"/>
    <n v="33"/>
    <n v="0"/>
    <n v="1534719"/>
    <n v="127893.25"/>
    <n v="0"/>
  </r>
  <r>
    <s v="Кудаш Сылван"/>
    <s v="З"/>
    <s v="ПЗ"/>
    <s v="ЦЗ"/>
    <m/>
    <m/>
    <s v="Турн"/>
    <s v="Турн"/>
    <x v="21"/>
    <x v="0"/>
    <m/>
    <n v="63.571428571428569"/>
    <n v="21"/>
    <n v="86"/>
    <n v="71"/>
    <n v="75"/>
    <n v="77"/>
    <n v="80"/>
    <n v="35"/>
    <n v="0"/>
    <n v="1078003"/>
    <n v="89833.583333333328"/>
    <n v="0"/>
  </r>
  <r>
    <s v="Ричук (З)"/>
    <s v="З"/>
    <s v="ЦЗ"/>
    <s v="ОПЗ"/>
    <m/>
    <s v="Турн"/>
    <s v="Турн"/>
    <s v="Турн"/>
    <x v="21"/>
    <x v="0"/>
    <m/>
    <n v="86.428571428571431"/>
    <n v="80"/>
    <n v="85"/>
    <n v="82"/>
    <n v="85"/>
    <n v="91"/>
    <n v="95"/>
    <n v="87"/>
    <n v="26"/>
    <n v="34887079"/>
    <n v="2907256.5833333335"/>
    <n v="0"/>
  </r>
  <r>
    <s v="Стурлагай Олафз"/>
    <s v="З"/>
    <s v="ЛЗ"/>
    <s v="ЦЗ"/>
    <m/>
    <m/>
    <s v="Турн"/>
    <s v="Турн"/>
    <x v="21"/>
    <x v="0"/>
    <m/>
    <n v="67.857142857142861"/>
    <n v="23"/>
    <n v="92"/>
    <n v="76"/>
    <n v="80"/>
    <n v="82"/>
    <n v="84"/>
    <n v="38"/>
    <n v="0"/>
    <n v="2069931"/>
    <n v="172494.25"/>
    <n v="0"/>
  </r>
  <r>
    <s v="Супославр (З)"/>
    <s v="З"/>
    <s v="ЦЗ"/>
    <s v="ПЗ"/>
    <s v="ЛЗ"/>
    <s v="Турн"/>
    <s v="Турн"/>
    <s v="Турн"/>
    <x v="21"/>
    <x v="0"/>
    <m/>
    <n v="83.571428571428569"/>
    <n v="78"/>
    <n v="82"/>
    <n v="81"/>
    <n v="81"/>
    <n v="90"/>
    <n v="93"/>
    <n v="80"/>
    <n v="26"/>
    <n v="24926972"/>
    <n v="2077247.6666666667"/>
    <n v="0"/>
  </r>
  <r>
    <s v="Ирос Доин"/>
    <s v="Н"/>
    <s v="ОФ"/>
    <s v="ЦН"/>
    <m/>
    <m/>
    <s v="Турн"/>
    <s v="Турн"/>
    <x v="21"/>
    <x v="0"/>
    <m/>
    <n v="62.571428571428569"/>
    <n v="20"/>
    <n v="82"/>
    <n v="69"/>
    <n v="77"/>
    <n v="79"/>
    <n v="81"/>
    <n v="30"/>
    <n v="0"/>
    <n v="919943"/>
    <n v="76661.916666666672"/>
    <n v="0"/>
  </r>
  <r>
    <s v="Рыр Ярополз"/>
    <s v="Н"/>
    <s v="ОФ"/>
    <s v="ППЗ"/>
    <m/>
    <m/>
    <s v="Турн"/>
    <s v="Турн"/>
    <x v="21"/>
    <x v="0"/>
    <m/>
    <n v="78.571428571428569"/>
    <n v="28"/>
    <n v="98"/>
    <n v="92"/>
    <n v="92"/>
    <n v="94"/>
    <n v="96"/>
    <n v="50"/>
    <n v="0"/>
    <n v="8966987"/>
    <n v="747248.91666666663"/>
    <n v="0"/>
  </r>
  <r>
    <s v="Богумыл Радзко"/>
    <s v="П"/>
    <s v="ППЗ"/>
    <s v="АПЗ"/>
    <m/>
    <m/>
    <s v="Турн"/>
    <s v="Турн"/>
    <x v="21"/>
    <x v="0"/>
    <m/>
    <n v="64.428571428571431"/>
    <n v="21"/>
    <n v="84"/>
    <n v="71"/>
    <n v="79"/>
    <n v="81"/>
    <n v="83"/>
    <n v="32"/>
    <n v="0"/>
    <n v="1232495"/>
    <n v="102707.91666666667"/>
    <n v="0"/>
  </r>
  <r>
    <s v="Вельтислав Красим"/>
    <s v="П"/>
    <s v="ЦПЗ"/>
    <s v="ОПЗ"/>
    <m/>
    <m/>
    <s v="Турн"/>
    <s v="Турн"/>
    <x v="21"/>
    <x v="0"/>
    <m/>
    <n v="65.571428571428569"/>
    <n v="21"/>
    <n v="88"/>
    <n v="73"/>
    <n v="79"/>
    <n v="81"/>
    <n v="83"/>
    <n v="34"/>
    <n v="0"/>
    <n v="1469422"/>
    <n v="122451.83333333333"/>
    <n v="0"/>
  </r>
  <r>
    <s v="Власти Гордез"/>
    <s v="П"/>
    <s v="ЛПЗ"/>
    <s v="ОПЗ"/>
    <m/>
    <m/>
    <s v="Турн"/>
    <s v="Турн"/>
    <x v="21"/>
    <x v="0"/>
    <m/>
    <n v="73.285714285714292"/>
    <n v="26"/>
    <n v="95"/>
    <n v="83"/>
    <n v="87"/>
    <n v="89"/>
    <n v="91"/>
    <n v="42"/>
    <n v="0"/>
    <n v="4468825"/>
    <n v="372402.08333333331"/>
    <n v="0"/>
  </r>
  <r>
    <s v="Кальвин Яромыз"/>
    <s v="П"/>
    <s v="ЛПЗ"/>
    <s v="ОПЗ"/>
    <m/>
    <m/>
    <s v="Турн"/>
    <s v="Турн"/>
    <x v="21"/>
    <x v="0"/>
    <m/>
    <n v="66.142857142857139"/>
    <n v="21"/>
    <n v="86"/>
    <n v="73"/>
    <n v="81"/>
    <n v="83"/>
    <n v="85"/>
    <n v="34"/>
    <n v="0"/>
    <n v="1602617"/>
    <n v="133551.41666666666"/>
    <n v="0"/>
  </r>
  <r>
    <s v="Ноурен (П)"/>
    <s v="П"/>
    <s v="ОПЗ"/>
    <s v="ЦЗ"/>
    <m/>
    <s v="Турн"/>
    <s v="Турн"/>
    <s v="Турн"/>
    <x v="21"/>
    <x v="0"/>
    <m/>
    <n v="89.428571428571431"/>
    <n v="81"/>
    <n v="88"/>
    <n v="90"/>
    <n v="93"/>
    <n v="94"/>
    <n v="94"/>
    <n v="86"/>
    <n v="22"/>
    <n v="49074309"/>
    <n v="4089525.75"/>
    <n v="0"/>
  </r>
  <r>
    <s v="Сослаз Мосл"/>
    <s v="П"/>
    <s v="АПЗ"/>
    <s v="ППЗ"/>
    <m/>
    <m/>
    <s v="Турн"/>
    <s v="Турн"/>
    <x v="21"/>
    <x v="0"/>
    <m/>
    <n v="67.714285714285708"/>
    <n v="22"/>
    <n v="87"/>
    <n v="75"/>
    <n v="83"/>
    <n v="85"/>
    <n v="87"/>
    <n v="35"/>
    <n v="0"/>
    <n v="2026764"/>
    <n v="168897"/>
    <n v="0"/>
  </r>
  <r>
    <s v="Тетлан Радо"/>
    <s v="П"/>
    <s v="ППЗ"/>
    <s v="ЛПЗ"/>
    <m/>
    <m/>
    <s v="Турн"/>
    <s v="Турн"/>
    <x v="21"/>
    <x v="0"/>
    <m/>
    <n v="71.285714285714292"/>
    <n v="24"/>
    <n v="93"/>
    <n v="81"/>
    <n v="85"/>
    <n v="87"/>
    <n v="89"/>
    <n v="40"/>
    <n v="0"/>
    <n v="3388638"/>
    <n v="282386.5"/>
    <n v="0"/>
  </r>
  <r>
    <s v="Торкват Люмыз"/>
    <s v="П"/>
    <s v="АПЗ"/>
    <s v="ЦПЗ"/>
    <m/>
    <m/>
    <s v="Турн"/>
    <s v="Турн"/>
    <x v="21"/>
    <x v="0"/>
    <m/>
    <n v="68.571428571428569"/>
    <n v="23"/>
    <n v="90"/>
    <n v="77"/>
    <n v="85"/>
    <n v="83"/>
    <n v="85"/>
    <n v="37"/>
    <n v="0"/>
    <n v="2298434"/>
    <n v="191536.16666666666"/>
    <n v="0"/>
  </r>
  <r>
    <s v="Фифин (П)"/>
    <s v="П"/>
    <s v="ОПЗ"/>
    <s v="ЦПЗ"/>
    <s v="ЦЗ"/>
    <s v="Турн"/>
    <s v="Турн"/>
    <s v="Турн"/>
    <x v="21"/>
    <x v="0"/>
    <m/>
    <n v="88"/>
    <n v="84"/>
    <n v="80"/>
    <n v="89"/>
    <n v="89"/>
    <n v="95"/>
    <n v="95"/>
    <n v="84"/>
    <n v="26"/>
    <n v="41775147"/>
    <n v="3481262.25"/>
    <n v="0"/>
  </r>
  <r>
    <s v="Ярооз Твердисл"/>
    <s v="П"/>
    <s v="ЦПЗ"/>
    <s v="ОПЗ"/>
    <m/>
    <m/>
    <s v="Турн"/>
    <s v="Турн"/>
    <x v="21"/>
    <x v="0"/>
    <m/>
    <n v="66.428571428571431"/>
    <n v="22"/>
    <n v="89"/>
    <n v="75"/>
    <n v="83"/>
    <n v="79"/>
    <n v="81"/>
    <n v="36"/>
    <n v="0"/>
    <n v="1673205"/>
    <n v="139433.75"/>
    <n v="0"/>
  </r>
  <r>
    <s v="Хаксли Артем"/>
    <s v="Т"/>
    <s v="Т"/>
    <m/>
    <m/>
    <m/>
    <s v="Турн"/>
    <s v="Турн"/>
    <x v="21"/>
    <x v="0"/>
    <m/>
    <n v="73.571428571428569"/>
    <n v="50"/>
    <n v="75"/>
    <n v="71"/>
    <n v="81"/>
    <n v="83"/>
    <n v="85"/>
    <n v="70"/>
    <n v="0"/>
    <n v="4646136"/>
    <n v="387178"/>
    <n v="0"/>
  </r>
  <r>
    <s v="Уськин (В)"/>
    <s v="В"/>
    <s v="В"/>
    <m/>
    <m/>
    <s v="Мох"/>
    <s v="Мох"/>
    <s v="Мох"/>
    <x v="22"/>
    <x v="0"/>
    <m/>
    <n v="67.285714285714292"/>
    <n v="60"/>
    <n v="72"/>
    <n v="39"/>
    <n v="69"/>
    <n v="81"/>
    <n v="80"/>
    <n v="70"/>
    <n v="0"/>
    <n v="1902080"/>
    <n v="158506.66666666666"/>
    <n v="0"/>
  </r>
  <r>
    <s v="Корстан (З)"/>
    <s v="З"/>
    <s v="ЦЗ"/>
    <m/>
    <m/>
    <s v="Мал"/>
    <s v="В.И."/>
    <s v="В.И."/>
    <x v="22"/>
    <x v="0"/>
    <m/>
    <n v="75.714285714285708"/>
    <n v="50"/>
    <n v="80"/>
    <n v="74"/>
    <n v="83"/>
    <n v="88"/>
    <n v="90"/>
    <n v="65"/>
    <n v="26"/>
    <n v="9286875"/>
    <n v="773906.25"/>
    <n v="0"/>
  </r>
  <r>
    <s v="Кособрюхов Егор"/>
    <s v="З"/>
    <s v="ПЗ"/>
    <s v="ЦЗ"/>
    <m/>
    <m/>
    <s v="Сув"/>
    <s v="Сув"/>
    <x v="22"/>
    <x v="0"/>
    <m/>
    <n v="59.142857142857146"/>
    <n v="16"/>
    <n v="66"/>
    <n v="64"/>
    <n v="74"/>
    <n v="80"/>
    <n v="82"/>
    <n v="32"/>
    <n v="0"/>
    <n v="523629"/>
    <n v="43635.75"/>
    <n v="0"/>
  </r>
  <r>
    <s v="Кочин (З)"/>
    <s v="З"/>
    <s v="ЦЗ"/>
    <m/>
    <m/>
    <s v="Р.Тесно"/>
    <s v="Р.Тесно"/>
    <s v="Р.Тесно"/>
    <x v="22"/>
    <x v="0"/>
    <m/>
    <n v="67.571428571428569"/>
    <n v="45"/>
    <n v="66"/>
    <n v="71"/>
    <n v="71"/>
    <n v="89"/>
    <n v="81"/>
    <n v="50"/>
    <n v="0"/>
    <n v="1984409"/>
    <n v="165367.41666666666"/>
    <n v="0"/>
  </r>
  <r>
    <s v="Кривошеин Лев"/>
    <s v="З"/>
    <s v="ЦЗ"/>
    <m/>
    <m/>
    <m/>
    <s v="Сув"/>
    <s v="Сув"/>
    <x v="22"/>
    <x v="0"/>
    <m/>
    <n v="56.142857142857146"/>
    <n v="18"/>
    <n v="62"/>
    <n v="62"/>
    <n v="70"/>
    <n v="74"/>
    <n v="77"/>
    <n v="30"/>
    <n v="0"/>
    <n v="311133"/>
    <n v="25927.75"/>
    <n v="0"/>
  </r>
  <r>
    <s v="Полгент"/>
    <s v="З"/>
    <s v="ЦЗ"/>
    <s v="ЛЗ"/>
    <m/>
    <s v="Черлесск"/>
    <s v="Черлесск"/>
    <s v="Черлесск"/>
    <x v="22"/>
    <x v="0"/>
    <m/>
    <n v="65.857142857142861"/>
    <n v="55"/>
    <n v="65"/>
    <n v="72"/>
    <n v="71"/>
    <n v="76"/>
    <n v="70"/>
    <n v="52"/>
    <n v="0"/>
    <n v="1534719"/>
    <n v="127893.25"/>
    <n v="0"/>
  </r>
  <r>
    <s v="Усьминкриш (З)"/>
    <s v="З"/>
    <s v="ЦЗ"/>
    <m/>
    <m/>
    <s v="Нумб"/>
    <s v="Нумб"/>
    <s v="Нумб"/>
    <x v="22"/>
    <x v="0"/>
    <m/>
    <n v="70.285714285714292"/>
    <n v="30"/>
    <n v="62"/>
    <n v="94"/>
    <n v="72"/>
    <n v="82"/>
    <n v="90"/>
    <n v="62"/>
    <n v="0"/>
    <n v="2942190"/>
    <n v="245182.5"/>
    <n v="0"/>
  </r>
  <r>
    <s v="Черноусов Матвей"/>
    <s v="З"/>
    <s v="ЦЗ"/>
    <s v="ОПЗ"/>
    <m/>
    <m/>
    <s v="Сув"/>
    <s v="Сув"/>
    <x v="22"/>
    <x v="0"/>
    <m/>
    <n v="66.285714285714292"/>
    <n v="23"/>
    <n v="76"/>
    <n v="70"/>
    <n v="82"/>
    <n v="84"/>
    <n v="86"/>
    <n v="43"/>
    <n v="0"/>
    <n v="1637569"/>
    <n v="136464.08333333334"/>
    <n v="0"/>
  </r>
  <r>
    <s v="Волков (Н)"/>
    <s v="Н"/>
    <s v="ЦН"/>
    <s v="АПЗ"/>
    <m/>
    <s v="Мал"/>
    <s v="В.И."/>
    <s v="В.И."/>
    <x v="22"/>
    <x v="0"/>
    <m/>
    <n v="79.571428571428569"/>
    <n v="71"/>
    <n v="82"/>
    <n v="85"/>
    <n v="80"/>
    <n v="80"/>
    <n v="85"/>
    <n v="74"/>
    <n v="0"/>
    <n v="10175871"/>
    <n v="720516.58333333337"/>
    <n v="0"/>
  </r>
  <r>
    <s v="Мертвецов Савва"/>
    <s v="Н"/>
    <s v="ОФ"/>
    <s v="ЦН"/>
    <m/>
    <m/>
    <s v="Сув"/>
    <s v="Сув"/>
    <x v="22"/>
    <x v="0"/>
    <m/>
    <n v="68"/>
    <n v="24"/>
    <n v="80"/>
    <n v="80"/>
    <n v="81"/>
    <n v="82"/>
    <n v="85"/>
    <n v="44"/>
    <n v="0"/>
    <n v="2113923"/>
    <n v="176160.25"/>
    <n v="0"/>
  </r>
  <r>
    <s v="Цаораев (Н)"/>
    <s v="Н"/>
    <s v="ЦН"/>
    <s v="ОФ"/>
    <m/>
    <s v="Мал"/>
    <s v="В.И."/>
    <s v="В.И."/>
    <x v="22"/>
    <x v="0"/>
    <m/>
    <n v="75.857142857142861"/>
    <n v="70"/>
    <n v="82"/>
    <n v="80"/>
    <n v="76"/>
    <n v="79"/>
    <n v="80"/>
    <n v="64"/>
    <n v="0"/>
    <n v="6309063"/>
    <n v="525755.25"/>
    <n v="0"/>
  </r>
  <r>
    <s v="Беспалов Устин"/>
    <s v="П"/>
    <s v="ЛПЗ"/>
    <s v="ОПЗ"/>
    <m/>
    <m/>
    <s v="Сув"/>
    <s v="Сув"/>
    <x v="22"/>
    <x v="0"/>
    <m/>
    <n v="57.142857142857146"/>
    <n v="18"/>
    <n v="64"/>
    <n v="66"/>
    <n v="74"/>
    <n v="72"/>
    <n v="75"/>
    <n v="31"/>
    <n v="0"/>
    <n v="371210"/>
    <n v="30934.166666666668"/>
    <n v="0"/>
  </r>
  <r>
    <s v="Воевода (П)"/>
    <s v="П"/>
    <s v="ОПЗ"/>
    <s v="ЦПЗ"/>
    <s v="ЦЗ"/>
    <s v="Сув"/>
    <s v="В.И."/>
    <s v="В.И."/>
    <x v="22"/>
    <x v="0"/>
    <m/>
    <n v="87.142857142857139"/>
    <n v="73"/>
    <n v="84"/>
    <n v="95"/>
    <n v="84"/>
    <n v="96"/>
    <n v="98"/>
    <n v="80"/>
    <n v="1"/>
    <n v="37879934"/>
    <n v="3156661.1666666665"/>
    <n v="0"/>
  </r>
  <r>
    <s v="Гончаров"/>
    <s v="П"/>
    <s v="ОПЗ"/>
    <m/>
    <m/>
    <s v="Черлесск"/>
    <s v="Черлесск"/>
    <s v="Черлесск"/>
    <x v="22"/>
    <x v="0"/>
    <m/>
    <n v="70.714285714285708"/>
    <n v="55"/>
    <n v="70"/>
    <n v="75"/>
    <n v="70"/>
    <n v="77"/>
    <n v="88"/>
    <n v="60"/>
    <n v="0"/>
    <n v="3126595"/>
    <n v="260549.58333333334"/>
    <n v="0"/>
  </r>
  <r>
    <s v="Дураков Аким"/>
    <s v="П"/>
    <s v="АПЗ"/>
    <s v="ЦПЗ"/>
    <m/>
    <m/>
    <s v="Сув"/>
    <s v="Сув"/>
    <x v="22"/>
    <x v="0"/>
    <m/>
    <n v="61.571428571428569"/>
    <n v="21"/>
    <n v="72"/>
    <n v="68"/>
    <n v="80"/>
    <n v="76"/>
    <n v="78"/>
    <n v="36"/>
    <n v="0"/>
    <n v="783056"/>
    <n v="65254.666666666664"/>
    <n v="0"/>
  </r>
  <r>
    <s v="Ковальчук (П)"/>
    <s v="П"/>
    <s v="ЦПЗ"/>
    <s v="ППЗ"/>
    <s v="ЛПЗ"/>
    <s v="Сув"/>
    <s v="В.И."/>
    <s v="В.И."/>
    <x v="22"/>
    <x v="0"/>
    <m/>
    <n v="83.571428571428569"/>
    <n v="70"/>
    <n v="81"/>
    <n v="94"/>
    <n v="83"/>
    <n v="90"/>
    <n v="94"/>
    <n v="73"/>
    <n v="1"/>
    <n v="24926972"/>
    <n v="2077247.6666666667"/>
    <n v="0"/>
  </r>
  <r>
    <s v="Косоруков Тихон"/>
    <s v="П"/>
    <s v="ППЗ"/>
    <s v="ЛПЗ"/>
    <m/>
    <m/>
    <s v="Сув"/>
    <s v="Сув"/>
    <x v="22"/>
    <x v="0"/>
    <m/>
    <n v="59.428571428571431"/>
    <n v="19"/>
    <n v="70"/>
    <n v="68"/>
    <n v="76"/>
    <n v="74"/>
    <n v="76"/>
    <n v="33"/>
    <n v="0"/>
    <n v="549482"/>
    <n v="45790.166666666664"/>
    <n v="0"/>
  </r>
  <r>
    <s v="Синебрюхов Кузьма"/>
    <s v="П"/>
    <s v="ЦПЗ"/>
    <s v="ОПЗ"/>
    <m/>
    <m/>
    <s v="Сув"/>
    <s v="Сув"/>
    <x v="22"/>
    <x v="0"/>
    <m/>
    <n v="54.714285714285715"/>
    <n v="16"/>
    <n v="60"/>
    <n v="64"/>
    <n v="72"/>
    <n v="70"/>
    <n v="73"/>
    <n v="28"/>
    <n v="0"/>
    <n v="240441"/>
    <n v="20036.75"/>
    <n v="0"/>
  </r>
  <r>
    <s v="Худяков Фома"/>
    <s v="П"/>
    <s v="ОПЗ"/>
    <s v="ЦПЗ"/>
    <m/>
    <m/>
    <s v="Сув"/>
    <s v="Сув"/>
    <x v="22"/>
    <x v="0"/>
    <m/>
    <n v="65.571428571428569"/>
    <n v="24"/>
    <n v="78"/>
    <n v="74"/>
    <n v="84"/>
    <n v="78"/>
    <n v="80"/>
    <n v="41"/>
    <n v="0"/>
    <n v="1469422"/>
    <n v="122451.83333333333"/>
    <n v="0"/>
  </r>
  <r>
    <s v="Долгополов Тарас"/>
    <s v="Т"/>
    <s v="Т"/>
    <m/>
    <m/>
    <m/>
    <s v="Сув"/>
    <s v="Сув"/>
    <x v="22"/>
    <x v="0"/>
    <m/>
    <n v="62.285714285714285"/>
    <n v="21"/>
    <n v="74"/>
    <n v="68"/>
    <n v="78"/>
    <n v="76"/>
    <n v="79"/>
    <n v="40"/>
    <n v="0"/>
    <n v="878789"/>
    <n v="73232.416666666672"/>
    <n v="0"/>
  </r>
  <r>
    <s v="Говоротов (В)"/>
    <s v="В"/>
    <s v="В"/>
    <m/>
    <m/>
    <s v="Щеб"/>
    <s v="Щеб"/>
    <s v="Щеб"/>
    <x v="23"/>
    <x v="0"/>
    <m/>
    <n v="82.571428571428569"/>
    <n v="67"/>
    <n v="84"/>
    <n v="84"/>
    <n v="85"/>
    <n v="85"/>
    <n v="93"/>
    <n v="80"/>
    <n v="29"/>
    <n v="22099846"/>
    <n v="1841653.8333333333"/>
    <n v="0"/>
  </r>
  <r>
    <s v="Коварж Фекл"/>
    <s v="В"/>
    <s v="В"/>
    <m/>
    <m/>
    <m/>
    <s v="Щеб"/>
    <s v="Щеб"/>
    <x v="23"/>
    <x v="0"/>
    <m/>
    <n v="62.285714285714285"/>
    <n v="24"/>
    <n v="71"/>
    <n v="69"/>
    <n v="76"/>
    <n v="78"/>
    <n v="77"/>
    <n v="41"/>
    <n v="0"/>
    <n v="878789"/>
    <n v="73232.416666666672"/>
    <n v="0"/>
  </r>
  <r>
    <s v="Грида Марек"/>
    <s v="З"/>
    <s v="ЦЗ"/>
    <m/>
    <m/>
    <m/>
    <s v="Щеб"/>
    <s v="Щеб"/>
    <x v="23"/>
    <x v="0"/>
    <m/>
    <n v="57.142857142857146"/>
    <n v="21"/>
    <n v="62"/>
    <n v="60"/>
    <n v="70"/>
    <n v="74"/>
    <n v="80"/>
    <n v="33"/>
    <n v="0"/>
    <n v="371210"/>
    <n v="30934.166666666668"/>
    <n v="0"/>
  </r>
  <r>
    <s v="Валеский Тадеуш"/>
    <s v="З"/>
    <s v="ЦЗ"/>
    <m/>
    <m/>
    <m/>
    <s v="Щеб"/>
    <s v="Щеб"/>
    <x v="23"/>
    <x v="0"/>
    <m/>
    <n v="57.142857142857146"/>
    <n v="21"/>
    <n v="62"/>
    <n v="60"/>
    <n v="70"/>
    <n v="74"/>
    <n v="80"/>
    <n v="33"/>
    <n v="0"/>
    <n v="371210"/>
    <n v="30934.166666666668"/>
    <n v="0"/>
  </r>
  <r>
    <s v="Смолич Дарко"/>
    <s v="З"/>
    <s v="ЦЗ"/>
    <s v="ЛЗ"/>
    <m/>
    <m/>
    <s v="Щеб"/>
    <s v="Щеб"/>
    <x v="23"/>
    <x v="0"/>
    <m/>
    <n v="57.142857142857146"/>
    <n v="21"/>
    <n v="62"/>
    <n v="60"/>
    <n v="70"/>
    <n v="74"/>
    <n v="80"/>
    <n v="33"/>
    <n v="0"/>
    <n v="371210"/>
    <n v="30934.166666666668"/>
    <n v="0"/>
  </r>
  <r>
    <s v="Тупков"/>
    <s v="З"/>
    <s v="ЦЗ"/>
    <m/>
    <m/>
    <s v="Щеб"/>
    <s v="Щеб"/>
    <s v="Щеб"/>
    <x v="23"/>
    <x v="0"/>
    <m/>
    <n v="68.142857142857139"/>
    <n v="50"/>
    <n v="71"/>
    <n v="70"/>
    <n v="65"/>
    <n v="76"/>
    <n v="85"/>
    <n v="60"/>
    <n v="0"/>
    <n v="2158756"/>
    <n v="179896.33333333334"/>
    <n v="0"/>
  </r>
  <r>
    <s v="Хорват Йосип"/>
    <s v="З"/>
    <s v="ЦЗ"/>
    <s v="ПЗ"/>
    <m/>
    <m/>
    <s v="Щеб"/>
    <s v="Щеб"/>
    <x v="23"/>
    <x v="0"/>
    <m/>
    <n v="60.714285714285715"/>
    <n v="25"/>
    <n v="68"/>
    <n v="63"/>
    <n v="72"/>
    <n v="78"/>
    <n v="81"/>
    <n v="38"/>
    <n v="0"/>
    <n v="680627"/>
    <n v="56718.916666666664"/>
    <n v="0"/>
  </r>
  <r>
    <s v="Хьюбер"/>
    <s v="З"/>
    <s v="ЦЗ"/>
    <m/>
    <m/>
    <s v="Щеб"/>
    <s v="Щеб"/>
    <s v="Щеб"/>
    <x v="23"/>
    <x v="0"/>
    <m/>
    <n v="68.285714285714292"/>
    <n v="51"/>
    <n v="68"/>
    <n v="71"/>
    <n v="73"/>
    <n v="73"/>
    <n v="84"/>
    <n v="58"/>
    <n v="0"/>
    <n v="2204442"/>
    <n v="183703.5"/>
    <n v="0"/>
  </r>
  <r>
    <s v="Эбьюс"/>
    <s v="З"/>
    <s v="ЦЗ"/>
    <s v="ЛЗ"/>
    <m/>
    <s v="Щеб"/>
    <s v="Щеб"/>
    <s v="Щеб"/>
    <x v="23"/>
    <x v="0"/>
    <m/>
    <n v="70.571428571428569"/>
    <n v="58"/>
    <n v="75"/>
    <n v="70"/>
    <n v="72"/>
    <n v="74"/>
    <n v="80"/>
    <n v="65"/>
    <n v="0"/>
    <n v="3064003"/>
    <n v="255333.58333333334"/>
    <n v="0"/>
  </r>
  <r>
    <s v="Эреха (З)"/>
    <s v="З"/>
    <s v="ЛЗ"/>
    <s v="ЦЗ"/>
    <m/>
    <s v="Щеб"/>
    <s v="Щеб"/>
    <s v="Щеб"/>
    <x v="23"/>
    <x v="0"/>
    <m/>
    <n v="81.857142857142861"/>
    <n v="80"/>
    <n v="91"/>
    <n v="80"/>
    <n v="80"/>
    <n v="81"/>
    <n v="83"/>
    <n v="78"/>
    <n v="18"/>
    <n v="20260823"/>
    <n v="1688401.9166666667"/>
    <n v="0"/>
  </r>
  <r>
    <s v="Бантюров"/>
    <s v="Н"/>
    <s v="ЦН"/>
    <m/>
    <m/>
    <s v="Щеб"/>
    <s v="Щеб"/>
    <s v="Щеб"/>
    <x v="23"/>
    <x v="0"/>
    <m/>
    <n v="72.285714285714292"/>
    <n v="41"/>
    <n v="75"/>
    <n v="80"/>
    <n v="75"/>
    <n v="80"/>
    <n v="82"/>
    <n v="73"/>
    <n v="0"/>
    <n v="3895156"/>
    <n v="324596.33333333331"/>
    <n v="0"/>
  </r>
  <r>
    <s v="Гуляш Ласло"/>
    <s v="Н"/>
    <s v="ЦН"/>
    <m/>
    <m/>
    <m/>
    <s v="Щеб"/>
    <s v="Щеб"/>
    <x v="23"/>
    <x v="0"/>
    <m/>
    <n v="67.285714285714292"/>
    <n v="29"/>
    <n v="77"/>
    <n v="78"/>
    <n v="75"/>
    <n v="80"/>
    <n v="85"/>
    <n v="47"/>
    <n v="0"/>
    <n v="1902080"/>
    <n v="158506.66666666666"/>
    <n v="0"/>
  </r>
  <r>
    <s v="Дундич Милош"/>
    <s v="Н"/>
    <s v="ЦН"/>
    <s v="ОФ"/>
    <m/>
    <m/>
    <s v="Щеб"/>
    <s v="Щеб"/>
    <x v="23"/>
    <x v="0"/>
    <m/>
    <n v="67.285714285714292"/>
    <n v="29"/>
    <n v="77"/>
    <n v="78"/>
    <n v="75"/>
    <n v="80"/>
    <n v="85"/>
    <n v="47"/>
    <n v="0"/>
    <n v="1902080"/>
    <n v="158506.66666666666"/>
    <n v="0"/>
  </r>
  <r>
    <s v="Пелька Богуслав"/>
    <s v="Н"/>
    <s v="ЦН"/>
    <m/>
    <m/>
    <m/>
    <s v="Щеб"/>
    <s v="Щеб"/>
    <x v="23"/>
    <x v="0"/>
    <m/>
    <n v="67.285714285714292"/>
    <n v="29"/>
    <n v="77"/>
    <n v="78"/>
    <n v="75"/>
    <n v="80"/>
    <n v="85"/>
    <n v="47"/>
    <n v="0"/>
    <n v="1902080"/>
    <n v="158506.66666666666"/>
    <n v="0"/>
  </r>
  <r>
    <s v="Столеваро"/>
    <s v="Н"/>
    <s v="ЦН"/>
    <m/>
    <m/>
    <s v="Щеб"/>
    <s v="Щеб"/>
    <s v="Щеб"/>
    <x v="23"/>
    <x v="0"/>
    <m/>
    <n v="75.857142857142861"/>
    <n v="45"/>
    <n v="80"/>
    <n v="83"/>
    <n v="77"/>
    <n v="82"/>
    <n v="88"/>
    <n v="76"/>
    <n v="0"/>
    <n v="6309063"/>
    <n v="525755.25"/>
    <n v="0"/>
  </r>
  <r>
    <s v="Цуз"/>
    <s v="Н"/>
    <s v="ЦН"/>
    <m/>
    <m/>
    <s v="Гид"/>
    <s v="Гид"/>
    <s v="Гид"/>
    <x v="23"/>
    <x v="0"/>
    <m/>
    <n v="64.428571428571431"/>
    <n v="34"/>
    <n v="60"/>
    <n v="79"/>
    <n v="71"/>
    <n v="60"/>
    <n v="96"/>
    <n v="51"/>
    <n v="0"/>
    <n v="1232495"/>
    <n v="102707.91666666667"/>
    <n v="0"/>
  </r>
  <r>
    <s v="Архос"/>
    <s v="П"/>
    <s v="ОПЗ"/>
    <s v="ЦЗ"/>
    <m/>
    <s v="Щеб"/>
    <s v="Щеб"/>
    <s v="Щеб"/>
    <x v="23"/>
    <x v="0"/>
    <m/>
    <n v="54.428571428571431"/>
    <n v="39"/>
    <n v="64"/>
    <n v="55"/>
    <n v="65"/>
    <n v="72"/>
    <n v="52"/>
    <n v="34"/>
    <n v="0"/>
    <n v="228176"/>
    <n v="19014.666666666668"/>
    <n v="0"/>
  </r>
  <r>
    <s v="Жидель"/>
    <s v="П"/>
    <s v="ЦПЗ"/>
    <s v="ОПЗ"/>
    <m/>
    <s v="Щеб"/>
    <s v="Щеб"/>
    <s v="Щеб"/>
    <x v="23"/>
    <x v="0"/>
    <m/>
    <n v="59.857142857142854"/>
    <n v="35"/>
    <n v="60"/>
    <n v="70"/>
    <n v="70"/>
    <n v="70"/>
    <n v="70"/>
    <n v="44"/>
    <n v="0"/>
    <n v="590419"/>
    <n v="13437.5"/>
    <n v="0"/>
  </r>
  <r>
    <s v="Клоцка"/>
    <s v="П"/>
    <s v="ЦПЗ"/>
    <s v="АПЗ"/>
    <s v="ППЗ"/>
    <s v="Н.С."/>
    <s v="Н.С."/>
    <s v="Н.С."/>
    <x v="23"/>
    <x v="0"/>
    <m/>
    <n v="71.857142857142861"/>
    <n v="56"/>
    <n v="83"/>
    <n v="70"/>
    <n v="80"/>
    <n v="84"/>
    <n v="90"/>
    <n v="40"/>
    <n v="0"/>
    <n v="3670283"/>
    <n v="305856.91666666669"/>
    <n v="0"/>
  </r>
  <r>
    <s v="Лолоилов (П)"/>
    <s v="П"/>
    <s v="ППЗ"/>
    <s v="ОПЗ"/>
    <m/>
    <s v="Щеб"/>
    <s v="Щеб"/>
    <s v="Щеб"/>
    <x v="23"/>
    <x v="0"/>
    <m/>
    <n v="84.142857142857139"/>
    <n v="74"/>
    <n v="90"/>
    <n v="88"/>
    <n v="84"/>
    <n v="83"/>
    <n v="90"/>
    <n v="80"/>
    <n v="12"/>
    <n v="26684792"/>
    <n v="2223732.6666666665"/>
    <n v="0"/>
  </r>
  <r>
    <s v="Пупкова Божена"/>
    <s v="П"/>
    <s v="ЦПЗ"/>
    <s v="АПЗ"/>
    <m/>
    <m/>
    <s v="Щеб"/>
    <s v="Щеб"/>
    <x v="23"/>
    <x v="0"/>
    <m/>
    <n v="63.428571428571431"/>
    <n v="26"/>
    <n v="74"/>
    <n v="69"/>
    <n v="79"/>
    <n v="76"/>
    <n v="78"/>
    <n v="42"/>
    <n v="0"/>
    <n v="1054022"/>
    <n v="87835.166666666672"/>
    <n v="0"/>
  </r>
  <r>
    <s v="Синарчук Оксано"/>
    <s v="П"/>
    <s v="ППЗ"/>
    <s v="ОПЗ"/>
    <m/>
    <m/>
    <s v="Щеб"/>
    <s v="Щеб"/>
    <x v="23"/>
    <x v="0"/>
    <m/>
    <n v="53.285714285714285"/>
    <n v="20"/>
    <n v="61"/>
    <n v="57"/>
    <n v="68"/>
    <n v="66"/>
    <n v="70"/>
    <n v="31"/>
    <n v="0"/>
    <n v="184548"/>
    <n v="15379"/>
    <n v="0"/>
  </r>
  <r>
    <s v="Цубер (П)"/>
    <s v="П"/>
    <s v="ППЗ"/>
    <s v="ОПЗ"/>
    <m/>
    <s v="Щеб"/>
    <s v="Щеб"/>
    <s v="Щеб"/>
    <x v="23"/>
    <x v="0"/>
    <m/>
    <n v="54.857142857142854"/>
    <n v="45"/>
    <n v="73"/>
    <n v="59"/>
    <n v="73"/>
    <n v="50"/>
    <n v="53"/>
    <n v="31"/>
    <n v="0"/>
    <n v="246793"/>
    <n v="20566.083333333332"/>
    <n v="0"/>
  </r>
  <r>
    <s v="Бабитов"/>
    <s v="Т"/>
    <s v="Т"/>
    <m/>
    <m/>
    <m/>
    <s v="Щеб"/>
    <s v="Щеб"/>
    <x v="23"/>
    <x v="0"/>
    <m/>
    <n v="70.142857142857139"/>
    <n v="47"/>
    <n v="69"/>
    <n v="81"/>
    <n v="72"/>
    <n v="72"/>
    <n v="81"/>
    <n v="69"/>
    <n v="0"/>
    <n v="2882933"/>
    <n v="240244.41666666666"/>
    <n v="0"/>
  </r>
  <r>
    <s v="Гавайи Остин"/>
    <s v="В"/>
    <s v="В"/>
    <m/>
    <m/>
    <m/>
    <s v="К.С."/>
    <s v="К.С."/>
    <x v="24"/>
    <x v="0"/>
    <m/>
    <n v="50.857142857142854"/>
    <n v="8"/>
    <n v="65"/>
    <n v="58"/>
    <n v="63"/>
    <n v="65"/>
    <n v="67"/>
    <n v="30"/>
    <n v="0"/>
    <n v="115750"/>
    <n v="9645.8333333333339"/>
    <n v="0"/>
  </r>
  <r>
    <s v="Кириба Рэй"/>
    <s v="В"/>
    <s v="В"/>
    <m/>
    <m/>
    <m/>
    <s v="К.С."/>
    <s v="К.С."/>
    <x v="24"/>
    <x v="0"/>
    <m/>
    <n v="50.285714285714285"/>
    <n v="8"/>
    <n v="64"/>
    <n v="56"/>
    <n v="63"/>
    <n v="65"/>
    <n v="67"/>
    <n v="29"/>
    <n v="0"/>
    <n v="103383"/>
    <n v="8615.25"/>
    <n v="0"/>
  </r>
  <r>
    <s v="Танефа Остин"/>
    <s v="В"/>
    <s v="В"/>
    <m/>
    <m/>
    <m/>
    <s v="К.С."/>
    <s v="К.С."/>
    <x v="24"/>
    <x v="0"/>
    <m/>
    <n v="52.714285714285715"/>
    <n v="10"/>
    <n v="67"/>
    <n v="59"/>
    <n v="65"/>
    <n v="67"/>
    <n v="69"/>
    <n v="32"/>
    <n v="0"/>
    <n v="165686"/>
    <n v="13807.166666666666"/>
    <n v="0"/>
  </r>
  <r>
    <s v="Баско Кир"/>
    <s v="З"/>
    <s v="ЛЗ"/>
    <s v="ЦЗ"/>
    <m/>
    <m/>
    <s v="К.С."/>
    <s v="К.С."/>
    <x v="24"/>
    <x v="0"/>
    <m/>
    <n v="59.571428571428569"/>
    <n v="36"/>
    <n v="70"/>
    <n v="62"/>
    <n v="66"/>
    <n v="68"/>
    <n v="70"/>
    <n v="45"/>
    <n v="0"/>
    <n v="562834"/>
    <n v="19014.666666666668"/>
    <n v="0"/>
  </r>
  <r>
    <s v="Вакати Тим"/>
    <s v="З"/>
    <s v="ПЗ"/>
    <s v="ЦЗ"/>
    <m/>
    <m/>
    <s v="К.С."/>
    <s v="К.С."/>
    <x v="24"/>
    <x v="0"/>
    <m/>
    <n v="52.857142857142854"/>
    <n v="9"/>
    <n v="69"/>
    <n v="60"/>
    <n v="65"/>
    <n v="67"/>
    <n v="69"/>
    <n v="31"/>
    <n v="0"/>
    <n v="170231"/>
    <n v="14185.916666666666"/>
    <n v="0"/>
  </r>
  <r>
    <s v="Кечуа Рой"/>
    <s v="З"/>
    <s v="ЦЗ"/>
    <s v="ЛЗ"/>
    <m/>
    <m/>
    <s v="К.С."/>
    <s v="К.С."/>
    <x v="24"/>
    <x v="0"/>
    <m/>
    <n v="55.428571428571431"/>
    <n v="12"/>
    <n v="71"/>
    <n v="63"/>
    <n v="67"/>
    <n v="69"/>
    <n v="71"/>
    <n v="35"/>
    <n v="0"/>
    <n v="273740"/>
    <n v="22811.666666666668"/>
    <n v="0"/>
  </r>
  <r>
    <s v="Мбата Люк"/>
    <s v="З"/>
    <s v="ЦЗ"/>
    <s v="ОПЗ"/>
    <m/>
    <m/>
    <s v="К.С."/>
    <s v="К.С."/>
    <x v="24"/>
    <x v="0"/>
    <m/>
    <n v="69.857142857142861"/>
    <n v="45"/>
    <n v="76"/>
    <n v="67"/>
    <n v="68"/>
    <n v="85"/>
    <n v="88"/>
    <n v="60"/>
    <n v="26"/>
    <n v="4151447"/>
    <n v="140930.5"/>
    <n v="0"/>
  </r>
  <r>
    <s v="Хаури Ян"/>
    <s v="З"/>
    <s v="ПЗ"/>
    <s v="ЛЗ"/>
    <m/>
    <m/>
    <s v="К.С."/>
    <s v="К.С."/>
    <x v="24"/>
    <x v="0"/>
    <m/>
    <n v="50.428571428571431"/>
    <n v="7"/>
    <n v="65"/>
    <n v="58"/>
    <n v="63"/>
    <n v="65"/>
    <n v="67"/>
    <n v="28"/>
    <n v="0"/>
    <n v="106358"/>
    <n v="8863.1666666666661"/>
    <n v="0"/>
  </r>
  <r>
    <s v="Самоа Эрл"/>
    <s v="Н"/>
    <s v="ОФ"/>
    <s v="ЦН"/>
    <m/>
    <m/>
    <s v="К.С."/>
    <s v="К.С."/>
    <x v="24"/>
    <x v="0"/>
    <m/>
    <n v="55"/>
    <n v="10"/>
    <n v="70"/>
    <n v="63"/>
    <n v="68"/>
    <n v="70"/>
    <n v="72"/>
    <n v="32"/>
    <n v="0"/>
    <n v="253296"/>
    <n v="21108"/>
    <n v="0"/>
  </r>
  <r>
    <s v="Тонга Дан"/>
    <s v="Н"/>
    <s v="ОФ"/>
    <s v="ЦН"/>
    <m/>
    <m/>
    <s v="К.С."/>
    <s v="К.С."/>
    <x v="24"/>
    <x v="0"/>
    <m/>
    <n v="60"/>
    <n v="14"/>
    <n v="75"/>
    <n v="68"/>
    <n v="73"/>
    <n v="75"/>
    <n v="77"/>
    <n v="38"/>
    <n v="0"/>
    <n v="604662"/>
    <n v="50388.5"/>
    <n v="0"/>
  </r>
  <r>
    <s v="Фиджи Торвальд"/>
    <s v="Н"/>
    <s v="ЦН"/>
    <s v="ОФ"/>
    <m/>
    <m/>
    <s v="К.С."/>
    <s v="К.С."/>
    <x v="24"/>
    <x v="0"/>
    <m/>
    <n v="63.857142857142854"/>
    <n v="15"/>
    <n v="75"/>
    <n v="80"/>
    <n v="75"/>
    <n v="77"/>
    <n v="80"/>
    <n v="45"/>
    <n v="0"/>
    <n v="1127444"/>
    <n v="93953.666666666672"/>
    <n v="0"/>
  </r>
  <r>
    <s v="Валлий Стан"/>
    <s v="П"/>
    <s v="ЛПЗ"/>
    <s v="ОПЗ"/>
    <m/>
    <m/>
    <s v="К.С."/>
    <s v="К.С."/>
    <x v="24"/>
    <x v="0"/>
    <m/>
    <n v="49.857142857142854"/>
    <n v="7"/>
    <n v="64"/>
    <n v="57"/>
    <n v="63"/>
    <n v="65"/>
    <n v="67"/>
    <n v="26"/>
    <n v="0"/>
    <n v="94902"/>
    <n v="7908.5"/>
    <n v="0"/>
  </r>
  <r>
    <s v="Зулу Пол"/>
    <s v="П"/>
    <s v="АПЗ"/>
    <s v="ППЗ"/>
    <m/>
    <m/>
    <s v="К.С."/>
    <s v="К.С."/>
    <x v="24"/>
    <x v="0"/>
    <m/>
    <n v="54.428571428571431"/>
    <n v="10"/>
    <n v="69"/>
    <n v="62"/>
    <n v="67"/>
    <n v="69"/>
    <n v="71"/>
    <n v="33"/>
    <n v="0"/>
    <n v="228176"/>
    <n v="19014.666666666668"/>
    <n v="0"/>
  </r>
  <r>
    <s v="Исланд Ижак"/>
    <s v="П"/>
    <s v="ППЗ"/>
    <s v="АПЗ"/>
    <m/>
    <m/>
    <s v="К.С."/>
    <s v="К.С."/>
    <x v="24"/>
    <x v="0"/>
    <m/>
    <n v="63.285714285714285"/>
    <n v="35"/>
    <n v="71"/>
    <n v="64"/>
    <n v="69"/>
    <n v="71"/>
    <n v="73"/>
    <n v="60"/>
    <n v="0"/>
    <n v="1030522"/>
    <n v="25927.75"/>
    <n v="0"/>
  </r>
  <r>
    <s v="Кикую Кайус"/>
    <s v="П"/>
    <s v="АПЗ"/>
    <s v="ЦПЗ"/>
    <m/>
    <m/>
    <s v="К.С."/>
    <s v="К.С."/>
    <x v="24"/>
    <x v="0"/>
    <m/>
    <n v="48"/>
    <n v="6"/>
    <n v="60"/>
    <n v="54"/>
    <n v="62"/>
    <n v="64"/>
    <n v="66"/>
    <n v="24"/>
    <n v="0"/>
    <n v="64926"/>
    <n v="5410.5"/>
    <n v="0"/>
  </r>
  <r>
    <s v="Маори Мэйс"/>
    <s v="П"/>
    <s v="ЦПЗ"/>
    <s v="ОПЗ"/>
    <m/>
    <m/>
    <s v="К.С."/>
    <s v="К.С."/>
    <x v="24"/>
    <x v="0"/>
    <m/>
    <n v="58.285714285714285"/>
    <n v="13"/>
    <n v="73"/>
    <n v="66"/>
    <n v="71"/>
    <n v="73"/>
    <n v="75"/>
    <n v="37"/>
    <n v="0"/>
    <n v="452503"/>
    <n v="37708.583333333336"/>
    <n v="0"/>
  </r>
  <r>
    <s v="Стамич (П)"/>
    <s v="П"/>
    <s v="ЦПЗ"/>
    <s v="ППЗ"/>
    <m/>
    <s v="Кут"/>
    <s v="Кут"/>
    <s v="Кут"/>
    <x v="24"/>
    <x v="0"/>
    <m/>
    <n v="72.142857142857139"/>
    <n v="65"/>
    <n v="67"/>
    <n v="79"/>
    <n v="75"/>
    <n v="83"/>
    <n v="84"/>
    <n v="52"/>
    <n v="0"/>
    <n v="3818857"/>
    <n v="318238.08333333331"/>
    <n v="0"/>
  </r>
  <r>
    <s v="Суахил Дар"/>
    <s v="П"/>
    <s v="ОПЗ"/>
    <s v="ЦПЗ"/>
    <m/>
    <m/>
    <s v="К.С."/>
    <s v="К.С."/>
    <x v="24"/>
    <x v="0"/>
    <m/>
    <n v="53.428571428571431"/>
    <n v="9"/>
    <n v="68"/>
    <n v="60"/>
    <n v="67"/>
    <n v="69"/>
    <n v="71"/>
    <n v="30"/>
    <n v="0"/>
    <n v="189556"/>
    <n v="15796.333333333334"/>
    <n v="0"/>
  </r>
  <r>
    <s v="Таити Кс"/>
    <s v="П"/>
    <s v="ППЗ"/>
    <s v="АПЗ"/>
    <m/>
    <m/>
    <s v="К.С."/>
    <s v="К.С."/>
    <x v="24"/>
    <x v="0"/>
    <m/>
    <n v="62.571428571428569"/>
    <n v="14"/>
    <n v="73"/>
    <n v="77"/>
    <n v="75"/>
    <n v="77"/>
    <n v="79"/>
    <n v="43"/>
    <n v="0"/>
    <n v="919943"/>
    <n v="76661.916666666672"/>
    <n v="0"/>
  </r>
  <r>
    <s v="Ароха Элд"/>
    <s v="Т"/>
    <s v="Т"/>
    <m/>
    <m/>
    <m/>
    <s v="К.С."/>
    <s v="К.С."/>
    <x v="24"/>
    <x v="0"/>
    <m/>
    <n v="51.285714285714285"/>
    <n v="9"/>
    <n v="65"/>
    <n v="57"/>
    <n v="64"/>
    <n v="66"/>
    <n v="68"/>
    <n v="30"/>
    <n v="0"/>
    <n v="125883"/>
    <n v="10490.25"/>
    <n v="0"/>
  </r>
  <r>
    <s v="Лортун"/>
    <s v="В"/>
    <s v="В"/>
    <m/>
    <m/>
    <s v="Н.С."/>
    <s v="Н.С."/>
    <s v="Н.С."/>
    <x v="25"/>
    <x v="0"/>
    <m/>
    <n v="70.285714285714292"/>
    <n v="42"/>
    <n v="94"/>
    <n v="70"/>
    <n v="72"/>
    <n v="74"/>
    <n v="80"/>
    <n v="60"/>
    <n v="0"/>
    <n v="2942190"/>
    <n v="245182.5"/>
    <n v="0"/>
  </r>
  <r>
    <s v="Армис"/>
    <s v="З"/>
    <s v="ЦЗ"/>
    <s v="ОПЗ"/>
    <m/>
    <s v="Н.С."/>
    <s v="Н.С."/>
    <s v="Н.С."/>
    <x v="25"/>
    <x v="0"/>
    <m/>
    <n v="79.571428571428569"/>
    <n v="60"/>
    <n v="77"/>
    <n v="87"/>
    <n v="85"/>
    <n v="85"/>
    <n v="93"/>
    <n v="70"/>
    <n v="28"/>
    <n v="15263806"/>
    <n v="1271983.8333333333"/>
    <n v="0"/>
  </r>
  <r>
    <s v="Барик"/>
    <s v="З"/>
    <s v="ЦЗ"/>
    <s v="ПЗ"/>
    <m/>
    <s v="Н.С."/>
    <s v="Н.С."/>
    <s v="Н.С."/>
    <x v="25"/>
    <x v="0"/>
    <m/>
    <n v="75.142857142857139"/>
    <n v="50"/>
    <n v="72"/>
    <n v="80"/>
    <n v="81"/>
    <n v="88"/>
    <n v="90"/>
    <n v="65"/>
    <n v="0"/>
    <n v="5739540"/>
    <n v="478295"/>
    <n v="0"/>
  </r>
  <r>
    <s v="Берторов Эик"/>
    <s v="З"/>
    <s v="ЛЗ"/>
    <s v="ЦЗ"/>
    <m/>
    <m/>
    <s v="Н.С."/>
    <s v="Н.С."/>
    <x v="25"/>
    <x v="0"/>
    <m/>
    <n v="55.285714285714285"/>
    <n v="16"/>
    <n v="61"/>
    <n v="57"/>
    <n v="69"/>
    <n v="75"/>
    <n v="77"/>
    <n v="32"/>
    <n v="0"/>
    <n v="266766"/>
    <n v="22230.5"/>
    <n v="0"/>
  </r>
  <r>
    <s v="Тавьер"/>
    <s v="З"/>
    <s v="ЦЗ"/>
    <m/>
    <m/>
    <s v="Н.С."/>
    <s v="Н.С."/>
    <s v="Н.С."/>
    <x v="25"/>
    <x v="0"/>
    <m/>
    <n v="73"/>
    <n v="51"/>
    <n v="73"/>
    <n v="78"/>
    <n v="80"/>
    <n v="82"/>
    <n v="87"/>
    <n v="60"/>
    <n v="0"/>
    <n v="4297626"/>
    <n v="358135.5"/>
    <n v="0"/>
  </r>
  <r>
    <s v="Хагмар Бранд"/>
    <s v="З"/>
    <s v="ЦЗ"/>
    <s v="ОПЗ"/>
    <m/>
    <m/>
    <s v="Н.С."/>
    <s v="Н.С."/>
    <x v="25"/>
    <x v="0"/>
    <m/>
    <n v="66.285714285714292"/>
    <n v="23"/>
    <n v="76"/>
    <n v="70"/>
    <n v="82"/>
    <n v="84"/>
    <n v="86"/>
    <n v="43"/>
    <n v="0"/>
    <n v="1637569"/>
    <n v="136464.08333333334"/>
    <n v="0"/>
  </r>
  <r>
    <s v="Шьорнхард Рэнар"/>
    <s v="Н"/>
    <s v="ОФ"/>
    <s v="ЦН"/>
    <m/>
    <m/>
    <s v="Н.С."/>
    <s v="Н.С."/>
    <x v="25"/>
    <x v="0"/>
    <m/>
    <n v="64.428571428571431"/>
    <n v="24"/>
    <n v="75"/>
    <n v="75"/>
    <n v="76"/>
    <n v="77"/>
    <n v="80"/>
    <n v="44"/>
    <n v="0"/>
    <n v="1232495"/>
    <n v="102707.91666666667"/>
    <n v="0"/>
  </r>
  <r>
    <s v="Зейброн"/>
    <s v="Н"/>
    <s v="ЦН"/>
    <m/>
    <m/>
    <s v="Н.С."/>
    <s v="Н.С."/>
    <s v="Н.С."/>
    <x v="25"/>
    <x v="0"/>
    <m/>
    <n v="66.857142857142861"/>
    <n v="45"/>
    <n v="75"/>
    <n v="76"/>
    <n v="70"/>
    <n v="75"/>
    <n v="77"/>
    <n v="50"/>
    <n v="0"/>
    <n v="1784343"/>
    <n v="22811.666666666668"/>
    <n v="0"/>
  </r>
  <r>
    <s v="Клеверт"/>
    <s v="Н"/>
    <s v="ОФ"/>
    <m/>
    <m/>
    <s v="Н.С."/>
    <s v="Н.С."/>
    <s v="Н.С."/>
    <x v="25"/>
    <x v="0"/>
    <m/>
    <n v="63.428571428571431"/>
    <n v="45"/>
    <n v="85"/>
    <n v="61"/>
    <n v="80"/>
    <n v="61"/>
    <n v="65"/>
    <n v="47"/>
    <n v="0"/>
    <n v="1054022"/>
    <n v="24015.166666666668"/>
    <n v="0"/>
  </r>
  <r>
    <s v="Молодцов (Н)"/>
    <s v="Н"/>
    <s v="ЦН"/>
    <m/>
    <m/>
    <s v="Н.С."/>
    <s v="Н.С."/>
    <s v="Н.С."/>
    <x v="25"/>
    <x v="0"/>
    <m/>
    <n v="82.428571428571431"/>
    <n v="70"/>
    <n v="85"/>
    <n v="88"/>
    <n v="85"/>
    <n v="80"/>
    <n v="85"/>
    <n v="84"/>
    <n v="12"/>
    <n v="21720459"/>
    <n v="1810038.25"/>
    <n v="0"/>
  </r>
  <r>
    <s v="Авин (П)"/>
    <s v="П"/>
    <s v="ЦПЗ"/>
    <s v="ЛПЗ"/>
    <s v="АПЗ"/>
    <s v="Н.С."/>
    <s v="Н.С."/>
    <s v="Н.С."/>
    <x v="25"/>
    <x v="0"/>
    <m/>
    <n v="72.142857142857139"/>
    <n v="60"/>
    <n v="82"/>
    <n v="79"/>
    <n v="73"/>
    <n v="79"/>
    <n v="88"/>
    <n v="44"/>
    <n v="0"/>
    <n v="3818857"/>
    <n v="318238.08333333331"/>
    <n v="0"/>
  </r>
  <r>
    <s v="Вальд Торкель"/>
    <s v="П"/>
    <s v="ЦПЗ"/>
    <s v="ОПЗ"/>
    <m/>
    <m/>
    <s v="Н.С."/>
    <s v="Н.С."/>
    <x v="25"/>
    <x v="0"/>
    <m/>
    <n v="62"/>
    <n v="24"/>
    <n v="73"/>
    <n v="69"/>
    <n v="79"/>
    <n v="73"/>
    <n v="75"/>
    <n v="41"/>
    <n v="0"/>
    <n v="839300"/>
    <n v="69941.666666666672"/>
    <n v="0"/>
  </r>
  <r>
    <s v="Грим Кетиль"/>
    <s v="П"/>
    <s v="АПЗ"/>
    <s v="ЦПЗ"/>
    <m/>
    <m/>
    <s v="Н.С."/>
    <s v="Н.С."/>
    <x v="25"/>
    <x v="0"/>
    <m/>
    <n v="51.142857142857146"/>
    <n v="16"/>
    <n v="55"/>
    <n v="59"/>
    <n v="67"/>
    <n v="65"/>
    <n v="68"/>
    <n v="28"/>
    <n v="0"/>
    <n v="122420"/>
    <n v="10201.666666666666"/>
    <n v="0"/>
  </r>
  <r>
    <s v="Дверг Хальвар"/>
    <s v="П"/>
    <s v="ППЗ"/>
    <s v="ЛПЗ"/>
    <m/>
    <m/>
    <s v="Н.С."/>
    <s v="Н.С."/>
    <x v="25"/>
    <x v="0"/>
    <m/>
    <n v="53.571428571428569"/>
    <n v="18"/>
    <n v="59"/>
    <n v="61"/>
    <n v="69"/>
    <n v="67"/>
    <n v="70"/>
    <n v="31"/>
    <n v="0"/>
    <n v="194685"/>
    <n v="16223.75"/>
    <n v="0"/>
  </r>
  <r>
    <s v="Ормов Кетиль"/>
    <s v="П"/>
    <s v="ОПЗ"/>
    <s v="ЦПЗ"/>
    <m/>
    <m/>
    <s v="Н.С."/>
    <s v="Н.С."/>
    <x v="25"/>
    <x v="0"/>
    <m/>
    <n v="56.142857142857146"/>
    <n v="18"/>
    <n v="62"/>
    <n v="62"/>
    <n v="70"/>
    <n v="74"/>
    <n v="77"/>
    <n v="30"/>
    <n v="0"/>
    <n v="311133"/>
    <n v="25927.75"/>
    <n v="0"/>
  </r>
  <r>
    <s v="Полли Мейс"/>
    <s v="П"/>
    <s v="ЛПЗ"/>
    <s v="ЦПЗ"/>
    <m/>
    <s v="Н.С."/>
    <s v="Н.С."/>
    <s v="Н.С."/>
    <x v="25"/>
    <x v="0"/>
    <m/>
    <n v="76.142857142857139"/>
    <n v="61"/>
    <n v="93"/>
    <n v="84"/>
    <n v="82"/>
    <n v="79"/>
    <n v="75"/>
    <n v="59"/>
    <n v="0"/>
    <n v="6550761"/>
    <n v="545896.75"/>
    <n v="0"/>
  </r>
  <r>
    <s v="Скегги Олаф"/>
    <s v="П"/>
    <s v="ЛПЗ"/>
    <s v="ОПЗ"/>
    <m/>
    <m/>
    <s v="Н.С."/>
    <s v="Н.С."/>
    <x v="25"/>
    <x v="0"/>
    <m/>
    <n v="61.571428571428569"/>
    <n v="21"/>
    <n v="72"/>
    <n v="68"/>
    <n v="80"/>
    <n v="76"/>
    <n v="78"/>
    <n v="36"/>
    <n v="0"/>
    <n v="783056"/>
    <n v="65254.666666666664"/>
    <n v="0"/>
  </r>
  <r>
    <s v="Толтер"/>
    <s v="П"/>
    <s v="ОПЗ"/>
    <s v="ЦЗ"/>
    <m/>
    <s v="Н.С."/>
    <s v="Н.С."/>
    <s v="Н.С."/>
    <x v="25"/>
    <x v="0"/>
    <m/>
    <n v="69.428571428571431"/>
    <n v="50"/>
    <n v="76"/>
    <n v="80"/>
    <n v="78"/>
    <n v="85"/>
    <n v="76"/>
    <n v="41"/>
    <n v="0"/>
    <n v="2602450"/>
    <n v="216870.83333333334"/>
    <n v="0"/>
  </r>
  <r>
    <s v="Тролль Звен"/>
    <s v="П"/>
    <s v="ППЗ"/>
    <s v="АПЗ"/>
    <m/>
    <m/>
    <s v="Н.С."/>
    <s v="Н.С."/>
    <x v="25"/>
    <x v="0"/>
    <m/>
    <n v="59.428571428571431"/>
    <n v="19"/>
    <n v="70"/>
    <n v="68"/>
    <n v="76"/>
    <n v="74"/>
    <n v="76"/>
    <n v="33"/>
    <n v="0"/>
    <n v="549482"/>
    <n v="45790.166666666664"/>
    <n v="0"/>
  </r>
  <r>
    <s v="Актукае Борис"/>
    <s v="Т"/>
    <s v="Т"/>
    <m/>
    <m/>
    <m/>
    <s v="Н.С."/>
    <s v="Н.С."/>
    <x v="25"/>
    <x v="0"/>
    <m/>
    <n v="61.857142857142854"/>
    <n v="21"/>
    <n v="72"/>
    <n v="66"/>
    <n v="76"/>
    <n v="78"/>
    <n v="80"/>
    <n v="40"/>
    <n v="0"/>
    <n v="820160"/>
    <n v="68346.666666666672"/>
    <n v="0"/>
  </r>
  <r>
    <s v="Гриллис Олаф"/>
    <s v="В"/>
    <s v="В"/>
    <m/>
    <m/>
    <m/>
    <s v="Б.Л."/>
    <s v="Б.Л."/>
    <x v="26"/>
    <x v="0"/>
    <m/>
    <n v="60.428571428571431"/>
    <n v="22"/>
    <n v="63"/>
    <n v="68"/>
    <n v="72"/>
    <n v="73"/>
    <n v="74"/>
    <n v="51"/>
    <n v="0"/>
    <n v="649267"/>
    <n v="54105.583333333336"/>
    <n v="0"/>
  </r>
  <r>
    <s v="Кулистис"/>
    <s v="В"/>
    <s v="В"/>
    <m/>
    <m/>
    <s v="Б.Л."/>
    <s v="Б.Л."/>
    <s v="Б.Л."/>
    <x v="26"/>
    <x v="0"/>
    <m/>
    <n v="60.142857142857146"/>
    <n v="31"/>
    <n v="60"/>
    <n v="70"/>
    <n v="70"/>
    <n v="70"/>
    <n v="70"/>
    <n v="50"/>
    <n v="0"/>
    <n v="619214"/>
    <n v="51601.166666666664"/>
    <n v="0"/>
  </r>
  <r>
    <s v="Жербиллон Люк"/>
    <s v="З"/>
    <s v="ПЗ"/>
    <s v="ОПЗ"/>
    <m/>
    <m/>
    <s v="Б.Л."/>
    <s v="Б.Л."/>
    <x v="26"/>
    <x v="0"/>
    <m/>
    <n v="66.571428571428569"/>
    <n v="40"/>
    <n v="81"/>
    <n v="59"/>
    <n v="74"/>
    <n v="73"/>
    <n v="79"/>
    <n v="60"/>
    <n v="0"/>
    <n v="1709539"/>
    <n v="142461.58333333334"/>
    <n v="0"/>
  </r>
  <r>
    <s v="Жэбьер"/>
    <s v="З"/>
    <s v="ПЗ"/>
    <s v="ОПЗ"/>
    <m/>
    <s v="Б.Л."/>
    <s v="Б.Л."/>
    <s v="Б.Л."/>
    <x v="26"/>
    <x v="0"/>
    <m/>
    <n v="72.142857142857139"/>
    <n v="59"/>
    <n v="90"/>
    <n v="60"/>
    <n v="72"/>
    <n v="70"/>
    <n v="84"/>
    <n v="70"/>
    <n v="0"/>
    <n v="3818857"/>
    <n v="318238.08333333331"/>
    <n v="0"/>
  </r>
  <r>
    <s v="Поллак Драго"/>
    <s v="З"/>
    <s v="ЦЗ"/>
    <s v="ОПЗ"/>
    <m/>
    <m/>
    <s v="Б.Л."/>
    <s v="Б.Л."/>
    <x v="26"/>
    <x v="0"/>
    <m/>
    <n v="69.428571428571431"/>
    <n v="37"/>
    <n v="72"/>
    <n v="65"/>
    <n v="84"/>
    <n v="86"/>
    <n v="85"/>
    <n v="57"/>
    <n v="0"/>
    <n v="2602450"/>
    <n v="216870.83333333334"/>
    <n v="0"/>
  </r>
  <r>
    <s v="Поллони"/>
    <s v="З"/>
    <s v="ЦЗ"/>
    <m/>
    <m/>
    <s v="Б.Л."/>
    <s v="Б.Л."/>
    <s v="Б.Л."/>
    <x v="26"/>
    <x v="0"/>
    <m/>
    <n v="78.142857142857139"/>
    <n v="65"/>
    <n v="70"/>
    <n v="67"/>
    <n v="87"/>
    <n v="90"/>
    <n v="90"/>
    <n v="78"/>
    <n v="0"/>
    <n v="8489711"/>
    <n v="707475.91666666663"/>
    <n v="0"/>
  </r>
  <r>
    <s v="Трумм"/>
    <s v="З"/>
    <s v="ЦЗ"/>
    <m/>
    <m/>
    <s v="Б.Л."/>
    <s v="Б.Л."/>
    <s v="Б.Л."/>
    <x v="26"/>
    <x v="0"/>
    <m/>
    <n v="64.714285714285708"/>
    <n v="51"/>
    <n v="65"/>
    <n v="65"/>
    <n v="68"/>
    <n v="63"/>
    <n v="78"/>
    <n v="63"/>
    <n v="0"/>
    <n v="1288255"/>
    <n v="107354.58333333333"/>
    <n v="0"/>
  </r>
  <r>
    <s v="Труммер Йенс"/>
    <s v="З"/>
    <s v="ЦЗ"/>
    <m/>
    <m/>
    <m/>
    <s v="Б.Л."/>
    <s v="Б.Л."/>
    <x v="26"/>
    <x v="0"/>
    <m/>
    <n v="66.571428571428569"/>
    <n v="40"/>
    <n v="81"/>
    <n v="59"/>
    <n v="74"/>
    <n v="73"/>
    <n v="79"/>
    <n v="60"/>
    <n v="0"/>
    <n v="1709539"/>
    <n v="142461.58333333334"/>
    <n v="0"/>
  </r>
  <r>
    <s v="Чаплин Матс"/>
    <s v="З"/>
    <s v="ЦЗ"/>
    <s v="ЛЗ"/>
    <m/>
    <m/>
    <s v="Б.Л."/>
    <s v="Б.Л."/>
    <x v="26"/>
    <x v="0"/>
    <m/>
    <n v="64.428571428571431"/>
    <n v="26"/>
    <n v="77"/>
    <n v="61"/>
    <n v="79"/>
    <n v="74"/>
    <n v="80"/>
    <n v="54"/>
    <n v="0"/>
    <n v="1232495"/>
    <n v="102707.91666666667"/>
    <n v="0"/>
  </r>
  <r>
    <s v="Чаптец"/>
    <s v="З"/>
    <s v="ЦЗ"/>
    <m/>
    <m/>
    <s v="Б.Л."/>
    <s v="Б.Л."/>
    <s v="Б.Л."/>
    <x v="26"/>
    <x v="0"/>
    <m/>
    <n v="72.571428571428569"/>
    <n v="45"/>
    <n v="74"/>
    <n v="74"/>
    <n v="93"/>
    <n v="66"/>
    <n v="84"/>
    <n v="72"/>
    <n v="0"/>
    <n v="4051882"/>
    <n v="337656.83333333331"/>
    <n v="0"/>
  </r>
  <r>
    <s v="Игла (Н)"/>
    <s v="Н"/>
    <s v="ЦН"/>
    <s v="ОФ"/>
    <m/>
    <s v="Б.Л."/>
    <s v="Б.Л."/>
    <s v="Б.Л."/>
    <x v="26"/>
    <x v="0"/>
    <m/>
    <n v="80.142857142857139"/>
    <n v="65"/>
    <n v="91"/>
    <n v="85"/>
    <n v="80"/>
    <n v="80"/>
    <n v="80"/>
    <n v="80"/>
    <n v="3"/>
    <n v="16396059"/>
    <n v="1366338.25"/>
    <n v="0"/>
  </r>
  <r>
    <s v="Иглесиас Марк"/>
    <s v="Н"/>
    <s v="ЦН"/>
    <s v="ОФ"/>
    <m/>
    <m/>
    <s v="Б.Л."/>
    <s v="Б.Л."/>
    <x v="26"/>
    <x v="0"/>
    <m/>
    <n v="68.714285714285708"/>
    <n v="33"/>
    <n v="83"/>
    <n v="72"/>
    <n v="77"/>
    <n v="76"/>
    <n v="78"/>
    <n v="62"/>
    <n v="0"/>
    <n v="2346770"/>
    <n v="195564.16666666666"/>
    <n v="0"/>
  </r>
  <r>
    <s v="Тавош (Н)"/>
    <s v="Н"/>
    <s v="ЦН"/>
    <s v="АПЗ"/>
    <m/>
    <s v="Б.Л."/>
    <s v="Б.Л."/>
    <s v="Б.Л."/>
    <x v="26"/>
    <x v="0"/>
    <m/>
    <n v="78"/>
    <n v="60"/>
    <n v="78"/>
    <n v="92"/>
    <n v="75"/>
    <n v="86"/>
    <n v="95"/>
    <n v="60"/>
    <n v="0"/>
    <n v="8335776"/>
    <n v="694648"/>
    <n v="0"/>
  </r>
  <r>
    <s v="Таврин Рауль"/>
    <s v="Н"/>
    <s v="ЦН"/>
    <s v="АПЗ"/>
    <m/>
    <m/>
    <s v="Б.Л."/>
    <s v="Б.Л."/>
    <x v="26"/>
    <x v="0"/>
    <m/>
    <n v="66.428571428571431"/>
    <n v="28"/>
    <n v="70"/>
    <n v="78"/>
    <n v="73"/>
    <n v="79"/>
    <n v="82"/>
    <n v="55"/>
    <n v="0"/>
    <n v="1673205"/>
    <n v="139433.75"/>
    <n v="0"/>
  </r>
  <r>
    <s v="Шуббер"/>
    <s v="Н"/>
    <s v="ЦН"/>
    <s v="АПЗ"/>
    <m/>
    <s v="Р.Тесно"/>
    <s v="Р.Тесно"/>
    <s v="Р.Тесно"/>
    <x v="26"/>
    <x v="0"/>
    <m/>
    <n v="54.857142857142854"/>
    <n v="15"/>
    <n v="58"/>
    <n v="68"/>
    <n v="66"/>
    <n v="71"/>
    <n v="76"/>
    <n v="30"/>
    <n v="0"/>
    <n v="246793"/>
    <n v="20566.083333333332"/>
    <n v="0"/>
  </r>
  <r>
    <s v="Шуберт Дитер"/>
    <s v="Н"/>
    <s v="ЦН"/>
    <m/>
    <m/>
    <m/>
    <s v="Б.Л."/>
    <s v="Б.Л."/>
    <x v="26"/>
    <x v="0"/>
    <m/>
    <n v="65.857142857142861"/>
    <n v="31"/>
    <n v="74"/>
    <n v="76"/>
    <n v="75"/>
    <n v="72"/>
    <n v="80"/>
    <n v="53"/>
    <n v="0"/>
    <n v="1534719"/>
    <n v="127893.25"/>
    <n v="0"/>
  </r>
  <r>
    <s v="Горшеба"/>
    <s v="П"/>
    <s v="ЦПЗ"/>
    <m/>
    <m/>
    <s v="Генуа"/>
    <s v="Генуа"/>
    <s v="Генуа"/>
    <x v="26"/>
    <x v="0"/>
    <m/>
    <n v="61.428571428571431"/>
    <n v="30"/>
    <n v="63"/>
    <n v="68"/>
    <n v="70"/>
    <n v="72"/>
    <n v="76"/>
    <n v="51"/>
    <n v="0"/>
    <n v="765076"/>
    <n v="63756.333333333336"/>
    <n v="0"/>
  </r>
  <r>
    <s v="Крамму"/>
    <s v="П"/>
    <s v="ОПЗ"/>
    <s v="ЦЗ"/>
    <m/>
    <s v="Туркан"/>
    <s v="Туркан"/>
    <s v="Туркан"/>
    <x v="26"/>
    <x v="0"/>
    <m/>
    <n v="54.428571428571431"/>
    <n v="61"/>
    <n v="52"/>
    <n v="60"/>
    <n v="56"/>
    <n v="62"/>
    <n v="52"/>
    <n v="38"/>
    <n v="0"/>
    <n v="228176"/>
    <n v="19014.666666666668"/>
    <n v="0"/>
  </r>
  <r>
    <s v="Маковец (П)"/>
    <s v="П"/>
    <s v="ЦПЗ"/>
    <s v="ППЗ"/>
    <s v="АПЗ"/>
    <s v="Б.Л."/>
    <s v="Б.Л."/>
    <s v="Б.Л."/>
    <x v="26"/>
    <x v="0"/>
    <m/>
    <n v="73.428571428571431"/>
    <n v="50"/>
    <n v="77"/>
    <n v="83"/>
    <n v="77"/>
    <n v="75"/>
    <n v="87"/>
    <n v="65"/>
    <n v="0"/>
    <n v="4556704"/>
    <n v="379725.33333333331"/>
    <n v="0"/>
  </r>
  <r>
    <s v="Макович Станко"/>
    <s v="П"/>
    <s v="ЦПЗ"/>
    <s v="ППЗ"/>
    <m/>
    <m/>
    <s v="Б.Л."/>
    <s v="Б.Л."/>
    <x v="26"/>
    <x v="0"/>
    <m/>
    <n v="65.857142857142861"/>
    <n v="31"/>
    <n v="74"/>
    <n v="76"/>
    <n v="75"/>
    <n v="72"/>
    <n v="80"/>
    <n v="53"/>
    <n v="0"/>
    <n v="1534719"/>
    <n v="127893.25"/>
    <n v="0"/>
  </r>
  <r>
    <s v="Тисс"/>
    <s v="П"/>
    <s v="ОПЗ"/>
    <m/>
    <m/>
    <s v="Турк"/>
    <s v="Турк"/>
    <s v="Турк"/>
    <x v="26"/>
    <x v="0"/>
    <m/>
    <n v="69.142857142857139"/>
    <n v="59"/>
    <n v="70"/>
    <n v="70"/>
    <n v="70"/>
    <n v="80"/>
    <n v="80"/>
    <n v="55"/>
    <n v="0"/>
    <n v="2497315"/>
    <n v="42593.083333333336"/>
    <n v="0"/>
  </r>
  <r>
    <s v="Хак (П)"/>
    <s v="П"/>
    <s v="ППЗ"/>
    <s v="ЦПЗ"/>
    <m/>
    <s v="Б.Л."/>
    <s v="Б.Л."/>
    <s v="Б.Л."/>
    <x v="26"/>
    <x v="0"/>
    <m/>
    <n v="74.857142857142861"/>
    <n v="51"/>
    <n v="86"/>
    <n v="80"/>
    <n v="84"/>
    <n v="73"/>
    <n v="84"/>
    <n v="66"/>
    <n v="3"/>
    <n v="8287504"/>
    <n v="615498.83333333337"/>
    <n v="0"/>
  </r>
  <r>
    <s v="Хаккель Вим"/>
    <s v="П"/>
    <s v="ППЗ"/>
    <s v="ЛПЗ"/>
    <s v="ЦПЗ"/>
    <m/>
    <s v="Б.Л."/>
    <s v="Б.Л."/>
    <x v="26"/>
    <x v="0"/>
    <m/>
    <n v="70.714285714285708"/>
    <n v="40"/>
    <n v="86"/>
    <n v="72"/>
    <n v="80"/>
    <n v="70"/>
    <n v="77"/>
    <n v="70"/>
    <n v="23"/>
    <n v="4689893"/>
    <n v="390824.41666666669"/>
    <n v="0"/>
  </r>
  <r>
    <s v="Эж Рейт"/>
    <s v="П"/>
    <s v="ЛПЗ"/>
    <s v="ЦПЗ"/>
    <m/>
    <s v="Биссий"/>
    <s v="Биссий"/>
    <s v="Биссий"/>
    <x v="26"/>
    <x v="0"/>
    <m/>
    <n v="54.142857142857146"/>
    <n v="18"/>
    <n v="80"/>
    <n v="60"/>
    <n v="63"/>
    <n v="68"/>
    <n v="62"/>
    <n v="28"/>
    <n v="0"/>
    <n v="216477"/>
    <n v="18039.75"/>
    <n v="0"/>
  </r>
  <r>
    <s v="Дустер"/>
    <s v="Т"/>
    <s v="Т"/>
    <m/>
    <m/>
    <m/>
    <s v="Б.Л."/>
    <s v="Б.Л."/>
    <x v="26"/>
    <x v="0"/>
    <m/>
    <n v="69.714285714285708"/>
    <n v="68"/>
    <n v="81"/>
    <n v="73"/>
    <n v="79"/>
    <n v="79"/>
    <n v="65"/>
    <n v="43"/>
    <n v="0"/>
    <n v="2711552"/>
    <n v="225962.66666666666"/>
    <n v="0"/>
  </r>
  <r>
    <s v="Орнвикус Торстейн"/>
    <s v="В"/>
    <s v="В"/>
    <m/>
    <m/>
    <m/>
    <s v="Кирп"/>
    <s v="Кирп"/>
    <x v="27"/>
    <x v="0"/>
    <m/>
    <n v="56.285714285714285"/>
    <n v="10"/>
    <n v="72"/>
    <n v="64"/>
    <n v="70"/>
    <n v="72"/>
    <n v="74"/>
    <n v="32"/>
    <n v="0"/>
    <n v="319141"/>
    <n v="26595.083333333332"/>
    <n v="0"/>
  </r>
  <r>
    <s v="Хальвардус Сигурд"/>
    <s v="В"/>
    <s v="В"/>
    <m/>
    <m/>
    <m/>
    <s v="Кирп"/>
    <s v="Кирп"/>
    <x v="27"/>
    <x v="0"/>
    <m/>
    <n v="53.857142857142854"/>
    <n v="8"/>
    <n v="69"/>
    <n v="61"/>
    <n v="68"/>
    <n v="70"/>
    <n v="72"/>
    <n v="29"/>
    <n v="0"/>
    <n v="205321"/>
    <n v="17110.083333333332"/>
    <n v="0"/>
  </r>
  <r>
    <s v="Гуннила Лонс"/>
    <s v="З"/>
    <s v="ЦЗ"/>
    <s v="ЛЗ"/>
    <m/>
    <m/>
    <s v="Кирп"/>
    <s v="Кирп"/>
    <x v="27"/>
    <x v="0"/>
    <m/>
    <n v="63"/>
    <n v="33"/>
    <n v="76"/>
    <n v="75"/>
    <n v="72"/>
    <n v="74"/>
    <n v="76"/>
    <n v="35"/>
    <n v="16"/>
    <n v="1477396"/>
    <n v="42593.083333333336"/>
    <n v="0"/>
  </r>
  <r>
    <s v="Трюггвиус Свейн"/>
    <s v="З"/>
    <s v="ПЗ"/>
    <s v="ЛЗ"/>
    <m/>
    <m/>
    <s v="Кирп"/>
    <s v="Кирп"/>
    <x v="27"/>
    <x v="0"/>
    <m/>
    <n v="54"/>
    <n v="7"/>
    <n v="70"/>
    <n v="63"/>
    <n v="68"/>
    <n v="70"/>
    <n v="72"/>
    <n v="28"/>
    <n v="0"/>
    <n v="210833"/>
    <n v="17569.416666666668"/>
    <n v="0"/>
  </r>
  <r>
    <s v="Хаконус Магнус"/>
    <s v="З"/>
    <s v="ЛЗ"/>
    <s v="ЦЗ"/>
    <m/>
    <m/>
    <s v="Кирп"/>
    <s v="Кирп"/>
    <x v="27"/>
    <x v="0"/>
    <m/>
    <n v="58"/>
    <n v="11"/>
    <n v="75"/>
    <n v="67"/>
    <n v="71"/>
    <n v="73"/>
    <n v="75"/>
    <n v="34"/>
    <n v="0"/>
    <n v="430805"/>
    <n v="35900.416666666664"/>
    <n v="0"/>
  </r>
  <r>
    <s v="Харальдус Снорри"/>
    <s v="З"/>
    <s v="ЦЗ"/>
    <s v="ОПЗ"/>
    <m/>
    <m/>
    <s v="Кирп"/>
    <s v="Кирп"/>
    <x v="27"/>
    <x v="0"/>
    <m/>
    <n v="51"/>
    <n v="6"/>
    <n v="66"/>
    <n v="59"/>
    <n v="65"/>
    <n v="67"/>
    <n v="69"/>
    <n v="25"/>
    <n v="0"/>
    <n v="119043"/>
    <n v="9920.25"/>
    <n v="0"/>
  </r>
  <r>
    <s v="Хрольфус Эйнар"/>
    <s v="З"/>
    <s v="ПЗ"/>
    <s v="ЦЗ"/>
    <m/>
    <m/>
    <s v="Кирп"/>
    <s v="Кирп"/>
    <x v="27"/>
    <x v="0"/>
    <m/>
    <n v="56.428571428571431"/>
    <n v="9"/>
    <n v="74"/>
    <n v="65"/>
    <n v="70"/>
    <n v="72"/>
    <n v="74"/>
    <n v="31"/>
    <n v="0"/>
    <n v="327334"/>
    <n v="27277.833333333332"/>
    <n v="0"/>
  </r>
  <r>
    <s v="Магнусус Фритьоф"/>
    <s v="Н"/>
    <s v="ЦН"/>
    <s v="ОФ"/>
    <m/>
    <m/>
    <s v="Кирп"/>
    <s v="Кирп"/>
    <x v="27"/>
    <x v="0"/>
    <m/>
    <n v="73"/>
    <n v="25"/>
    <n v="90"/>
    <n v="84"/>
    <n v="86"/>
    <n v="88"/>
    <n v="90"/>
    <n v="48"/>
    <n v="0"/>
    <n v="4297626"/>
    <n v="358135.5"/>
    <n v="0"/>
  </r>
  <r>
    <s v="Свейнус Хакон"/>
    <s v="Н"/>
    <s v="ОФ"/>
    <s v="ЦН"/>
    <m/>
    <m/>
    <s v="Кирп"/>
    <s v="Кирп"/>
    <x v="27"/>
    <x v="0"/>
    <m/>
    <n v="58.571428571428569"/>
    <n v="10"/>
    <n v="75"/>
    <n v="68"/>
    <n v="73"/>
    <n v="75"/>
    <n v="77"/>
    <n v="32"/>
    <n v="0"/>
    <n v="475181"/>
    <n v="39598.416666666664"/>
    <n v="0"/>
  </r>
  <r>
    <s v="Баал Торвик"/>
    <s v="П"/>
    <s v="ЛПЗ"/>
    <s v="ОПЗ"/>
    <m/>
    <m/>
    <s v="Кирп"/>
    <s v="Кирп"/>
    <x v="27"/>
    <x v="0"/>
    <m/>
    <n v="68.857142857142861"/>
    <n v="45"/>
    <n v="80"/>
    <n v="73"/>
    <n v="78"/>
    <n v="80"/>
    <n v="82"/>
    <n v="44"/>
    <n v="0"/>
    <n v="2396018"/>
    <n v="199668.16666666666"/>
    <n v="0"/>
  </r>
  <r>
    <s v="Визонус Аслак"/>
    <s v="П"/>
    <s v="ОПЗ"/>
    <s v="ЦЗ"/>
    <m/>
    <m/>
    <s v="Кирп"/>
    <s v="Кирп"/>
    <x v="27"/>
    <x v="0"/>
    <m/>
    <n v="61.857142857142854"/>
    <n v="13"/>
    <n v="78"/>
    <n v="71"/>
    <n v="76"/>
    <n v="78"/>
    <n v="80"/>
    <n v="37"/>
    <n v="0"/>
    <n v="820160"/>
    <n v="68346.666666666672"/>
    <n v="0"/>
  </r>
  <r>
    <s v="Гермодус Витто"/>
    <s v="П"/>
    <s v="ППЗ"/>
    <s v="АПЗ"/>
    <m/>
    <m/>
    <s v="Кирп"/>
    <s v="Кирп"/>
    <x v="27"/>
    <x v="0"/>
    <m/>
    <n v="76.571428571428569"/>
    <n v="28"/>
    <n v="92"/>
    <n v="88"/>
    <n v="90"/>
    <n v="92"/>
    <n v="94"/>
    <n v="52"/>
    <n v="0"/>
    <n v="6928952"/>
    <n v="577412.66666666663"/>
    <n v="0"/>
  </r>
  <r>
    <s v="Гузи (П)"/>
    <s v="П"/>
    <s v="ППЗ"/>
    <m/>
    <m/>
    <s v="Зар"/>
    <s v="Зар"/>
    <s v="Зар"/>
    <x v="27"/>
    <x v="0"/>
    <m/>
    <n v="61.714285714285715"/>
    <n v="40"/>
    <n v="74"/>
    <n v="71"/>
    <n v="65"/>
    <n v="60"/>
    <n v="72"/>
    <n v="50"/>
    <n v="0"/>
    <n v="801415"/>
    <n v="66784.583333333328"/>
    <n v="0"/>
  </r>
  <r>
    <s v="Ингварус Кетиль"/>
    <s v="П"/>
    <s v="АПЗ"/>
    <s v="ЦПЗ"/>
    <m/>
    <m/>
    <s v="Кирп"/>
    <s v="Кирп"/>
    <x v="27"/>
    <x v="0"/>
    <m/>
    <n v="53.428571428571431"/>
    <n v="7"/>
    <n v="69"/>
    <n v="62"/>
    <n v="68"/>
    <n v="70"/>
    <n v="72"/>
    <n v="26"/>
    <n v="0"/>
    <n v="189556"/>
    <n v="15796.333333333334"/>
    <n v="0"/>
  </r>
  <r>
    <s v="Сигвальдус Хрольф"/>
    <s v="П"/>
    <s v="ЦПЗ"/>
    <s v="ОПЗ"/>
    <m/>
    <m/>
    <s v="Кирп"/>
    <s v="Кирп"/>
    <x v="27"/>
    <x v="0"/>
    <m/>
    <n v="51.571428571428569"/>
    <n v="6"/>
    <n v="65"/>
    <n v="59"/>
    <n v="67"/>
    <n v="69"/>
    <n v="71"/>
    <n v="24"/>
    <n v="0"/>
    <n v="133074"/>
    <n v="11089.5"/>
    <n v="0"/>
  </r>
  <r>
    <s v="Снорриус Хальвар"/>
    <s v="П"/>
    <s v="АПЗ"/>
    <s v="ППЗ"/>
    <m/>
    <m/>
    <s v="Кирп"/>
    <s v="Кирп"/>
    <x v="27"/>
    <x v="0"/>
    <m/>
    <n v="59.714285714285715"/>
    <n v="11"/>
    <n v="76"/>
    <n v="69"/>
    <n v="74"/>
    <n v="76"/>
    <n v="78"/>
    <n v="34"/>
    <n v="0"/>
    <n v="576478"/>
    <n v="48039.833333333336"/>
    <n v="0"/>
  </r>
  <r>
    <s v="Торлейфус Бьорн"/>
    <s v="П"/>
    <s v="ЦПЗ"/>
    <s v="ЛПЗ"/>
    <m/>
    <m/>
    <s v="Кирп"/>
    <s v="Кирп"/>
    <x v="27"/>
    <x v="0"/>
    <m/>
    <n v="58"/>
    <n v="10"/>
    <n v="74"/>
    <n v="67"/>
    <n v="72"/>
    <n v="74"/>
    <n v="76"/>
    <n v="33"/>
    <n v="0"/>
    <n v="430805"/>
    <n v="35900.416666666664"/>
    <n v="0"/>
  </r>
  <r>
    <s v="Фритьофус Хермод"/>
    <s v="П"/>
    <s v="ОПЗ"/>
    <s v="ЦПЗ"/>
    <m/>
    <m/>
    <s v="Кирп"/>
    <s v="Кирп"/>
    <x v="27"/>
    <x v="0"/>
    <m/>
    <n v="57"/>
    <n v="9"/>
    <n v="73"/>
    <n v="65"/>
    <n v="72"/>
    <n v="74"/>
    <n v="76"/>
    <n v="30"/>
    <n v="0"/>
    <n v="362034"/>
    <n v="30169.5"/>
    <n v="0"/>
  </r>
  <r>
    <s v="Эйнарус Сигурд"/>
    <s v="П"/>
    <s v="ППЗ"/>
    <s v="ЛПЗ"/>
    <m/>
    <m/>
    <s v="Кирп"/>
    <s v="Кирп"/>
    <x v="27"/>
    <x v="0"/>
    <m/>
    <n v="55.142857142857146"/>
    <n v="8"/>
    <n v="70"/>
    <n v="64"/>
    <n v="70"/>
    <n v="72"/>
    <n v="74"/>
    <n v="28"/>
    <n v="0"/>
    <n v="259952"/>
    <n v="21662.666666666668"/>
    <n v="0"/>
  </r>
  <r>
    <s v="Рагнвальдус Ингвар"/>
    <s v="Т"/>
    <s v="Т"/>
    <m/>
    <m/>
    <m/>
    <s v="Кирп"/>
    <s v="Кирп"/>
    <x v="27"/>
    <x v="0"/>
    <m/>
    <n v="54.857142857142854"/>
    <n v="9"/>
    <n v="70"/>
    <n v="62"/>
    <n v="69"/>
    <n v="71"/>
    <n v="73"/>
    <n v="30"/>
    <n v="0"/>
    <n v="246793"/>
    <n v="20566.083333333332"/>
    <n v="0"/>
  </r>
  <r>
    <s v="Бруно Тадек"/>
    <s v="В"/>
    <s v="В"/>
    <m/>
    <m/>
    <m/>
    <s v="Сар"/>
    <s v="Сар"/>
    <x v="28"/>
    <x v="0"/>
    <m/>
    <n v="69.857142857142861"/>
    <n v="40"/>
    <n v="75"/>
    <n v="75"/>
    <n v="78"/>
    <n v="80"/>
    <n v="81"/>
    <n v="60"/>
    <n v="0"/>
    <n v="2767632"/>
    <n v="117219.66666666667"/>
    <n v="0"/>
  </r>
  <r>
    <s v="Гага (В)"/>
    <s v="В"/>
    <s v="В"/>
    <m/>
    <m/>
    <s v="Сар"/>
    <s v="Мель"/>
    <s v="Мель"/>
    <x v="28"/>
    <x v="0"/>
    <m/>
    <n v="82.857142857142861"/>
    <n v="70"/>
    <n v="93"/>
    <n v="90"/>
    <n v="85"/>
    <n v="80"/>
    <n v="92"/>
    <n v="70"/>
    <n v="31"/>
    <n v="22876564"/>
    <n v="1441188.0833333333"/>
    <n v="0"/>
  </r>
  <r>
    <s v="Вергас Илия"/>
    <s v="З"/>
    <s v="ЦЗ"/>
    <s v="ОПЗ"/>
    <m/>
    <s v="Сар"/>
    <s v="Сар"/>
    <s v="Сар"/>
    <x v="28"/>
    <x v="0"/>
    <m/>
    <n v="70.857142857142861"/>
    <n v="36"/>
    <n v="74"/>
    <n v="68"/>
    <n v="86"/>
    <n v="88"/>
    <n v="86"/>
    <n v="58"/>
    <n v="0"/>
    <n v="3190336"/>
    <n v="265861.33333333331"/>
    <n v="0"/>
  </r>
  <r>
    <s v="Гранеро (З)"/>
    <s v="З"/>
    <s v="ЦЗ"/>
    <s v="ПЗ"/>
    <s v="ОПЗ"/>
    <s v="Павс"/>
    <s v="Павс"/>
    <s v="Павс"/>
    <x v="28"/>
    <x v="0"/>
    <m/>
    <n v="92.571428571428569"/>
    <n v="84"/>
    <n v="86"/>
    <n v="90"/>
    <n v="99"/>
    <n v="95"/>
    <n v="98"/>
    <n v="96"/>
    <n v="27"/>
    <n v="69320378"/>
    <n v="5776698.166666667"/>
    <n v="0"/>
  </r>
  <r>
    <s v="Дошкетов"/>
    <s v="З"/>
    <s v="ЦЗ"/>
    <m/>
    <m/>
    <s v="Сар"/>
    <s v="Сар"/>
    <s v="Сар"/>
    <x v="28"/>
    <x v="0"/>
    <m/>
    <n v="78.142857142857139"/>
    <n v="61"/>
    <n v="75"/>
    <n v="85"/>
    <n v="80"/>
    <n v="81"/>
    <n v="95"/>
    <n v="70"/>
    <n v="27"/>
    <n v="12734566"/>
    <n v="1061213.8333333333"/>
    <n v="0"/>
  </r>
  <r>
    <s v="Кальво Реми"/>
    <s v="З"/>
    <s v="ЦЗ"/>
    <s v="ЛЗ"/>
    <m/>
    <m/>
    <s v="Сар"/>
    <s v="Сар"/>
    <x v="28"/>
    <x v="0"/>
    <m/>
    <n v="60.285714285714285"/>
    <n v="19"/>
    <n v="79"/>
    <n v="50"/>
    <n v="72"/>
    <n v="74"/>
    <n v="77"/>
    <n v="51"/>
    <n v="0"/>
    <n v="634081"/>
    <n v="52840.083333333336"/>
    <n v="0"/>
  </r>
  <r>
    <s v="Мортез Оскар"/>
    <s v="З"/>
    <s v="ПЗ"/>
    <s v="ЛЗ"/>
    <m/>
    <m/>
    <s v="Сар"/>
    <s v="Сар"/>
    <x v="28"/>
    <x v="0"/>
    <m/>
    <n v="65.857142857142861"/>
    <n v="38"/>
    <n v="66"/>
    <n v="63"/>
    <n v="80"/>
    <n v="76"/>
    <n v="82"/>
    <n v="56"/>
    <n v="0"/>
    <n v="1534719"/>
    <n v="127893.25"/>
    <n v="0"/>
  </r>
  <r>
    <s v="Сеулла (З)"/>
    <s v="З"/>
    <s v="ЦЗ"/>
    <s v="ПЗ"/>
    <m/>
    <s v="Сар"/>
    <s v="Сар"/>
    <s v="Сар"/>
    <x v="28"/>
    <x v="0"/>
    <m/>
    <n v="84.142857142857139"/>
    <n v="77"/>
    <n v="80"/>
    <n v="90"/>
    <n v="87"/>
    <n v="88"/>
    <n v="89"/>
    <n v="78"/>
    <n v="26"/>
    <n v="26684792"/>
    <n v="2223732.6666666665"/>
    <n v="0"/>
  </r>
  <r>
    <s v="Тарквин Жан"/>
    <s v="З"/>
    <s v="ЦЗ"/>
    <s v="ПЗ"/>
    <m/>
    <m/>
    <s v="Сар"/>
    <s v="Сар"/>
    <x v="28"/>
    <x v="0"/>
    <m/>
    <n v="63.571428571428569"/>
    <n v="21"/>
    <n v="82"/>
    <n v="57"/>
    <n v="75"/>
    <n v="78"/>
    <n v="80"/>
    <n v="52"/>
    <n v="0"/>
    <n v="1078003"/>
    <n v="89833.583333333328"/>
    <n v="0"/>
  </r>
  <r>
    <s v="Щедрюк (З)"/>
    <s v="З"/>
    <s v="ЦЗ"/>
    <s v="ПЗ"/>
    <m/>
    <s v="Сар"/>
    <s v="Сар"/>
    <s v="Сар"/>
    <x v="28"/>
    <x v="0"/>
    <m/>
    <n v="83.428571428571431"/>
    <n v="75"/>
    <n v="76"/>
    <n v="93"/>
    <n v="85"/>
    <n v="86"/>
    <n v="89"/>
    <n v="80"/>
    <n v="26"/>
    <n v="24504133"/>
    <n v="2042011.0833333333"/>
    <n v="0"/>
  </r>
  <r>
    <s v="Айкин (Н)"/>
    <s v="Н"/>
    <s v="ЦН"/>
    <s v="ОФ"/>
    <m/>
    <s v="Сар"/>
    <s v="Сар"/>
    <s v="Сар"/>
    <x v="28"/>
    <x v="0"/>
    <m/>
    <n v="77.571428571428569"/>
    <n v="62"/>
    <n v="80"/>
    <n v="85"/>
    <n v="81"/>
    <n v="80"/>
    <n v="85"/>
    <n v="70"/>
    <n v="16"/>
    <n v="11833390"/>
    <n v="986115.83333333337"/>
    <n v="0"/>
  </r>
  <r>
    <s v="Головняк (Н)"/>
    <s v="Н"/>
    <s v="ЦН"/>
    <s v="ОФ"/>
    <m/>
    <s v="Сар"/>
    <s v="Сар"/>
    <s v="Сар"/>
    <x v="28"/>
    <x v="0"/>
    <m/>
    <n v="91.142857142857139"/>
    <n v="86"/>
    <n v="86"/>
    <n v="97"/>
    <n v="86"/>
    <n v="91"/>
    <n v="98"/>
    <n v="94"/>
    <n v="7"/>
    <n v="59335916"/>
    <n v="4944659.666666667"/>
    <n v="0"/>
  </r>
  <r>
    <s v="Данило Кепе"/>
    <s v="Н"/>
    <s v="ЦН"/>
    <s v="ОФ"/>
    <m/>
    <m/>
    <s v="Сар"/>
    <s v="Сар"/>
    <x v="28"/>
    <x v="0"/>
    <m/>
    <n v="69.714285714285708"/>
    <n v="45"/>
    <n v="78"/>
    <n v="70"/>
    <n v="77"/>
    <n v="84"/>
    <n v="79"/>
    <n v="55"/>
    <n v="0"/>
    <n v="2711552"/>
    <n v="172494.25"/>
    <n v="0"/>
  </r>
  <r>
    <s v="Ройчев"/>
    <s v="Н"/>
    <s v="ЦН"/>
    <s v="АПЗ"/>
    <m/>
    <s v="Сар"/>
    <s v="Сар"/>
    <s v="Сар"/>
    <x v="28"/>
    <x v="0"/>
    <m/>
    <n v="65.857142857142861"/>
    <n v="45"/>
    <n v="72"/>
    <n v="73"/>
    <n v="70"/>
    <n v="70"/>
    <n v="79"/>
    <n v="52"/>
    <n v="0"/>
    <n v="1534719"/>
    <n v="127893.25"/>
    <n v="0"/>
  </r>
  <r>
    <s v="Ферран Уго"/>
    <s v="Н"/>
    <s v="ЦН"/>
    <s v="АПЗ"/>
    <m/>
    <s v="Сар"/>
    <s v="Сар"/>
    <s v="Сар"/>
    <x v="28"/>
    <x v="0"/>
    <m/>
    <n v="74.714285714285708"/>
    <n v="45"/>
    <n v="80"/>
    <n v="85"/>
    <n v="80"/>
    <n v="83"/>
    <n v="90"/>
    <n v="60"/>
    <n v="7"/>
    <n v="8130697"/>
    <n v="677558.08333333337"/>
    <n v="0"/>
  </r>
  <r>
    <s v="Брито Санто"/>
    <s v="П"/>
    <s v="ЦПЗ"/>
    <s v="АПЗ"/>
    <m/>
    <m/>
    <s v="Сар"/>
    <s v="Сар"/>
    <x v="28"/>
    <x v="0"/>
    <m/>
    <n v="68.428571428571431"/>
    <n v="35"/>
    <n v="78"/>
    <n v="71"/>
    <n v="82"/>
    <n v="79"/>
    <n v="77"/>
    <n v="57"/>
    <n v="0"/>
    <n v="2250997"/>
    <n v="187583.08333333334"/>
    <n v="0"/>
  </r>
  <r>
    <s v="В.Умный (П)"/>
    <s v="П"/>
    <s v="АПЗ"/>
    <s v="ППЗ"/>
    <s v="ЛПЗ"/>
    <s v="Сар"/>
    <s v="Сар"/>
    <s v="Сар"/>
    <x v="28"/>
    <x v="0"/>
    <m/>
    <n v="89.857142857142861"/>
    <n v="90"/>
    <n v="83"/>
    <n v="95"/>
    <n v="93"/>
    <n v="89"/>
    <n v="88"/>
    <n v="91"/>
    <n v="24"/>
    <n v="51477485"/>
    <n v="4289790.416666667"/>
    <n v="0"/>
  </r>
  <r>
    <s v="Главин (П)"/>
    <s v="П"/>
    <s v="ЦПЗ"/>
    <s v="АПЗ"/>
    <m/>
    <s v="Сар"/>
    <s v="Сар"/>
    <s v="Сар"/>
    <x v="28"/>
    <x v="0"/>
    <m/>
    <n v="87.428571428571431"/>
    <n v="88"/>
    <n v="85"/>
    <n v="92"/>
    <n v="85"/>
    <n v="90"/>
    <n v="92"/>
    <n v="80"/>
    <n v="26"/>
    <n v="39140384"/>
    <n v="3261698.6666666665"/>
    <n v="0"/>
  </r>
  <r>
    <s v="Локомотивов"/>
    <s v="П"/>
    <s v="ОПЗ"/>
    <s v="ЦПЗ"/>
    <s v="ЦЗ"/>
    <s v="Сар"/>
    <s v="Сар"/>
    <s v="Сар"/>
    <x v="28"/>
    <x v="0"/>
    <m/>
    <n v="88.285714285714292"/>
    <n v="84"/>
    <n v="80"/>
    <n v="92"/>
    <n v="84"/>
    <n v="98"/>
    <n v="97"/>
    <n v="83"/>
    <n v="18"/>
    <n v="43151472"/>
    <n v="3595956"/>
    <n v="0"/>
  </r>
  <r>
    <s v="Мануэль Тито"/>
    <s v="П"/>
    <s v="ЦПЗ"/>
    <s v="ОПЗ"/>
    <m/>
    <m/>
    <s v="Сар"/>
    <s v="Сар"/>
    <x v="28"/>
    <x v="0"/>
    <m/>
    <n v="63.714285714285715"/>
    <n v="28"/>
    <n v="73"/>
    <n v="64"/>
    <n v="76"/>
    <n v="77"/>
    <n v="75"/>
    <n v="53"/>
    <n v="0"/>
    <n v="1102474"/>
    <n v="91872.833333333328"/>
    <n v="0"/>
  </r>
  <r>
    <s v="Рока Бенито"/>
    <s v="П"/>
    <s v="ОПЗ"/>
    <s v="ЦЗ"/>
    <m/>
    <m/>
    <s v="Сар"/>
    <s v="Сар"/>
    <x v="28"/>
    <x v="0"/>
    <m/>
    <n v="67.142857142857139"/>
    <n v="32"/>
    <n v="69"/>
    <n v="67"/>
    <n v="78"/>
    <n v="85"/>
    <n v="80"/>
    <n v="59"/>
    <n v="0"/>
    <n v="1862080"/>
    <n v="155173.33333333334"/>
    <n v="0"/>
  </r>
  <r>
    <s v="Сторен (П)"/>
    <s v="П"/>
    <s v="ЦПЗ"/>
    <s v="АПЗ"/>
    <m/>
    <s v="Сар"/>
    <s v="Сар"/>
    <s v="Сар"/>
    <x v="28"/>
    <x v="0"/>
    <m/>
    <n v="85.571428571428569"/>
    <n v="83"/>
    <n v="82"/>
    <n v="84"/>
    <n v="85"/>
    <n v="91"/>
    <n v="93"/>
    <n v="81"/>
    <n v="18"/>
    <n v="31577598"/>
    <n v="2631466.5"/>
    <n v="0"/>
  </r>
  <r>
    <s v="Бристон Рэй"/>
    <s v="В"/>
    <s v="В"/>
    <m/>
    <m/>
    <m/>
    <s v="Бел"/>
    <s v="Бел"/>
    <x v="29"/>
    <x v="0"/>
    <m/>
    <n v="64"/>
    <n v="20"/>
    <n v="77"/>
    <n v="73"/>
    <n v="77"/>
    <n v="79"/>
    <n v="81"/>
    <n v="41"/>
    <n v="0"/>
    <n v="1152922"/>
    <n v="96076.833333333328"/>
    <n v="0"/>
  </r>
  <r>
    <s v="Вентворт-Клаус Остин"/>
    <s v="В"/>
    <s v="В"/>
    <m/>
    <m/>
    <m/>
    <s v="Бел"/>
    <s v="Бел"/>
    <x v="29"/>
    <x v="0"/>
    <m/>
    <n v="66.428571428571431"/>
    <n v="22"/>
    <n v="81"/>
    <n v="75"/>
    <n v="79"/>
    <n v="81"/>
    <n v="83"/>
    <n v="44"/>
    <n v="0"/>
    <n v="1673205"/>
    <n v="139433.75"/>
    <n v="0"/>
  </r>
  <r>
    <s v="Грейвз Люк"/>
    <s v="З"/>
    <s v="ЦЗ"/>
    <s v="ОПЗ"/>
    <m/>
    <m/>
    <s v="Бел"/>
    <s v="Бел"/>
    <x v="29"/>
    <x v="0"/>
    <m/>
    <n v="63"/>
    <n v="20"/>
    <n v="80"/>
    <n v="71"/>
    <n v="75"/>
    <n v="77"/>
    <n v="79"/>
    <n v="39"/>
    <n v="0"/>
    <n v="984931"/>
    <n v="82077.583333333328"/>
    <n v="0"/>
  </r>
  <r>
    <s v="Пендлтон Рой"/>
    <s v="З"/>
    <s v="ЦЗ"/>
    <s v="ЛЗ"/>
    <m/>
    <m/>
    <s v="Бел"/>
    <s v="Бел"/>
    <x v="29"/>
    <x v="0"/>
    <m/>
    <n v="69.571428571428569"/>
    <n v="25"/>
    <n v="87"/>
    <n v="79"/>
    <n v="81"/>
    <n v="83"/>
    <n v="85"/>
    <n v="47"/>
    <n v="0"/>
    <n v="2656497"/>
    <n v="221374.75"/>
    <n v="0"/>
  </r>
  <r>
    <s v="Стоктон Кир"/>
    <s v="З"/>
    <s v="ЛЗ"/>
    <s v="ЦЗ"/>
    <m/>
    <m/>
    <s v="Бел"/>
    <s v="Бел"/>
    <x v="29"/>
    <x v="0"/>
    <m/>
    <n v="69.142857142857139"/>
    <n v="24"/>
    <n v="86"/>
    <n v="79"/>
    <n v="81"/>
    <n v="83"/>
    <n v="85"/>
    <n v="46"/>
    <n v="0"/>
    <n v="2497315"/>
    <n v="208109.58333333334"/>
    <n v="0"/>
  </r>
  <r>
    <s v="Уэнсбери Ян"/>
    <s v="З"/>
    <s v="ПЗ"/>
    <s v="ЛЗ"/>
    <m/>
    <m/>
    <s v="Бел"/>
    <s v="Бел"/>
    <x v="29"/>
    <x v="0"/>
    <m/>
    <n v="64.142857142857139"/>
    <n v="20"/>
    <n v="79"/>
    <n v="73"/>
    <n v="77"/>
    <n v="79"/>
    <n v="81"/>
    <n v="40"/>
    <n v="0"/>
    <n v="1178917"/>
    <n v="98243.083333333328"/>
    <n v="0"/>
  </r>
  <r>
    <s v="Эшфорд Тим"/>
    <s v="З"/>
    <s v="ПЗ"/>
    <s v="ЦЗ"/>
    <m/>
    <m/>
    <s v="Бел"/>
    <s v="Бел"/>
    <x v="29"/>
    <x v="0"/>
    <m/>
    <n v="67.428571428571431"/>
    <n v="23"/>
    <n v="85"/>
    <n v="77"/>
    <n v="79"/>
    <n v="81"/>
    <n v="83"/>
    <n v="44"/>
    <n v="0"/>
    <n v="1942852"/>
    <n v="161904.33333333334"/>
    <n v="0"/>
  </r>
  <r>
    <s v="Фрэдшоу Торвальд"/>
    <s v="Н"/>
    <s v="ЦН"/>
    <s v="ОФ"/>
    <m/>
    <m/>
    <s v="Бел"/>
    <s v="Бел"/>
    <x v="29"/>
    <x v="0"/>
    <m/>
    <n v="75.571428571428569"/>
    <n v="29"/>
    <n v="92"/>
    <n v="87"/>
    <n v="87"/>
    <n v="89"/>
    <n v="91"/>
    <n v="54"/>
    <n v="0"/>
    <n v="6075421"/>
    <n v="506285.08333333331"/>
    <n v="0"/>
  </r>
  <r>
    <s v="Пэнкрофт Эрл"/>
    <s v="Н"/>
    <s v="ОФ"/>
    <s v="ЦН"/>
    <m/>
    <m/>
    <s v="Бел"/>
    <s v="Бел"/>
    <x v="29"/>
    <x v="0"/>
    <m/>
    <n v="65.142857142857139"/>
    <n v="21"/>
    <n v="82"/>
    <n v="74"/>
    <n v="77"/>
    <n v="79"/>
    <n v="81"/>
    <n v="42"/>
    <n v="0"/>
    <n v="1376158"/>
    <n v="114679.83333333333"/>
    <n v="0"/>
  </r>
  <r>
    <s v="Уинтерборн Дан"/>
    <s v="Н"/>
    <s v="ОФ"/>
    <s v="ЦН"/>
    <m/>
    <m/>
    <s v="Бел"/>
    <s v="Бел"/>
    <x v="29"/>
    <x v="0"/>
    <m/>
    <n v="70.571428571428569"/>
    <n v="45"/>
    <n v="85"/>
    <n v="77"/>
    <n v="79"/>
    <n v="81"/>
    <n v="83"/>
    <n v="44"/>
    <n v="0"/>
    <n v="3064003"/>
    <n v="161904.33333333334"/>
    <n v="0"/>
  </r>
  <r>
    <s v="Блэквуд Кайус"/>
    <s v="П"/>
    <s v="АПЗ"/>
    <s v="ЦПЗ"/>
    <m/>
    <m/>
    <s v="Бел"/>
    <s v="Бел"/>
    <x v="29"/>
    <x v="0"/>
    <m/>
    <n v="64.714285714285708"/>
    <n v="21"/>
    <n v="81"/>
    <n v="73"/>
    <n v="77"/>
    <n v="79"/>
    <n v="81"/>
    <n v="41"/>
    <n v="0"/>
    <n v="1288255"/>
    <n v="107354.58333333333"/>
    <n v="0"/>
  </r>
  <r>
    <s v="Гетафе (П)"/>
    <s v="П"/>
    <s v="ОПЗ"/>
    <s v="ЦПЗ"/>
    <s v="ЦЗ"/>
    <s v="Бел"/>
    <s v="Бел"/>
    <s v="Бел"/>
    <x v="29"/>
    <x v="0"/>
    <m/>
    <n v="87"/>
    <n v="84"/>
    <n v="85"/>
    <n v="88"/>
    <n v="92"/>
    <n v="90"/>
    <n v="90"/>
    <n v="80"/>
    <n v="24"/>
    <n v="37263513"/>
    <n v="1659166.25"/>
    <n v="0"/>
  </r>
  <r>
    <s v="Госридж Кс"/>
    <s v="П"/>
    <s v="ППЗ"/>
    <s v="АПЗ"/>
    <m/>
    <m/>
    <s v="Бел"/>
    <s v="Бел"/>
    <x v="29"/>
    <x v="0"/>
    <m/>
    <n v="73.142857142857139"/>
    <n v="28"/>
    <n v="90"/>
    <n v="83"/>
    <n v="85"/>
    <n v="87"/>
    <n v="89"/>
    <n v="50"/>
    <n v="0"/>
    <n v="4382473"/>
    <n v="365206.08333333331"/>
    <n v="0"/>
  </r>
  <r>
    <s v="Дэшвуд Пол"/>
    <s v="П"/>
    <s v="АПЗ"/>
    <s v="ППЗ"/>
    <m/>
    <m/>
    <s v="Бел"/>
    <s v="Бел"/>
    <x v="29"/>
    <x v="0"/>
    <m/>
    <n v="69.285714285714292"/>
    <n v="24"/>
    <n v="87"/>
    <n v="79"/>
    <n v="81"/>
    <n v="83"/>
    <n v="85"/>
    <n v="46"/>
    <n v="0"/>
    <n v="2549395"/>
    <n v="212449.58333333334"/>
    <n v="0"/>
  </r>
  <r>
    <s v="Кроуфорд Дар"/>
    <s v="П"/>
    <s v="ОПЗ"/>
    <s v="ЦПЗ"/>
    <m/>
    <m/>
    <s v="Бел"/>
    <s v="Бел"/>
    <x v="29"/>
    <x v="0"/>
    <m/>
    <n v="66.428571428571431"/>
    <n v="22"/>
    <n v="83"/>
    <n v="75"/>
    <n v="79"/>
    <n v="81"/>
    <n v="83"/>
    <n v="42"/>
    <n v="0"/>
    <n v="1673205"/>
    <n v="139433.75"/>
    <n v="0"/>
  </r>
  <r>
    <s v="Ёрвовис Бузин"/>
    <s v="П"/>
    <s v="ЦПЗ"/>
    <s v="ОПЗ"/>
    <m/>
    <m/>
    <s v="Бел"/>
    <s v="Бел"/>
    <x v="29"/>
    <x v="0"/>
    <m/>
    <n v="73.142857142857139"/>
    <n v="26"/>
    <n v="91"/>
    <n v="83"/>
    <n v="85"/>
    <n v="87"/>
    <n v="89"/>
    <n v="51"/>
    <n v="0"/>
    <n v="4382473"/>
    <n v="365206.08333333331"/>
    <n v="0"/>
  </r>
  <r>
    <s v="Нельсон (П)"/>
    <s v="П"/>
    <s v="ЦПЗ"/>
    <s v="ЛПЗ"/>
    <s v="ППЗ"/>
    <s v="Бел"/>
    <s v="Бел"/>
    <s v="Бел"/>
    <x v="29"/>
    <x v="0"/>
    <m/>
    <n v="86.142857142857139"/>
    <n v="88"/>
    <n v="88"/>
    <n v="85"/>
    <n v="89"/>
    <n v="80"/>
    <n v="83"/>
    <n v="90"/>
    <n v="22"/>
    <n v="33750793"/>
    <n v="2812566.0833333335"/>
    <n v="0"/>
  </r>
  <r>
    <s v="Рэдвей Ирж"/>
    <s v="П"/>
    <s v="ППЗ"/>
    <s v="АПЗ"/>
    <m/>
    <m/>
    <s v="Бел"/>
    <s v="Бел"/>
    <x v="29"/>
    <x v="0"/>
    <m/>
    <n v="67.142857142857139"/>
    <n v="23"/>
    <n v="84"/>
    <n v="77"/>
    <n v="79"/>
    <n v="81"/>
    <n v="83"/>
    <n v="43"/>
    <n v="0"/>
    <n v="1862080"/>
    <n v="155173.33333333334"/>
    <n v="0"/>
  </r>
  <r>
    <s v="Холбрук Стан"/>
    <s v="П"/>
    <s v="ЛПЗ"/>
    <s v="ОПЗ"/>
    <m/>
    <m/>
    <s v="Бел"/>
    <s v="Бел"/>
    <x v="29"/>
    <x v="0"/>
    <m/>
    <n v="62.428571428571431"/>
    <n v="20"/>
    <n v="77"/>
    <n v="71"/>
    <n v="75"/>
    <n v="77"/>
    <n v="79"/>
    <n v="38"/>
    <n v="0"/>
    <n v="899154"/>
    <n v="74929.5"/>
    <n v="0"/>
  </r>
  <r>
    <s v="Хартвелл Элд"/>
    <s v="Т"/>
    <s v="Т"/>
    <m/>
    <m/>
    <m/>
    <s v="Бел"/>
    <s v="Бел"/>
    <x v="29"/>
    <x v="0"/>
    <m/>
    <n v="65.142857142857139"/>
    <n v="21"/>
    <n v="79"/>
    <n v="74"/>
    <n v="78"/>
    <n v="80"/>
    <n v="82"/>
    <n v="42"/>
    <n v="0"/>
    <n v="1376158"/>
    <n v="114679.83333333333"/>
    <n v="0"/>
  </r>
  <r>
    <s v="Морковский"/>
    <s v="В"/>
    <s v="В"/>
    <m/>
    <m/>
    <s v="Зол.Хол"/>
    <s v="Зол.Хол"/>
    <s v="Зол.Хол"/>
    <x v="30"/>
    <x v="0"/>
    <m/>
    <n v="59"/>
    <n v="46"/>
    <n v="60"/>
    <n v="52"/>
    <n v="55"/>
    <n v="77"/>
    <n v="78"/>
    <n v="45"/>
    <n v="0"/>
    <n v="511117"/>
    <n v="42593.083333333336"/>
    <n v="0"/>
  </r>
  <r>
    <s v="Вольсич"/>
    <s v="З"/>
    <s v="ПЗ"/>
    <m/>
    <m/>
    <s v="Зол.Хол"/>
    <s v="Зол.Хол"/>
    <s v="Зол.Хол"/>
    <x v="30"/>
    <x v="0"/>
    <m/>
    <n v="65.285714285714292"/>
    <n v="60"/>
    <n v="77"/>
    <n v="46"/>
    <n v="65"/>
    <n v="61"/>
    <n v="66"/>
    <n v="82"/>
    <n v="0"/>
    <n v="1406636"/>
    <n v="117219.66666666667"/>
    <n v="0"/>
  </r>
  <r>
    <s v="Кальпурний Гай"/>
    <s v="З"/>
    <s v="ЦЗ"/>
    <s v="ОПЗ"/>
    <m/>
    <m/>
    <s v="Зол.Хол"/>
    <s v="Зол.Хол"/>
    <x v="30"/>
    <x v="0"/>
    <m/>
    <n v="58.857142857142854"/>
    <n v="16"/>
    <n v="66"/>
    <n v="62"/>
    <n v="74"/>
    <n v="80"/>
    <n v="82"/>
    <n v="32"/>
    <n v="0"/>
    <n v="498876"/>
    <n v="41573"/>
    <n v="0"/>
  </r>
  <r>
    <s v="Квинтилий Тит"/>
    <s v="З"/>
    <s v="ПЗ"/>
    <s v="ЦЗ"/>
    <m/>
    <m/>
    <s v="Зол.Хол"/>
    <s v="Зол.Хол"/>
    <x v="30"/>
    <x v="0"/>
    <m/>
    <n v="66.285714285714292"/>
    <n v="23"/>
    <n v="76"/>
    <n v="70"/>
    <n v="82"/>
    <n v="84"/>
    <n v="86"/>
    <n v="43"/>
    <n v="0"/>
    <n v="1637569"/>
    <n v="136464.08333333334"/>
    <n v="0"/>
  </r>
  <r>
    <s v="Пельменнов"/>
    <s v="З"/>
    <s v="ЦЗ"/>
    <s v="ОПЗ"/>
    <m/>
    <s v="Зол.Хол"/>
    <s v="Зол.Хол"/>
    <s v="Зол.Хол"/>
    <x v="30"/>
    <x v="0"/>
    <m/>
    <n v="67.857142857142861"/>
    <n v="55"/>
    <n v="74"/>
    <n v="53"/>
    <n v="65"/>
    <n v="82"/>
    <n v="81"/>
    <n v="65"/>
    <n v="0"/>
    <n v="2069931"/>
    <n v="172494.25"/>
    <n v="0"/>
  </r>
  <r>
    <s v="Тлинди"/>
    <s v="З"/>
    <s v="ЛЗ"/>
    <m/>
    <m/>
    <s v="Зол.Хол"/>
    <s v="Зол.Хол"/>
    <s v="Зол.Хол"/>
    <x v="30"/>
    <x v="0"/>
    <m/>
    <n v="60.428571428571431"/>
    <n v="51"/>
    <n v="73"/>
    <n v="52"/>
    <n v="55"/>
    <n v="61"/>
    <n v="69"/>
    <n v="62"/>
    <n v="0"/>
    <n v="649267"/>
    <n v="54105.583333333336"/>
    <n v="0"/>
  </r>
  <r>
    <s v="Цайкаров"/>
    <s v="З"/>
    <s v="ПЗ"/>
    <m/>
    <m/>
    <s v="Зол.Хол"/>
    <s v="Зол.Хол"/>
    <s v="Зол.Хол"/>
    <x v="30"/>
    <x v="0"/>
    <m/>
    <n v="61.571428571428569"/>
    <n v="52"/>
    <n v="72"/>
    <n v="51"/>
    <n v="80"/>
    <n v="52"/>
    <n v="63"/>
    <n v="61"/>
    <n v="0"/>
    <n v="783056"/>
    <n v="65254.666666666664"/>
    <n v="0"/>
  </r>
  <r>
    <s v="Дормент"/>
    <s v="Н"/>
    <s v="ЦН"/>
    <m/>
    <m/>
    <s v="Зол.Хол"/>
    <s v="Зол.Хол"/>
    <s v="Зол.Хол"/>
    <x v="30"/>
    <x v="0"/>
    <m/>
    <n v="68.857142857142861"/>
    <n v="46"/>
    <n v="74"/>
    <n v="77"/>
    <n v="74"/>
    <n v="70"/>
    <n v="80"/>
    <n v="61"/>
    <n v="0"/>
    <n v="2396018"/>
    <n v="199668.16666666666"/>
    <n v="0"/>
  </r>
  <r>
    <s v="Тиберий Квинт"/>
    <s v="Н"/>
    <s v="ОФ"/>
    <s v="ЦН"/>
    <m/>
    <m/>
    <s v="Зол.Хол"/>
    <s v="Зол.Хол"/>
    <x v="30"/>
    <x v="0"/>
    <m/>
    <n v="68"/>
    <n v="24"/>
    <n v="80"/>
    <n v="80"/>
    <n v="81"/>
    <n v="82"/>
    <n v="85"/>
    <n v="44"/>
    <n v="0"/>
    <n v="2113923"/>
    <n v="176160.25"/>
    <n v="0"/>
  </r>
  <r>
    <s v="Якив Пол"/>
    <s v="Н"/>
    <s v="ЦН"/>
    <m/>
    <m/>
    <s v="Зол.Хол"/>
    <s v="Зол.Хол"/>
    <s v="Зол.Хол"/>
    <x v="30"/>
    <x v="0"/>
    <m/>
    <n v="70"/>
    <n v="53"/>
    <n v="80"/>
    <n v="76"/>
    <n v="71"/>
    <n v="69"/>
    <n v="78"/>
    <n v="63"/>
    <n v="0"/>
    <n v="2824753"/>
    <n v="235396.08333333334"/>
    <n v="0"/>
  </r>
  <r>
    <s v="Алерий Марк"/>
    <s v="П"/>
    <s v="ОПЗ"/>
    <s v="ЦПЗ"/>
    <m/>
    <m/>
    <s v="Зол.Хол"/>
    <s v="Зол.Хол"/>
    <x v="30"/>
    <x v="0"/>
    <m/>
    <n v="56.142857142857146"/>
    <n v="18"/>
    <n v="62"/>
    <n v="62"/>
    <n v="70"/>
    <n v="74"/>
    <n v="77"/>
    <n v="30"/>
    <n v="0"/>
    <n v="311133"/>
    <n v="25927.75"/>
    <n v="0"/>
  </r>
  <r>
    <s v="Гракх Авл"/>
    <s v="П"/>
    <s v="ППЗ"/>
    <s v="АПЗ"/>
    <m/>
    <m/>
    <s v="Зол.Хол"/>
    <s v="Зол.Хол"/>
    <x v="30"/>
    <x v="0"/>
    <m/>
    <n v="59.428571428571431"/>
    <n v="19"/>
    <n v="70"/>
    <n v="68"/>
    <n v="76"/>
    <n v="74"/>
    <n v="76"/>
    <n v="33"/>
    <n v="0"/>
    <n v="549482"/>
    <n v="45790.166666666664"/>
    <n v="0"/>
  </r>
  <r>
    <s v="Деций Секст"/>
    <s v="П"/>
    <s v="ЦПЗ"/>
    <s v="ОПЗ"/>
    <m/>
    <m/>
    <s v="Зол.Хол"/>
    <s v="Зол.Хол"/>
    <x v="30"/>
    <x v="0"/>
    <m/>
    <n v="65.571428571428569"/>
    <n v="24"/>
    <n v="78"/>
    <n v="74"/>
    <n v="84"/>
    <n v="78"/>
    <n v="80"/>
    <n v="41"/>
    <n v="0"/>
    <n v="1469422"/>
    <n v="122451.83333333333"/>
    <n v="0"/>
  </r>
  <r>
    <s v="Керсар"/>
    <s v="П"/>
    <s v="ЦПЗ"/>
    <s v="ППЗ"/>
    <m/>
    <s v="Зол.Хол"/>
    <s v="Зол.Хол"/>
    <s v="Зол.Хол"/>
    <x v="30"/>
    <x v="0"/>
    <m/>
    <n v="64.142857142857139"/>
    <n v="44"/>
    <n v="68"/>
    <n v="63"/>
    <n v="67"/>
    <n v="70"/>
    <n v="71"/>
    <n v="66"/>
    <n v="0"/>
    <n v="1178917"/>
    <n v="62289"/>
    <n v="0"/>
  </r>
  <r>
    <s v="Кластен Пуби"/>
    <s v="П"/>
    <s v="ППЗ"/>
    <s v="ЛПЗ"/>
    <m/>
    <m/>
    <s v="Зол.Хол"/>
    <s v="Зол.Хол"/>
    <x v="30"/>
    <x v="0"/>
    <m/>
    <n v="57.142857142857146"/>
    <n v="18"/>
    <n v="64"/>
    <n v="66"/>
    <n v="74"/>
    <n v="72"/>
    <n v="75"/>
    <n v="31"/>
    <n v="0"/>
    <n v="371210"/>
    <n v="30934.166666666668"/>
    <n v="0"/>
  </r>
  <r>
    <s v="Ловстин"/>
    <s v="П"/>
    <s v="ЦПЗ"/>
    <m/>
    <m/>
    <s v="Зол.Хол"/>
    <s v="Зол.Хол"/>
    <s v="Зол.Хол"/>
    <x v="30"/>
    <x v="0"/>
    <m/>
    <n v="64.142857142857139"/>
    <n v="45"/>
    <n v="77"/>
    <n v="66"/>
    <n v="68"/>
    <n v="72"/>
    <n v="77"/>
    <n v="44"/>
    <n v="0"/>
    <n v="1178917"/>
    <n v="12381.333333333334"/>
    <n v="0"/>
  </r>
  <r>
    <s v="Маленко"/>
    <s v="П"/>
    <s v="ОПЗ"/>
    <m/>
    <m/>
    <s v="Зол.Хол"/>
    <s v="Зол.Хол"/>
    <s v="Зол.Хол"/>
    <x v="30"/>
    <x v="0"/>
    <m/>
    <n v="63.714285714285715"/>
    <n v="41"/>
    <n v="70"/>
    <n v="65"/>
    <n v="69"/>
    <n v="69"/>
    <n v="72"/>
    <n v="60"/>
    <n v="0"/>
    <n v="1102474"/>
    <n v="68346.666666666672"/>
    <n v="0"/>
  </r>
  <r>
    <s v="Сервилий Гней"/>
    <s v="П"/>
    <s v="АПЗ"/>
    <s v="ЦПЗ"/>
    <m/>
    <m/>
    <s v="Зол.Хол"/>
    <s v="Зол.Хол"/>
    <x v="30"/>
    <x v="0"/>
    <m/>
    <n v="54.714285714285715"/>
    <n v="16"/>
    <n v="60"/>
    <n v="64"/>
    <n v="72"/>
    <n v="70"/>
    <n v="73"/>
    <n v="28"/>
    <n v="0"/>
    <n v="240441"/>
    <n v="20036.75"/>
    <n v="0"/>
  </r>
  <r>
    <s v="Фабий Луций"/>
    <s v="П"/>
    <s v="ЛПЗ"/>
    <s v="ОПЗ"/>
    <m/>
    <m/>
    <s v="Зол.Хол"/>
    <s v="Зол.Хол"/>
    <x v="30"/>
    <x v="0"/>
    <m/>
    <n v="61.571428571428569"/>
    <n v="21"/>
    <n v="72"/>
    <n v="68"/>
    <n v="80"/>
    <n v="76"/>
    <n v="78"/>
    <n v="36"/>
    <n v="0"/>
    <n v="783056"/>
    <n v="65254.666666666664"/>
    <n v="0"/>
  </r>
  <r>
    <s v="Феллингтон"/>
    <s v="П"/>
    <s v="ОПЗ"/>
    <s v="ЦЗ"/>
    <m/>
    <s v="Зол.Хол"/>
    <s v="Зол.Хол"/>
    <s v="Зол.Хол"/>
    <x v="30"/>
    <x v="0"/>
    <m/>
    <n v="69.714285714285708"/>
    <n v="50"/>
    <n v="69"/>
    <n v="72"/>
    <n v="73"/>
    <n v="72"/>
    <n v="80"/>
    <n v="72"/>
    <n v="12"/>
    <n v="4067327"/>
    <n v="338943.91666666669"/>
    <n v="0"/>
  </r>
  <r>
    <s v="Флавиан Люций"/>
    <s v="Т"/>
    <s v="Т"/>
    <m/>
    <m/>
    <m/>
    <s v="Зол.Хол"/>
    <s v="Зол.Хол"/>
    <x v="30"/>
    <x v="0"/>
    <m/>
    <n v="61.857142857142854"/>
    <n v="21"/>
    <n v="72"/>
    <n v="66"/>
    <n v="76"/>
    <n v="78"/>
    <n v="80"/>
    <n v="40"/>
    <n v="0"/>
    <n v="820160"/>
    <n v="68346.666666666672"/>
    <n v="0"/>
  </r>
  <r>
    <s v="Рябка (В)"/>
    <s v="В"/>
    <s v="В"/>
    <m/>
    <m/>
    <s v="Над"/>
    <s v="Над"/>
    <s v="Над"/>
    <x v="31"/>
    <x v="0"/>
    <m/>
    <n v="90"/>
    <n v="90"/>
    <n v="88"/>
    <n v="85"/>
    <n v="94"/>
    <n v="92"/>
    <n v="91"/>
    <n v="90"/>
    <n v="31"/>
    <n v="52301767"/>
    <n v="4358480.583333333"/>
    <n v="0"/>
  </r>
  <r>
    <s v="Виль (З)"/>
    <s v="З"/>
    <s v="ЦЗ"/>
    <s v="ОПЗ"/>
    <m/>
    <s v="Бел"/>
    <s v="Бел"/>
    <s v="Бел"/>
    <x v="31"/>
    <x v="0"/>
    <m/>
    <n v="87"/>
    <n v="80"/>
    <n v="78"/>
    <n v="85"/>
    <n v="86"/>
    <n v="93"/>
    <n v="95"/>
    <n v="92"/>
    <n v="26"/>
    <n v="37263513"/>
    <n v="3105292.75"/>
    <n v="0"/>
  </r>
  <r>
    <s v="Вульн (З)"/>
    <s v="З"/>
    <s v="ЦЗ"/>
    <s v="ПЗ"/>
    <m/>
    <s v="Бел"/>
    <s v="Бел"/>
    <s v="Бел"/>
    <x v="31"/>
    <x v="0"/>
    <m/>
    <n v="85.714285714285708"/>
    <n v="77"/>
    <n v="75"/>
    <n v="80"/>
    <n v="88"/>
    <n v="95"/>
    <n v="91"/>
    <n v="94"/>
    <n v="26"/>
    <n v="32108748"/>
    <n v="2675729"/>
    <n v="0"/>
  </r>
  <r>
    <s v="Дорбинс Ун"/>
    <s v="З"/>
    <s v="ПЗ"/>
    <s v="ЛЗ"/>
    <m/>
    <m/>
    <s v="Над"/>
    <s v="Над"/>
    <x v="31"/>
    <x v="0"/>
    <m/>
    <n v="69.571428571428569"/>
    <n v="35"/>
    <n v="85"/>
    <n v="71"/>
    <n v="77"/>
    <n v="80"/>
    <n v="84"/>
    <n v="55"/>
    <n v="23"/>
    <n v="3984745"/>
    <n v="332062.08333333331"/>
    <n v="0"/>
  </r>
  <r>
    <s v="Зярупка"/>
    <s v="З"/>
    <s v="ЛЗ"/>
    <s v="ПЗ"/>
    <m/>
    <s v="Над"/>
    <s v="Над"/>
    <s v="Над"/>
    <x v="31"/>
    <x v="0"/>
    <m/>
    <n v="82.857142857142861"/>
    <n v="74"/>
    <n v="90"/>
    <n v="81"/>
    <n v="85"/>
    <n v="84"/>
    <n v="86"/>
    <n v="80"/>
    <n v="26"/>
    <n v="22876564"/>
    <n v="1906380.3333333333"/>
    <n v="0"/>
  </r>
  <r>
    <s v="Идер (З)"/>
    <s v="З"/>
    <s v="ЦЗ"/>
    <s v="ПЗ"/>
    <m/>
    <s v="Над"/>
    <s v="Над"/>
    <s v="Над"/>
    <x v="31"/>
    <x v="0"/>
    <m/>
    <n v="86.571428571428569"/>
    <n v="82"/>
    <n v="83"/>
    <n v="88"/>
    <n v="90"/>
    <n v="89"/>
    <n v="94"/>
    <n v="80"/>
    <n v="26"/>
    <n v="35468033"/>
    <n v="2955669.4166666665"/>
    <n v="0"/>
  </r>
  <r>
    <s v="Кляус Торби"/>
    <s v="З"/>
    <s v="ПЗ"/>
    <s v="ЛЗ"/>
    <m/>
    <m/>
    <s v="Над"/>
    <s v="Над"/>
    <x v="31"/>
    <x v="0"/>
    <m/>
    <n v="70.142857142857139"/>
    <n v="36"/>
    <n v="87"/>
    <n v="70"/>
    <n v="78"/>
    <n v="80"/>
    <n v="85"/>
    <n v="55"/>
    <n v="23"/>
    <n v="4324400"/>
    <n v="360366.66666666669"/>
    <n v="0"/>
  </r>
  <r>
    <s v="Ляупяка (З)"/>
    <s v="З"/>
    <s v="ЦЗ"/>
    <s v="ЛЗ"/>
    <s v="ПЗ"/>
    <s v="Над"/>
    <s v="Над"/>
    <s v="Над"/>
    <x v="31"/>
    <x v="0"/>
    <m/>
    <n v="92.285714285714292"/>
    <n v="93"/>
    <n v="86"/>
    <n v="100"/>
    <n v="92"/>
    <n v="95"/>
    <n v="93"/>
    <n v="87"/>
    <n v="1"/>
    <n v="67210332"/>
    <n v="5600861"/>
    <n v="0"/>
  </r>
  <r>
    <s v="Эхонтис"/>
    <s v="З"/>
    <s v="ЦЗ"/>
    <s v="ПЗ"/>
    <s v="ЛЗ"/>
    <s v="Над"/>
    <s v="Над"/>
    <s v="Над"/>
    <x v="31"/>
    <x v="0"/>
    <m/>
    <n v="83.714285714285708"/>
    <n v="78"/>
    <n v="80"/>
    <n v="84"/>
    <n v="87"/>
    <n v="91"/>
    <n v="90"/>
    <n v="76"/>
    <n v="26"/>
    <n v="25356367"/>
    <n v="2113030.5833333335"/>
    <n v="0"/>
  </r>
  <r>
    <s v="Азар (Н)"/>
    <s v="Н"/>
    <s v="ОФ"/>
    <s v="ППЗ"/>
    <s v="АПЗ"/>
    <s v="Ард"/>
    <s v="Ард"/>
    <s v="Ард"/>
    <x v="31"/>
    <x v="0"/>
    <m/>
    <n v="88"/>
    <n v="82"/>
    <n v="95"/>
    <n v="90"/>
    <n v="95"/>
    <n v="80"/>
    <n v="82"/>
    <n v="92"/>
    <n v="8"/>
    <n v="41775147"/>
    <n v="3481262.25"/>
    <n v="0"/>
  </r>
  <r>
    <s v="Габыш Олег"/>
    <s v="Н"/>
    <s v="ЦН"/>
    <m/>
    <m/>
    <m/>
    <s v="Над"/>
    <s v="Над"/>
    <x v="31"/>
    <x v="0"/>
    <m/>
    <n v="69.285714285714292"/>
    <n v="40"/>
    <n v="80"/>
    <n v="85"/>
    <n v="70"/>
    <n v="78"/>
    <n v="92"/>
    <n v="40"/>
    <n v="6"/>
    <n v="3824092"/>
    <n v="318674.33333333331"/>
    <n v="0"/>
  </r>
  <r>
    <s v="Дудер (Н)"/>
    <s v="Н"/>
    <s v="ОФ"/>
    <m/>
    <m/>
    <s v="Кирп"/>
    <s v="Кирп"/>
    <s v="Кирп"/>
    <x v="31"/>
    <x v="0"/>
    <m/>
    <n v="93.285714285714292"/>
    <n v="94"/>
    <n v="96"/>
    <n v="95"/>
    <n v="97"/>
    <n v="86"/>
    <n v="87"/>
    <n v="98"/>
    <n v="8"/>
    <n v="74858768"/>
    <n v="6238230.666666667"/>
    <n v="0"/>
  </r>
  <r>
    <s v="Рябов (Н)"/>
    <s v="Н"/>
    <s v="ЦН"/>
    <s v="ОФ"/>
    <m/>
    <s v="Над"/>
    <s v="Над"/>
    <s v="Над"/>
    <x v="31"/>
    <x v="0"/>
    <m/>
    <n v="78"/>
    <n v="70"/>
    <n v="80"/>
    <n v="84"/>
    <n v="85"/>
    <n v="80"/>
    <n v="87"/>
    <n v="60"/>
    <n v="25"/>
    <n v="12503664"/>
    <n v="1041972"/>
    <n v="0"/>
  </r>
  <r>
    <s v="Б.Оял"/>
    <s v="П"/>
    <s v="ППЗ"/>
    <s v="ОПЗ"/>
    <s v="АПЗ"/>
    <s v="Кирп"/>
    <s v="Кирп"/>
    <s v="Кирп"/>
    <x v="31"/>
    <x v="0"/>
    <m/>
    <n v="93"/>
    <n v="93"/>
    <n v="95"/>
    <n v="93"/>
    <n v="94"/>
    <n v="91"/>
    <n v="90"/>
    <n v="95"/>
    <n v="19"/>
    <n v="72597347"/>
    <n v="6049778.916666667"/>
    <n v="0"/>
  </r>
  <r>
    <s v="Базиль (П)"/>
    <s v="П"/>
    <s v="ЛПЗ"/>
    <s v="ППЗ"/>
    <s v="ЦПЗ"/>
    <s v="Над"/>
    <s v="Лион"/>
    <s v="Лион"/>
    <x v="31"/>
    <x v="0"/>
    <m/>
    <n v="83.142857142857139"/>
    <n v="80"/>
    <n v="86"/>
    <n v="86"/>
    <n v="85"/>
    <n v="80"/>
    <n v="85"/>
    <n v="80"/>
    <n v="22"/>
    <n v="23677765"/>
    <n v="1973147.0833333333"/>
    <n v="0"/>
  </r>
  <r>
    <s v="Глэй"/>
    <s v="П"/>
    <s v="ОПЗ"/>
    <s v="ЦЗ"/>
    <s v="ЦПЗ"/>
    <s v="Над"/>
    <s v="Над"/>
    <s v="Над"/>
    <x v="31"/>
    <x v="0"/>
    <m/>
    <n v="73.142857142857139"/>
    <n v="63"/>
    <n v="82"/>
    <n v="79"/>
    <n v="83"/>
    <n v="80"/>
    <n v="85"/>
    <n v="40"/>
    <n v="0"/>
    <n v="4382473"/>
    <n v="365206.08333333331"/>
    <n v="0"/>
  </r>
  <r>
    <s v="Клэйрон Харье"/>
    <s v="П"/>
    <s v="ЦПЗ"/>
    <s v="ОПЗ"/>
    <m/>
    <m/>
    <s v="Над"/>
    <s v="Над"/>
    <x v="31"/>
    <x v="0"/>
    <m/>
    <n v="70.857142857142861"/>
    <n v="38"/>
    <n v="82"/>
    <n v="78"/>
    <n v="80"/>
    <n v="83"/>
    <n v="85"/>
    <n v="50"/>
    <n v="18"/>
    <n v="4785504"/>
    <n v="398792"/>
    <n v="0"/>
  </r>
  <r>
    <s v="Ромуло (П)"/>
    <s v="П"/>
    <s v="ППЗ"/>
    <s v="АПЗ"/>
    <s v="ЦПЗ"/>
    <s v="Над"/>
    <s v="Над"/>
    <s v="Над"/>
    <x v="31"/>
    <x v="0"/>
    <m/>
    <n v="87.142857142857139"/>
    <n v="85"/>
    <n v="92"/>
    <n v="85"/>
    <n v="88"/>
    <n v="88"/>
    <n v="87"/>
    <n v="85"/>
    <n v="3"/>
    <n v="37879934"/>
    <n v="3156661.1666666665"/>
    <n v="0"/>
  </r>
  <r>
    <s v="Скерт (П)"/>
    <s v="П"/>
    <s v="ППЗ"/>
    <s v="ЛПЗ"/>
    <s v="ОПЗ"/>
    <s v="Б.Л."/>
    <s v="Б.Л."/>
    <s v="Б.Л."/>
    <x v="31"/>
    <x v="0"/>
    <m/>
    <n v="86"/>
    <n v="80"/>
    <n v="96"/>
    <n v="85"/>
    <n v="88"/>
    <n v="83"/>
    <n v="84"/>
    <n v="86"/>
    <n v="3"/>
    <n v="33195237"/>
    <n v="2766269.75"/>
    <n v="0"/>
  </r>
  <r>
    <s v="Тихошин (П)"/>
    <s v="П"/>
    <s v="АПЗ"/>
    <s v="ЦН"/>
    <m/>
    <s v="Нал"/>
    <s v="Нал"/>
    <s v="Нал"/>
    <x v="31"/>
    <x v="0"/>
    <m/>
    <n v="88.571428571428569"/>
    <n v="88"/>
    <n v="87"/>
    <n v="92"/>
    <n v="88"/>
    <n v="88"/>
    <n v="90"/>
    <n v="87"/>
    <n v="17"/>
    <n v="44568473"/>
    <n v="3714039.4166666665"/>
    <n v="0"/>
  </r>
  <r>
    <s v="Эха (П)"/>
    <s v="П"/>
    <s v="ППЗ"/>
    <s v="ОПЗ"/>
    <m/>
    <s v="Над"/>
    <s v="Над"/>
    <s v="Над"/>
    <x v="31"/>
    <x v="0"/>
    <m/>
    <n v="87.285714285714292"/>
    <n v="88"/>
    <n v="96"/>
    <n v="87"/>
    <n v="88"/>
    <n v="83"/>
    <n v="83"/>
    <n v="86"/>
    <n v="3"/>
    <n v="38505518"/>
    <n v="3208793.1666666665"/>
    <n v="0"/>
  </r>
  <r>
    <s v="Крабитор"/>
    <s v="Т"/>
    <s v="Т"/>
    <m/>
    <m/>
    <m/>
    <s v="Над"/>
    <s v="Над"/>
    <x v="31"/>
    <x v="0"/>
    <m/>
    <n v="81.428571428571431"/>
    <n v="66"/>
    <n v="93"/>
    <n v="88"/>
    <n v="85"/>
    <n v="82"/>
    <n v="83"/>
    <n v="73"/>
    <n v="0"/>
    <n v="12816463"/>
    <n v="1068038.5833333333"/>
    <n v="0"/>
  </r>
  <r>
    <s v="Горчинский"/>
    <s v="В"/>
    <s v="В"/>
    <m/>
    <m/>
    <s v="Заг"/>
    <s v="Заг"/>
    <s v="Заг"/>
    <x v="32"/>
    <x v="0"/>
    <m/>
    <n v="71"/>
    <n v="44"/>
    <n v="80"/>
    <n v="75"/>
    <n v="90"/>
    <n v="75"/>
    <n v="73"/>
    <n v="60"/>
    <n v="0"/>
    <n v="3255244"/>
    <n v="66784.583333333328"/>
    <n v="0"/>
  </r>
  <r>
    <s v="Гронский Эрик"/>
    <s v="В"/>
    <s v="В"/>
    <m/>
    <m/>
    <m/>
    <s v="Заг"/>
    <s v="Заг"/>
    <x v="32"/>
    <x v="0"/>
    <m/>
    <n v="57.285714285714285"/>
    <n v="25"/>
    <n v="59"/>
    <n v="36"/>
    <n v="83"/>
    <n v="72"/>
    <n v="68"/>
    <n v="58"/>
    <n v="0"/>
    <n v="380596"/>
    <n v="31716.333333333332"/>
    <n v="0"/>
  </r>
  <r>
    <s v="Алианс"/>
    <s v="З"/>
    <s v="ПЗ"/>
    <s v="ЦЗ"/>
    <m/>
    <s v="Заг"/>
    <s v="Заг"/>
    <s v="Заг"/>
    <x v="32"/>
    <x v="0"/>
    <m/>
    <n v="66.428571428571431"/>
    <n v="51"/>
    <n v="72"/>
    <n v="85"/>
    <n v="57"/>
    <n v="60"/>
    <n v="65"/>
    <n v="75"/>
    <n v="0"/>
    <n v="1673205"/>
    <n v="139433.75"/>
    <n v="0"/>
  </r>
  <r>
    <s v="Балтин Марк"/>
    <s v="З"/>
    <s v="ЦЗ"/>
    <s v="ЛЗ"/>
    <m/>
    <m/>
    <s v="Заг"/>
    <s v="Заг"/>
    <x v="32"/>
    <x v="0"/>
    <m/>
    <n v="61.285714285714285"/>
    <n v="33"/>
    <n v="71"/>
    <n v="47"/>
    <n v="79"/>
    <n v="68"/>
    <n v="70"/>
    <n v="61"/>
    <n v="0"/>
    <n v="747468"/>
    <n v="62289"/>
    <n v="0"/>
  </r>
  <r>
    <s v="Бартон"/>
    <s v="З"/>
    <s v="ЦЗ"/>
    <s v="ЛЗ"/>
    <m/>
    <s v="Заг"/>
    <s v="Заг"/>
    <s v="Заг"/>
    <x v="32"/>
    <x v="0"/>
    <m/>
    <n v="66.142857142857139"/>
    <n v="50"/>
    <n v="70"/>
    <n v="44"/>
    <n v="84"/>
    <n v="70"/>
    <n v="72"/>
    <n v="73"/>
    <n v="0"/>
    <n v="1602617"/>
    <n v="133551.41666666666"/>
    <n v="0"/>
  </r>
  <r>
    <s v="Бомбич"/>
    <s v="З"/>
    <s v="ПЗ"/>
    <s v="ОПЗ"/>
    <m/>
    <s v="Заг"/>
    <s v="Заг"/>
    <s v="Заг"/>
    <x v="32"/>
    <x v="0"/>
    <m/>
    <n v="66.857142857142861"/>
    <n v="38"/>
    <n v="75"/>
    <n v="77"/>
    <n v="63"/>
    <n v="82"/>
    <n v="67"/>
    <n v="66"/>
    <n v="0"/>
    <n v="1784343"/>
    <n v="148695.25"/>
    <n v="0"/>
  </r>
  <r>
    <s v="Вангут"/>
    <s v="З"/>
    <s v="ЦЗ"/>
    <m/>
    <m/>
    <s v="Заг"/>
    <s v="Заг"/>
    <s v="Заг"/>
    <x v="32"/>
    <x v="0"/>
    <m/>
    <n v="69.428571428571431"/>
    <n v="50"/>
    <n v="70"/>
    <n v="52"/>
    <n v="80"/>
    <n v="74"/>
    <n v="80"/>
    <n v="80"/>
    <n v="0"/>
    <n v="2602450"/>
    <n v="23406.416666666668"/>
    <n v="0"/>
  </r>
  <r>
    <s v="Гордин Лука"/>
    <s v="З"/>
    <s v="ЦЗ"/>
    <s v="ОПЗ"/>
    <m/>
    <m/>
    <s v="Заг"/>
    <s v="Заг"/>
    <x v="32"/>
    <x v="0"/>
    <m/>
    <n v="61"/>
    <n v="38"/>
    <n v="56"/>
    <n v="52"/>
    <n v="75"/>
    <n v="74"/>
    <n v="73"/>
    <n v="59"/>
    <n v="0"/>
    <n v="713343"/>
    <n v="59445.25"/>
    <n v="0"/>
  </r>
  <r>
    <s v="Долговой"/>
    <s v="З"/>
    <s v="ЦЗ"/>
    <s v="ОПЗ"/>
    <m/>
    <s v="Заг"/>
    <s v="Заг"/>
    <s v="Заг"/>
    <x v="32"/>
    <x v="0"/>
    <m/>
    <n v="68.285714285714292"/>
    <n v="52"/>
    <n v="53"/>
    <n v="50"/>
    <n v="83"/>
    <n v="81"/>
    <n v="78"/>
    <n v="81"/>
    <n v="0"/>
    <n v="2204442"/>
    <n v="183703.5"/>
    <n v="0"/>
  </r>
  <r>
    <s v="Жортан"/>
    <s v="З"/>
    <s v="ЦЗ"/>
    <m/>
    <m/>
    <s v="Заг"/>
    <s v="Заг"/>
    <s v="Заг"/>
    <x v="32"/>
    <x v="0"/>
    <m/>
    <n v="67.857142857142861"/>
    <n v="61"/>
    <n v="60"/>
    <n v="73"/>
    <n v="60"/>
    <n v="73"/>
    <n v="75"/>
    <n v="73"/>
    <n v="0"/>
    <n v="2069931"/>
    <n v="172494.25"/>
    <n v="0"/>
  </r>
  <r>
    <s v="Турбин Яков"/>
    <s v="З"/>
    <s v="ПЗ"/>
    <s v="ЛЗ"/>
    <m/>
    <m/>
    <s v="Заг"/>
    <s v="Заг"/>
    <x v="32"/>
    <x v="0"/>
    <m/>
    <n v="53"/>
    <n v="21"/>
    <n v="67"/>
    <n v="43"/>
    <n v="61"/>
    <n v="65"/>
    <n v="64"/>
    <n v="50"/>
    <n v="0"/>
    <n v="174888"/>
    <n v="14574"/>
    <n v="0"/>
  </r>
  <r>
    <s v="Турмук"/>
    <s v="З"/>
    <s v="ЦЗ"/>
    <s v="ОПЗ"/>
    <m/>
    <s v="Заг"/>
    <s v="Заг"/>
    <s v="Заг"/>
    <x v="32"/>
    <x v="0"/>
    <m/>
    <n v="53.142857142857146"/>
    <n v="38"/>
    <n v="61"/>
    <n v="51"/>
    <n v="36"/>
    <n v="56"/>
    <n v="63"/>
    <n v="67"/>
    <n v="0"/>
    <n v="179660"/>
    <n v="14971.666666666666"/>
    <n v="0"/>
  </r>
  <r>
    <s v="Штернберг Пол"/>
    <s v="З"/>
    <s v="ПЗ"/>
    <s v="ЦЗ"/>
    <m/>
    <m/>
    <s v="Заг"/>
    <s v="Заг"/>
    <x v="32"/>
    <x v="0"/>
    <m/>
    <n v="59.285714285714285"/>
    <n v="29"/>
    <n v="63"/>
    <n v="58"/>
    <n v="65"/>
    <n v="76"/>
    <n v="69"/>
    <n v="55"/>
    <n v="0"/>
    <n v="536415"/>
    <n v="44701.25"/>
    <n v="0"/>
  </r>
  <r>
    <s v="Гартвиг Нильс"/>
    <s v="Н"/>
    <s v="ЦН"/>
    <s v="ОФ"/>
    <m/>
    <m/>
    <s v="Заг"/>
    <s v="Заг"/>
    <x v="32"/>
    <x v="0"/>
    <m/>
    <n v="59"/>
    <n v="31"/>
    <n v="68"/>
    <n v="57"/>
    <n v="64"/>
    <n v="73"/>
    <n v="67"/>
    <n v="53"/>
    <n v="0"/>
    <n v="511117"/>
    <n v="42593.083333333336"/>
    <n v="0"/>
  </r>
  <r>
    <s v="Манконов"/>
    <s v="Н"/>
    <s v="ОФ"/>
    <s v="ЦН"/>
    <m/>
    <s v="Заг"/>
    <s v="Заг"/>
    <s v="Заг"/>
    <x v="32"/>
    <x v="0"/>
    <m/>
    <n v="54.857142857142854"/>
    <n v="20"/>
    <n v="60"/>
    <n v="61"/>
    <n v="63"/>
    <n v="65"/>
    <n v="75"/>
    <n v="40"/>
    <n v="0"/>
    <n v="246793"/>
    <n v="20566.083333333332"/>
    <n v="0"/>
  </r>
  <r>
    <s v="Торчинский"/>
    <s v="Н"/>
    <s v="ЦН"/>
    <s v="ОФ"/>
    <m/>
    <s v="Заг"/>
    <s v="Заг"/>
    <s v="Заг"/>
    <x v="32"/>
    <x v="0"/>
    <m/>
    <n v="69.714285714285708"/>
    <n v="50"/>
    <n v="70"/>
    <n v="75"/>
    <n v="73"/>
    <n v="77"/>
    <n v="80"/>
    <n v="63"/>
    <n v="0"/>
    <n v="2711552"/>
    <n v="225962.66666666666"/>
    <n v="0"/>
  </r>
  <r>
    <s v="Эх Вайсти"/>
    <s v="Н"/>
    <s v="ОФ"/>
    <s v="АПЗ"/>
    <m/>
    <s v="Заг"/>
    <s v="Заг"/>
    <s v="Заг"/>
    <x v="32"/>
    <x v="0"/>
    <m/>
    <n v="58.142857142857146"/>
    <n v="30"/>
    <n v="72"/>
    <n v="60"/>
    <n v="65"/>
    <n v="66"/>
    <n v="63"/>
    <n v="51"/>
    <n v="0"/>
    <n v="441534"/>
    <n v="36794.5"/>
    <n v="0"/>
  </r>
  <r>
    <s v="Вортан Тим"/>
    <s v="П"/>
    <s v="ППЗ"/>
    <s v="АПЗ"/>
    <m/>
    <m/>
    <s v="Заг"/>
    <s v="Заг"/>
    <x v="32"/>
    <x v="0"/>
    <m/>
    <n v="55.142857142857146"/>
    <n v="27"/>
    <n v="69"/>
    <n v="48"/>
    <n v="63"/>
    <n v="61"/>
    <n v="66"/>
    <n v="52"/>
    <n v="0"/>
    <n v="259952"/>
    <n v="21662.666666666668"/>
    <n v="0"/>
  </r>
  <r>
    <s v="Горвунов"/>
    <s v="П"/>
    <s v="ЦПЗ"/>
    <s v="ОПЗ"/>
    <m/>
    <s v="Заг"/>
    <s v="Заг"/>
    <s v="Заг"/>
    <x v="32"/>
    <x v="0"/>
    <m/>
    <n v="60.142857142857146"/>
    <n v="44"/>
    <n v="63"/>
    <n v="67"/>
    <n v="59"/>
    <n v="63"/>
    <n v="77"/>
    <n v="48"/>
    <n v="0"/>
    <n v="619214"/>
    <n v="51601.166666666664"/>
    <n v="0"/>
  </r>
  <r>
    <s v="Зборовский Ян"/>
    <s v="П"/>
    <s v="ЛПЗ"/>
    <s v="ЦПЗ"/>
    <m/>
    <m/>
    <s v="Заг"/>
    <s v="Заг"/>
    <x v="32"/>
    <x v="0"/>
    <m/>
    <n v="58.571428571428569"/>
    <n v="36"/>
    <n v="65"/>
    <n v="54"/>
    <n v="67"/>
    <n v="69"/>
    <n v="63"/>
    <n v="56"/>
    <n v="0"/>
    <n v="475181"/>
    <n v="39598.416666666664"/>
    <n v="0"/>
  </r>
  <r>
    <s v="Йормент"/>
    <s v="П"/>
    <s v="ЦПЗ"/>
    <s v="ОПЗ"/>
    <s v="АПЗ"/>
    <s v="Заг"/>
    <s v="Заг"/>
    <s v="Заг"/>
    <x v="32"/>
    <x v="0"/>
    <m/>
    <n v="61.714285714285715"/>
    <n v="50"/>
    <n v="65"/>
    <n v="70"/>
    <n v="56"/>
    <n v="68"/>
    <n v="83"/>
    <n v="40"/>
    <n v="0"/>
    <n v="801415"/>
    <n v="66784.583333333328"/>
    <n v="0"/>
  </r>
  <r>
    <s v="Мельтер"/>
    <s v="П"/>
    <s v="ЦПЗ"/>
    <s v="ЛПЗ"/>
    <m/>
    <s v="Заг"/>
    <s v="Заг"/>
    <s v="Заг"/>
    <x v="32"/>
    <x v="0"/>
    <m/>
    <n v="59.428571428571431"/>
    <n v="46"/>
    <n v="60"/>
    <n v="69"/>
    <n v="58"/>
    <n v="60"/>
    <n v="72"/>
    <n v="51"/>
    <n v="0"/>
    <n v="549482"/>
    <n v="45790.166666666664"/>
    <n v="0"/>
  </r>
  <r>
    <s v="Миртович Иван"/>
    <s v="П"/>
    <s v="ЦПЗ"/>
    <s v="АПЗ"/>
    <m/>
    <m/>
    <s v="Заг"/>
    <s v="Заг"/>
    <x v="32"/>
    <x v="0"/>
    <m/>
    <n v="58.857142857142854"/>
    <n v="35"/>
    <n v="62"/>
    <n v="55"/>
    <n v="74"/>
    <n v="67"/>
    <n v="65"/>
    <n v="54"/>
    <n v="0"/>
    <n v="498876"/>
    <n v="41573"/>
    <n v="0"/>
  </r>
  <r>
    <s v="Норшев"/>
    <s v="П"/>
    <s v="АПЗ"/>
    <s v="ППЗ"/>
    <m/>
    <s v="Заг"/>
    <s v="Заг"/>
    <s v="Заг"/>
    <x v="32"/>
    <x v="0"/>
    <m/>
    <n v="62.428571428571431"/>
    <n v="51"/>
    <n v="65"/>
    <n v="71"/>
    <n v="61"/>
    <n v="65"/>
    <n v="71"/>
    <n v="53"/>
    <n v="0"/>
    <n v="899154"/>
    <n v="74929.5"/>
    <n v="0"/>
  </r>
  <r>
    <s v="Порщевски"/>
    <s v="П"/>
    <s v="ЦПЗ"/>
    <s v="ППЗ"/>
    <m/>
    <s v="Заг"/>
    <s v="Заг"/>
    <s v="Заг"/>
    <x v="32"/>
    <x v="0"/>
    <m/>
    <n v="71.285714285714292"/>
    <n v="60"/>
    <n v="72"/>
    <n v="80"/>
    <n v="68"/>
    <n v="75"/>
    <n v="76"/>
    <n v="68"/>
    <n v="0"/>
    <n v="3388638"/>
    <n v="282386.5"/>
    <n v="0"/>
  </r>
  <r>
    <s v="Словин Павел"/>
    <s v="П"/>
    <s v="ОПЗ"/>
    <s v="ЦПЗ"/>
    <m/>
    <m/>
    <s v="Заг"/>
    <s v="Заг"/>
    <x v="32"/>
    <x v="0"/>
    <m/>
    <n v="61.857142857142854"/>
    <n v="40"/>
    <n v="58"/>
    <n v="60"/>
    <n v="69"/>
    <n v="78"/>
    <n v="71"/>
    <n v="57"/>
    <n v="0"/>
    <n v="820160"/>
    <n v="68346.666666666672"/>
    <n v="0"/>
  </r>
  <r>
    <s v="Кецаль Рэй"/>
    <s v="В"/>
    <s v="В"/>
    <m/>
    <m/>
    <m/>
    <s v="Генуа"/>
    <s v="Генуа"/>
    <x v="33"/>
    <x v="0"/>
    <m/>
    <n v="50.285714285714285"/>
    <n v="8"/>
    <n v="64"/>
    <n v="56"/>
    <n v="63"/>
    <n v="65"/>
    <n v="67"/>
    <n v="29"/>
    <n v="0"/>
    <n v="103383"/>
    <n v="8615.25"/>
    <n v="0"/>
  </r>
  <r>
    <s v="Ньяме Остин"/>
    <s v="В"/>
    <s v="В"/>
    <m/>
    <m/>
    <m/>
    <s v="Генуа"/>
    <s v="Генуа"/>
    <x v="33"/>
    <x v="0"/>
    <m/>
    <n v="50.857142857142854"/>
    <n v="8"/>
    <n v="65"/>
    <n v="58"/>
    <n v="63"/>
    <n v="65"/>
    <n v="67"/>
    <n v="30"/>
    <n v="0"/>
    <n v="115750"/>
    <n v="9645.8333333333339"/>
    <n v="0"/>
  </r>
  <r>
    <s v="Тлалокун Остин"/>
    <s v="В"/>
    <s v="В"/>
    <m/>
    <m/>
    <m/>
    <s v="Генуа"/>
    <s v="Генуа"/>
    <x v="33"/>
    <x v="0"/>
    <m/>
    <n v="52.714285714285715"/>
    <n v="10"/>
    <n v="67"/>
    <n v="59"/>
    <n v="65"/>
    <n v="67"/>
    <n v="69"/>
    <n v="32"/>
    <n v="0"/>
    <n v="165686"/>
    <n v="13807.166666666666"/>
    <n v="0"/>
  </r>
  <r>
    <s v="Кукулькан Люк"/>
    <s v="З"/>
    <s v="ЦЗ"/>
    <s v="ОПЗ"/>
    <m/>
    <m/>
    <s v="Генуа"/>
    <s v="Генуа"/>
    <x v="33"/>
    <x v="0"/>
    <m/>
    <n v="47.428571428571431"/>
    <n v="6"/>
    <n v="61"/>
    <n v="54"/>
    <n v="60"/>
    <n v="62"/>
    <n v="64"/>
    <n v="25"/>
    <n v="0"/>
    <n v="57598"/>
    <n v="4799.833333333333"/>
    <n v="0"/>
  </r>
  <r>
    <s v="Тескатлипок Тим"/>
    <s v="З"/>
    <s v="ПЗ"/>
    <s v="ЦЗ"/>
    <m/>
    <m/>
    <s v="Генуа"/>
    <s v="Генуа"/>
    <x v="33"/>
    <x v="0"/>
    <m/>
    <n v="52.857142857142854"/>
    <n v="9"/>
    <n v="69"/>
    <n v="60"/>
    <n v="65"/>
    <n v="67"/>
    <n v="69"/>
    <n v="31"/>
    <n v="0"/>
    <n v="170231"/>
    <n v="14185.916666666666"/>
    <n v="0"/>
  </r>
  <r>
    <s v="Тлауикаль Кир"/>
    <s v="З"/>
    <s v="ЛЗ"/>
    <s v="ЦЗ"/>
    <m/>
    <m/>
    <s v="Генуа"/>
    <s v="Генуа"/>
    <x v="33"/>
    <x v="0"/>
    <m/>
    <n v="54.428571428571431"/>
    <n v="11"/>
    <n v="70"/>
    <n v="62"/>
    <n v="66"/>
    <n v="68"/>
    <n v="70"/>
    <n v="34"/>
    <n v="0"/>
    <n v="228176"/>
    <n v="19014.666666666668"/>
    <n v="0"/>
  </r>
  <r>
    <s v="Уицилопочтли Ян"/>
    <s v="З"/>
    <s v="ПЗ"/>
    <s v="ЛЗ"/>
    <m/>
    <m/>
    <s v="Генуа"/>
    <s v="Генуа"/>
    <x v="33"/>
    <x v="0"/>
    <m/>
    <n v="50.428571428571431"/>
    <n v="7"/>
    <n v="65"/>
    <n v="58"/>
    <n v="63"/>
    <n v="65"/>
    <n v="67"/>
    <n v="28"/>
    <n v="0"/>
    <n v="106358"/>
    <n v="8863.1666666666661"/>
    <n v="0"/>
  </r>
  <r>
    <s v="ШипеТотек Рой"/>
    <s v="З"/>
    <s v="ЦЗ"/>
    <s v="ЛЗ"/>
    <m/>
    <m/>
    <s v="Генуа"/>
    <s v="Генуа"/>
    <x v="33"/>
    <x v="0"/>
    <m/>
    <n v="55.428571428571431"/>
    <n v="12"/>
    <n v="71"/>
    <n v="63"/>
    <n v="67"/>
    <n v="69"/>
    <n v="71"/>
    <n v="35"/>
    <n v="0"/>
    <n v="273740"/>
    <n v="22811.666666666668"/>
    <n v="0"/>
  </r>
  <r>
    <s v="Ананси Торвальд"/>
    <s v="Н"/>
    <s v="ЦН"/>
    <s v="ОФ"/>
    <m/>
    <m/>
    <s v="Генуа"/>
    <s v="Генуа"/>
    <x v="33"/>
    <x v="0"/>
    <m/>
    <n v="63.857142857142854"/>
    <n v="15"/>
    <n v="75"/>
    <n v="80"/>
    <n v="75"/>
    <n v="77"/>
    <n v="80"/>
    <n v="45"/>
    <n v="0"/>
    <n v="1127444"/>
    <n v="93953.666666666672"/>
    <n v="0"/>
  </r>
  <r>
    <s v="Огун Эрл"/>
    <s v="Н"/>
    <s v="ОФ"/>
    <s v="ЦН"/>
    <m/>
    <m/>
    <s v="Генуа"/>
    <s v="Генуа"/>
    <x v="33"/>
    <x v="0"/>
    <m/>
    <n v="70.285714285714292"/>
    <n v="52"/>
    <n v="90"/>
    <n v="75"/>
    <n v="83"/>
    <n v="70"/>
    <n v="72"/>
    <n v="50"/>
    <n v="19"/>
    <n v="4413285"/>
    <n v="21108"/>
    <n v="0"/>
  </r>
  <r>
    <s v="Шанго Дан"/>
    <s v="Н"/>
    <s v="ОФ"/>
    <s v="ЦН"/>
    <m/>
    <m/>
    <s v="Генуа"/>
    <s v="Генуа"/>
    <x v="33"/>
    <x v="0"/>
    <m/>
    <n v="60"/>
    <n v="14"/>
    <n v="75"/>
    <n v="68"/>
    <n v="73"/>
    <n v="75"/>
    <n v="77"/>
    <n v="38"/>
    <n v="0"/>
    <n v="604662"/>
    <n v="50388.5"/>
    <n v="0"/>
  </r>
  <r>
    <s v="АхауКан Кайус"/>
    <s v="П"/>
    <s v="АПЗ"/>
    <s v="ЦПЗ"/>
    <m/>
    <m/>
    <s v="Генуа"/>
    <s v="Генуа"/>
    <x v="33"/>
    <x v="0"/>
    <m/>
    <n v="48"/>
    <n v="6"/>
    <n v="60"/>
    <n v="54"/>
    <n v="62"/>
    <n v="64"/>
    <n v="66"/>
    <n v="24"/>
    <n v="0"/>
    <n v="64926"/>
    <n v="5410.5"/>
    <n v="0"/>
  </r>
  <r>
    <s v="БаламКу Стан"/>
    <s v="П"/>
    <s v="ППЗ"/>
    <s v="АПЗ"/>
    <m/>
    <m/>
    <s v="Генуа"/>
    <s v="Генуа"/>
    <x v="33"/>
    <x v="0"/>
    <m/>
    <n v="49.857142857142854"/>
    <n v="7"/>
    <n v="64"/>
    <n v="57"/>
    <n v="63"/>
    <n v="65"/>
    <n v="67"/>
    <n v="26"/>
    <n v="0"/>
    <n v="94902"/>
    <n v="7908.5"/>
    <n v="0"/>
  </r>
  <r>
    <s v="Вормс Адон"/>
    <s v="П"/>
    <s v="АПЗ"/>
    <s v="ЛПЗ"/>
    <s v="ППЗ"/>
    <s v="Генуа"/>
    <s v="Генуа"/>
    <s v="В.И."/>
    <x v="33"/>
    <x v="0"/>
    <m/>
    <n v="51.142857142857146"/>
    <n v="20"/>
    <n v="69"/>
    <n v="60"/>
    <n v="57"/>
    <n v="59"/>
    <n v="61"/>
    <n v="32"/>
    <n v="0"/>
    <n v="122420"/>
    <n v="10201.666666666666"/>
    <n v="0"/>
  </r>
  <r>
    <s v="ИшЧель Пол"/>
    <s v="П"/>
    <s v="ЛПЗ"/>
    <s v="ОПЗ"/>
    <m/>
    <m/>
    <s v="Генуа"/>
    <s v="Генуа"/>
    <x v="33"/>
    <x v="0"/>
    <m/>
    <n v="54.428571428571431"/>
    <n v="10"/>
    <n v="69"/>
    <n v="62"/>
    <n v="67"/>
    <n v="69"/>
    <n v="71"/>
    <n v="33"/>
    <n v="0"/>
    <n v="228176"/>
    <n v="19014.666666666668"/>
    <n v="0"/>
  </r>
  <r>
    <s v="Кетцалькоатль Ирж"/>
    <s v="П"/>
    <s v="ППЗ"/>
    <s v="ЛПЗ"/>
    <m/>
    <m/>
    <s v="Генуа"/>
    <s v="Генуа"/>
    <x v="33"/>
    <x v="0"/>
    <m/>
    <n v="56.142857142857146"/>
    <n v="11"/>
    <n v="71"/>
    <n v="64"/>
    <n v="69"/>
    <n v="71"/>
    <n v="73"/>
    <n v="34"/>
    <n v="0"/>
    <n v="311133"/>
    <n v="25927.75"/>
    <n v="0"/>
  </r>
  <r>
    <s v="КиничАхау Дар"/>
    <s v="П"/>
    <s v="ОПЗ"/>
    <s v="ЦПЗ"/>
    <m/>
    <m/>
    <s v="Генуа"/>
    <s v="Генуа"/>
    <x v="33"/>
    <x v="0"/>
    <m/>
    <n v="53.428571428571431"/>
    <n v="9"/>
    <n v="68"/>
    <n v="60"/>
    <n v="67"/>
    <n v="69"/>
    <n v="71"/>
    <n v="30"/>
    <n v="0"/>
    <n v="189556"/>
    <n v="15796.333333333334"/>
    <n v="0"/>
  </r>
  <r>
    <s v="Мбомо Кс"/>
    <s v="П"/>
    <s v="ППЗ"/>
    <s v="АПЗ"/>
    <m/>
    <m/>
    <s v="Генуа"/>
    <s v="Генуа"/>
    <x v="33"/>
    <x v="0"/>
    <m/>
    <n v="62.571428571428569"/>
    <n v="14"/>
    <n v="73"/>
    <n v="77"/>
    <n v="75"/>
    <n v="77"/>
    <n v="79"/>
    <n v="43"/>
    <n v="0"/>
    <n v="919943"/>
    <n v="76661.916666666672"/>
    <n v="0"/>
  </r>
  <r>
    <s v="ЧакМоол Мэйс"/>
    <s v="П"/>
    <s v="ЦПЗ"/>
    <s v="ОПЗ"/>
    <m/>
    <m/>
    <s v="Генуа"/>
    <s v="Генуа"/>
    <x v="33"/>
    <x v="0"/>
    <m/>
    <n v="58.285714285714285"/>
    <n v="13"/>
    <n v="73"/>
    <n v="66"/>
    <n v="71"/>
    <n v="73"/>
    <n v="75"/>
    <n v="37"/>
    <n v="0"/>
    <n v="452503"/>
    <n v="37708.583333333336"/>
    <n v="0"/>
  </r>
  <r>
    <s v="Ицамна Элд"/>
    <s v="Т"/>
    <s v="Т"/>
    <m/>
    <m/>
    <m/>
    <s v="Генуа"/>
    <s v="Генуа"/>
    <x v="33"/>
    <x v="0"/>
    <m/>
    <n v="51.285714285714285"/>
    <n v="9"/>
    <n v="65"/>
    <n v="57"/>
    <n v="64"/>
    <n v="66"/>
    <n v="68"/>
    <n v="30"/>
    <n v="0"/>
    <n v="125883"/>
    <n v="10490.25"/>
    <n v="0"/>
  </r>
  <r>
    <s v="Вегарин Дарво"/>
    <s v="В"/>
    <s v="В"/>
    <m/>
    <m/>
    <m/>
    <s v="Сул"/>
    <s v="Сул"/>
    <x v="34"/>
    <x v="0"/>
    <m/>
    <n v="60.714285714285715"/>
    <n v="22"/>
    <n v="78"/>
    <n v="64"/>
    <n v="74"/>
    <n v="76"/>
    <n v="78"/>
    <n v="33"/>
    <n v="0"/>
    <n v="680627"/>
    <n v="56718.916666666664"/>
    <n v="0"/>
  </r>
  <r>
    <s v="Хага (В)"/>
    <s v="В"/>
    <s v="В"/>
    <m/>
    <m/>
    <s v="Сул"/>
    <s v="Сул"/>
    <s v="Сул"/>
    <x v="34"/>
    <x v="0"/>
    <m/>
    <n v="79.571428571428569"/>
    <n v="70"/>
    <n v="76"/>
    <n v="74"/>
    <n v="80"/>
    <n v="80"/>
    <n v="97"/>
    <n v="80"/>
    <n v="29"/>
    <n v="15263806"/>
    <n v="1271983.8333333333"/>
    <n v="0"/>
  </r>
  <r>
    <s v="Градаль (З)"/>
    <s v="З"/>
    <s v="ЦЗ"/>
    <s v="ПЗ"/>
    <m/>
    <s v="Сул"/>
    <s v="Сул"/>
    <s v="Сул"/>
    <x v="34"/>
    <x v="0"/>
    <m/>
    <n v="86.285714285714292"/>
    <n v="70"/>
    <n v="90"/>
    <n v="85"/>
    <n v="88"/>
    <n v="93"/>
    <n v="90"/>
    <n v="88"/>
    <n v="28"/>
    <n v="34314704"/>
    <n v="2859558.6666666665"/>
    <n v="0"/>
  </r>
  <r>
    <s v="Моралего Диэво"/>
    <s v="З"/>
    <s v="ЦЗ"/>
    <s v="ПЗ"/>
    <m/>
    <m/>
    <s v="Сул"/>
    <s v="Сул"/>
    <x v="34"/>
    <x v="0"/>
    <m/>
    <n v="57.857142857142854"/>
    <n v="22"/>
    <n v="79"/>
    <n v="65"/>
    <n v="73"/>
    <n v="69"/>
    <n v="71"/>
    <n v="26"/>
    <n v="0"/>
    <n v="420311"/>
    <n v="35025.916666666664"/>
    <n v="0"/>
  </r>
  <r>
    <s v="Ортеган Тьявэ"/>
    <s v="З"/>
    <s v="ПЗ"/>
    <s v="ЦЗ"/>
    <m/>
    <m/>
    <s v="Сул"/>
    <s v="Сул"/>
    <x v="34"/>
    <x v="0"/>
    <m/>
    <n v="57"/>
    <n v="21"/>
    <n v="78"/>
    <n v="63"/>
    <n v="69"/>
    <n v="71"/>
    <n v="73"/>
    <n v="24"/>
    <n v="0"/>
    <n v="362034"/>
    <n v="30169.5"/>
    <n v="0"/>
  </r>
  <r>
    <s v="Пеньяно Брувэ"/>
    <s v="З"/>
    <s v="ЛЗ"/>
    <s v="ЦЗ"/>
    <m/>
    <m/>
    <s v="Сул"/>
    <s v="Сул"/>
    <x v="34"/>
    <x v="0"/>
    <m/>
    <n v="56.857142857142854"/>
    <n v="34"/>
    <n v="76"/>
    <n v="61"/>
    <n v="65"/>
    <n v="67"/>
    <n v="70"/>
    <n v="25"/>
    <n v="0"/>
    <n v="353062"/>
    <n v="29421.833333333332"/>
    <n v="0"/>
  </r>
  <r>
    <s v="Риосте Лукан"/>
    <s v="З"/>
    <s v="ЛЗ"/>
    <s v="ЦЗ"/>
    <m/>
    <m/>
    <s v="Сул"/>
    <s v="Сул"/>
    <x v="34"/>
    <x v="0"/>
    <m/>
    <n v="60.571428571428569"/>
    <n v="32"/>
    <n v="82"/>
    <n v="66"/>
    <n v="70"/>
    <n v="72"/>
    <n v="74"/>
    <n v="28"/>
    <n v="0"/>
    <n v="664781"/>
    <n v="55398.416666666664"/>
    <n v="0"/>
  </r>
  <r>
    <s v="Льюис Рикардзото"/>
    <s v="Н"/>
    <s v="ЦН"/>
    <s v="ОФ"/>
    <s v="АПЗ"/>
    <s v="Сул"/>
    <s v="Сул"/>
    <s v="Сул"/>
    <x v="34"/>
    <x v="0"/>
    <m/>
    <n v="87.857142857142861"/>
    <n v="72"/>
    <n v="98"/>
    <n v="93"/>
    <n v="87"/>
    <n v="85"/>
    <n v="90"/>
    <n v="90"/>
    <n v="7"/>
    <n v="41101912"/>
    <n v="3425159.3333333335"/>
    <n v="0"/>
  </r>
  <r>
    <s v="Ромеров Марко"/>
    <s v="Н"/>
    <s v="ОФ"/>
    <s v="ЦН"/>
    <m/>
    <m/>
    <s v="Сул"/>
    <s v="Сул"/>
    <x v="34"/>
    <x v="0"/>
    <m/>
    <n v="56.428571428571431"/>
    <n v="33"/>
    <n v="74"/>
    <n v="59"/>
    <n v="67"/>
    <n v="69"/>
    <n v="71"/>
    <n v="22"/>
    <n v="0"/>
    <n v="327334"/>
    <n v="27277.833333333332"/>
    <n v="0"/>
  </r>
  <r>
    <s v="Фиано Кари"/>
    <s v="Н"/>
    <s v="ЦН"/>
    <s v="ОФ"/>
    <m/>
    <m/>
    <s v="Сул"/>
    <s v="Сул"/>
    <x v="34"/>
    <x v="0"/>
    <m/>
    <n v="67"/>
    <n v="32"/>
    <n v="87"/>
    <n v="75"/>
    <n v="79"/>
    <n v="81"/>
    <n v="84"/>
    <n v="31"/>
    <n v="0"/>
    <n v="1822838"/>
    <n v="151903.16666666666"/>
    <n v="0"/>
  </r>
  <r>
    <s v="Гусмарин Энривэ"/>
    <s v="П"/>
    <s v="АПЗ"/>
    <s v="ЦПЗ"/>
    <m/>
    <m/>
    <s v="Сул"/>
    <s v="Сул"/>
    <x v="34"/>
    <x v="0"/>
    <m/>
    <n v="64.285714285714292"/>
    <n v="23"/>
    <n v="85"/>
    <n v="73"/>
    <n v="77"/>
    <n v="79"/>
    <n v="81"/>
    <n v="32"/>
    <n v="0"/>
    <n v="1205438"/>
    <n v="100453.16666666667"/>
    <n v="0"/>
  </r>
  <r>
    <s v="Дазар"/>
    <s v="П"/>
    <s v="АПЗ"/>
    <s v="ЦН"/>
    <s v="ППЗ"/>
    <s v="Сул"/>
    <s v="Сул"/>
    <s v="Сул"/>
    <x v="34"/>
    <x v="0"/>
    <m/>
    <n v="85.857142857142861"/>
    <n v="79"/>
    <n v="83"/>
    <n v="92"/>
    <n v="90"/>
    <n v="90"/>
    <n v="92"/>
    <n v="75"/>
    <n v="18"/>
    <n v="32647925"/>
    <n v="2720660.4166666665"/>
    <n v="0"/>
  </r>
  <r>
    <s v="Джангер (П)"/>
    <s v="П"/>
    <s v="ЦПЗ"/>
    <s v="ОПЗ"/>
    <s v="АПЗ"/>
    <s v="Сул"/>
    <s v="Сул"/>
    <s v="Сул"/>
    <x v="34"/>
    <x v="0"/>
    <m/>
    <n v="80.571428571428569"/>
    <n v="78"/>
    <n v="85"/>
    <n v="83"/>
    <n v="82"/>
    <n v="85"/>
    <n v="87"/>
    <n v="64"/>
    <n v="0"/>
    <n v="11529505"/>
    <n v="960792.08333333337"/>
    <n v="0"/>
  </r>
  <r>
    <s v="Куэвано Раув"/>
    <s v="П"/>
    <s v="ОПЗ"/>
    <s v="ЦПЗ"/>
    <m/>
    <m/>
    <s v="Сул"/>
    <s v="Сул"/>
    <x v="34"/>
    <x v="0"/>
    <m/>
    <n v="61.571428571428569"/>
    <n v="34"/>
    <n v="80"/>
    <n v="67"/>
    <n v="75"/>
    <n v="73"/>
    <n v="75"/>
    <n v="27"/>
    <n v="0"/>
    <n v="783056"/>
    <n v="65254.666666666664"/>
    <n v="0"/>
  </r>
  <r>
    <s v="Пертеро Родривэ"/>
    <s v="П"/>
    <s v="ЛПЗ"/>
    <s v="ОПЗ"/>
    <m/>
    <m/>
    <s v="Сул"/>
    <s v="Сул"/>
    <x v="34"/>
    <x v="0"/>
    <m/>
    <n v="70.571428571428569"/>
    <n v="42"/>
    <n v="88"/>
    <n v="76"/>
    <n v="82"/>
    <n v="85"/>
    <n v="87"/>
    <n v="34"/>
    <n v="0"/>
    <n v="3064003"/>
    <n v="255333.58333333334"/>
    <n v="0"/>
  </r>
  <r>
    <s v="Растроно Пабвэ"/>
    <s v="П"/>
    <s v="ЦПЗ"/>
    <s v="ЛПЗ"/>
    <m/>
    <m/>
    <s v="Сул"/>
    <s v="Сул"/>
    <x v="34"/>
    <x v="0"/>
    <m/>
    <n v="59.142857142857146"/>
    <n v="32"/>
    <n v="76"/>
    <n v="63"/>
    <n v="71"/>
    <n v="73"/>
    <n v="75"/>
    <n v="24"/>
    <n v="0"/>
    <n v="523629"/>
    <n v="43635.75"/>
    <n v="0"/>
  </r>
  <r>
    <s v="С.Марчиньо (П)"/>
    <s v="П"/>
    <s v="ЛПЗ"/>
    <s v="АПЗ"/>
    <m/>
    <s v="Сул"/>
    <s v="Сул"/>
    <s v="Сул"/>
    <x v="34"/>
    <x v="0"/>
    <m/>
    <n v="82.142857142857139"/>
    <n v="80"/>
    <n v="90"/>
    <n v="85"/>
    <n v="84"/>
    <n v="84"/>
    <n v="88"/>
    <n v="64"/>
    <n v="12"/>
    <n v="20979219"/>
    <n v="1748268.25"/>
    <n v="0"/>
  </r>
  <r>
    <s v="Садильо Анрэв"/>
    <s v="П"/>
    <s v="ППЗ"/>
    <s v="АПЗ"/>
    <m/>
    <m/>
    <s v="Сул"/>
    <s v="Сул"/>
    <x v="34"/>
    <x v="0"/>
    <m/>
    <n v="58.285714285714285"/>
    <n v="32"/>
    <n v="79"/>
    <n v="63"/>
    <n v="71"/>
    <n v="69"/>
    <n v="71"/>
    <n v="23"/>
    <n v="0"/>
    <n v="452503"/>
    <n v="37708.583333333336"/>
    <n v="0"/>
  </r>
  <r>
    <s v="Санчестер Матэв"/>
    <s v="П"/>
    <s v="ЦПЗ"/>
    <s v="ОПЗ"/>
    <m/>
    <m/>
    <s v="Сул"/>
    <s v="Сул"/>
    <x v="34"/>
    <x v="0"/>
    <m/>
    <n v="62.428571428571431"/>
    <n v="45"/>
    <n v="77"/>
    <n v="65"/>
    <n v="73"/>
    <n v="75"/>
    <n v="77"/>
    <n v="25"/>
    <n v="0"/>
    <n v="899154"/>
    <n v="74929.5"/>
    <n v="0"/>
  </r>
  <r>
    <s v="Сальмор Матэв"/>
    <s v="Т"/>
    <s v="Т"/>
    <m/>
    <m/>
    <m/>
    <s v="Сул"/>
    <s v="Сул"/>
    <x v="34"/>
    <x v="0"/>
    <m/>
    <n v="58.285714285714285"/>
    <n v="23"/>
    <n v="75"/>
    <n v="61"/>
    <n v="71"/>
    <n v="73"/>
    <n v="75"/>
    <n v="30"/>
    <n v="0"/>
    <n v="452503"/>
    <n v="37708.583333333336"/>
    <n v="0"/>
  </r>
  <r>
    <s v="Донтор (В)"/>
    <s v="В"/>
    <s v="В"/>
    <m/>
    <m/>
    <s v="Бел"/>
    <s v="Бел"/>
    <s v="Бел"/>
    <x v="35"/>
    <x v="0"/>
    <m/>
    <n v="87.571428571428569"/>
    <n v="85"/>
    <n v="85"/>
    <n v="80"/>
    <n v="90"/>
    <n v="93"/>
    <n v="92"/>
    <n v="88"/>
    <n v="31"/>
    <n v="39784656"/>
    <n v="3315388"/>
    <n v="0"/>
  </r>
  <r>
    <s v="Крондельт Ханс"/>
    <s v="В"/>
    <s v="В"/>
    <m/>
    <m/>
    <m/>
    <s v="Бел"/>
    <s v="Бел"/>
    <x v="35"/>
    <x v="0"/>
    <m/>
    <n v="58.428571428571431"/>
    <n v="14"/>
    <n v="70"/>
    <n v="64"/>
    <n v="74"/>
    <n v="76"/>
    <n v="78"/>
    <n v="33"/>
    <n v="0"/>
    <n v="463717"/>
    <n v="38643.083333333336"/>
    <n v="0"/>
  </r>
  <r>
    <s v="Вальдкрон Эрик"/>
    <s v="З"/>
    <s v="ЦЗ"/>
    <m/>
    <m/>
    <m/>
    <s v="Бел"/>
    <s v="Бел"/>
    <x v="35"/>
    <x v="0"/>
    <m/>
    <n v="51.714285714285715"/>
    <n v="11"/>
    <n v="63"/>
    <n v="61"/>
    <n v="65"/>
    <n v="67"/>
    <n v="70"/>
    <n v="25"/>
    <n v="0"/>
    <n v="136807"/>
    <n v="11400.583333333334"/>
    <n v="0"/>
  </r>
  <r>
    <s v="Линдштром Аксель"/>
    <s v="З"/>
    <s v="ЛЗ"/>
    <s v="ЦЗ"/>
    <m/>
    <m/>
    <s v="Бел"/>
    <s v="Бел"/>
    <x v="35"/>
    <x v="0"/>
    <m/>
    <n v="59"/>
    <n v="16"/>
    <n v="75"/>
    <n v="69"/>
    <n v="73"/>
    <n v="75"/>
    <n v="77"/>
    <n v="28"/>
    <n v="0"/>
    <n v="511117"/>
    <n v="42593.083333333336"/>
    <n v="0"/>
  </r>
  <r>
    <s v="Пфайльманн Дитер"/>
    <s v="З"/>
    <s v="ПЗ"/>
    <s v="ЦЗ"/>
    <m/>
    <m/>
    <s v="Бел"/>
    <s v="Бел"/>
    <x v="35"/>
    <x v="0"/>
    <m/>
    <n v="53.857142857142854"/>
    <n v="12"/>
    <n v="71"/>
    <n v="59"/>
    <n v="71"/>
    <n v="69"/>
    <n v="71"/>
    <n v="24"/>
    <n v="0"/>
    <n v="205321"/>
    <n v="17110.083333333332"/>
    <n v="0"/>
  </r>
  <r>
    <s v="Штернблюм Курт"/>
    <s v="З"/>
    <s v="ЦЗ"/>
    <s v="ОПЗ"/>
    <m/>
    <m/>
    <s v="Бел"/>
    <s v="Бел"/>
    <x v="35"/>
    <x v="0"/>
    <m/>
    <n v="73.142857142857139"/>
    <n v="20"/>
    <n v="88"/>
    <n v="80"/>
    <n v="92"/>
    <n v="95"/>
    <n v="97"/>
    <n v="40"/>
    <n v="0"/>
    <n v="4382473"/>
    <n v="365206.08333333331"/>
    <n v="0"/>
  </r>
  <r>
    <s v="Альбрехт Фриц"/>
    <s v="Н"/>
    <s v="ОФ"/>
    <s v="ЦН"/>
    <m/>
    <m/>
    <s v="Бел"/>
    <s v="Бел"/>
    <x v="35"/>
    <x v="0"/>
    <m/>
    <n v="50.142857142857146"/>
    <n v="11"/>
    <n v="55"/>
    <n v="59"/>
    <n v="67"/>
    <n v="65"/>
    <n v="68"/>
    <n v="26"/>
    <n v="0"/>
    <n v="100483"/>
    <n v="8373.5833333333339"/>
    <n v="0"/>
  </r>
  <r>
    <s v="Назар (Н)"/>
    <s v="Н"/>
    <s v="ЦН"/>
    <s v="ОФ"/>
    <s v="АПЗ"/>
    <s v="Ард"/>
    <s v="Ард"/>
    <s v="Ард"/>
    <x v="35"/>
    <x v="0"/>
    <m/>
    <n v="81.571428571428569"/>
    <n v="70"/>
    <n v="87"/>
    <n v="86"/>
    <n v="84"/>
    <n v="86"/>
    <n v="88"/>
    <n v="70"/>
    <n v="7"/>
    <n v="19564644"/>
    <n v="1630387"/>
    <n v="0"/>
  </r>
  <r>
    <s v="Хольмквист Свен"/>
    <s v="Н"/>
    <s v="ЦН"/>
    <s v="ОФ"/>
    <m/>
    <m/>
    <s v="Бел"/>
    <s v="Бел"/>
    <x v="35"/>
    <x v="0"/>
    <m/>
    <n v="68.428571428571431"/>
    <n v="19"/>
    <n v="85"/>
    <n v="79"/>
    <n v="83"/>
    <n v="87"/>
    <n v="90"/>
    <n v="36"/>
    <n v="0"/>
    <n v="2250997"/>
    <n v="187583.08333333334"/>
    <n v="0"/>
  </r>
  <r>
    <s v="Бергфальк Нильс"/>
    <s v="П"/>
    <s v="ОПЗ"/>
    <s v="ЦПЗ"/>
    <m/>
    <m/>
    <s v="Бел"/>
    <s v="Бел"/>
    <x v="35"/>
    <x v="0"/>
    <m/>
    <n v="50.571428571428569"/>
    <n v="11"/>
    <n v="57"/>
    <n v="57"/>
    <n v="65"/>
    <n v="69"/>
    <n v="72"/>
    <n v="23"/>
    <n v="0"/>
    <n v="109409"/>
    <n v="9117.4166666666661"/>
    <n v="0"/>
  </r>
  <r>
    <s v="Вайсхаупт Отто"/>
    <s v="П"/>
    <s v="АПЗ"/>
    <s v="ЦПЗ"/>
    <m/>
    <m/>
    <s v="Бел"/>
    <s v="Бел"/>
    <x v="35"/>
    <x v="0"/>
    <m/>
    <n v="59.571428571428569"/>
    <n v="14"/>
    <n v="72"/>
    <n v="66"/>
    <n v="76"/>
    <n v="78"/>
    <n v="80"/>
    <n v="31"/>
    <n v="0"/>
    <n v="562834"/>
    <n v="46902.833333333336"/>
    <n v="0"/>
  </r>
  <r>
    <s v="Годин (П)"/>
    <s v="П"/>
    <s v="АПЗ"/>
    <s v="ЛПЗ"/>
    <s v="ЦН"/>
    <s v="Вод"/>
    <s v="Вод"/>
    <s v="Вод"/>
    <x v="35"/>
    <x v="0"/>
    <m/>
    <n v="81.142857142857139"/>
    <n v="80"/>
    <n v="80"/>
    <n v="89"/>
    <n v="82"/>
    <n v="81"/>
    <n v="85"/>
    <n v="71"/>
    <n v="2"/>
    <n v="18560695"/>
    <n v="1546724.5833333333"/>
    <n v="0"/>
  </r>
  <r>
    <s v="Гроссманн Пауль"/>
    <s v="П"/>
    <s v="ППЗ"/>
    <s v="АПЗ"/>
    <m/>
    <m/>
    <s v="Бел"/>
    <s v="Бел"/>
    <x v="35"/>
    <x v="0"/>
    <m/>
    <n v="55.428571428571431"/>
    <n v="13"/>
    <n v="69"/>
    <n v="63"/>
    <n v="73"/>
    <n v="71"/>
    <n v="73"/>
    <n v="26"/>
    <n v="0"/>
    <n v="273740"/>
    <n v="22811.666666666668"/>
    <n v="0"/>
  </r>
  <r>
    <s v="Джефер (П)"/>
    <s v="П"/>
    <s v="ЛПЗ"/>
    <s v="ОПЗ"/>
    <m/>
    <s v="Бел"/>
    <s v="Бел"/>
    <s v="Бел"/>
    <x v="35"/>
    <x v="0"/>
    <m/>
    <n v="82.857142857142861"/>
    <n v="82"/>
    <n v="90"/>
    <n v="83"/>
    <n v="85"/>
    <n v="90"/>
    <n v="82"/>
    <n v="68"/>
    <n v="23"/>
    <n v="22876564"/>
    <n v="1906380.3333333333"/>
    <n v="0"/>
  </r>
  <r>
    <s v="Джозер (П)"/>
    <s v="П"/>
    <s v="ЛПЗ"/>
    <m/>
    <m/>
    <s v="Шах"/>
    <s v="Бел"/>
    <s v="Бел"/>
    <x v="35"/>
    <x v="0"/>
    <m/>
    <n v="55.714285714285715"/>
    <n v="48"/>
    <n v="67"/>
    <n v="64"/>
    <n v="67"/>
    <n v="61"/>
    <n v="58"/>
    <n v="25"/>
    <n v="0"/>
    <n v="288182"/>
    <n v="24015.166666666668"/>
    <n v="0"/>
  </r>
  <r>
    <s v="Кирхенвальд Люк"/>
    <s v="П"/>
    <s v="ЦПЗ"/>
    <s v="ОПЗ"/>
    <m/>
    <m/>
    <s v="Бел"/>
    <s v="Бел"/>
    <x v="35"/>
    <x v="0"/>
    <m/>
    <n v="55.428571428571431"/>
    <n v="11"/>
    <n v="68"/>
    <n v="62"/>
    <n v="72"/>
    <n v="74"/>
    <n v="76"/>
    <n v="25"/>
    <n v="16"/>
    <n v="410609"/>
    <n v="22811.666666666668"/>
    <n v="0"/>
  </r>
  <r>
    <s v="Моргенштерн Ян"/>
    <s v="П"/>
    <s v="ЛПЗ"/>
    <s v="ОПЗ"/>
    <m/>
    <m/>
    <s v="Бел"/>
    <s v="Бел"/>
    <x v="35"/>
    <x v="0"/>
    <m/>
    <n v="53.857142857142854"/>
    <n v="11"/>
    <n v="66"/>
    <n v="60"/>
    <n v="70"/>
    <n v="72"/>
    <n v="74"/>
    <n v="24"/>
    <n v="16"/>
    <n v="307982"/>
    <n v="17110.083333333332"/>
    <n v="0"/>
  </r>
  <r>
    <s v="Порти"/>
    <s v="П"/>
    <s v="ЦПЗ"/>
    <m/>
    <m/>
    <s v="Шах"/>
    <s v="Шах"/>
    <s v="Шах"/>
    <x v="35"/>
    <x v="0"/>
    <m/>
    <n v="58.285714285714285"/>
    <n v="30"/>
    <n v="59"/>
    <n v="66"/>
    <n v="73"/>
    <n v="66"/>
    <n v="68"/>
    <n v="46"/>
    <n v="0"/>
    <n v="452503"/>
    <n v="37708.583333333336"/>
    <n v="0"/>
  </r>
  <r>
    <s v="Радригес(П)"/>
    <s v="П"/>
    <s v="ЛПЗ"/>
    <s v="ОПЗ"/>
    <m/>
    <s v="Клю"/>
    <s v="Лион"/>
    <s v="Лион"/>
    <x v="35"/>
    <x v="0"/>
    <m/>
    <n v="78.428571428571431"/>
    <n v="70"/>
    <n v="90"/>
    <n v="78"/>
    <n v="83"/>
    <n v="77"/>
    <n v="78"/>
    <n v="73"/>
    <n v="23"/>
    <n v="13207917"/>
    <n v="1100659.75"/>
    <n v="0"/>
  </r>
  <r>
    <s v="Мартельсон Олаф"/>
    <s v="Т"/>
    <s v="Т"/>
    <m/>
    <m/>
    <m/>
    <s v="Бел"/>
    <s v="Бел"/>
    <x v="35"/>
    <x v="0"/>
    <m/>
    <n v="55.571428571428569"/>
    <n v="12"/>
    <n v="67"/>
    <n v="61"/>
    <n v="71"/>
    <n v="73"/>
    <n v="75"/>
    <n v="30"/>
    <n v="0"/>
    <n v="280877"/>
    <n v="23406.416666666668"/>
    <n v="0"/>
  </r>
  <r>
    <s v="Арутн"/>
    <s v="В"/>
    <s v="В"/>
    <m/>
    <m/>
    <s v="Ард"/>
    <s v="Ард"/>
    <s v="Ард"/>
    <x v="36"/>
    <x v="0"/>
    <m/>
    <n v="69.428571428571431"/>
    <n v="30"/>
    <n v="70"/>
    <n v="80"/>
    <n v="80"/>
    <n v="81"/>
    <n v="80"/>
    <n v="65"/>
    <n v="0"/>
    <n v="2602450"/>
    <n v="216870.83333333334"/>
    <n v="0"/>
  </r>
  <r>
    <s v="Куатро Рико"/>
    <s v="В"/>
    <s v="В"/>
    <m/>
    <m/>
    <s v="Ард"/>
    <s v="Ард"/>
    <s v="Ард"/>
    <x v="36"/>
    <x v="0"/>
    <m/>
    <n v="60.571428571428569"/>
    <n v="17"/>
    <n v="82"/>
    <n v="68"/>
    <n v="70"/>
    <n v="75"/>
    <n v="74"/>
    <n v="38"/>
    <n v="0"/>
    <n v="664781"/>
    <n v="55398.416666666664"/>
    <n v="0"/>
  </r>
  <r>
    <s v="Вазар"/>
    <s v="З"/>
    <s v="ЦЗ"/>
    <m/>
    <m/>
    <s v="Ард"/>
    <s v="Ард"/>
    <s v="Ард"/>
    <x v="36"/>
    <x v="0"/>
    <m/>
    <n v="71.142857142857139"/>
    <n v="57"/>
    <n v="57"/>
    <n v="64"/>
    <n v="72"/>
    <n v="72"/>
    <n v="95"/>
    <n v="81"/>
    <n v="0"/>
    <n v="3321338"/>
    <n v="276778.16666666669"/>
    <n v="0"/>
  </r>
  <r>
    <s v="Визарно (З)"/>
    <s v="З"/>
    <s v="ЦЗ"/>
    <m/>
    <m/>
    <s v="Ард"/>
    <s v="Ард"/>
    <s v="Ард"/>
    <x v="36"/>
    <x v="0"/>
    <m/>
    <n v="66.285714285714292"/>
    <n v="56"/>
    <n v="54"/>
    <n v="62"/>
    <n v="77"/>
    <n v="70"/>
    <n v="75"/>
    <n v="70"/>
    <n v="0"/>
    <n v="1637569"/>
    <n v="136464.08333333334"/>
    <n v="0"/>
  </r>
  <r>
    <s v="Гроззи"/>
    <s v="З"/>
    <s v="ЦЗ"/>
    <m/>
    <m/>
    <s v="Ард"/>
    <s v="Ард"/>
    <s v="Ард"/>
    <x v="36"/>
    <x v="0"/>
    <m/>
    <n v="67.285714285714292"/>
    <n v="40"/>
    <n v="55"/>
    <n v="70"/>
    <n v="75"/>
    <n v="74"/>
    <n v="80"/>
    <n v="77"/>
    <n v="0"/>
    <n v="1902080"/>
    <n v="158506.66666666666"/>
    <n v="0"/>
  </r>
  <r>
    <s v="Занзибар Оби"/>
    <s v="З"/>
    <s v="ЦЗ"/>
    <s v="ОПЗ"/>
    <m/>
    <m/>
    <s v="Ард"/>
    <s v="Ард"/>
    <x v="36"/>
    <x v="0"/>
    <m/>
    <n v="60.285714285714285"/>
    <n v="15"/>
    <n v="86"/>
    <n v="62"/>
    <n v="74"/>
    <n v="77"/>
    <n v="78"/>
    <n v="30"/>
    <n v="0"/>
    <n v="634081"/>
    <n v="52840.083333333336"/>
    <n v="0"/>
  </r>
  <r>
    <s v="Ксанаду Тибо"/>
    <s v="З"/>
    <s v="ЦЗ"/>
    <m/>
    <m/>
    <m/>
    <s v="Ард"/>
    <s v="Ард"/>
    <x v="36"/>
    <x v="0"/>
    <m/>
    <n v="53.285714285714285"/>
    <n v="15"/>
    <n v="83"/>
    <n v="58"/>
    <n v="60"/>
    <n v="64"/>
    <n v="67"/>
    <n v="26"/>
    <n v="0"/>
    <n v="184548"/>
    <n v="15379"/>
    <n v="0"/>
  </r>
  <r>
    <s v="Лайсут"/>
    <s v="З"/>
    <s v="ЦЗ"/>
    <m/>
    <m/>
    <s v="Ард"/>
    <s v="Ард"/>
    <s v="Ард"/>
    <x v="36"/>
    <x v="0"/>
    <m/>
    <n v="64.571428571428569"/>
    <n v="39"/>
    <n v="50"/>
    <n v="59"/>
    <n v="76"/>
    <n v="80"/>
    <n v="68"/>
    <n v="80"/>
    <n v="0"/>
    <n v="1260097"/>
    <n v="105008.08333333333"/>
    <n v="0"/>
  </r>
  <r>
    <s v="Мамбаса Дарко"/>
    <s v="З"/>
    <s v="ЦЗ"/>
    <s v="ЛЗ"/>
    <m/>
    <s v="Ард"/>
    <s v="Ард"/>
    <s v="Ард"/>
    <x v="36"/>
    <x v="0"/>
    <m/>
    <n v="67"/>
    <n v="21"/>
    <n v="90"/>
    <n v="66"/>
    <n v="82"/>
    <n v="84"/>
    <n v="85"/>
    <n v="41"/>
    <n v="0"/>
    <n v="1822838"/>
    <n v="151903.16666666666"/>
    <n v="0"/>
  </r>
  <r>
    <s v="Тимбукту Ян"/>
    <s v="З"/>
    <s v="ЦЗ"/>
    <m/>
    <m/>
    <m/>
    <s v="Ард"/>
    <s v="Ард"/>
    <x v="36"/>
    <x v="0"/>
    <m/>
    <n v="58.142857142857146"/>
    <n v="18"/>
    <n v="84"/>
    <n v="60"/>
    <n v="68"/>
    <n v="73"/>
    <n v="75"/>
    <n v="29"/>
    <n v="0"/>
    <n v="441534"/>
    <n v="36794.5"/>
    <n v="0"/>
  </r>
  <r>
    <s v="Каракас Диего"/>
    <s v="Н"/>
    <s v="ЦН"/>
    <s v="ОФ"/>
    <m/>
    <s v="Ард"/>
    <s v="Ард"/>
    <s v="Ард"/>
    <x v="36"/>
    <x v="0"/>
    <m/>
    <n v="67.857142857142861"/>
    <n v="24"/>
    <n v="94"/>
    <n v="72"/>
    <n v="78"/>
    <n v="81"/>
    <n v="84"/>
    <n v="42"/>
    <n v="7"/>
    <n v="3104896"/>
    <n v="258741.33333333334"/>
    <n v="0"/>
  </r>
  <r>
    <s v="Нагазар (Н)"/>
    <s v="Н"/>
    <s v="ЦН"/>
    <m/>
    <m/>
    <s v="Ард"/>
    <s v="Ард"/>
    <s v="Ард"/>
    <x v="36"/>
    <x v="0"/>
    <m/>
    <n v="74.142857142857139"/>
    <n v="60"/>
    <n v="83"/>
    <n v="80"/>
    <n v="77"/>
    <n v="80"/>
    <n v="89"/>
    <n v="50"/>
    <n v="0"/>
    <n v="5019879"/>
    <n v="418323.25"/>
    <n v="0"/>
  </r>
  <r>
    <s v="Ют-Аюр"/>
    <s v="Н"/>
    <s v="ОФ"/>
    <s v="ЦН"/>
    <m/>
    <s v="Ард"/>
    <s v="Ард"/>
    <s v="Ард"/>
    <x v="36"/>
    <x v="0"/>
    <m/>
    <n v="72.285714285714292"/>
    <n v="50"/>
    <n v="93"/>
    <n v="75"/>
    <n v="80"/>
    <n v="73"/>
    <n v="80"/>
    <n v="55"/>
    <n v="0"/>
    <n v="3895156"/>
    <n v="324596.33333333331"/>
    <n v="0"/>
  </r>
  <r>
    <s v="Вазарио"/>
    <s v="П"/>
    <s v="ЦПЗ"/>
    <s v="АПЗ"/>
    <s v="ЛПЗ"/>
    <s v="Ард"/>
    <s v="Ард"/>
    <s v="Ард"/>
    <x v="36"/>
    <x v="0"/>
    <m/>
    <n v="73"/>
    <n v="45"/>
    <n v="84"/>
    <n v="79"/>
    <n v="80"/>
    <n v="77"/>
    <n v="86"/>
    <n v="60"/>
    <n v="0"/>
    <n v="4297626"/>
    <n v="358135.5"/>
    <n v="0"/>
  </r>
  <r>
    <s v="Газар"/>
    <s v="П"/>
    <s v="ЛПЗ"/>
    <s v="ППЗ"/>
    <m/>
    <s v="Ард"/>
    <s v="Ард"/>
    <s v="Ард"/>
    <x v="36"/>
    <x v="0"/>
    <m/>
    <n v="70.428571428571431"/>
    <n v="40"/>
    <n v="87"/>
    <n v="78"/>
    <n v="77"/>
    <n v="74"/>
    <n v="81"/>
    <n v="56"/>
    <n v="0"/>
    <n v="3002540"/>
    <n v="250211.66666666666"/>
    <n v="0"/>
  </r>
  <r>
    <s v="Глебстер"/>
    <s v="П"/>
    <s v="ЛПЗ"/>
    <s v="ППЗ"/>
    <m/>
    <s v="Юл"/>
    <s v="Юл"/>
    <s v="Юл"/>
    <x v="36"/>
    <x v="0"/>
    <m/>
    <n v="77.714285714285708"/>
    <n v="69"/>
    <n v="89"/>
    <n v="82"/>
    <n v="76"/>
    <n v="78"/>
    <n v="80"/>
    <n v="70"/>
    <n v="23"/>
    <n v="12053131"/>
    <n v="1004427.5833333334"/>
    <n v="0"/>
  </r>
  <r>
    <s v="Зимбабве Лука"/>
    <s v="П"/>
    <s v="ЦПЗ"/>
    <s v="ОПЗ"/>
    <m/>
    <m/>
    <s v="Ард"/>
    <s v="Ард"/>
    <x v="36"/>
    <x v="0"/>
    <m/>
    <n v="55.571428571428569"/>
    <n v="16"/>
    <n v="85"/>
    <n v="56"/>
    <n v="66"/>
    <n v="68"/>
    <n v="71"/>
    <n v="27"/>
    <n v="0"/>
    <n v="280877"/>
    <n v="23406.416666666668"/>
    <n v="0"/>
  </r>
  <r>
    <s v="Йокогама Рауль"/>
    <s v="П"/>
    <s v="ОПЗ"/>
    <s v="ЦЗ"/>
    <m/>
    <m/>
    <s v="Ард"/>
    <s v="Ард"/>
    <x v="36"/>
    <x v="0"/>
    <m/>
    <n v="64"/>
    <n v="23"/>
    <n v="88"/>
    <n v="64"/>
    <n v="80"/>
    <n v="76"/>
    <n v="78"/>
    <n v="39"/>
    <n v="0"/>
    <n v="1152922"/>
    <n v="96076.833333333328"/>
    <n v="0"/>
  </r>
  <r>
    <s v="Калькутта Пьер"/>
    <s v="П"/>
    <s v="ЛПЗ"/>
    <s v="ОПЗ"/>
    <m/>
    <m/>
    <s v="Ард"/>
    <s v="Ард"/>
    <x v="36"/>
    <x v="0"/>
    <m/>
    <n v="57.142857142857146"/>
    <n v="17"/>
    <n v="89"/>
    <n v="58"/>
    <n v="70"/>
    <n v="66"/>
    <n v="70"/>
    <n v="30"/>
    <n v="0"/>
    <n v="371210"/>
    <n v="30934.166666666668"/>
    <n v="0"/>
  </r>
  <r>
    <s v="Лезвут"/>
    <s v="П"/>
    <s v="ЦПЗ"/>
    <s v="ППЗ"/>
    <m/>
    <s v="Тел"/>
    <s v="Тел"/>
    <s v="Тел"/>
    <x v="36"/>
    <x v="0"/>
    <m/>
    <n v="59.857142857142854"/>
    <n v="45"/>
    <n v="74"/>
    <n v="54"/>
    <n v="75"/>
    <n v="62"/>
    <n v="67"/>
    <n v="42"/>
    <n v="0"/>
    <n v="590419"/>
    <n v="49201.583333333336"/>
    <n v="0"/>
  </r>
  <r>
    <s v="Могадишо Эрик"/>
    <s v="П"/>
    <s v="ППЗ"/>
    <s v="АПЗ"/>
    <m/>
    <m/>
    <s v="Ард"/>
    <s v="Ард"/>
    <x v="36"/>
    <x v="0"/>
    <m/>
    <n v="60.714285714285715"/>
    <n v="20"/>
    <n v="92"/>
    <n v="60"/>
    <n v="72"/>
    <n v="74"/>
    <n v="73"/>
    <n v="34"/>
    <n v="0"/>
    <n v="680627"/>
    <n v="56718.916666666664"/>
    <n v="0"/>
  </r>
  <r>
    <s v="Кашерти"/>
    <s v="Т"/>
    <s v="Т"/>
    <m/>
    <m/>
    <m/>
    <s v="Ард"/>
    <s v="Ард"/>
    <x v="36"/>
    <x v="0"/>
    <m/>
    <n v="68"/>
    <n v="55"/>
    <n v="77"/>
    <n v="68"/>
    <n v="84"/>
    <n v="70"/>
    <n v="69"/>
    <n v="53"/>
    <n v="0"/>
    <n v="2113923"/>
    <n v="176160.25"/>
    <n v="0"/>
  </r>
  <r>
    <s v="Афьорд Остин"/>
    <s v="В"/>
    <s v="В"/>
    <m/>
    <m/>
    <m/>
    <s v="Кирп"/>
    <s v="Кирп"/>
    <x v="37"/>
    <x v="0"/>
    <m/>
    <n v="63.857142857142854"/>
    <n v="18"/>
    <n v="79"/>
    <n v="73"/>
    <n v="77"/>
    <n v="79"/>
    <n v="81"/>
    <n v="40"/>
    <n v="0"/>
    <n v="1127444"/>
    <n v="93953.666666666672"/>
    <n v="0"/>
  </r>
  <r>
    <s v="Маорвик Остин"/>
    <s v="В"/>
    <s v="В"/>
    <m/>
    <m/>
    <m/>
    <s v="Кирп"/>
    <s v="Кирп"/>
    <x v="37"/>
    <x v="0"/>
    <m/>
    <n v="57.857142857142854"/>
    <n v="14"/>
    <n v="73"/>
    <n v="67"/>
    <n v="71"/>
    <n v="73"/>
    <n v="75"/>
    <n v="32"/>
    <n v="0"/>
    <n v="420311"/>
    <n v="35025.916666666664"/>
    <n v="0"/>
  </r>
  <r>
    <s v="Наовик Рэй"/>
    <s v="В"/>
    <s v="В"/>
    <m/>
    <m/>
    <m/>
    <s v="Кирп"/>
    <s v="Кирп"/>
    <x v="37"/>
    <x v="0"/>
    <m/>
    <n v="61.857142857142854"/>
    <n v="16"/>
    <n v="77"/>
    <n v="71"/>
    <n v="75"/>
    <n v="77"/>
    <n v="79"/>
    <n v="38"/>
    <n v="0"/>
    <n v="820160"/>
    <n v="68346.666666666672"/>
    <n v="0"/>
  </r>
  <r>
    <s v="Зулушер Кир"/>
    <s v="З"/>
    <s v="ЛЗ"/>
    <s v="ЦЗ"/>
    <m/>
    <m/>
    <s v="Кирп"/>
    <s v="Кирп"/>
    <x v="37"/>
    <x v="0"/>
    <m/>
    <n v="66.428571428571431"/>
    <n v="20"/>
    <n v="83"/>
    <n v="75"/>
    <n v="79"/>
    <n v="81"/>
    <n v="83"/>
    <n v="44"/>
    <n v="0"/>
    <n v="1673205"/>
    <n v="139433.75"/>
    <n v="0"/>
  </r>
  <r>
    <s v="Инкулунд Люк"/>
    <s v="З"/>
    <s v="ЦЗ"/>
    <s v="ОПЗ"/>
    <m/>
    <m/>
    <s v="Кирп"/>
    <s v="Кирп"/>
    <x v="37"/>
    <x v="0"/>
    <m/>
    <n v="59.857142857142854"/>
    <n v="15"/>
    <n v="75"/>
    <n v="69"/>
    <n v="73"/>
    <n v="75"/>
    <n v="77"/>
    <n v="35"/>
    <n v="0"/>
    <n v="590419"/>
    <n v="49201.583333333336"/>
    <n v="0"/>
  </r>
  <r>
    <s v="Кайлонсен"/>
    <s v="З"/>
    <s v="ЛЗ"/>
    <s v="ПЗ"/>
    <s v="ЦЗ"/>
    <s v="Кирп"/>
    <s v="Кирп"/>
    <s v="Кирп"/>
    <x v="37"/>
    <x v="0"/>
    <m/>
    <n v="44.571428571428569"/>
    <n v="23"/>
    <n v="40"/>
    <n v="47"/>
    <n v="56"/>
    <n v="60"/>
    <n v="65"/>
    <n v="21"/>
    <n v="0"/>
    <n v="30944"/>
    <n v="2578.6666666666665"/>
    <n v="0"/>
  </r>
  <r>
    <s v="Кечудал Тим"/>
    <s v="З"/>
    <s v="ПЗ"/>
    <s v="ЦЗ"/>
    <m/>
    <m/>
    <s v="Кирп"/>
    <s v="Кирп"/>
    <x v="37"/>
    <x v="0"/>
    <m/>
    <n v="61.714285714285715"/>
    <n v="16"/>
    <n v="77"/>
    <n v="71"/>
    <n v="75"/>
    <n v="77"/>
    <n v="79"/>
    <n v="37"/>
    <n v="0"/>
    <n v="801415"/>
    <n v="66784.583333333328"/>
    <n v="0"/>
  </r>
  <r>
    <s v="Маорберг Рой"/>
    <s v="З"/>
    <s v="ЦЗ"/>
    <s v="ЛЗ"/>
    <m/>
    <m/>
    <s v="Кирп"/>
    <s v="Кирп"/>
    <x v="37"/>
    <x v="0"/>
    <m/>
    <n v="68.285714285714292"/>
    <n v="21"/>
    <n v="85"/>
    <n v="77"/>
    <n v="81"/>
    <n v="83"/>
    <n v="85"/>
    <n v="46"/>
    <n v="0"/>
    <n v="2204442"/>
    <n v="183703.5"/>
    <n v="0"/>
  </r>
  <r>
    <s v="Суахистрём Ян"/>
    <s v="З"/>
    <s v="ПЗ"/>
    <s v="ЛЗ"/>
    <m/>
    <m/>
    <s v="Кирп"/>
    <s v="Кирп"/>
    <x v="37"/>
    <x v="0"/>
    <m/>
    <n v="58.571428571428569"/>
    <n v="14"/>
    <n v="73"/>
    <n v="68"/>
    <n v="72"/>
    <n v="74"/>
    <n v="76"/>
    <n v="33"/>
    <n v="0"/>
    <n v="475181"/>
    <n v="39598.416666666664"/>
    <n v="0"/>
  </r>
  <r>
    <s v="Ительбю Доллен"/>
    <s v="Н"/>
    <s v="ОФ"/>
    <s v="ЦН"/>
    <m/>
    <m/>
    <s v="Кирп"/>
    <s v="Кирп"/>
    <x v="37"/>
    <x v="0"/>
    <m/>
    <n v="73.285714285714292"/>
    <n v="26"/>
    <n v="91"/>
    <n v="83"/>
    <n v="85"/>
    <n v="87"/>
    <n v="89"/>
    <n v="52"/>
    <n v="0"/>
    <n v="4468825"/>
    <n v="372402.08333333331"/>
    <n v="0"/>
  </r>
  <r>
    <s v="Корятторп Кс"/>
    <s v="Н"/>
    <s v="ЦН"/>
    <s v="ОФ"/>
    <m/>
    <m/>
    <s v="Кирп"/>
    <s v="Кирп"/>
    <x v="37"/>
    <x v="0"/>
    <m/>
    <n v="69.714285714285708"/>
    <n v="24"/>
    <n v="88"/>
    <n v="79"/>
    <n v="81"/>
    <n v="83"/>
    <n v="85"/>
    <n v="48"/>
    <n v="0"/>
    <n v="2711552"/>
    <n v="225962.66666666666"/>
    <n v="0"/>
  </r>
  <r>
    <s v="Андамквист Ирж"/>
    <s v="П"/>
    <s v="АПЗ"/>
    <s v="ППЗ"/>
    <m/>
    <m/>
    <s v="Кирп"/>
    <s v="Кирп"/>
    <x v="37"/>
    <x v="0"/>
    <m/>
    <n v="56.857142857142854"/>
    <n v="13"/>
    <n v="72"/>
    <n v="66"/>
    <n v="70"/>
    <n v="72"/>
    <n v="74"/>
    <n v="31"/>
    <n v="0"/>
    <n v="353062"/>
    <n v="29421.833333333332"/>
    <n v="0"/>
  </r>
  <r>
    <s v="Меланебак Стан"/>
    <s v="П"/>
    <s v="АПЗ"/>
    <s v="ЦПЗ"/>
    <m/>
    <m/>
    <s v="Кирп"/>
    <s v="Кирп"/>
    <x v="37"/>
    <x v="0"/>
    <m/>
    <n v="65.714285714285708"/>
    <n v="19"/>
    <n v="81"/>
    <n v="75"/>
    <n v="79"/>
    <n v="81"/>
    <n v="83"/>
    <n v="42"/>
    <n v="0"/>
    <n v="1501751"/>
    <n v="125145.91666666667"/>
    <n v="0"/>
  </r>
  <r>
    <s v="Негард Кайус"/>
    <s v="П"/>
    <s v="ЦПЗ"/>
    <s v="ОПЗ"/>
    <m/>
    <m/>
    <s v="Кирп"/>
    <s v="Кирп"/>
    <x v="37"/>
    <x v="0"/>
    <m/>
    <n v="62.857142857142854"/>
    <n v="17"/>
    <n v="78"/>
    <n v="72"/>
    <n v="76"/>
    <n v="78"/>
    <n v="80"/>
    <n v="39"/>
    <n v="0"/>
    <n v="962823"/>
    <n v="80235.25"/>
    <n v="0"/>
  </r>
  <r>
    <s v="Нивхгард Эрл"/>
    <s v="П"/>
    <s v="ППЗ"/>
    <s v="АПЗ"/>
    <m/>
    <m/>
    <s v="Кирп"/>
    <s v="Кирп"/>
    <x v="37"/>
    <x v="0"/>
    <m/>
    <n v="65.857142857142861"/>
    <n v="19"/>
    <n v="81"/>
    <n v="75"/>
    <n v="79"/>
    <n v="81"/>
    <n v="83"/>
    <n v="43"/>
    <n v="0"/>
    <n v="1534719"/>
    <n v="127893.25"/>
    <n v="0"/>
  </r>
  <r>
    <s v="Папуанес Дар"/>
    <s v="П"/>
    <s v="ОПЗ"/>
    <s v="ЦПЗ"/>
    <m/>
    <m/>
    <s v="Кирп"/>
    <s v="Кирп"/>
    <x v="37"/>
    <x v="0"/>
    <m/>
    <n v="60.714285714285715"/>
    <n v="15"/>
    <n v="76"/>
    <n v="70"/>
    <n v="74"/>
    <n v="76"/>
    <n v="78"/>
    <n v="36"/>
    <n v="0"/>
    <n v="680627"/>
    <n v="56718.916666666664"/>
    <n v="0"/>
  </r>
  <r>
    <s v="Ристад Мэйс"/>
    <s v="П"/>
    <s v="ОПЗ"/>
    <s v="ЦЗ"/>
    <m/>
    <m/>
    <s v="Кирп"/>
    <s v="Кирп"/>
    <x v="37"/>
    <x v="0"/>
    <m/>
    <n v="70.571428571428569"/>
    <n v="23"/>
    <n v="89"/>
    <n v="79"/>
    <n v="83"/>
    <n v="85"/>
    <n v="87"/>
    <n v="48"/>
    <n v="0"/>
    <n v="3064003"/>
    <n v="255333.58333333334"/>
    <n v="0"/>
  </r>
  <r>
    <s v="Семанвольд Дан"/>
    <s v="П"/>
    <s v="ЛПЗ"/>
    <s v="ОПЗ"/>
    <m/>
    <m/>
    <s v="Кирп"/>
    <s v="Кирп"/>
    <x v="37"/>
    <x v="0"/>
    <m/>
    <n v="61.714285714285715"/>
    <n v="16"/>
    <n v="77"/>
    <n v="71"/>
    <n v="75"/>
    <n v="77"/>
    <n v="79"/>
    <n v="37"/>
    <n v="0"/>
    <n v="801415"/>
    <n v="66784.583333333328"/>
    <n v="0"/>
  </r>
  <r>
    <s v="Хронехейм Пол"/>
    <s v="П"/>
    <s v="ЦПЗ"/>
    <s v="ЛПЗ"/>
    <m/>
    <m/>
    <s v="Кирп"/>
    <s v="Кирп"/>
    <x v="37"/>
    <x v="0"/>
    <m/>
    <n v="58.857142857142854"/>
    <n v="14"/>
    <n v="74"/>
    <n v="68"/>
    <n v="72"/>
    <n v="74"/>
    <n v="76"/>
    <n v="34"/>
    <n v="0"/>
    <n v="498876"/>
    <n v="41573"/>
    <n v="0"/>
  </r>
  <r>
    <s v="Чехольм Элд"/>
    <s v="Т"/>
    <s v="Т"/>
    <m/>
    <m/>
    <m/>
    <s v="Кирп"/>
    <s v="Кирп"/>
    <x v="37"/>
    <x v="0"/>
    <m/>
    <n v="62.857142857142854"/>
    <n v="17"/>
    <n v="78"/>
    <n v="72"/>
    <n v="76"/>
    <n v="78"/>
    <n v="80"/>
    <n v="39"/>
    <n v="0"/>
    <n v="962823"/>
    <n v="80235.25"/>
    <n v="0"/>
  </r>
  <r>
    <s v="Бультер"/>
    <s v="З"/>
    <s v="ЛЗ"/>
    <s v="ПЗ"/>
    <m/>
    <s v="Вал"/>
    <s v="Вал"/>
    <s v="Вал"/>
    <x v="38"/>
    <x v="0"/>
    <m/>
    <n v="76.571428571428569"/>
    <n v="61"/>
    <n v="84"/>
    <n v="75"/>
    <n v="76"/>
    <n v="80"/>
    <n v="82"/>
    <n v="78"/>
    <n v="0"/>
    <n v="6928952"/>
    <n v="577412.66666666663"/>
    <n v="0"/>
  </r>
  <r>
    <s v="Бурдак Марсель"/>
    <s v="З"/>
    <s v="ПЗ"/>
    <s v="ОПЗ"/>
    <m/>
    <m/>
    <s v="Вал"/>
    <s v="Вал"/>
    <x v="38"/>
    <x v="0"/>
    <m/>
    <n v="60.428571428571431"/>
    <n v="31"/>
    <n v="88"/>
    <n v="55"/>
    <n v="69"/>
    <n v="74"/>
    <n v="64"/>
    <n v="42"/>
    <n v="0"/>
    <n v="649267"/>
    <n v="54105.583333333336"/>
    <n v="0"/>
  </r>
  <r>
    <s v="Вальт Люж"/>
    <s v="З"/>
    <s v="ЛЗ"/>
    <s v="ПЗ"/>
    <m/>
    <m/>
    <s v="Вал"/>
    <s v="Вал"/>
    <x v="38"/>
    <x v="0"/>
    <m/>
    <n v="59.142857142857146"/>
    <n v="24"/>
    <n v="87"/>
    <n v="41"/>
    <n v="73"/>
    <n v="68"/>
    <n v="70"/>
    <n v="51"/>
    <n v="0"/>
    <n v="523629"/>
    <n v="43635.75"/>
    <n v="0"/>
  </r>
  <r>
    <s v="Граккет Пьер"/>
    <s v="З"/>
    <s v="ПЗ"/>
    <s v="ЦЗ"/>
    <m/>
    <m/>
    <s v="Вал"/>
    <s v="Вал"/>
    <x v="38"/>
    <x v="0"/>
    <m/>
    <n v="59.857142857142854"/>
    <n v="29"/>
    <n v="91"/>
    <n v="52"/>
    <n v="70"/>
    <n v="66"/>
    <n v="63"/>
    <n v="48"/>
    <n v="0"/>
    <n v="590419"/>
    <n v="49201.583333333336"/>
    <n v="0"/>
  </r>
  <r>
    <s v="Джажак (З)"/>
    <s v="З"/>
    <s v="ПЗ"/>
    <m/>
    <m/>
    <s v="Вал"/>
    <s v="Вал"/>
    <s v="Вал"/>
    <x v="38"/>
    <x v="0"/>
    <m/>
    <n v="72.714285714285708"/>
    <n v="57"/>
    <n v="85"/>
    <n v="70"/>
    <n v="81"/>
    <n v="72"/>
    <n v="74"/>
    <n v="70"/>
    <n v="0"/>
    <n v="4132354"/>
    <n v="344362.83333333331"/>
    <n v="0"/>
  </r>
  <r>
    <s v="Джустас"/>
    <s v="З"/>
    <s v="ПЗ"/>
    <s v="ЛЗ"/>
    <m/>
    <s v="Вал"/>
    <s v="Вал"/>
    <s v="Вал"/>
    <x v="38"/>
    <x v="0"/>
    <m/>
    <n v="79.142857142857139"/>
    <n v="70"/>
    <n v="94"/>
    <n v="80"/>
    <n v="82"/>
    <n v="74"/>
    <n v="74"/>
    <n v="80"/>
    <n v="23"/>
    <n v="14461339"/>
    <n v="1205111.5833333333"/>
    <n v="0"/>
  </r>
  <r>
    <s v="Дюпонте Реми"/>
    <s v="З"/>
    <s v="ЦЗ"/>
    <s v="ОПЗ"/>
    <m/>
    <m/>
    <s v="Вал"/>
    <s v="Вал"/>
    <x v="38"/>
    <x v="0"/>
    <m/>
    <n v="61"/>
    <n v="35"/>
    <n v="84"/>
    <n v="47"/>
    <n v="62"/>
    <n v="83"/>
    <n v="72"/>
    <n v="44"/>
    <n v="0"/>
    <n v="713343"/>
    <n v="59445.25"/>
    <n v="0"/>
  </r>
  <r>
    <s v="Клариссон Тьерри"/>
    <s v="З"/>
    <s v="ПЗ"/>
    <s v="ЛЗ"/>
    <m/>
    <m/>
    <s v="Вал"/>
    <s v="Вал"/>
    <x v="38"/>
    <x v="0"/>
    <m/>
    <n v="54.857142857142854"/>
    <n v="21"/>
    <n v="94"/>
    <n v="38"/>
    <n v="66"/>
    <n v="61"/>
    <n v="58"/>
    <n v="46"/>
    <n v="0"/>
    <n v="246793"/>
    <n v="20566.083333333332"/>
    <n v="0"/>
  </r>
  <r>
    <s v="Пробис"/>
    <s v="З"/>
    <s v="ПЗ"/>
    <s v="ОПЗ"/>
    <m/>
    <s v="Вал"/>
    <s v="Вал"/>
    <s v="Вал"/>
    <x v="38"/>
    <x v="0"/>
    <m/>
    <n v="77.285714285714292"/>
    <n v="66"/>
    <n v="88"/>
    <n v="69"/>
    <n v="76"/>
    <n v="89"/>
    <n v="77"/>
    <n v="76"/>
    <n v="16"/>
    <n v="11404691"/>
    <n v="633594"/>
    <n v="0"/>
  </r>
  <r>
    <s v="Путисон"/>
    <s v="З"/>
    <s v="ПЗ"/>
    <s v="ЛЗ"/>
    <m/>
    <s v="Вал"/>
    <s v="Вал"/>
    <s v="Вал"/>
    <x v="38"/>
    <x v="0"/>
    <m/>
    <n v="69.571428571428569"/>
    <n v="39"/>
    <n v="93"/>
    <n v="66"/>
    <n v="87"/>
    <n v="72"/>
    <n v="74"/>
    <n v="56"/>
    <n v="23"/>
    <n v="3984745"/>
    <n v="332062.08333333331"/>
    <n v="0"/>
  </r>
  <r>
    <s v="Турнат"/>
    <s v="З"/>
    <s v="ЦЗ"/>
    <m/>
    <m/>
    <s v="Турн"/>
    <s v="Турн"/>
    <s v="Турн"/>
    <x v="38"/>
    <x v="0"/>
    <m/>
    <n v="79.571428571428569"/>
    <n v="75"/>
    <n v="82"/>
    <n v="83"/>
    <n v="78"/>
    <n v="79"/>
    <n v="90"/>
    <n v="70"/>
    <n v="27"/>
    <n v="15263806"/>
    <n v="1271983.8333333333"/>
    <n v="0"/>
  </r>
  <r>
    <s v="Фердиган (З)"/>
    <s v="З"/>
    <s v="ЦЗ"/>
    <s v="ОПЗ"/>
    <m/>
    <s v="Вар"/>
    <s v="Вар"/>
    <s v="Вар"/>
    <x v="38"/>
    <x v="0"/>
    <m/>
    <n v="86.714285714285708"/>
    <n v="80"/>
    <n v="84"/>
    <n v="91"/>
    <n v="83"/>
    <n v="92"/>
    <n v="93"/>
    <n v="84"/>
    <n v="26"/>
    <n v="36057680"/>
    <n v="3004806.6666666665"/>
    <n v="0"/>
  </r>
  <r>
    <s v="Ячкимов"/>
    <s v="З"/>
    <s v="ПЗ"/>
    <s v="ОПЗ"/>
    <m/>
    <s v="Турн"/>
    <s v="Турн"/>
    <s v="Турн"/>
    <x v="38"/>
    <x v="0"/>
    <m/>
    <n v="84.571428571428569"/>
    <n v="79"/>
    <n v="90"/>
    <n v="84"/>
    <n v="88"/>
    <n v="84"/>
    <n v="89"/>
    <n v="78"/>
    <n v="28"/>
    <n v="28075528"/>
    <n v="2339627.3333333335"/>
    <n v="0"/>
  </r>
  <r>
    <s v="Каррель Антуан"/>
    <s v="Н"/>
    <s v="ЦН"/>
    <s v="ОФ"/>
    <m/>
    <m/>
    <s v="Вал"/>
    <s v="Вал"/>
    <x v="38"/>
    <x v="0"/>
    <m/>
    <n v="62.571428571428569"/>
    <n v="30"/>
    <n v="89"/>
    <n v="59"/>
    <n v="71"/>
    <n v="73"/>
    <n v="67"/>
    <n v="49"/>
    <n v="0"/>
    <n v="919943"/>
    <n v="76661.916666666672"/>
    <n v="0"/>
  </r>
  <r>
    <s v="Кер-Хер Нойз"/>
    <s v="Н"/>
    <s v="ЦН"/>
    <s v="ОФ"/>
    <m/>
    <s v="Мам"/>
    <s v="Мам"/>
    <s v="Мам"/>
    <x v="38"/>
    <x v="0"/>
    <m/>
    <n v="67"/>
    <n v="52"/>
    <n v="76"/>
    <n v="74"/>
    <n v="68"/>
    <n v="71"/>
    <n v="78"/>
    <n v="50"/>
    <n v="0"/>
    <n v="1822838"/>
    <n v="151903.16666666666"/>
    <n v="0"/>
  </r>
  <r>
    <s v="Парма Ормалини"/>
    <s v="Н"/>
    <s v="ЦН"/>
    <m/>
    <m/>
    <s v="Вал"/>
    <s v="Вал"/>
    <s v="Вал"/>
    <x v="38"/>
    <x v="0"/>
    <m/>
    <n v="75.571428571428569"/>
    <n v="65"/>
    <n v="92"/>
    <n v="78"/>
    <n v="76"/>
    <n v="70"/>
    <n v="80"/>
    <n v="68"/>
    <n v="0"/>
    <n v="6075421"/>
    <n v="506285.08333333331"/>
    <n v="0"/>
  </r>
  <r>
    <s v="Беллиба"/>
    <s v="П"/>
    <s v="ППЗ"/>
    <s v="ЦПЗ"/>
    <m/>
    <s v="Ард"/>
    <s v="Ард"/>
    <s v="Ард"/>
    <x v="38"/>
    <x v="0"/>
    <m/>
    <n v="75.285714285714292"/>
    <n v="47"/>
    <n v="91"/>
    <n v="80"/>
    <n v="82"/>
    <n v="79"/>
    <n v="80"/>
    <n v="68"/>
    <n v="23"/>
    <n v="8774392"/>
    <n v="731199.33333333337"/>
    <n v="0"/>
  </r>
  <r>
    <s v="Вернье Сирил"/>
    <s v="П"/>
    <s v="ЛПЗ"/>
    <s v="АПЗ"/>
    <m/>
    <m/>
    <s v="Вал"/>
    <s v="Вал"/>
    <x v="38"/>
    <x v="0"/>
    <m/>
    <n v="61.857142857142854"/>
    <n v="38"/>
    <n v="92"/>
    <n v="51"/>
    <n v="74"/>
    <n v="64"/>
    <n v="61"/>
    <n v="53"/>
    <n v="0"/>
    <n v="820160"/>
    <n v="68346.666666666672"/>
    <n v="0"/>
  </r>
  <r>
    <s v="Дюрси Матье"/>
    <s v="П"/>
    <s v="ЦПЗ"/>
    <s v="ОПЗ"/>
    <m/>
    <m/>
    <s v="Вал"/>
    <s v="Вал"/>
    <x v="38"/>
    <x v="0"/>
    <m/>
    <n v="56.285714285714285"/>
    <n v="22"/>
    <n v="83"/>
    <n v="36"/>
    <n v="86"/>
    <n v="67"/>
    <n v="59"/>
    <n v="41"/>
    <n v="0"/>
    <n v="319141"/>
    <n v="26595.083333333332"/>
    <n v="0"/>
  </r>
  <r>
    <s v="Микса"/>
    <s v="П"/>
    <s v="ППЗ"/>
    <s v="ОПЗ"/>
    <s v="АПЗ"/>
    <s v="Вал"/>
    <s v="Вал"/>
    <s v="Вал"/>
    <x v="38"/>
    <x v="0"/>
    <m/>
    <n v="84.285714285714292"/>
    <n v="83"/>
    <n v="99"/>
    <n v="81"/>
    <n v="86"/>
    <n v="83"/>
    <n v="78"/>
    <n v="80"/>
    <n v="3"/>
    <n v="27141321"/>
    <n v="2261776.75"/>
    <n v="0"/>
  </r>
  <r>
    <s v="Орбаис (П)"/>
    <s v="П"/>
    <s v="ЛПЗ"/>
    <s v="АПЗ"/>
    <m/>
    <s v="Вал"/>
    <s v="Вал"/>
    <s v="Вал"/>
    <x v="38"/>
    <x v="0"/>
    <m/>
    <n v="86.285714285714292"/>
    <n v="83"/>
    <n v="94"/>
    <n v="87"/>
    <n v="89"/>
    <n v="87"/>
    <n v="83"/>
    <n v="81"/>
    <n v="22"/>
    <n v="34314704"/>
    <n v="2859558.6666666665"/>
    <n v="0"/>
  </r>
  <r>
    <s v="Рошар Луи"/>
    <s v="П"/>
    <s v="ОПЗ"/>
    <s v="ППЗ"/>
    <m/>
    <m/>
    <s v="Вал"/>
    <s v="Вал"/>
    <x v="38"/>
    <x v="0"/>
    <m/>
    <n v="60.714285714285715"/>
    <n v="26"/>
    <n v="85"/>
    <n v="39"/>
    <n v="78"/>
    <n v="81"/>
    <n v="69"/>
    <n v="47"/>
    <n v="0"/>
    <n v="680627"/>
    <n v="56718.916666666664"/>
    <n v="0"/>
  </r>
  <r>
    <s v="Рульно (П)"/>
    <s v="П"/>
    <s v="ППЗ"/>
    <s v="ОПЗ"/>
    <m/>
    <s v="Вал"/>
    <s v="Вал"/>
    <s v="Вал"/>
    <x v="38"/>
    <x v="0"/>
    <m/>
    <n v="85.857142857142861"/>
    <n v="83"/>
    <n v="95"/>
    <n v="85"/>
    <n v="88"/>
    <n v="86"/>
    <n v="84"/>
    <n v="80"/>
    <n v="22"/>
    <n v="32647925"/>
    <n v="2720660.4166666665"/>
    <n v="0"/>
  </r>
  <r>
    <s v="Фортель Ноэль"/>
    <s v="П"/>
    <s v="ППЗ"/>
    <s v="ЦПЗ"/>
    <m/>
    <m/>
    <s v="Вал"/>
    <s v="Вал"/>
    <x v="38"/>
    <x v="0"/>
    <m/>
    <n v="61.714285714285715"/>
    <n v="33"/>
    <n v="90"/>
    <n v="43"/>
    <n v="80"/>
    <n v="70"/>
    <n v="66"/>
    <n v="50"/>
    <n v="0"/>
    <n v="801415"/>
    <n v="66784.583333333328"/>
    <n v="0"/>
  </r>
  <r>
    <s v="Грувих"/>
    <s v="Т"/>
    <s v="Т"/>
    <m/>
    <m/>
    <m/>
    <s v="Турн"/>
    <s v="Турн"/>
    <x v="38"/>
    <x v="0"/>
    <m/>
    <n v="71.285714285714292"/>
    <n v="52"/>
    <n v="93"/>
    <n v="68"/>
    <n v="82"/>
    <n v="80"/>
    <n v="69"/>
    <n v="55"/>
    <n v="0"/>
    <n v="3388638"/>
    <n v="282386.5"/>
    <n v="0"/>
  </r>
  <r>
    <s v="Ветрад Остром"/>
    <s v="В"/>
    <s v="В"/>
    <m/>
    <m/>
    <m/>
    <s v="Лищ"/>
    <s v="Лищ"/>
    <x v="39"/>
    <x v="0"/>
    <m/>
    <n v="63"/>
    <n v="24"/>
    <n v="73"/>
    <n v="67"/>
    <n v="75"/>
    <n v="77"/>
    <n v="79"/>
    <n v="46"/>
    <n v="0"/>
    <n v="984931"/>
    <n v="82077.583333333328"/>
    <n v="0"/>
  </r>
  <r>
    <s v="Утёслав Яп"/>
    <s v="З"/>
    <s v="ПЗ"/>
    <s v="ЦЗ"/>
    <m/>
    <m/>
    <s v="Лищ"/>
    <s v="Лищ"/>
    <x v="39"/>
    <x v="0"/>
    <m/>
    <n v="58.428571428571431"/>
    <n v="21"/>
    <n v="73"/>
    <n v="64"/>
    <n v="69"/>
    <n v="71"/>
    <n v="73"/>
    <n v="38"/>
    <n v="0"/>
    <n v="463717"/>
    <n v="38643.083333333336"/>
    <n v="0"/>
  </r>
  <r>
    <s v="Дуброс Ставр"/>
    <s v="З"/>
    <s v="ПЗ"/>
    <s v="ЦЗ"/>
    <m/>
    <m/>
    <s v="Лищ"/>
    <s v="Лищ"/>
    <x v="39"/>
    <x v="0"/>
    <m/>
    <n v="61.714285714285715"/>
    <n v="23"/>
    <n v="75"/>
    <n v="68"/>
    <n v="73"/>
    <n v="75"/>
    <n v="77"/>
    <n v="41"/>
    <n v="0"/>
    <n v="801415"/>
    <n v="66784.583333333328"/>
    <n v="0"/>
  </r>
  <r>
    <s v="Среброгор Ратиб"/>
    <s v="З"/>
    <s v="ЛЗ"/>
    <s v="ЦЗ"/>
    <m/>
    <m/>
    <s v="Лищ"/>
    <s v="Лищ"/>
    <x v="39"/>
    <x v="0"/>
    <m/>
    <n v="59.714285714285715"/>
    <n v="22"/>
    <n v="72"/>
    <n v="66"/>
    <n v="71"/>
    <n v="73"/>
    <n v="75"/>
    <n v="39"/>
    <n v="0"/>
    <n v="576478"/>
    <n v="48039.833333333336"/>
    <n v="0"/>
  </r>
  <r>
    <s v="Ветробор Сято"/>
    <s v="Н"/>
    <s v="ОФ"/>
    <s v="ЦН"/>
    <m/>
    <m/>
    <s v="Лищ"/>
    <s v="Лищ"/>
    <x v="39"/>
    <x v="0"/>
    <m/>
    <n v="66.285714285714292"/>
    <n v="24"/>
    <n v="78"/>
    <n v="74"/>
    <n v="79"/>
    <n v="81"/>
    <n v="83"/>
    <n v="45"/>
    <n v="0"/>
    <n v="1637569"/>
    <n v="136464.08333333334"/>
    <n v="0"/>
  </r>
  <r>
    <s v="Камгор Ратм"/>
    <s v="Н"/>
    <s v="ЦН"/>
    <s v="ОФ"/>
    <m/>
    <m/>
    <s v="Лищ"/>
    <s v="Лищ"/>
    <x v="39"/>
    <x v="0"/>
    <m/>
    <n v="62.142857142857146"/>
    <n v="22"/>
    <n v="74"/>
    <n v="68"/>
    <n v="75"/>
    <n v="77"/>
    <n v="79"/>
    <n v="40"/>
    <n v="0"/>
    <n v="858840"/>
    <n v="71570"/>
    <n v="0"/>
  </r>
  <r>
    <s v="Рогозов (Н)"/>
    <s v="Н"/>
    <s v="ЦН"/>
    <s v="ОФ"/>
    <m/>
    <s v="Лищ"/>
    <s v="Лищ"/>
    <s v="Лищ"/>
    <x v="39"/>
    <x v="0"/>
    <m/>
    <n v="80.285714285714292"/>
    <n v="81"/>
    <n v="76"/>
    <n v="80"/>
    <n v="76"/>
    <n v="83"/>
    <n v="90"/>
    <n v="76"/>
    <n v="16"/>
    <n v="16690680"/>
    <n v="1390890"/>
    <n v="0"/>
  </r>
  <r>
    <s v="Сребровод Дорн"/>
    <s v="Н"/>
    <s v="ЦН"/>
    <s v="ОФ"/>
    <m/>
    <m/>
    <s v="Лищ"/>
    <s v="Лищ"/>
    <x v="39"/>
    <x v="0"/>
    <m/>
    <n v="74.428571428571431"/>
    <n v="32"/>
    <n v="81"/>
    <n v="87"/>
    <n v="87"/>
    <n v="89"/>
    <n v="91"/>
    <n v="54"/>
    <n v="0"/>
    <n v="5216712"/>
    <n v="434726"/>
    <n v="0"/>
  </r>
  <r>
    <s v="Водограй Светоз"/>
    <s v="П"/>
    <s v="АПЗ"/>
    <s v="ЦПЗ"/>
    <m/>
    <m/>
    <s v="Лищ"/>
    <s v="Лищ"/>
    <x v="39"/>
    <x v="0"/>
    <m/>
    <n v="62.285714285714285"/>
    <n v="22"/>
    <n v="74"/>
    <n v="68"/>
    <n v="78"/>
    <n v="76"/>
    <n v="78"/>
    <n v="40"/>
    <n v="0"/>
    <n v="878789"/>
    <n v="73232.416666666672"/>
    <n v="0"/>
  </r>
  <r>
    <s v="Волгон Радосл"/>
    <s v="П"/>
    <s v="ЛПЗ"/>
    <s v="ЦПЗ"/>
    <m/>
    <m/>
    <s v="Лищ"/>
    <s v="Лищ"/>
    <x v="39"/>
    <x v="0"/>
    <m/>
    <n v="64.285714285714292"/>
    <n v="23"/>
    <n v="75"/>
    <n v="70"/>
    <n v="78"/>
    <n v="80"/>
    <n v="82"/>
    <n v="42"/>
    <n v="0"/>
    <n v="1205438"/>
    <n v="100453.16666666667"/>
    <n v="0"/>
  </r>
  <r>
    <s v="Гаскров (П)"/>
    <s v="П"/>
    <s v="ОПЗ"/>
    <s v="ЦЗ"/>
    <m/>
    <s v="Лищ"/>
    <s v="Лищ"/>
    <s v="Лищ"/>
    <x v="39"/>
    <x v="0"/>
    <m/>
    <n v="82.142857142857139"/>
    <n v="80"/>
    <n v="77"/>
    <n v="80"/>
    <n v="84"/>
    <n v="86"/>
    <n v="87"/>
    <n v="81"/>
    <n v="18"/>
    <n v="20979219"/>
    <n v="1748268.25"/>
    <n v="0"/>
  </r>
  <r>
    <s v="Желзор Браним"/>
    <s v="П"/>
    <s v="ЦПЗ"/>
    <s v="ОПЗ"/>
    <m/>
    <m/>
    <s v="Лищ"/>
    <s v="Лищ"/>
    <x v="39"/>
    <x v="0"/>
    <m/>
    <n v="59"/>
    <n v="21"/>
    <n v="69"/>
    <n v="62"/>
    <n v="73"/>
    <n v="75"/>
    <n v="77"/>
    <n v="36"/>
    <n v="0"/>
    <n v="511117"/>
    <n v="42593.083333333336"/>
    <n v="0"/>
  </r>
  <r>
    <s v="Желновод Яромир"/>
    <s v="П"/>
    <s v="ППЗ"/>
    <s v="АПЗ"/>
    <m/>
    <m/>
    <s v="Лищ"/>
    <s v="Лищ"/>
    <x v="39"/>
    <x v="0"/>
    <m/>
    <n v="67.285714285714292"/>
    <n v="25"/>
    <n v="79"/>
    <n v="76"/>
    <n v="82"/>
    <n v="80"/>
    <n v="82"/>
    <n v="47"/>
    <n v="0"/>
    <n v="1902080"/>
    <n v="158506.66666666666"/>
    <n v="0"/>
  </r>
  <r>
    <s v="Зебровски"/>
    <s v="П"/>
    <s v="ОПЗ"/>
    <s v="ЦПЗ"/>
    <m/>
    <s v="Лищ"/>
    <s v="Лищ"/>
    <s v="Лищ"/>
    <x v="39"/>
    <x v="0"/>
    <m/>
    <n v="74"/>
    <n v="52"/>
    <n v="73"/>
    <n v="77"/>
    <n v="77"/>
    <n v="80"/>
    <n v="83"/>
    <n v="76"/>
    <n v="18"/>
    <n v="7385986"/>
    <n v="615498.83333333337"/>
    <n v="0"/>
  </r>
  <r>
    <s v="Камбор Велиз"/>
    <s v="П"/>
    <s v="АПЗ"/>
    <s v="ППЗ"/>
    <m/>
    <m/>
    <s v="Лищ"/>
    <s v="Лищ"/>
    <x v="39"/>
    <x v="0"/>
    <m/>
    <n v="65.142857142857139"/>
    <n v="24"/>
    <n v="77"/>
    <n v="74"/>
    <n v="80"/>
    <n v="78"/>
    <n v="80"/>
    <n v="43"/>
    <n v="0"/>
    <n v="1376158"/>
    <n v="114679.83333333333"/>
    <n v="0"/>
  </r>
  <r>
    <s v="Огнебор Горд"/>
    <s v="П"/>
    <s v="ППЗ"/>
    <s v="ЛПЗ"/>
    <m/>
    <m/>
    <s v="Лищ"/>
    <s v="Лищ"/>
    <x v="39"/>
    <x v="0"/>
    <m/>
    <n v="62.142857142857146"/>
    <n v="22"/>
    <n v="72"/>
    <n v="68"/>
    <n v="76"/>
    <n v="78"/>
    <n v="80"/>
    <n v="39"/>
    <n v="0"/>
    <n v="858840"/>
    <n v="71570"/>
    <n v="0"/>
  </r>
  <r>
    <s v="Остапов (П)"/>
    <s v="П"/>
    <s v="ОПЗ"/>
    <s v="ЦПЗ"/>
    <m/>
    <s v="Лищ"/>
    <s v="Лищ"/>
    <s v="Лищ"/>
    <x v="39"/>
    <x v="0"/>
    <m/>
    <n v="83.142857142857139"/>
    <n v="77"/>
    <n v="79"/>
    <n v="83"/>
    <n v="85"/>
    <n v="85"/>
    <n v="89"/>
    <n v="84"/>
    <n v="18"/>
    <n v="23677765"/>
    <n v="1973147.0833333333"/>
    <n v="0"/>
  </r>
  <r>
    <s v="Пепелгор Мирол"/>
    <s v="П"/>
    <s v="ОПЗ"/>
    <s v="ЦПЗ"/>
    <m/>
    <m/>
    <s v="Лищ"/>
    <s v="Лищ"/>
    <x v="39"/>
    <x v="0"/>
    <m/>
    <n v="65.428571428571431"/>
    <n v="24"/>
    <n v="77"/>
    <n v="72"/>
    <n v="81"/>
    <n v="79"/>
    <n v="81"/>
    <n v="44"/>
    <n v="0"/>
    <n v="1437721"/>
    <n v="119810.08333333333"/>
    <n v="0"/>
  </r>
  <r>
    <s v="Сребролист Люом"/>
    <s v="П"/>
    <s v="ЛПЗ"/>
    <s v="ОПЗ"/>
    <m/>
    <m/>
    <s v="Лищ"/>
    <s v="Лищ"/>
    <x v="39"/>
    <x v="0"/>
    <m/>
    <n v="60.428571428571431"/>
    <n v="21"/>
    <n v="70"/>
    <n v="64"/>
    <n v="75"/>
    <n v="77"/>
    <n v="79"/>
    <n v="37"/>
    <n v="0"/>
    <n v="649267"/>
    <n v="54105.583333333336"/>
    <n v="0"/>
  </r>
  <r>
    <s v="Камзор Доброгн"/>
    <s v="Т"/>
    <s v="Т"/>
    <m/>
    <m/>
    <m/>
    <s v="Лищ"/>
    <s v="Лищ"/>
    <x v="39"/>
    <x v="0"/>
    <m/>
    <n v="60.714285714285715"/>
    <n v="22"/>
    <n v="71"/>
    <n v="64"/>
    <n v="73"/>
    <n v="75"/>
    <n v="77"/>
    <n v="43"/>
    <n v="0"/>
    <n v="680627"/>
    <n v="56718.916666666664"/>
    <n v="0"/>
  </r>
  <r>
    <s v="Биатрикс"/>
    <s v="З"/>
    <s v="ЦЗ"/>
    <s v="ПЗ"/>
    <s v="ЛЗ"/>
    <s v="Ост"/>
    <s v="Ост"/>
    <s v="Ост"/>
    <x v="40"/>
    <x v="1"/>
    <m/>
    <n v="86.428571428571431"/>
    <n v="83"/>
    <n v="88"/>
    <n v="94"/>
    <n v="84"/>
    <n v="90"/>
    <n v="88"/>
    <n v="78"/>
    <n v="18"/>
    <n v="34887079"/>
    <n v="2907256.5833333335"/>
    <n v="0"/>
  </r>
  <r>
    <s v="Айдын Кемаль"/>
    <s v="В"/>
    <s v="В"/>
    <m/>
    <m/>
    <m/>
    <s v="Тел"/>
    <s v="Тел"/>
    <x v="41"/>
    <x v="0"/>
    <m/>
    <n v="59.857142857142854"/>
    <n v="27"/>
    <n v="65"/>
    <n v="61"/>
    <n v="70"/>
    <n v="77"/>
    <n v="75"/>
    <n v="44"/>
    <n v="0"/>
    <n v="590419"/>
    <n v="49201.583333333336"/>
    <n v="0"/>
  </r>
  <r>
    <s v="Валеник"/>
    <s v="В"/>
    <s v="В"/>
    <m/>
    <m/>
    <s v="Гид"/>
    <s v="Гид"/>
    <s v="Гид"/>
    <x v="41"/>
    <x v="0"/>
    <m/>
    <n v="60.857142857142854"/>
    <n v="29"/>
    <n v="60"/>
    <n v="56"/>
    <n v="65"/>
    <n v="76"/>
    <n v="74"/>
    <n v="66"/>
    <n v="0"/>
    <n v="696812"/>
    <n v="58067.666666666664"/>
    <n v="0"/>
  </r>
  <r>
    <s v="Кавальени"/>
    <s v="В"/>
    <s v="В"/>
    <m/>
    <m/>
    <s v="Тел"/>
    <s v="Тел"/>
    <s v="Тел"/>
    <x v="41"/>
    <x v="0"/>
    <m/>
    <n v="63.428571428571431"/>
    <n v="30"/>
    <n v="70"/>
    <n v="85"/>
    <n v="65"/>
    <n v="70"/>
    <n v="80"/>
    <n v="44"/>
    <n v="0"/>
    <n v="1054022"/>
    <n v="87835.166666666672"/>
    <n v="0"/>
  </r>
  <r>
    <s v="Бозкурт Эрол"/>
    <s v="З"/>
    <s v="ЦЗ"/>
    <s v="ОПЗ"/>
    <m/>
    <m/>
    <s v="Тел"/>
    <s v="Тел"/>
    <x v="41"/>
    <x v="0"/>
    <m/>
    <n v="58.428571428571431"/>
    <n v="21"/>
    <n v="61"/>
    <n v="67"/>
    <n v="73"/>
    <n v="75"/>
    <n v="77"/>
    <n v="35"/>
    <n v="0"/>
    <n v="463717"/>
    <n v="38643.083333333336"/>
    <n v="0"/>
  </r>
  <r>
    <s v="Бульвари"/>
    <s v="З"/>
    <s v="ЦЗ"/>
    <s v="ОПЗ"/>
    <m/>
    <s v="Тел"/>
    <s v="Тел"/>
    <s v="Тел"/>
    <x v="41"/>
    <x v="0"/>
    <m/>
    <n v="59"/>
    <n v="23"/>
    <n v="55"/>
    <n v="73"/>
    <n v="67"/>
    <n v="74"/>
    <n v="76"/>
    <n v="45"/>
    <n v="0"/>
    <n v="511117"/>
    <n v="42593.083333333336"/>
    <n v="0"/>
  </r>
  <r>
    <s v="Демирташ Озан"/>
    <s v="З"/>
    <s v="ЦЗ"/>
    <s v="ЛЗ"/>
    <m/>
    <m/>
    <s v="Тел"/>
    <s v="Тел"/>
    <x v="41"/>
    <x v="0"/>
    <m/>
    <n v="66"/>
    <n v="29"/>
    <n v="71"/>
    <n v="73"/>
    <n v="79"/>
    <n v="81"/>
    <n v="83"/>
    <n v="46"/>
    <n v="0"/>
    <n v="1568337"/>
    <n v="130694.75"/>
    <n v="0"/>
  </r>
  <r>
    <s v="Кылыч Мерхат"/>
    <s v="З"/>
    <s v="ЦЗ"/>
    <m/>
    <m/>
    <m/>
    <s v="Тел"/>
    <s v="Тел"/>
    <x v="41"/>
    <x v="0"/>
    <m/>
    <n v="48.428571428571431"/>
    <n v="19"/>
    <n v="43"/>
    <n v="63"/>
    <n v="57"/>
    <n v="61"/>
    <n v="66"/>
    <n v="30"/>
    <n v="0"/>
    <n v="70961"/>
    <n v="5913.416666666667"/>
    <n v="0"/>
  </r>
  <r>
    <s v="Лапшер"/>
    <s v="З"/>
    <s v="ЦЗ"/>
    <m/>
    <m/>
    <s v="Тел"/>
    <s v="Тел"/>
    <s v="Тел"/>
    <x v="41"/>
    <x v="0"/>
    <m/>
    <n v="62.571428571428569"/>
    <n v="40"/>
    <n v="59"/>
    <n v="70"/>
    <n v="66"/>
    <n v="73"/>
    <n v="79"/>
    <n v="51"/>
    <n v="0"/>
    <n v="919943"/>
    <n v="76661.916666666672"/>
    <n v="0"/>
  </r>
  <r>
    <s v="Халлал"/>
    <s v="З"/>
    <s v="ЦЗ"/>
    <m/>
    <m/>
    <s v="Мам"/>
    <s v="Мам"/>
    <s v="Мам"/>
    <x v="41"/>
    <x v="0"/>
    <m/>
    <n v="43.857142857142854"/>
    <n v="10"/>
    <n v="40"/>
    <n v="43"/>
    <n v="58"/>
    <n v="60"/>
    <n v="67"/>
    <n v="29"/>
    <n v="0"/>
    <n v="26328"/>
    <n v="2194"/>
    <n v="0"/>
  </r>
  <r>
    <s v="Ютур"/>
    <s v="З"/>
    <s v="ЦЗ"/>
    <m/>
    <m/>
    <s v="Тел"/>
    <s v="Тел"/>
    <s v="Тел"/>
    <x v="41"/>
    <x v="0"/>
    <m/>
    <n v="56.428571428571431"/>
    <n v="21"/>
    <n v="50"/>
    <n v="72"/>
    <n v="66"/>
    <n v="69"/>
    <n v="77"/>
    <n v="40"/>
    <n v="0"/>
    <n v="327334"/>
    <n v="27277.833333333332"/>
    <n v="0"/>
  </r>
  <r>
    <s v="Ялчин Сердар"/>
    <s v="З"/>
    <s v="ЦЗ"/>
    <m/>
    <m/>
    <m/>
    <s v="Тел"/>
    <s v="Тел"/>
    <x v="41"/>
    <x v="0"/>
    <m/>
    <n v="54.571428571428569"/>
    <n v="22"/>
    <n v="53"/>
    <n v="65"/>
    <n v="64"/>
    <n v="71"/>
    <n v="74"/>
    <n v="33"/>
    <n v="0"/>
    <n v="234236"/>
    <n v="19519.666666666668"/>
    <n v="0"/>
  </r>
  <r>
    <s v="Гьювью"/>
    <s v="Н"/>
    <s v="ЦН"/>
    <s v="АПЗ"/>
    <m/>
    <s v="Тел"/>
    <s v="Тел"/>
    <s v="Тел"/>
    <x v="41"/>
    <x v="0"/>
    <m/>
    <n v="52.428571428571431"/>
    <n v="28"/>
    <n v="50"/>
    <n v="79"/>
    <n v="55"/>
    <n v="56"/>
    <n v="65"/>
    <n v="34"/>
    <n v="0"/>
    <n v="156921"/>
    <n v="13076.75"/>
    <n v="0"/>
  </r>
  <r>
    <s v="Текке Бурак"/>
    <s v="Н"/>
    <s v="ЦН"/>
    <s v="ОФ"/>
    <m/>
    <s v="Тел"/>
    <s v="Тел"/>
    <s v="Тел"/>
    <x v="41"/>
    <x v="0"/>
    <m/>
    <n v="67.142857142857139"/>
    <n v="30"/>
    <n v="75"/>
    <n v="83"/>
    <n v="74"/>
    <n v="79"/>
    <n v="82"/>
    <n v="47"/>
    <n v="7"/>
    <n v="2793119"/>
    <n v="232759.91666666666"/>
    <n v="0"/>
  </r>
  <r>
    <s v="Цури"/>
    <s v="Н"/>
    <s v="ЦН"/>
    <m/>
    <m/>
    <s v="Тел"/>
    <s v="Тел"/>
    <s v="Тел"/>
    <x v="41"/>
    <x v="0"/>
    <m/>
    <n v="52.714285714285715"/>
    <n v="31"/>
    <n v="47"/>
    <n v="80"/>
    <n v="57"/>
    <n v="55"/>
    <n v="67"/>
    <n v="32"/>
    <n v="0"/>
    <n v="165686"/>
    <n v="13807.166666666666"/>
    <n v="0"/>
  </r>
  <r>
    <s v="Чайсар"/>
    <s v="Н"/>
    <s v="ЦН"/>
    <m/>
    <m/>
    <s v="Тел"/>
    <s v="Тел"/>
    <s v="Тел"/>
    <x v="41"/>
    <x v="0"/>
    <m/>
    <n v="59"/>
    <n v="34"/>
    <n v="55"/>
    <n v="83"/>
    <n v="61"/>
    <n v="60"/>
    <n v="75"/>
    <n v="45"/>
    <n v="0"/>
    <n v="511117"/>
    <n v="42593.083333333336"/>
    <n v="0"/>
  </r>
  <r>
    <s v="Бухлер"/>
    <s v="П"/>
    <s v="ППЗ"/>
    <s v="АПЗ"/>
    <m/>
    <s v="Хан"/>
    <s v="Хан"/>
    <s v="Хан"/>
    <x v="41"/>
    <x v="0"/>
    <m/>
    <n v="46.285714285714285"/>
    <n v="25"/>
    <n v="68"/>
    <n v="48"/>
    <n v="50"/>
    <n v="54"/>
    <n v="50"/>
    <n v="29"/>
    <n v="0"/>
    <n v="45131"/>
    <n v="3760.9166666666665"/>
    <n v="0"/>
  </r>
  <r>
    <s v="Дарманган"/>
    <s v="П"/>
    <s v="ОПЗ"/>
    <m/>
    <m/>
    <s v="Тел"/>
    <s v="Тел"/>
    <s v="Тел"/>
    <x v="41"/>
    <x v="0"/>
    <m/>
    <n v="57.142857142857146"/>
    <n v="53"/>
    <n v="61"/>
    <n v="47"/>
    <n v="56"/>
    <n v="59"/>
    <n v="65"/>
    <n v="59"/>
    <n v="0"/>
    <n v="371210"/>
    <n v="30934.166666666668"/>
    <n v="0"/>
  </r>
  <r>
    <s v="Караджа Ильхан"/>
    <s v="П"/>
    <s v="ЦПЗ"/>
    <s v="ОПЗ"/>
    <m/>
    <m/>
    <s v="Тел"/>
    <s v="Тел"/>
    <x v="41"/>
    <x v="0"/>
    <m/>
    <n v="52"/>
    <n v="20"/>
    <n v="55"/>
    <n v="61"/>
    <n v="63"/>
    <n v="65"/>
    <n v="69"/>
    <n v="31"/>
    <n v="0"/>
    <n v="144556"/>
    <n v="12046.333333333334"/>
    <n v="0"/>
  </r>
  <r>
    <s v="Озтюрк Барыш"/>
    <s v="П"/>
    <s v="ППЗ"/>
    <s v="АПЗ"/>
    <m/>
    <m/>
    <s v="Тел"/>
    <s v="Тел"/>
    <x v="41"/>
    <x v="0"/>
    <m/>
    <n v="59.285714285714285"/>
    <n v="24"/>
    <n v="73"/>
    <n v="69"/>
    <n v="68"/>
    <n v="72"/>
    <n v="71"/>
    <n v="38"/>
    <n v="0"/>
    <n v="536415"/>
    <n v="44701.25"/>
    <n v="0"/>
  </r>
  <r>
    <s v="Сумм"/>
    <s v="П"/>
    <s v="ЦПЗ"/>
    <s v="АПЗ"/>
    <m/>
    <s v="Тел"/>
    <s v="Тел"/>
    <s v="Тел"/>
    <x v="41"/>
    <x v="0"/>
    <m/>
    <n v="51.857142857142854"/>
    <n v="38"/>
    <n v="49"/>
    <n v="54"/>
    <n v="50"/>
    <n v="54"/>
    <n v="67"/>
    <n v="51"/>
    <n v="0"/>
    <n v="140633"/>
    <n v="11719.416666666666"/>
    <n v="0"/>
  </r>
  <r>
    <s v="Шахин Эмре"/>
    <s v="П"/>
    <s v="ЛПЗ"/>
    <s v="ОПЗ"/>
    <m/>
    <m/>
    <s v="Тел"/>
    <s v="Тел"/>
    <x v="41"/>
    <x v="0"/>
    <m/>
    <n v="54.142857142857146"/>
    <n v="21"/>
    <n v="67"/>
    <n v="59"/>
    <n v="66"/>
    <n v="64"/>
    <n v="68"/>
    <n v="34"/>
    <n v="0"/>
    <n v="216477"/>
    <n v="18039.75"/>
    <n v="0"/>
  </r>
  <r>
    <s v="Шерью (П)"/>
    <s v="П"/>
    <s v="ЛПЗ"/>
    <s v="ЦПЗ"/>
    <m/>
    <s v="Тел"/>
    <s v="Тел"/>
    <s v="Тел"/>
    <x v="41"/>
    <x v="0"/>
    <m/>
    <n v="54"/>
    <n v="59"/>
    <n v="58"/>
    <n v="56"/>
    <n v="56"/>
    <n v="58"/>
    <n v="46"/>
    <n v="45"/>
    <n v="0"/>
    <n v="210833"/>
    <n v="17569.416666666668"/>
    <n v="0"/>
  </r>
  <r>
    <s v="Эрдоган Мурат"/>
    <s v="П"/>
    <s v="ОПЗ"/>
    <s v="ЦЗ"/>
    <m/>
    <m/>
    <s v="Тел"/>
    <s v="Тел"/>
    <x v="41"/>
    <x v="0"/>
    <m/>
    <n v="62.857142857142854"/>
    <n v="26"/>
    <n v="69"/>
    <n v="75"/>
    <n v="77"/>
    <n v="74"/>
    <n v="76"/>
    <n v="43"/>
    <n v="0"/>
    <n v="962823"/>
    <n v="80235.25"/>
    <n v="0"/>
  </r>
  <r>
    <s v="Гаречо"/>
    <s v="Т"/>
    <s v="Т"/>
    <m/>
    <m/>
    <m/>
    <s v="Тел"/>
    <s v="Тел"/>
    <x v="41"/>
    <x v="0"/>
    <m/>
    <n v="67.428571428571431"/>
    <n v="60"/>
    <n v="68"/>
    <n v="83"/>
    <n v="80"/>
    <n v="74"/>
    <n v="67"/>
    <n v="40"/>
    <n v="0"/>
    <n v="1942852"/>
    <n v="161904.33333333334"/>
    <n v="0"/>
  </r>
  <r>
    <s v="Хоршей"/>
    <s v="В"/>
    <s v="В"/>
    <m/>
    <m/>
    <s v="Кол"/>
    <s v="Кол"/>
    <s v="Кол"/>
    <x v="42"/>
    <x v="0"/>
    <m/>
    <n v="49.285714285714285"/>
    <n v="34"/>
    <n v="38"/>
    <n v="49"/>
    <n v="22"/>
    <n v="57"/>
    <n v="79"/>
    <n v="66"/>
    <n v="0"/>
    <n v="84569"/>
    <n v="7047.416666666667"/>
    <n v="0"/>
  </r>
  <r>
    <s v="Алиев (З)"/>
    <s v="З"/>
    <s v="ЦЗ"/>
    <m/>
    <m/>
    <s v="Кол"/>
    <s v="Кол"/>
    <s v="Кол"/>
    <x v="42"/>
    <x v="0"/>
    <m/>
    <n v="63.285714285714285"/>
    <n v="40"/>
    <n v="60"/>
    <n v="71"/>
    <n v="66"/>
    <n v="71"/>
    <n v="66"/>
    <n v="69"/>
    <n v="0"/>
    <n v="1030522"/>
    <n v="85876.833333333328"/>
    <n v="0"/>
  </r>
  <r>
    <s v="Батбаяр Тэмур"/>
    <s v="З"/>
    <s v="ПЗ"/>
    <s v="ЦЗ"/>
    <m/>
    <s v="Кол"/>
    <s v="Кол"/>
    <s v="Кол"/>
    <x v="42"/>
    <x v="0"/>
    <m/>
    <n v="52.571428571428569"/>
    <n v="15"/>
    <n v="67"/>
    <n v="53"/>
    <n v="65"/>
    <n v="69"/>
    <n v="71"/>
    <n v="28"/>
    <n v="0"/>
    <n v="161250"/>
    <n v="13437.5"/>
    <n v="0"/>
  </r>
  <r>
    <s v="Игонти"/>
    <s v="З"/>
    <s v="ЦЗ"/>
    <m/>
    <m/>
    <s v="Кол"/>
    <s v="Кол"/>
    <s v="Кол"/>
    <x v="42"/>
    <x v="0"/>
    <m/>
    <n v="43.285714285714285"/>
    <n v="17"/>
    <n v="37"/>
    <n v="47"/>
    <n v="50"/>
    <n v="61"/>
    <n v="65"/>
    <n v="26"/>
    <n v="0"/>
    <n v="23092"/>
    <n v="1924.3333333333333"/>
    <n v="0"/>
  </r>
  <r>
    <s v="Йурта"/>
    <s v="З"/>
    <s v="ЦЗ"/>
    <s v="ОПЗ"/>
    <m/>
    <s v="Кол"/>
    <s v="Кол"/>
    <s v="Кол"/>
    <x v="42"/>
    <x v="0"/>
    <m/>
    <n v="48.428571428571431"/>
    <n v="21"/>
    <n v="41"/>
    <n v="50"/>
    <n v="57"/>
    <n v="67"/>
    <n v="67"/>
    <n v="36"/>
    <n v="0"/>
    <n v="70961"/>
    <n v="5913.416666666667"/>
    <n v="0"/>
  </r>
  <r>
    <s v="Ночник"/>
    <s v="З"/>
    <s v="ЦЗ"/>
    <m/>
    <m/>
    <s v="Кол"/>
    <s v="Кол"/>
    <s v="Кол"/>
    <x v="42"/>
    <x v="0"/>
    <m/>
    <n v="56.428571428571431"/>
    <n v="35"/>
    <n v="48"/>
    <n v="56"/>
    <n v="58"/>
    <n v="75"/>
    <n v="77"/>
    <n v="46"/>
    <n v="0"/>
    <n v="327334"/>
    <n v="27277.833333333332"/>
    <n v="0"/>
  </r>
  <r>
    <s v="Понти"/>
    <s v="З"/>
    <s v="ЦЗ"/>
    <m/>
    <m/>
    <s v="Переп"/>
    <s v="Переп"/>
    <s v="Переп"/>
    <x v="42"/>
    <x v="0"/>
    <m/>
    <n v="50.142857142857146"/>
    <n v="31"/>
    <n v="45"/>
    <n v="55"/>
    <n v="50"/>
    <n v="66"/>
    <n v="69"/>
    <n v="35"/>
    <n v="0"/>
    <n v="100483"/>
    <n v="8373.5833333333339"/>
    <n v="0"/>
  </r>
  <r>
    <s v="Чулуунбат Алтан"/>
    <s v="З"/>
    <s v="ЛЗ"/>
    <s v="ЦЗ"/>
    <m/>
    <s v="Кол"/>
    <s v="Кол"/>
    <s v="Кол"/>
    <x v="42"/>
    <x v="0"/>
    <m/>
    <n v="46.428571428571431"/>
    <n v="15"/>
    <n v="61"/>
    <n v="45"/>
    <n v="57"/>
    <n v="61"/>
    <n v="64"/>
    <n v="22"/>
    <n v="0"/>
    <n v="46543"/>
    <n v="3878.5833333333335"/>
    <n v="0"/>
  </r>
  <r>
    <s v="Чурмах"/>
    <s v="З"/>
    <s v="ЦЗ"/>
    <m/>
    <m/>
    <s v="Кол"/>
    <s v="Кол"/>
    <s v="Кол"/>
    <x v="42"/>
    <x v="0"/>
    <m/>
    <n v="45.714285714285715"/>
    <n v="15"/>
    <n v="42"/>
    <n v="46"/>
    <n v="53"/>
    <n v="59"/>
    <n v="63"/>
    <n v="42"/>
    <n v="0"/>
    <n v="39859"/>
    <n v="3321.5833333333335"/>
    <n v="0"/>
  </r>
  <r>
    <s v="Батчулуун Тэмур"/>
    <s v="Н"/>
    <s v="ОФ"/>
    <s v="ППЗ"/>
    <m/>
    <s v="Кол"/>
    <s v="Кол"/>
    <s v="Кол"/>
    <x v="42"/>
    <x v="0"/>
    <m/>
    <n v="62.142857142857146"/>
    <n v="24"/>
    <n v="77"/>
    <n v="67"/>
    <n v="71"/>
    <n v="75"/>
    <n v="78"/>
    <n v="43"/>
    <n v="0"/>
    <n v="858840"/>
    <n v="71570"/>
    <n v="0"/>
  </r>
  <r>
    <s v="Ганбаяр Алтан"/>
    <s v="Н"/>
    <s v="ЦН"/>
    <s v="ОФ"/>
    <m/>
    <s v="Кол"/>
    <s v="Кол"/>
    <s v="Кол"/>
    <x v="42"/>
    <x v="0"/>
    <m/>
    <n v="48.857142857142854"/>
    <n v="15"/>
    <n v="59"/>
    <n v="53"/>
    <n v="61"/>
    <n v="63"/>
    <n v="66"/>
    <n v="25"/>
    <n v="0"/>
    <n v="77497"/>
    <n v="6458.083333333333"/>
    <n v="0"/>
  </r>
  <r>
    <s v="Стиллантор"/>
    <s v="Н"/>
    <s v="ЦН"/>
    <m/>
    <m/>
    <s v="Кол"/>
    <s v="Кол"/>
    <s v="Кол"/>
    <x v="42"/>
    <x v="0"/>
    <m/>
    <n v="50.857142857142854"/>
    <n v="28"/>
    <n v="53"/>
    <n v="59"/>
    <n v="56"/>
    <n v="61"/>
    <n v="64"/>
    <n v="35"/>
    <n v="0"/>
    <n v="115750"/>
    <n v="9645.8333333333339"/>
    <n v="0"/>
  </r>
  <r>
    <s v="Шайпер"/>
    <s v="Н"/>
    <s v="ЦН"/>
    <s v="ОФ"/>
    <m/>
    <s v="Кол"/>
    <s v="Кол"/>
    <s v="Кол"/>
    <x v="42"/>
    <x v="0"/>
    <m/>
    <n v="49.714285714285715"/>
    <n v="22"/>
    <n v="56"/>
    <n v="55"/>
    <n v="55"/>
    <n v="59"/>
    <n v="63"/>
    <n v="38"/>
    <n v="0"/>
    <n v="92218"/>
    <n v="7684.833333333333"/>
    <n v="0"/>
  </r>
  <r>
    <s v="Векенд"/>
    <s v="П"/>
    <s v="АПЗ"/>
    <s v="ППЗ"/>
    <m/>
    <s v="Кол"/>
    <s v="Кол"/>
    <s v="Кол"/>
    <x v="42"/>
    <x v="0"/>
    <m/>
    <n v="46.571428571428569"/>
    <n v="41"/>
    <n v="54"/>
    <n v="59"/>
    <n v="50"/>
    <n v="55"/>
    <n v="48"/>
    <n v="19"/>
    <n v="0"/>
    <n v="47995"/>
    <n v="3999.5833333333335"/>
    <n v="0"/>
  </r>
  <r>
    <s v="Гантуя Энх"/>
    <s v="П"/>
    <s v="ОПЗ"/>
    <s v="ЦЗ"/>
    <m/>
    <s v="Кол"/>
    <s v="Кол"/>
    <s v="Кол"/>
    <x v="42"/>
    <x v="0"/>
    <m/>
    <n v="59"/>
    <n v="22"/>
    <n v="71"/>
    <n v="59"/>
    <n v="75"/>
    <n v="73"/>
    <n v="75"/>
    <n v="38"/>
    <n v="0"/>
    <n v="511117"/>
    <n v="42593.083333333336"/>
    <n v="0"/>
  </r>
  <r>
    <s v="Джеб Бьюенс"/>
    <s v="П"/>
    <s v="ЦПЗ"/>
    <m/>
    <m/>
    <s v="Кол"/>
    <s v="Кол"/>
    <s v="Кол"/>
    <x v="42"/>
    <x v="0"/>
    <m/>
    <n v="49.714285714285715"/>
    <n v="43"/>
    <n v="63"/>
    <n v="47"/>
    <n v="70"/>
    <n v="56"/>
    <n v="45"/>
    <n v="24"/>
    <n v="0"/>
    <n v="92218"/>
    <n v="7684.833333333333"/>
    <n v="0"/>
  </r>
  <r>
    <s v="Доржбаяр Бат"/>
    <s v="П"/>
    <s v="ЦПЗ"/>
    <s v="ОПЗ"/>
    <m/>
    <s v="Кол"/>
    <s v="Кол"/>
    <s v="Кол"/>
    <x v="42"/>
    <x v="0"/>
    <m/>
    <n v="48.857142857142854"/>
    <n v="16"/>
    <n v="53"/>
    <n v="51"/>
    <n v="63"/>
    <n v="65"/>
    <n v="68"/>
    <n v="26"/>
    <n v="0"/>
    <n v="77497"/>
    <n v="6458.083333333333"/>
    <n v="0"/>
  </r>
  <r>
    <s v="Лона (П)"/>
    <s v="П"/>
    <s v="ППЗ"/>
    <s v="ОПЗ"/>
    <m/>
    <s v="Переп"/>
    <s v="Переп"/>
    <s v="Переп"/>
    <x v="42"/>
    <x v="0"/>
    <m/>
    <n v="69.714285714285708"/>
    <n v="70"/>
    <n v="85"/>
    <n v="68"/>
    <n v="67"/>
    <n v="68"/>
    <n v="60"/>
    <n v="70"/>
    <n v="23"/>
    <n v="4067327"/>
    <n v="338943.91666666669"/>
    <n v="0"/>
  </r>
  <r>
    <s v="Сурэнбат Ганзориг"/>
    <s v="П"/>
    <s v="АПЗ"/>
    <s v="ЦПЗ"/>
    <m/>
    <s v="Кол"/>
    <s v="Кол"/>
    <s v="Кол"/>
    <x v="42"/>
    <x v="0"/>
    <m/>
    <n v="58.285714285714285"/>
    <n v="44"/>
    <n v="65"/>
    <n v="55"/>
    <n v="71"/>
    <n v="69"/>
    <n v="71"/>
    <n v="33"/>
    <n v="0"/>
    <n v="452503"/>
    <n v="20036.75"/>
    <n v="0"/>
  </r>
  <r>
    <s v="Туябаяр Мөнх"/>
    <s v="П"/>
    <s v="ЛПЗ"/>
    <s v="ППЗ"/>
    <m/>
    <s v="Кол"/>
    <s v="Кол"/>
    <s v="Кол"/>
    <x v="42"/>
    <x v="0"/>
    <m/>
    <n v="51.285714285714285"/>
    <n v="17"/>
    <n v="69"/>
    <n v="49"/>
    <n v="65"/>
    <n v="63"/>
    <n v="66"/>
    <n v="30"/>
    <n v="0"/>
    <n v="125883"/>
    <n v="10490.25"/>
    <n v="0"/>
  </r>
  <r>
    <s v="Шотти"/>
    <s v="П"/>
    <s v="ЛПЗ"/>
    <s v="ОПЗ"/>
    <m/>
    <s v="Кол"/>
    <s v="Кол"/>
    <s v="Кол"/>
    <x v="42"/>
    <x v="0"/>
    <m/>
    <n v="50.428571428571431"/>
    <n v="40"/>
    <n v="58"/>
    <n v="46"/>
    <n v="54"/>
    <n v="58"/>
    <n v="51"/>
    <n v="46"/>
    <n v="0"/>
    <n v="106358"/>
    <n v="8863.1666666666661"/>
    <n v="0"/>
  </r>
  <r>
    <s v="Ынник"/>
    <s v="П"/>
    <s v="ЦПЗ"/>
    <s v="ППЗ"/>
    <m/>
    <s v="Кол"/>
    <s v="Кол"/>
    <s v="Кол"/>
    <x v="42"/>
    <x v="0"/>
    <m/>
    <n v="62.285714285714285"/>
    <n v="40"/>
    <n v="70"/>
    <n v="65"/>
    <n v="65"/>
    <n v="71"/>
    <n v="65"/>
    <n v="60"/>
    <n v="17"/>
    <n v="1318184"/>
    <n v="4251.916666666667"/>
    <n v="0"/>
  </r>
  <r>
    <s v="Эрдэнэтуя Батбаяр"/>
    <s v="П"/>
    <s v="ППЗ"/>
    <s v="ЛПЗ"/>
    <m/>
    <s v="Кол"/>
    <s v="Кол"/>
    <s v="Кол"/>
    <x v="42"/>
    <x v="0"/>
    <m/>
    <n v="56.714285714285715"/>
    <n v="21"/>
    <n v="73"/>
    <n v="57"/>
    <n v="69"/>
    <n v="71"/>
    <n v="70"/>
    <n v="36"/>
    <n v="0"/>
    <n v="344291"/>
    <n v="28690.916666666668"/>
    <n v="0"/>
  </r>
  <r>
    <s v="Эрдэнэбат Ганбат"/>
    <s v="Т"/>
    <s v="Т"/>
    <m/>
    <m/>
    <m/>
    <s v="Кол"/>
    <s v="Кол"/>
    <x v="42"/>
    <x v="0"/>
    <m/>
    <n v="52.857142857142854"/>
    <n v="17"/>
    <n v="63"/>
    <n v="57"/>
    <n v="69"/>
    <n v="65"/>
    <n v="67"/>
    <n v="32"/>
    <n v="0"/>
    <n v="170231"/>
    <n v="14185.916666666666"/>
    <n v="0"/>
  </r>
  <r>
    <s v="Тексер"/>
    <s v="В"/>
    <s v="В"/>
    <m/>
    <m/>
    <s v="Нумб"/>
    <s v="Нумб"/>
    <s v="Нумб"/>
    <x v="43"/>
    <x v="0"/>
    <m/>
    <n v="70.142857142857139"/>
    <n v="51"/>
    <n v="75"/>
    <n v="72"/>
    <n v="77"/>
    <n v="77"/>
    <n v="79"/>
    <n v="60"/>
    <n v="29"/>
    <n v="4324400"/>
    <n v="168284.33333333334"/>
    <n v="0"/>
  </r>
  <r>
    <s v="Войлов"/>
    <s v="З"/>
    <s v="ЦЗ"/>
    <m/>
    <m/>
    <s v="Генуа"/>
    <s v="Генуа"/>
    <s v="Генуа"/>
    <x v="43"/>
    <x v="0"/>
    <m/>
    <n v="67"/>
    <n v="50"/>
    <n v="70"/>
    <n v="52"/>
    <n v="70"/>
    <n v="80"/>
    <n v="86"/>
    <n v="61"/>
    <n v="0"/>
    <n v="1822838"/>
    <n v="151903.16666666666"/>
    <n v="0"/>
  </r>
  <r>
    <s v="Газан Андрей"/>
    <s v="З"/>
    <s v="ПЗ"/>
    <s v="ЦЗ"/>
    <m/>
    <m/>
    <s v="Черлесск"/>
    <s v="Черлесск"/>
    <x v="43"/>
    <x v="0"/>
    <m/>
    <n v="51.857142857142854"/>
    <n v="12"/>
    <n v="61"/>
    <n v="55"/>
    <n v="67"/>
    <n v="69"/>
    <n v="71"/>
    <n v="28"/>
    <n v="0"/>
    <n v="140633"/>
    <n v="11719.416666666666"/>
    <n v="0"/>
  </r>
  <r>
    <s v="Курман"/>
    <s v="З"/>
    <s v="ЦЗ"/>
    <m/>
    <m/>
    <s v="Биссий"/>
    <s v="Биссий"/>
    <s v="Биссий"/>
    <x v="43"/>
    <x v="0"/>
    <m/>
    <n v="59.285714285714285"/>
    <n v="48"/>
    <n v="68"/>
    <n v="60"/>
    <n v="62"/>
    <n v="74"/>
    <n v="83"/>
    <n v="20"/>
    <n v="0"/>
    <n v="536415"/>
    <n v="44701.25"/>
    <n v="0"/>
  </r>
  <r>
    <s v="Отлома"/>
    <s v="З"/>
    <s v="ЦЗ"/>
    <s v="ПЗ"/>
    <m/>
    <s v="Мал"/>
    <s v="В.И."/>
    <s v="В.И."/>
    <x v="43"/>
    <x v="0"/>
    <m/>
    <n v="67.428571428571431"/>
    <n v="44"/>
    <n v="62"/>
    <n v="70"/>
    <n v="70"/>
    <n v="81"/>
    <n v="79"/>
    <n v="66"/>
    <n v="0"/>
    <n v="1942852"/>
    <n v="161904.33333333334"/>
    <n v="0"/>
  </r>
  <r>
    <s v="Перлим Пётр"/>
    <s v="З"/>
    <s v="ЦЗ"/>
    <s v="ОПЗ"/>
    <m/>
    <m/>
    <s v="Черлесск"/>
    <s v="Черлесск"/>
    <x v="43"/>
    <x v="0"/>
    <m/>
    <n v="43.285714285714285"/>
    <n v="10"/>
    <n v="48"/>
    <n v="47"/>
    <n v="55"/>
    <n v="59"/>
    <n v="62"/>
    <n v="22"/>
    <n v="0"/>
    <n v="23092"/>
    <n v="1924.3333333333333"/>
    <n v="0"/>
  </r>
  <r>
    <s v="Сторвус"/>
    <s v="З"/>
    <s v="ЦЗ"/>
    <s v="ЛЗ"/>
    <m/>
    <s v="Переп"/>
    <s v="Переп"/>
    <s v="Переп"/>
    <x v="43"/>
    <x v="0"/>
    <m/>
    <n v="53.428571428571431"/>
    <n v="22"/>
    <n v="51"/>
    <n v="58"/>
    <n v="51"/>
    <n v="75"/>
    <n v="77"/>
    <n v="40"/>
    <n v="0"/>
    <n v="189556"/>
    <n v="15796.333333333334"/>
    <n v="0"/>
  </r>
  <r>
    <s v="Мисиклетин Аркадий"/>
    <s v="Н"/>
    <s v="ЦН"/>
    <s v="ОФ"/>
    <m/>
    <m/>
    <s v="Черлесск"/>
    <s v="Черлесск"/>
    <x v="43"/>
    <x v="0"/>
    <m/>
    <n v="50.857142857142854"/>
    <n v="14"/>
    <n v="65"/>
    <n v="59"/>
    <n v="63"/>
    <n v="65"/>
    <n v="67"/>
    <n v="23"/>
    <n v="0"/>
    <n v="115750"/>
    <n v="9645.8333333333339"/>
    <n v="0"/>
  </r>
  <r>
    <s v="Партоффель Савва"/>
    <s v="Н"/>
    <s v="ОФ"/>
    <s v="ЦН"/>
    <m/>
    <m/>
    <s v="Черлесск"/>
    <s v="Черлесск"/>
    <x v="43"/>
    <x v="0"/>
    <m/>
    <n v="45.714285714285715"/>
    <n v="10"/>
    <n v="61"/>
    <n v="49"/>
    <n v="61"/>
    <n v="59"/>
    <n v="61"/>
    <n v="19"/>
    <n v="0"/>
    <n v="39859"/>
    <n v="3321.5833333333335"/>
    <n v="0"/>
  </r>
  <r>
    <s v="Буатенг"/>
    <s v="П"/>
    <s v="ЦПЗ"/>
    <m/>
    <m/>
    <s v="Нумб"/>
    <s v="Нумб"/>
    <s v="Нумб"/>
    <x v="43"/>
    <x v="0"/>
    <m/>
    <n v="53.571428571428569"/>
    <n v="15"/>
    <n v="59"/>
    <n v="55"/>
    <n v="73"/>
    <n v="51"/>
    <n v="59"/>
    <n v="63"/>
    <n v="0"/>
    <n v="194685"/>
    <n v="16223.75"/>
    <n v="0"/>
  </r>
  <r>
    <s v="Касмант"/>
    <s v="П"/>
    <s v="ОПЗ"/>
    <s v="ЦЗ"/>
    <m/>
    <s v="Нумб"/>
    <s v="Нумб"/>
    <s v="Нумб"/>
    <x v="43"/>
    <x v="0"/>
    <m/>
    <n v="53.714285714285715"/>
    <n v="36"/>
    <n v="55"/>
    <n v="67"/>
    <n v="60"/>
    <n v="73"/>
    <n v="70"/>
    <n v="15"/>
    <n v="0"/>
    <n v="199940"/>
    <n v="16661.666666666668"/>
    <n v="0"/>
  </r>
  <r>
    <s v="Паволин Олег"/>
    <s v="П"/>
    <s v="ЦПЗ"/>
    <s v="ОПЗ"/>
    <m/>
    <m/>
    <s v="Черлесск"/>
    <s v="Черлесск"/>
    <x v="43"/>
    <x v="0"/>
    <m/>
    <n v="52"/>
    <n v="13"/>
    <n v="63"/>
    <n v="57"/>
    <n v="67"/>
    <n v="69"/>
    <n v="71"/>
    <n v="24"/>
    <n v="0"/>
    <n v="144556"/>
    <n v="12046.333333333334"/>
    <n v="0"/>
  </r>
  <r>
    <s v="Порски"/>
    <s v="П"/>
    <s v="ЦПЗ"/>
    <m/>
    <m/>
    <s v="Черлесск"/>
    <s v="Черлесск"/>
    <s v="Черлесск"/>
    <x v="43"/>
    <x v="0"/>
    <m/>
    <n v="54.142857142857146"/>
    <n v="45"/>
    <n v="62"/>
    <n v="64"/>
    <n v="65"/>
    <n v="50"/>
    <n v="53"/>
    <n v="40"/>
    <n v="0"/>
    <n v="216477"/>
    <n v="18039.75"/>
    <n v="0"/>
  </r>
  <r>
    <s v="Радрикс Фома"/>
    <s v="П"/>
    <s v="ЛПЗ"/>
    <s v="ОПЗ"/>
    <m/>
    <m/>
    <s v="Черлесск"/>
    <s v="Черлесск"/>
    <x v="43"/>
    <x v="0"/>
    <m/>
    <n v="47.285714285714285"/>
    <n v="11"/>
    <n v="59"/>
    <n v="53"/>
    <n v="63"/>
    <n v="61"/>
    <n v="63"/>
    <n v="21"/>
    <n v="0"/>
    <n v="55886"/>
    <n v="4657.166666666667"/>
    <n v="0"/>
  </r>
  <r>
    <s v="Ренетрин Илья"/>
    <s v="П"/>
    <s v="ОПЗ"/>
    <s v="ЦПЗ"/>
    <m/>
    <s v="Черлесск"/>
    <s v="Черлесск"/>
    <s v="Черлесск"/>
    <x v="43"/>
    <x v="0"/>
    <m/>
    <n v="56.714285714285715"/>
    <n v="30"/>
    <n v="60"/>
    <n v="66"/>
    <n v="70"/>
    <n v="59"/>
    <n v="62"/>
    <n v="50"/>
    <n v="0"/>
    <n v="344291"/>
    <n v="28690.916666666668"/>
    <n v="0"/>
  </r>
  <r>
    <s v="Сервезов Кузьма"/>
    <s v="П"/>
    <s v="ППЗ"/>
    <s v="АПЗ"/>
    <m/>
    <m/>
    <s v="Черлесск"/>
    <s v="Черлесск"/>
    <x v="43"/>
    <x v="0"/>
    <m/>
    <n v="43.714285714285715"/>
    <n v="10"/>
    <n v="53"/>
    <n v="51"/>
    <n v="55"/>
    <n v="57"/>
    <n v="60"/>
    <n v="20"/>
    <n v="0"/>
    <n v="25483"/>
    <n v="2123.5833333333335"/>
    <n v="0"/>
  </r>
  <r>
    <s v="Тонти"/>
    <s v="П"/>
    <s v="ЦПЗ"/>
    <m/>
    <m/>
    <s v="Нумб"/>
    <s v="Нумб"/>
    <s v="Нумб"/>
    <x v="43"/>
    <x v="0"/>
    <m/>
    <n v="59.714285714285715"/>
    <n v="40"/>
    <n v="69"/>
    <n v="59"/>
    <n v="72"/>
    <n v="69"/>
    <n v="75"/>
    <n v="34"/>
    <n v="0"/>
    <n v="576478"/>
    <n v="28690.916666666668"/>
    <n v="0"/>
  </r>
  <r>
    <s v="Флокхольм Семён"/>
    <s v="П"/>
    <s v="АПЗ"/>
    <s v="ЦПЗ"/>
    <m/>
    <m/>
    <s v="Черлесск"/>
    <s v="Черлесск"/>
    <x v="43"/>
    <x v="0"/>
    <m/>
    <n v="42.142857142857146"/>
    <n v="10"/>
    <n v="45"/>
    <n v="49"/>
    <n v="57"/>
    <n v="55"/>
    <n v="58"/>
    <n v="21"/>
    <n v="0"/>
    <n v="17671"/>
    <n v="1472.5833333333333"/>
    <n v="0"/>
  </r>
  <r>
    <s v="Щеглонт"/>
    <s v="П"/>
    <s v="ЦПЗ"/>
    <m/>
    <m/>
    <s v="Переп"/>
    <s v="Переп"/>
    <s v="Переп"/>
    <x v="43"/>
    <x v="0"/>
    <m/>
    <n v="49.428571428571431"/>
    <n v="37"/>
    <n v="43"/>
    <n v="55"/>
    <n v="55"/>
    <n v="52"/>
    <n v="54"/>
    <n v="50"/>
    <n v="0"/>
    <n v="87053"/>
    <n v="7254.416666666667"/>
    <n v="0"/>
  </r>
  <r>
    <s v="Рондзон Тимур"/>
    <s v="Т"/>
    <s v="Т"/>
    <m/>
    <m/>
    <m/>
    <s v="Черлесск"/>
    <s v="Черлесск"/>
    <x v="43"/>
    <x v="0"/>
    <m/>
    <n v="47.428571428571431"/>
    <n v="10"/>
    <n v="57"/>
    <n v="51"/>
    <n v="61"/>
    <n v="63"/>
    <n v="65"/>
    <n v="25"/>
    <n v="0"/>
    <n v="57598"/>
    <n v="4799.833333333333"/>
    <n v="0"/>
  </r>
  <r>
    <s v="Войнер Наком"/>
    <s v="В"/>
    <s v="В"/>
    <m/>
    <m/>
    <m/>
    <s v="С.С."/>
    <s v="С.С."/>
    <x v="44"/>
    <x v="0"/>
    <m/>
    <n v="31.571428571428573"/>
    <n v="8"/>
    <n v="40"/>
    <n v="34"/>
    <n v="38"/>
    <n v="40"/>
    <n v="42"/>
    <n v="19"/>
    <n v="0"/>
    <n v="984"/>
    <n v="82"/>
    <n v="0"/>
  </r>
  <r>
    <s v="Мойрер Атанес"/>
    <s v="В"/>
    <s v="В"/>
    <m/>
    <m/>
    <m/>
    <s v="С.С."/>
    <s v="С.С."/>
    <x v="44"/>
    <x v="0"/>
    <m/>
    <n v="31.857142857142858"/>
    <n v="8"/>
    <n v="42"/>
    <n v="34"/>
    <n v="38"/>
    <n v="40"/>
    <n v="42"/>
    <n v="19"/>
    <n v="0"/>
    <n v="1077"/>
    <n v="89.75"/>
    <n v="0"/>
  </r>
  <r>
    <s v="Ройнер Анрок"/>
    <s v="В"/>
    <s v="В"/>
    <m/>
    <m/>
    <m/>
    <s v="С.С."/>
    <s v="С.С."/>
    <x v="44"/>
    <x v="0"/>
    <m/>
    <n v="35.428571428571431"/>
    <n v="10"/>
    <n v="46"/>
    <n v="38"/>
    <n v="42"/>
    <n v="44"/>
    <n v="46"/>
    <n v="22"/>
    <n v="0"/>
    <n v="3116"/>
    <n v="259.66666666666669"/>
    <n v="0"/>
  </r>
  <r>
    <s v="Гайцарзул Ронос"/>
    <s v="З"/>
    <s v="ЦЗ"/>
    <s v="ОПЗ"/>
    <m/>
    <m/>
    <s v="С.С."/>
    <s v="С.С."/>
    <x v="44"/>
    <x v="0"/>
    <m/>
    <n v="28.142857142857142"/>
    <n v="6"/>
    <n v="36"/>
    <n v="30"/>
    <n v="34"/>
    <n v="36"/>
    <n v="38"/>
    <n v="17"/>
    <n v="0"/>
    <n v="312"/>
    <n v="26"/>
    <n v="0"/>
  </r>
  <r>
    <s v="Гойнер Ранен"/>
    <s v="З"/>
    <s v="ПЗ"/>
    <s v="ЦЗ"/>
    <m/>
    <m/>
    <s v="С.С."/>
    <s v="С.С."/>
    <x v="44"/>
    <x v="0"/>
    <m/>
    <n v="35.142857142857146"/>
    <n v="9"/>
    <n v="46"/>
    <n v="38"/>
    <n v="42"/>
    <n v="44"/>
    <n v="46"/>
    <n v="21"/>
    <n v="0"/>
    <n v="2874"/>
    <n v="239.5"/>
    <n v="0"/>
  </r>
  <r>
    <s v="Май Ар"/>
    <s v="З"/>
    <s v="ПЗ"/>
    <s v="ЛЗ"/>
    <m/>
    <m/>
    <s v="С.С."/>
    <s v="С.С."/>
    <x v="44"/>
    <x v="0"/>
    <m/>
    <n v="41"/>
    <n v="45"/>
    <n v="70"/>
    <n v="34"/>
    <n v="38"/>
    <n v="40"/>
    <n v="42"/>
    <n v="18"/>
    <n v="0"/>
    <n v="13423"/>
    <n v="74.916666666666671"/>
    <n v="0"/>
  </r>
  <r>
    <s v="Тойнер Ланмонд"/>
    <s v="З"/>
    <s v="ЦЗ"/>
    <s v="ЛЗ"/>
    <m/>
    <m/>
    <s v="С.С."/>
    <s v="С.С."/>
    <x v="44"/>
    <x v="0"/>
    <m/>
    <n v="39.142857142857146"/>
    <n v="12"/>
    <n v="52"/>
    <n v="42"/>
    <n v="46"/>
    <n v="48"/>
    <n v="50"/>
    <n v="24"/>
    <n v="0"/>
    <n v="8444"/>
    <n v="703.66666666666663"/>
    <n v="0"/>
  </r>
  <r>
    <s v="Шайцардор Анкек"/>
    <s v="Н"/>
    <s v="ОФ"/>
    <s v="ЦН"/>
    <m/>
    <m/>
    <s v="С.С."/>
    <s v="С.С."/>
    <x v="44"/>
    <x v="0"/>
    <m/>
    <n v="63"/>
    <n v="40"/>
    <n v="77"/>
    <n v="80"/>
    <n v="60"/>
    <n v="60"/>
    <n v="80"/>
    <n v="44"/>
    <n v="7"/>
    <n v="1477396"/>
    <n v="123116.33333333333"/>
    <n v="0"/>
  </r>
  <r>
    <s v="Шойнер Рарнельд"/>
    <s v="Н"/>
    <s v="ОФ"/>
    <s v="ЦН"/>
    <m/>
    <m/>
    <s v="С.С."/>
    <s v="С.С."/>
    <x v="44"/>
    <x v="0"/>
    <m/>
    <n v="55.428571428571431"/>
    <n v="18"/>
    <n v="70"/>
    <n v="62"/>
    <n v="64"/>
    <n v="66"/>
    <n v="68"/>
    <n v="40"/>
    <n v="0"/>
    <n v="273740"/>
    <n v="22811.666666666668"/>
    <n v="0"/>
  </r>
  <r>
    <s v="Бойнер Толеус"/>
    <s v="П"/>
    <s v="ОПЗ"/>
    <s v="ЦЗ"/>
    <m/>
    <m/>
    <s v="С.С."/>
    <s v="С.С."/>
    <x v="44"/>
    <x v="0"/>
    <m/>
    <n v="34.428571428571431"/>
    <n v="9"/>
    <n v="44"/>
    <n v="36"/>
    <n v="42"/>
    <n v="44"/>
    <n v="46"/>
    <n v="20"/>
    <n v="0"/>
    <n v="2340"/>
    <n v="195"/>
    <n v="0"/>
  </r>
  <r>
    <s v="Койнер Тонанс"/>
    <s v="П"/>
    <s v="АПЗ"/>
    <s v="ППЗ"/>
    <m/>
    <m/>
    <s v="С.С."/>
    <s v="С.С."/>
    <x v="44"/>
    <x v="0"/>
    <m/>
    <n v="29.857142857142858"/>
    <n v="7"/>
    <n v="38"/>
    <n v="32"/>
    <n v="36"/>
    <n v="38"/>
    <n v="40"/>
    <n v="18"/>
    <n v="0"/>
    <n v="563"/>
    <n v="46.916666666666664"/>
    <n v="0"/>
  </r>
  <r>
    <s v="Лойнер Гновьир"/>
    <s v="П"/>
    <s v="ППЗ"/>
    <s v="АПЗ"/>
    <m/>
    <m/>
    <s v="С.С."/>
    <s v="С.С."/>
    <x v="44"/>
    <x v="0"/>
    <m/>
    <n v="54.285714285714285"/>
    <n v="30"/>
    <n v="64"/>
    <n v="58"/>
    <n v="62"/>
    <n v="64"/>
    <n v="66"/>
    <n v="36"/>
    <n v="0"/>
    <n v="222258"/>
    <n v="12381.333333333334"/>
    <n v="0"/>
  </r>
  <r>
    <s v="Лойнер Наксен"/>
    <s v="П"/>
    <s v="ЦПЗ"/>
    <s v="ОПЗ"/>
    <m/>
    <m/>
    <s v="С.С."/>
    <s v="С.С."/>
    <x v="44"/>
    <x v="0"/>
    <m/>
    <n v="43.285714285714285"/>
    <n v="30"/>
    <n v="54"/>
    <n v="44"/>
    <n v="48"/>
    <n v="50"/>
    <n v="52"/>
    <n v="25"/>
    <n v="0"/>
    <n v="23092"/>
    <n v="1080.25"/>
    <n v="0"/>
  </r>
  <r>
    <s v="Найцармир Ганон"/>
    <s v="П"/>
    <s v="ОПЗ"/>
    <s v="ЦПЗ"/>
    <m/>
    <m/>
    <s v="С.С."/>
    <s v="С.С."/>
    <x v="44"/>
    <x v="0"/>
    <m/>
    <n v="37.428571428571431"/>
    <n v="11"/>
    <n v="50"/>
    <n v="40"/>
    <n v="44"/>
    <n v="46"/>
    <n v="48"/>
    <n v="23"/>
    <n v="0"/>
    <n v="5396"/>
    <n v="449.66666666666669"/>
    <n v="0"/>
  </r>
  <r>
    <s v="Нойнел Алкек"/>
    <s v="П"/>
    <s v="ЛПЗ"/>
    <s v="ОПЗ"/>
    <m/>
    <m/>
    <s v="С.С."/>
    <s v="С.С."/>
    <x v="44"/>
    <x v="0"/>
    <m/>
    <n v="38.285714285714285"/>
    <n v="11"/>
    <n v="50"/>
    <n v="40"/>
    <n v="46"/>
    <n v="48"/>
    <n v="50"/>
    <n v="23"/>
    <n v="0"/>
    <n v="6767"/>
    <n v="563.91666666666663"/>
    <n v="0"/>
  </r>
  <r>
    <s v="Сай Гоенс"/>
    <s v="П"/>
    <s v="ЦПЗ"/>
    <s v="ЛПЗ"/>
    <m/>
    <m/>
    <s v="С.С."/>
    <s v="С.С."/>
    <x v="44"/>
    <x v="0"/>
    <m/>
    <n v="28"/>
    <n v="6"/>
    <n v="36"/>
    <n v="30"/>
    <n v="34"/>
    <n v="36"/>
    <n v="38"/>
    <n v="16"/>
    <n v="0"/>
    <n v="297"/>
    <n v="24.75"/>
    <n v="0"/>
  </r>
  <r>
    <s v="Тайцар"/>
    <s v="П"/>
    <s v="ЦПЗ"/>
    <s v="АПЗ"/>
    <m/>
    <s v="С.С."/>
    <s v="С.С."/>
    <s v="С.С."/>
    <x v="44"/>
    <x v="0"/>
    <m/>
    <n v="43"/>
    <n v="41"/>
    <n v="60"/>
    <n v="44"/>
    <n v="42"/>
    <n v="42"/>
    <n v="51"/>
    <n v="21"/>
    <n v="0"/>
    <n v="21612"/>
    <n v="503.91666666666669"/>
    <n v="0"/>
  </r>
  <r>
    <s v="Файцарбер Бансе"/>
    <s v="П"/>
    <s v="АПЗ"/>
    <s v="ЦПЗ"/>
    <m/>
    <m/>
    <s v="С.С."/>
    <s v="С.С."/>
    <x v="44"/>
    <x v="0"/>
    <m/>
    <n v="36.571428571428569"/>
    <n v="10"/>
    <n v="48"/>
    <n v="38"/>
    <n v="44"/>
    <n v="46"/>
    <n v="48"/>
    <n v="22"/>
    <n v="0"/>
    <n v="4280"/>
    <n v="356.66666666666669"/>
    <n v="0"/>
  </r>
  <r>
    <s v="Чай Толеэль"/>
    <s v="П"/>
    <s v="ППЗ"/>
    <s v="АПЗ"/>
    <m/>
    <m/>
    <s v="С.С."/>
    <s v="С.С."/>
    <x v="44"/>
    <x v="0"/>
    <m/>
    <n v="48.285714285714285"/>
    <n v="30"/>
    <n v="56"/>
    <n v="70"/>
    <n v="50"/>
    <n v="52"/>
    <n v="54"/>
    <n v="26"/>
    <n v="1"/>
    <n v="103343"/>
    <n v="1629.3333333333333"/>
    <n v="0"/>
  </r>
  <r>
    <s v="Тай Аркек"/>
    <s v="Т"/>
    <s v="Т"/>
    <m/>
    <m/>
    <m/>
    <s v="С.С."/>
    <s v="С.С."/>
    <x v="44"/>
    <x v="0"/>
    <m/>
    <n v="33.571428571428569"/>
    <n v="9"/>
    <n v="44"/>
    <n v="36"/>
    <n v="40"/>
    <n v="42"/>
    <n v="44"/>
    <n v="20"/>
    <n v="0"/>
    <n v="1819"/>
    <n v="151.58333333333334"/>
    <n v="0"/>
  </r>
  <r>
    <s v="Лайт"/>
    <s v="В"/>
    <s v="В"/>
    <m/>
    <m/>
    <s v="Клю"/>
    <s v="Клю"/>
    <s v="Клю"/>
    <x v="45"/>
    <x v="0"/>
    <m/>
    <n v="71.142857142857139"/>
    <n v="65"/>
    <n v="70"/>
    <n v="76"/>
    <n v="66"/>
    <n v="74"/>
    <n v="80"/>
    <n v="67"/>
    <n v="0"/>
    <n v="3321338"/>
    <n v="276778.16666666669"/>
    <n v="0"/>
  </r>
  <r>
    <s v="Пишт (В)"/>
    <s v="В"/>
    <s v="В"/>
    <m/>
    <m/>
    <s v="Хан"/>
    <s v="Хан"/>
    <s v="Хан"/>
    <x v="45"/>
    <x v="0"/>
    <m/>
    <n v="70.285714285714292"/>
    <n v="65"/>
    <n v="80"/>
    <n v="80"/>
    <n v="60"/>
    <n v="67"/>
    <n v="90"/>
    <n v="50"/>
    <n v="29"/>
    <n v="4413285"/>
    <n v="367773.75"/>
    <n v="0"/>
  </r>
  <r>
    <s v="Тайнер Вуртас"/>
    <s v="В"/>
    <s v="В"/>
    <m/>
    <m/>
    <m/>
    <s v="Клю"/>
    <s v="Клю"/>
    <x v="45"/>
    <x v="0"/>
    <m/>
    <n v="63.428571428571431"/>
    <n v="26"/>
    <n v="72"/>
    <n v="70"/>
    <n v="75"/>
    <n v="78"/>
    <n v="79"/>
    <n v="44"/>
    <n v="0"/>
    <n v="1054022"/>
    <n v="87835.166666666672"/>
    <n v="0"/>
  </r>
  <r>
    <s v="Бергер Ханс"/>
    <s v="З"/>
    <s v="ЦЗ"/>
    <s v="ОПЗ"/>
    <m/>
    <m/>
    <s v="Клю"/>
    <s v="Клю"/>
    <x v="45"/>
    <x v="0"/>
    <m/>
    <n v="57.857142857142854"/>
    <n v="21"/>
    <n v="64"/>
    <n v="59"/>
    <n v="72"/>
    <n v="76"/>
    <n v="80"/>
    <n v="33"/>
    <n v="0"/>
    <n v="420311"/>
    <n v="35025.916666666664"/>
    <n v="0"/>
  </r>
  <r>
    <s v="Газонов"/>
    <s v="З"/>
    <s v="ЦЗ"/>
    <s v="ПЗ"/>
    <s v="ОПЗ"/>
    <s v="Клю"/>
    <s v="Кут"/>
    <s v="Кут"/>
    <x v="45"/>
    <x v="0"/>
    <m/>
    <n v="80.142857142857139"/>
    <n v="64"/>
    <n v="74"/>
    <n v="74"/>
    <n v="89"/>
    <n v="90"/>
    <n v="90"/>
    <n v="80"/>
    <n v="26"/>
    <n v="16396059"/>
    <n v="1366338.25"/>
    <n v="0"/>
  </r>
  <r>
    <s v="Донэрс Фриццо"/>
    <s v="З"/>
    <s v="ЦЗ"/>
    <s v="ПЗ"/>
    <m/>
    <m/>
    <s v="Клю"/>
    <s v="Клю"/>
    <x v="45"/>
    <x v="0"/>
    <m/>
    <n v="62.285714285714285"/>
    <n v="25"/>
    <n v="71"/>
    <n v="63"/>
    <n v="76"/>
    <n v="80"/>
    <n v="82"/>
    <n v="39"/>
    <n v="0"/>
    <n v="878789"/>
    <n v="73232.416666666672"/>
    <n v="0"/>
  </r>
  <r>
    <s v="Кранц Отто"/>
    <s v="З"/>
    <s v="ЦЗ"/>
    <s v="ПЗ"/>
    <m/>
    <m/>
    <s v="Клю"/>
    <s v="Клю"/>
    <x v="45"/>
    <x v="0"/>
    <m/>
    <n v="54"/>
    <n v="20"/>
    <n v="58"/>
    <n v="54"/>
    <n v="66"/>
    <n v="71"/>
    <n v="78"/>
    <n v="31"/>
    <n v="0"/>
    <n v="210833"/>
    <n v="17569.416666666668"/>
    <n v="0"/>
  </r>
  <r>
    <s v="Ласарент"/>
    <s v="З"/>
    <s v="ЛЗ"/>
    <s v="ЦЗ"/>
    <m/>
    <s v="Клю"/>
    <s v="Клю"/>
    <s v="Клю"/>
    <x v="45"/>
    <x v="0"/>
    <m/>
    <n v="77.714285714285708"/>
    <n v="68"/>
    <n v="84"/>
    <n v="77"/>
    <n v="80"/>
    <n v="81"/>
    <n v="83"/>
    <n v="71"/>
    <n v="0"/>
    <n v="8035421"/>
    <n v="669618.41666666663"/>
    <n v="0"/>
  </r>
  <r>
    <s v="Ормунд Эбби"/>
    <s v="З"/>
    <s v="ЛЗ"/>
    <s v="ОПЗ"/>
    <m/>
    <s v="Клю"/>
    <s v="Клю"/>
    <s v="Клю"/>
    <x v="45"/>
    <x v="0"/>
    <m/>
    <n v="77.142857142857139"/>
    <n v="65"/>
    <n v="88"/>
    <n v="75"/>
    <n v="81"/>
    <n v="82"/>
    <n v="77"/>
    <n v="72"/>
    <n v="0"/>
    <n v="7463752"/>
    <n v="621979.33333333337"/>
    <n v="0"/>
  </r>
  <r>
    <s v="Хольм Эрих"/>
    <s v="З"/>
    <s v="ЦЗ"/>
    <s v="ЛЗ"/>
    <m/>
    <m/>
    <s v="Клю"/>
    <s v="Клю"/>
    <x v="45"/>
    <x v="0"/>
    <m/>
    <n v="66.428571428571431"/>
    <n v="29"/>
    <n v="75"/>
    <n v="68"/>
    <n v="80"/>
    <n v="83"/>
    <n v="84"/>
    <n v="46"/>
    <n v="0"/>
    <n v="1673205"/>
    <n v="139433.75"/>
    <n v="0"/>
  </r>
  <r>
    <s v="Вольфус Тюнтер"/>
    <s v="Н"/>
    <s v="ЦН"/>
    <m/>
    <m/>
    <m/>
    <s v="Клю"/>
    <s v="Клю"/>
    <x v="45"/>
    <x v="0"/>
    <m/>
    <n v="66.142857142857139"/>
    <n v="27"/>
    <n v="79"/>
    <n v="74"/>
    <n v="82"/>
    <n v="78"/>
    <n v="80"/>
    <n v="43"/>
    <n v="0"/>
    <n v="1602617"/>
    <n v="133551.41666666666"/>
    <n v="0"/>
  </r>
  <r>
    <s v="Душер (Н)"/>
    <s v="Н"/>
    <s v="ЦН"/>
    <m/>
    <m/>
    <s v="Бел"/>
    <s v="Бел"/>
    <s v="Бел"/>
    <x v="45"/>
    <x v="0"/>
    <m/>
    <n v="79.571428571428569"/>
    <n v="75"/>
    <n v="75"/>
    <n v="98"/>
    <n v="70"/>
    <n v="81"/>
    <n v="98"/>
    <n v="60"/>
    <n v="6"/>
    <n v="15263806"/>
    <n v="1271983.8333333333"/>
    <n v="0"/>
  </r>
  <r>
    <s v="П.Джеф (Н)"/>
    <s v="Н"/>
    <s v="ЦН"/>
    <s v="ОФ"/>
    <s v="АПЗ"/>
    <s v="Клю"/>
    <s v="Клю"/>
    <s v="Клю"/>
    <x v="45"/>
    <x v="0"/>
    <m/>
    <n v="86.142857142857139"/>
    <n v="86"/>
    <n v="85"/>
    <n v="93"/>
    <n v="84"/>
    <n v="85"/>
    <n v="87"/>
    <n v="83"/>
    <n v="7"/>
    <n v="33750793"/>
    <n v="2812566.0833333335"/>
    <n v="0"/>
  </r>
  <r>
    <s v="Штерн Вальтер"/>
    <s v="Н"/>
    <s v="ЦН"/>
    <s v="АПЗ"/>
    <m/>
    <m/>
    <s v="Клю"/>
    <s v="Клю"/>
    <x v="45"/>
    <x v="0"/>
    <m/>
    <n v="67.428571428571431"/>
    <n v="28"/>
    <n v="77"/>
    <n v="76"/>
    <n v="78"/>
    <n v="82"/>
    <n v="86"/>
    <n v="45"/>
    <n v="0"/>
    <n v="1942852"/>
    <n v="161904.33333333334"/>
    <n v="0"/>
  </r>
  <r>
    <s v="Вальтерс"/>
    <s v="П"/>
    <s v="ЦПЗ"/>
    <s v="ЛПЗ"/>
    <m/>
    <s v="Клю"/>
    <s v="Клю"/>
    <s v="Клю"/>
    <x v="45"/>
    <x v="0"/>
    <m/>
    <n v="62.571428571428569"/>
    <n v="45"/>
    <n v="68"/>
    <n v="70"/>
    <n v="64"/>
    <n v="70"/>
    <n v="71"/>
    <n v="50"/>
    <n v="0"/>
    <n v="919943"/>
    <n v="76661.916666666672"/>
    <n v="0"/>
  </r>
  <r>
    <s v="Васнецов (П)"/>
    <s v="П"/>
    <s v="АПЗ"/>
    <s v="ЛПЗ"/>
    <s v="ЦПЗ"/>
    <s v="Клю"/>
    <s v="Клю"/>
    <s v="Клю"/>
    <x v="45"/>
    <x v="0"/>
    <m/>
    <n v="85.142857142857139"/>
    <n v="81"/>
    <n v="81"/>
    <n v="91"/>
    <n v="89"/>
    <n v="83"/>
    <n v="85"/>
    <n v="86"/>
    <n v="21"/>
    <n v="30031254"/>
    <n v="2502604.5"/>
    <n v="0"/>
  </r>
  <r>
    <s v="Граанер Пауль"/>
    <s v="П"/>
    <s v="АПЗ"/>
    <s v="ЛПЗ"/>
    <m/>
    <m/>
    <s v="Клю"/>
    <s v="Клю"/>
    <x v="45"/>
    <x v="0"/>
    <m/>
    <n v="66.142857142857139"/>
    <n v="27"/>
    <n v="79"/>
    <n v="74"/>
    <n v="82"/>
    <n v="78"/>
    <n v="80"/>
    <n v="43"/>
    <n v="0"/>
    <n v="1602617"/>
    <n v="133551.41666666666"/>
    <n v="0"/>
  </r>
  <r>
    <s v="Одевингер (П)"/>
    <s v="П"/>
    <s v="АПЗ"/>
    <s v="ЦН"/>
    <s v="ЦПЗ"/>
    <s v="Клю"/>
    <s v="Клю"/>
    <s v="Клю"/>
    <x v="45"/>
    <x v="0"/>
    <m/>
    <n v="88.714285714285708"/>
    <n v="85"/>
    <n v="82"/>
    <n v="95"/>
    <n v="90"/>
    <n v="88"/>
    <n v="92"/>
    <n v="89"/>
    <n v="1"/>
    <n v="45292560"/>
    <n v="3774380"/>
    <n v="0"/>
  </r>
  <r>
    <s v="Хенкель Ральф"/>
    <s v="П"/>
    <s v="ППЗ"/>
    <s v="АПЗ"/>
    <m/>
    <m/>
    <s v="Клю"/>
    <s v="Клю"/>
    <x v="45"/>
    <x v="0"/>
    <m/>
    <n v="60"/>
    <n v="20"/>
    <n v="86"/>
    <n v="65"/>
    <n v="74"/>
    <n v="72"/>
    <n v="73"/>
    <n v="30"/>
    <n v="0"/>
    <n v="604662"/>
    <n v="50388.5"/>
    <n v="0"/>
  </r>
  <r>
    <s v="Хоннут"/>
    <s v="П"/>
    <s v="ОПЗ"/>
    <s v="ЦЗ"/>
    <m/>
    <s v="Клю"/>
    <s v="Клю"/>
    <s v="Клю"/>
    <x v="45"/>
    <x v="0"/>
    <m/>
    <n v="64.285714285714292"/>
    <n v="44"/>
    <n v="70"/>
    <n v="71"/>
    <n v="68"/>
    <n v="71"/>
    <n v="73"/>
    <n v="53"/>
    <n v="0"/>
    <n v="1205438"/>
    <n v="100453.16666666667"/>
    <n v="0"/>
  </r>
  <r>
    <s v="Шепси (П)"/>
    <s v="П"/>
    <s v="ППЗ"/>
    <s v="АПЗ"/>
    <s v="ЦПЗ"/>
    <s v="Клю"/>
    <s v="Клю"/>
    <s v="Клю"/>
    <x v="45"/>
    <x v="0"/>
    <m/>
    <n v="87.142857142857139"/>
    <n v="87"/>
    <n v="95"/>
    <n v="84"/>
    <n v="84"/>
    <n v="84"/>
    <n v="88"/>
    <n v="88"/>
    <n v="3"/>
    <n v="37879934"/>
    <n v="3156661.1666666665"/>
    <n v="0"/>
  </r>
  <r>
    <s v="Целлер Мартин"/>
    <s v="Т"/>
    <s v="Т"/>
    <m/>
    <m/>
    <m/>
    <s v="Клю"/>
    <s v="Клю"/>
    <x v="45"/>
    <x v="0"/>
    <m/>
    <n v="60.857142857142854"/>
    <n v="24"/>
    <n v="71"/>
    <n v="67"/>
    <n v="76"/>
    <n v="74"/>
    <n v="77"/>
    <n v="37"/>
    <n v="0"/>
    <n v="696812"/>
    <n v="58067.666666666664"/>
    <n v="0"/>
  </r>
  <r>
    <s v="Бьорндаль Хальвдан"/>
    <s v="В"/>
    <s v="В"/>
    <m/>
    <m/>
    <m/>
    <s v="Кирп"/>
    <s v="Кирп"/>
    <x v="46"/>
    <x v="0"/>
    <m/>
    <n v="65.285714285714292"/>
    <n v="24"/>
    <n v="73"/>
    <n v="69"/>
    <n v="79"/>
    <n v="81"/>
    <n v="83"/>
    <n v="48"/>
    <n v="0"/>
    <n v="1406636"/>
    <n v="117219.66666666667"/>
    <n v="0"/>
  </r>
  <r>
    <s v="Довн (В)"/>
    <s v="В"/>
    <s v="В"/>
    <m/>
    <m/>
    <s v="Кирп"/>
    <s v="Кирп"/>
    <s v="Кирп"/>
    <x v="46"/>
    <x v="0"/>
    <m/>
    <n v="76.857142857142861"/>
    <n v="60"/>
    <n v="74"/>
    <n v="75"/>
    <n v="79"/>
    <n v="83"/>
    <n v="87"/>
    <n v="80"/>
    <n v="31"/>
    <n v="10787819"/>
    <n v="898984.91666666663"/>
    <n v="0"/>
  </r>
  <r>
    <s v="Вольф Г (З)"/>
    <s v="З"/>
    <s v="ЦЗ"/>
    <s v="ПЗ"/>
    <s v="ОПЗ"/>
    <s v="Кирп"/>
    <s v="Кирп"/>
    <s v="Кирп"/>
    <x v="46"/>
    <x v="0"/>
    <m/>
    <n v="89.571428571428569"/>
    <n v="85"/>
    <n v="86"/>
    <n v="91"/>
    <n v="90"/>
    <n v="93"/>
    <n v="92"/>
    <n v="90"/>
    <n v="28"/>
    <n v="49863903"/>
    <n v="4155325.25"/>
    <n v="0"/>
  </r>
  <r>
    <s v="Вольф Т (З)"/>
    <s v="З"/>
    <s v="ЦЗ"/>
    <s v="ПЗ"/>
    <m/>
    <s v="Кирп"/>
    <s v="Кирп"/>
    <s v="Кирп"/>
    <x v="46"/>
    <x v="0"/>
    <m/>
    <n v="89.714285714285708"/>
    <n v="85"/>
    <n v="87"/>
    <n v="90"/>
    <n v="90"/>
    <n v="94"/>
    <n v="92"/>
    <n v="90"/>
    <n v="28"/>
    <n v="50664913"/>
    <n v="4222076.083333333"/>
    <n v="0"/>
  </r>
  <r>
    <s v="Гонга (З)"/>
    <s v="З"/>
    <s v="ЦЗ"/>
    <s v="ЛЗ"/>
    <m/>
    <s v="Кирп"/>
    <s v="Кирп"/>
    <s v="Кирп"/>
    <x v="46"/>
    <x v="0"/>
    <m/>
    <n v="86.857142857142861"/>
    <n v="80"/>
    <n v="81"/>
    <n v="87"/>
    <n v="89"/>
    <n v="87"/>
    <n v="98"/>
    <n v="86"/>
    <n v="26"/>
    <n v="36656134"/>
    <n v="3054677.8333333335"/>
    <n v="0"/>
  </r>
  <r>
    <s v="Гримсвольд Оле"/>
    <s v="З"/>
    <s v="ЦЗ"/>
    <s v="ОПЗ"/>
    <m/>
    <m/>
    <s v="Кирп"/>
    <s v="Кирп"/>
    <x v="46"/>
    <x v="0"/>
    <m/>
    <n v="65.857142857142861"/>
    <n v="21"/>
    <n v="85"/>
    <n v="73"/>
    <n v="81"/>
    <n v="83"/>
    <n v="85"/>
    <n v="33"/>
    <n v="0"/>
    <n v="1534719"/>
    <n v="127893.25"/>
    <n v="0"/>
  </r>
  <r>
    <s v="Краглунд Эйрик"/>
    <s v="З"/>
    <s v="ПЗ"/>
    <s v="ЦЗ"/>
    <m/>
    <m/>
    <s v="Кирп"/>
    <s v="Кирп"/>
    <x v="46"/>
    <x v="0"/>
    <m/>
    <n v="60"/>
    <n v="21"/>
    <n v="81"/>
    <n v="66"/>
    <n v="70"/>
    <n v="72"/>
    <n v="75"/>
    <n v="35"/>
    <n v="0"/>
    <n v="604662"/>
    <n v="50388.5"/>
    <n v="0"/>
  </r>
  <r>
    <s v="Халльбак Торви"/>
    <s v="З"/>
    <s v="ЛЗ"/>
    <s v="ЦЗ"/>
    <m/>
    <m/>
    <s v="Кирп"/>
    <s v="Кирп"/>
    <x v="46"/>
    <x v="0"/>
    <m/>
    <n v="64.285714285714292"/>
    <n v="23"/>
    <n v="87"/>
    <n v="71"/>
    <n v="75"/>
    <n v="77"/>
    <n v="79"/>
    <n v="38"/>
    <n v="0"/>
    <n v="1205438"/>
    <n v="100453.16666666667"/>
    <n v="0"/>
  </r>
  <r>
    <s v="Стурман Каспар"/>
    <s v="Н"/>
    <s v="ОФ"/>
    <s v="ППЗ"/>
    <m/>
    <m/>
    <s v="Кирп"/>
    <s v="Кирп"/>
    <x v="46"/>
    <x v="0"/>
    <m/>
    <n v="59"/>
    <n v="20"/>
    <n v="77"/>
    <n v="64"/>
    <n v="72"/>
    <n v="74"/>
    <n v="76"/>
    <n v="30"/>
    <n v="0"/>
    <n v="511117"/>
    <n v="42593.083333333336"/>
    <n v="0"/>
  </r>
  <r>
    <s v="Хавнбак Фритьоф"/>
    <s v="Н"/>
    <s v="ЦН"/>
    <s v="ОФ"/>
    <m/>
    <m/>
    <s v="Кирп"/>
    <s v="Кирп"/>
    <x v="46"/>
    <x v="0"/>
    <m/>
    <n v="75"/>
    <n v="28"/>
    <n v="93"/>
    <n v="87"/>
    <n v="87"/>
    <n v="89"/>
    <n v="91"/>
    <n v="50"/>
    <n v="0"/>
    <n v="5631352"/>
    <n v="469279.33333333331"/>
    <n v="0"/>
  </r>
  <r>
    <s v="Элвенстад Снорри"/>
    <s v="Н"/>
    <s v="ОФ"/>
    <s v="ЦН"/>
    <m/>
    <m/>
    <s v="Кирп"/>
    <s v="Кирп"/>
    <x v="46"/>
    <x v="0"/>
    <m/>
    <n v="67.714285714285708"/>
    <n v="24"/>
    <n v="88"/>
    <n v="76"/>
    <n v="80"/>
    <n v="82"/>
    <n v="84"/>
    <n v="40"/>
    <n v="0"/>
    <n v="2026764"/>
    <n v="168897"/>
    <n v="0"/>
  </r>
  <r>
    <s v="Асгард Нильс"/>
    <s v="П"/>
    <s v="АПЗ"/>
    <s v="ЦПЗ"/>
    <m/>
    <m/>
    <s v="Кирп"/>
    <s v="Кирп"/>
    <x v="46"/>
    <x v="0"/>
    <m/>
    <n v="65"/>
    <n v="23"/>
    <n v="85"/>
    <n v="72"/>
    <n v="80"/>
    <n v="78"/>
    <n v="80"/>
    <n v="37"/>
    <n v="0"/>
    <n v="1346275"/>
    <n v="112189.58333333333"/>
    <n v="0"/>
  </r>
  <r>
    <s v="Брунстрём Аксель"/>
    <s v="П"/>
    <s v="ЛПЗ"/>
    <s v="ОПЗ"/>
    <m/>
    <m/>
    <s v="Кирп"/>
    <s v="Кирп"/>
    <x v="46"/>
    <x v="0"/>
    <m/>
    <n v="62.571428571428569"/>
    <n v="21"/>
    <n v="81"/>
    <n v="68"/>
    <n v="76"/>
    <n v="78"/>
    <n v="80"/>
    <n v="34"/>
    <n v="0"/>
    <n v="919943"/>
    <n v="76661.916666666672"/>
    <n v="0"/>
  </r>
  <r>
    <s v="Виндхольм Кай"/>
    <s v="П"/>
    <s v="АПЗ"/>
    <s v="ППЗ"/>
    <m/>
    <m/>
    <s v="Кирп"/>
    <s v="Кирп"/>
    <x v="46"/>
    <x v="0"/>
    <m/>
    <n v="64.142857142857139"/>
    <n v="22"/>
    <n v="82"/>
    <n v="70"/>
    <n v="78"/>
    <n v="80"/>
    <n v="82"/>
    <n v="35"/>
    <n v="0"/>
    <n v="1178917"/>
    <n v="98243.083333333328"/>
    <n v="0"/>
  </r>
  <r>
    <s v="Вольямс (П)"/>
    <s v="П"/>
    <s v="ЦПЗ"/>
    <s v="ЛПЗ"/>
    <s v="ОПЗ"/>
    <s v="Кирп"/>
    <s v="Кирп"/>
    <s v="Кирп"/>
    <x v="46"/>
    <x v="0"/>
    <m/>
    <n v="83.142857142857139"/>
    <n v="75"/>
    <n v="83"/>
    <n v="85"/>
    <n v="86"/>
    <n v="84"/>
    <n v="86"/>
    <n v="83"/>
    <n v="22"/>
    <n v="23677765"/>
    <n v="1973147.0833333333"/>
    <n v="0"/>
  </r>
  <r>
    <s v="Дальгорд Рагнар"/>
    <s v="П"/>
    <s v="ППЗ"/>
    <s v="ЛПЗ"/>
    <m/>
    <m/>
    <s v="Кирп"/>
    <s v="Кирп"/>
    <x v="46"/>
    <x v="0"/>
    <m/>
    <n v="64.428571428571431"/>
    <n v="21"/>
    <n v="84"/>
    <n v="71"/>
    <n v="79"/>
    <n v="81"/>
    <n v="83"/>
    <n v="32"/>
    <n v="0"/>
    <n v="1232495"/>
    <n v="102707.91666666667"/>
    <n v="0"/>
  </r>
  <r>
    <s v="Скаллбю Свен"/>
    <s v="П"/>
    <s v="ОПЗ"/>
    <s v="ЦПЗ"/>
    <m/>
    <m/>
    <s v="Кирп"/>
    <s v="Кирп"/>
    <x v="46"/>
    <x v="0"/>
    <m/>
    <n v="62.857142857142854"/>
    <n v="22"/>
    <n v="84"/>
    <n v="70"/>
    <n v="78"/>
    <n v="74"/>
    <n v="76"/>
    <n v="36"/>
    <n v="0"/>
    <n v="962823"/>
    <n v="80235.25"/>
    <n v="0"/>
  </r>
  <r>
    <s v="Торнквист Ларс"/>
    <s v="П"/>
    <s v="ЦПЗ"/>
    <s v="ОПЗ"/>
    <m/>
    <m/>
    <s v="Кирп"/>
    <s v="Кирп"/>
    <x v="46"/>
    <x v="0"/>
    <m/>
    <n v="62"/>
    <n v="21"/>
    <n v="83"/>
    <n v="68"/>
    <n v="74"/>
    <n v="76"/>
    <n v="78"/>
    <n v="34"/>
    <n v="0"/>
    <n v="839300"/>
    <n v="69941.666666666672"/>
    <n v="0"/>
  </r>
  <r>
    <s v="Фьельдмарк Ханс"/>
    <s v="П"/>
    <s v="ППЗ"/>
    <s v="АПЗ"/>
    <m/>
    <m/>
    <s v="Кирп"/>
    <s v="Кирп"/>
    <x v="46"/>
    <x v="0"/>
    <m/>
    <n v="69.714285714285708"/>
    <n v="26"/>
    <n v="90"/>
    <n v="78"/>
    <n v="82"/>
    <n v="84"/>
    <n v="86"/>
    <n v="42"/>
    <n v="0"/>
    <n v="2711552"/>
    <n v="225962.66666666666"/>
    <n v="0"/>
  </r>
  <r>
    <s v="Стрёмвик Олаф"/>
    <s v="Т"/>
    <s v="Т"/>
    <m/>
    <m/>
    <m/>
    <s v="Кирп"/>
    <s v="Кирп"/>
    <x v="46"/>
    <x v="0"/>
    <m/>
    <n v="62.428571428571431"/>
    <n v="22"/>
    <n v="70"/>
    <n v="66"/>
    <n v="76"/>
    <n v="78"/>
    <n v="80"/>
    <n v="45"/>
    <n v="0"/>
    <n v="899154"/>
    <n v="74929.5"/>
    <n v="0"/>
  </r>
  <r>
    <s v="Кристенс (Н)"/>
    <s v="Н"/>
    <s v="ЦН"/>
    <s v="АПЗ"/>
    <s v="ОФ"/>
    <s v="Кирп"/>
    <s v="Кирп"/>
    <s v="Кирп"/>
    <x v="47"/>
    <x v="2"/>
    <m/>
    <n v="91.285714285714292"/>
    <n v="93"/>
    <n v="90"/>
    <n v="97"/>
    <n v="90"/>
    <n v="88"/>
    <n v="91"/>
    <n v="90"/>
    <n v="7"/>
    <n v="60272533"/>
    <n v="5022711.083333333"/>
    <n v="0"/>
  </r>
  <r>
    <s v="Касайрес"/>
    <s v="Н"/>
    <s v="ЦН"/>
    <s v="ОФ"/>
    <m/>
    <s v="Нумб"/>
    <s v="В.И."/>
    <s v="В.И."/>
    <x v="48"/>
    <x v="3"/>
    <m/>
    <n v="88"/>
    <n v="87"/>
    <n v="95"/>
    <n v="98"/>
    <n v="85"/>
    <n v="83"/>
    <n v="83"/>
    <n v="85"/>
    <n v="15"/>
    <n v="41775147"/>
    <n v="3481262.25"/>
    <n v="0"/>
  </r>
  <r>
    <s v="Борщец"/>
    <s v="В"/>
    <s v="В"/>
    <m/>
    <m/>
    <s v="Смор"/>
    <s v="Смор"/>
    <s v="Смор"/>
    <x v="49"/>
    <x v="0"/>
    <m/>
    <n v="66.571428571428569"/>
    <n v="32"/>
    <n v="70"/>
    <n v="80"/>
    <n v="77"/>
    <n v="71"/>
    <n v="70"/>
    <n v="66"/>
    <n v="0"/>
    <n v="1709539"/>
    <n v="117219.66666666667"/>
    <n v="0"/>
  </r>
  <r>
    <s v="Гордец Ким"/>
    <s v="В"/>
    <s v="В"/>
    <m/>
    <m/>
    <s v="Смор"/>
    <s v="Смор"/>
    <s v="Смор"/>
    <x v="49"/>
    <x v="0"/>
    <m/>
    <n v="61.857142857142854"/>
    <n v="22"/>
    <n v="68"/>
    <n v="72"/>
    <n v="73"/>
    <n v="80"/>
    <n v="78"/>
    <n v="40"/>
    <n v="0"/>
    <n v="820160"/>
    <n v="68346.666666666672"/>
    <n v="0"/>
  </r>
  <r>
    <s v="Бельский Ярослав"/>
    <s v="З"/>
    <s v="ЦЗ"/>
    <m/>
    <m/>
    <s v="Смор"/>
    <s v="Смор"/>
    <s v="Смор"/>
    <x v="49"/>
    <x v="0"/>
    <m/>
    <n v="50.857142857142854"/>
    <n v="15"/>
    <n v="46"/>
    <n v="74"/>
    <n v="60"/>
    <n v="65"/>
    <n v="69"/>
    <n v="27"/>
    <n v="0"/>
    <n v="115750"/>
    <n v="9645.8333333333339"/>
    <n v="0"/>
  </r>
  <r>
    <s v="Бублейнов"/>
    <s v="З"/>
    <s v="ЦЗ"/>
    <s v="ЛЗ"/>
    <m/>
    <s v="Смор"/>
    <s v="Смор"/>
    <s v="Смор"/>
    <x v="49"/>
    <x v="0"/>
    <m/>
    <n v="65.142857142857139"/>
    <n v="23"/>
    <n v="55"/>
    <n v="88"/>
    <n v="61"/>
    <n v="80"/>
    <n v="94"/>
    <n v="55"/>
    <n v="0"/>
    <n v="1376158"/>
    <n v="114679.83333333333"/>
    <n v="0"/>
  </r>
  <r>
    <s v="Врубель Иржи"/>
    <s v="З"/>
    <s v="ЦЗ"/>
    <s v="ЛЗ"/>
    <m/>
    <s v="Смор"/>
    <s v="Смор"/>
    <s v="Смор"/>
    <x v="49"/>
    <x v="0"/>
    <m/>
    <n v="67.857142857142861"/>
    <n v="25"/>
    <n v="74"/>
    <n v="80"/>
    <n v="82"/>
    <n v="85"/>
    <n v="86"/>
    <n v="43"/>
    <n v="0"/>
    <n v="2069931"/>
    <n v="172494.25"/>
    <n v="0"/>
  </r>
  <r>
    <s v="Гувишка"/>
    <s v="З"/>
    <s v="ЦЗ"/>
    <s v="ЛЗ"/>
    <m/>
    <s v="Смор"/>
    <s v="Смор"/>
    <s v="Смор"/>
    <x v="49"/>
    <x v="0"/>
    <m/>
    <n v="58"/>
    <n v="16"/>
    <n v="53"/>
    <n v="81"/>
    <n v="60"/>
    <n v="71"/>
    <n v="81"/>
    <n v="44"/>
    <n v="0"/>
    <n v="430805"/>
    <n v="35900.416666666664"/>
    <n v="0"/>
  </r>
  <r>
    <s v="Рыбный Местор"/>
    <s v="З"/>
    <s v="ЦЗ"/>
    <m/>
    <m/>
    <s v="Смор"/>
    <s v="Смор"/>
    <s v="Смор"/>
    <x v="49"/>
    <x v="0"/>
    <m/>
    <n v="67.142857142857139"/>
    <n v="50"/>
    <n v="69"/>
    <n v="87"/>
    <n v="67"/>
    <n v="80"/>
    <n v="77"/>
    <n v="40"/>
    <n v="1"/>
    <n v="2793119"/>
    <n v="29421.833333333332"/>
    <n v="0"/>
  </r>
  <r>
    <s v="Марти"/>
    <s v="З"/>
    <s v="ЦЗ"/>
    <m/>
    <m/>
    <s v="Смор"/>
    <s v="А.Н."/>
    <s v="А.Н."/>
    <x v="49"/>
    <x v="0"/>
    <m/>
    <n v="66.857142857142861"/>
    <n v="30"/>
    <n v="68"/>
    <n v="86"/>
    <n v="65"/>
    <n v="84"/>
    <n v="84"/>
    <n v="51"/>
    <n v="26"/>
    <n v="2676514"/>
    <n v="107354.58333333333"/>
    <n v="0"/>
  </r>
  <r>
    <s v="Тарский Марек"/>
    <s v="З"/>
    <s v="ЦЗ"/>
    <s v="ОПЗ"/>
    <m/>
    <s v="Смор"/>
    <s v="Смор"/>
    <s v="Смор"/>
    <x v="49"/>
    <x v="0"/>
    <m/>
    <n v="60.857142857142854"/>
    <n v="17"/>
    <n v="64"/>
    <n v="78"/>
    <n v="76"/>
    <n v="79"/>
    <n v="80"/>
    <n v="32"/>
    <n v="0"/>
    <n v="696812"/>
    <n v="58067.666666666664"/>
    <n v="0"/>
  </r>
  <r>
    <s v="Фалион"/>
    <s v="З"/>
    <s v="ЦЗ"/>
    <m/>
    <m/>
    <s v="Смор"/>
    <s v="А.Н."/>
    <s v="А.Н."/>
    <x v="49"/>
    <x v="0"/>
    <m/>
    <n v="60"/>
    <n v="26"/>
    <n v="51"/>
    <n v="83"/>
    <n v="61"/>
    <n v="73"/>
    <n v="80"/>
    <n v="46"/>
    <n v="0"/>
    <n v="604662"/>
    <n v="50388.5"/>
    <n v="0"/>
  </r>
  <r>
    <s v="Смородинский"/>
    <s v="Н"/>
    <s v="ЦН"/>
    <s v="ОФ"/>
    <m/>
    <s v="Смор"/>
    <s v="Смор"/>
    <s v="Смор"/>
    <x v="49"/>
    <x v="0"/>
    <m/>
    <n v="73.142857142857139"/>
    <n v="55"/>
    <n v="77"/>
    <n v="88"/>
    <n v="71"/>
    <n v="73"/>
    <n v="85"/>
    <n v="63"/>
    <n v="0"/>
    <n v="4382473"/>
    <n v="365206.08333333331"/>
    <n v="0"/>
  </r>
  <r>
    <s v="Ф. Классный"/>
    <s v="Н"/>
    <s v="ЦН"/>
    <s v="ОФ"/>
    <m/>
    <s v="Смор"/>
    <s v="Смор"/>
    <s v="Смор"/>
    <x v="49"/>
    <x v="0"/>
    <m/>
    <n v="70.571428571428569"/>
    <n v="53"/>
    <n v="74"/>
    <n v="84"/>
    <n v="72"/>
    <n v="71"/>
    <n v="80"/>
    <n v="60"/>
    <n v="0"/>
    <n v="3064003"/>
    <n v="255333.58333333334"/>
    <n v="0"/>
  </r>
  <r>
    <s v="Ярцев Тимур"/>
    <s v="Н"/>
    <s v="ЦН"/>
    <s v="ОФ"/>
    <m/>
    <s v="Смор"/>
    <s v="Смор"/>
    <s v="Смор"/>
    <x v="49"/>
    <x v="0"/>
    <m/>
    <n v="68.285714285714292"/>
    <n v="26"/>
    <n v="78"/>
    <n v="86"/>
    <n v="77"/>
    <n v="82"/>
    <n v="85"/>
    <n v="44"/>
    <n v="0"/>
    <n v="2204442"/>
    <n v="183703.5"/>
    <n v="0"/>
  </r>
  <r>
    <s v="Верник Люк"/>
    <s v="П"/>
    <s v="ППЗ"/>
    <s v="АПЗ"/>
    <m/>
    <s v="Смор"/>
    <s v="Смор"/>
    <s v="Смор"/>
    <x v="49"/>
    <x v="0"/>
    <m/>
    <n v="60.285714285714285"/>
    <n v="21"/>
    <n v="76"/>
    <n v="70"/>
    <n v="71"/>
    <n v="75"/>
    <n v="74"/>
    <n v="35"/>
    <n v="0"/>
    <n v="634081"/>
    <n v="52840.083333333336"/>
    <n v="0"/>
  </r>
  <r>
    <s v="Оленничев Витор"/>
    <s v="П"/>
    <s v="ЛПЗ"/>
    <s v="ОПЗ"/>
    <m/>
    <s v="Смор"/>
    <s v="Смор"/>
    <s v="Смор"/>
    <x v="49"/>
    <x v="0"/>
    <m/>
    <n v="64"/>
    <n v="45"/>
    <n v="80"/>
    <n v="66"/>
    <n v="69"/>
    <n v="67"/>
    <n v="71"/>
    <n v="50"/>
    <n v="0"/>
    <n v="1152922"/>
    <n v="25275.5"/>
    <n v="0"/>
  </r>
  <r>
    <s v="Дунаев Олег"/>
    <s v="П"/>
    <s v="ОПЗ"/>
    <s v="ЦЗ"/>
    <m/>
    <s v="Смор"/>
    <s v="Смор"/>
    <s v="Смор"/>
    <x v="49"/>
    <x v="0"/>
    <m/>
    <n v="64.142857142857139"/>
    <n v="23"/>
    <n v="72"/>
    <n v="78"/>
    <n v="80"/>
    <n v="77"/>
    <n v="79"/>
    <n v="40"/>
    <n v="0"/>
    <n v="1178917"/>
    <n v="98243.083333333328"/>
    <n v="0"/>
  </r>
  <r>
    <s v="Кариока"/>
    <s v="П"/>
    <s v="ППЗ"/>
    <s v="ЛПЗ"/>
    <m/>
    <s v="Смор"/>
    <s v="Смор"/>
    <s v="Смор"/>
    <x v="49"/>
    <x v="0"/>
    <m/>
    <n v="75.857142857142861"/>
    <n v="70"/>
    <n v="85"/>
    <n v="72"/>
    <n v="78"/>
    <n v="78"/>
    <n v="78"/>
    <n v="70"/>
    <n v="23"/>
    <n v="9463594"/>
    <n v="35900.416666666664"/>
    <n v="0"/>
  </r>
  <r>
    <s v="Общенников"/>
    <s v="П"/>
    <s v="ЦПЗ"/>
    <m/>
    <m/>
    <s v="Смор"/>
    <s v="Смор"/>
    <s v="Смор"/>
    <x v="49"/>
    <x v="0"/>
    <m/>
    <n v="75.285714285714292"/>
    <n v="65"/>
    <n v="76"/>
    <n v="88"/>
    <n v="85"/>
    <n v="75"/>
    <n v="70"/>
    <n v="68"/>
    <n v="21"/>
    <n v="8774392"/>
    <n v="38643.083333333336"/>
    <n v="0"/>
  </r>
  <r>
    <s v="П. Успехов"/>
    <s v="П"/>
    <s v="ОПЗ"/>
    <s v="ЦПЗ"/>
    <m/>
    <s v="Смор"/>
    <s v="Смор"/>
    <s v="Смор"/>
    <x v="49"/>
    <x v="0"/>
    <m/>
    <n v="71.285714285714292"/>
    <n v="60"/>
    <n v="78"/>
    <n v="67"/>
    <n v="75"/>
    <n v="80"/>
    <n v="80"/>
    <n v="59"/>
    <n v="12"/>
    <n v="5082956"/>
    <n v="130694.75"/>
    <n v="0"/>
  </r>
  <r>
    <s v="Согин Федот"/>
    <s v="П"/>
    <s v="ЦПЗ"/>
    <s v="ОПЗ"/>
    <m/>
    <s v="Смор"/>
    <s v="Смор"/>
    <s v="Смор"/>
    <x v="49"/>
    <x v="0"/>
    <m/>
    <n v="53.714285714285715"/>
    <n v="16"/>
    <n v="58"/>
    <n v="68"/>
    <n v="66"/>
    <n v="68"/>
    <n v="72"/>
    <n v="28"/>
    <n v="0"/>
    <n v="199940"/>
    <n v="16661.666666666668"/>
    <n v="0"/>
  </r>
  <r>
    <s v="Старомиров"/>
    <s v="П"/>
    <s v="ОПЗ"/>
    <s v="ЦЗ"/>
    <m/>
    <s v="Смор"/>
    <s v="Смор"/>
    <s v="Смор"/>
    <x v="49"/>
    <x v="0"/>
    <m/>
    <n v="64.857142857142861"/>
    <n v="48"/>
    <n v="65"/>
    <n v="67"/>
    <n v="71"/>
    <n v="77"/>
    <n v="77"/>
    <n v="49"/>
    <n v="0"/>
    <n v="1316977"/>
    <n v="109748.08333333333"/>
    <n v="0"/>
  </r>
  <r>
    <s v="Хэк"/>
    <s v="П"/>
    <s v="ОПЗ"/>
    <s v="ЦПЗ"/>
    <m/>
    <s v="Смор"/>
    <s v="Смор"/>
    <s v="Смор"/>
    <x v="49"/>
    <x v="0"/>
    <m/>
    <n v="61.285714285714285"/>
    <n v="59"/>
    <n v="68"/>
    <n v="73"/>
    <n v="56"/>
    <n v="56"/>
    <n v="80"/>
    <n v="37"/>
    <n v="0"/>
    <n v="747468"/>
    <n v="62289"/>
    <n v="0"/>
  </r>
  <r>
    <s v="Пивонов"/>
    <s v="Т"/>
    <s v="Т"/>
    <m/>
    <m/>
    <m/>
    <s v="Смор"/>
    <s v="Смор"/>
    <x v="49"/>
    <x v="0"/>
    <m/>
    <n v="70"/>
    <n v="40"/>
    <n v="79"/>
    <n v="68"/>
    <n v="83"/>
    <n v="85"/>
    <n v="76"/>
    <n v="59"/>
    <n v="0"/>
    <n v="2824753"/>
    <n v="235396.08333333334"/>
    <n v="0"/>
  </r>
  <r>
    <s v="Шёрт"/>
    <s v="В"/>
    <s v="В"/>
    <m/>
    <m/>
    <s v="Турк"/>
    <s v="Турк"/>
    <s v="Турк"/>
    <x v="50"/>
    <x v="0"/>
    <m/>
    <n v="69.714285714285708"/>
    <n v="46"/>
    <n v="90"/>
    <n v="83"/>
    <n v="61"/>
    <n v="66"/>
    <n v="70"/>
    <n v="72"/>
    <n v="0"/>
    <n v="2711552"/>
    <n v="225962.66666666666"/>
    <n v="0"/>
  </r>
  <r>
    <s v="Зувьер"/>
    <s v="З"/>
    <s v="ЦЗ"/>
    <m/>
    <m/>
    <s v="Турк"/>
    <s v="Турк"/>
    <s v="Турк"/>
    <x v="50"/>
    <x v="0"/>
    <m/>
    <n v="75"/>
    <n v="52"/>
    <n v="67"/>
    <n v="83"/>
    <n v="81"/>
    <n v="78"/>
    <n v="93"/>
    <n v="71"/>
    <n v="0"/>
    <n v="5631352"/>
    <n v="469279.33333333331"/>
    <n v="0"/>
  </r>
  <r>
    <s v="Кошнар (З)"/>
    <s v="З"/>
    <s v="ЦЗ"/>
    <s v="ЛЗ"/>
    <m/>
    <s v="Турк"/>
    <s v="Турк"/>
    <s v="Турк"/>
    <x v="50"/>
    <x v="0"/>
    <m/>
    <n v="74.857142857142861"/>
    <n v="51"/>
    <n v="71"/>
    <n v="80"/>
    <n v="82"/>
    <n v="80"/>
    <n v="90"/>
    <n v="70"/>
    <n v="0"/>
    <n v="5525003"/>
    <n v="460416.91666666669"/>
    <n v="0"/>
  </r>
  <r>
    <s v="Лобуз"/>
    <s v="З"/>
    <s v="ЦЗ"/>
    <m/>
    <m/>
    <s v="Снег"/>
    <s v="Снег"/>
    <s v="Снег"/>
    <x v="50"/>
    <x v="0"/>
    <m/>
    <n v="57.857142857142854"/>
    <n v="30"/>
    <n v="65"/>
    <n v="63"/>
    <n v="62"/>
    <n v="70"/>
    <n v="75"/>
    <n v="40"/>
    <n v="0"/>
    <n v="420311"/>
    <n v="35025.916666666664"/>
    <n v="0"/>
  </r>
  <r>
    <s v="Тальмундор"/>
    <s v="З"/>
    <s v="ЦЗ"/>
    <m/>
    <m/>
    <s v="Турк"/>
    <s v="Турк"/>
    <s v="Турк"/>
    <x v="50"/>
    <x v="0"/>
    <m/>
    <n v="73.142857142857139"/>
    <n v="48"/>
    <n v="68"/>
    <n v="82"/>
    <n v="80"/>
    <n v="77"/>
    <n v="90"/>
    <n v="67"/>
    <n v="0"/>
    <n v="4382473"/>
    <n v="365206.08333333331"/>
    <n v="0"/>
  </r>
  <r>
    <s v="Хевьер"/>
    <s v="З"/>
    <s v="ЦЗ"/>
    <m/>
    <m/>
    <s v="Туркан"/>
    <s v="Туркан"/>
    <s v="Туркан"/>
    <x v="50"/>
    <x v="0"/>
    <m/>
    <n v="63.571428571428569"/>
    <n v="34"/>
    <n v="60"/>
    <n v="64"/>
    <n v="70"/>
    <n v="72"/>
    <n v="84"/>
    <n v="61"/>
    <n v="0"/>
    <n v="1078003"/>
    <n v="89833.583333333328"/>
    <n v="0"/>
  </r>
  <r>
    <s v="Шажим"/>
    <s v="З"/>
    <s v="ПЗ"/>
    <m/>
    <m/>
    <s v="Биссий"/>
    <s v="Биссий"/>
    <s v="Биссий"/>
    <x v="50"/>
    <x v="0"/>
    <m/>
    <n v="64.285714285714292"/>
    <n v="42"/>
    <n v="85"/>
    <n v="63"/>
    <n v="60"/>
    <n v="80"/>
    <n v="70"/>
    <n v="50"/>
    <n v="0"/>
    <n v="1205438"/>
    <n v="100453.16666666667"/>
    <n v="0"/>
  </r>
  <r>
    <s v="Бальтунов"/>
    <s v="Н"/>
    <s v="ЦН"/>
    <s v="АПЗ"/>
    <m/>
    <s v="Турк"/>
    <s v="Турк"/>
    <s v="Турк"/>
    <x v="50"/>
    <x v="0"/>
    <m/>
    <n v="67"/>
    <n v="41"/>
    <n v="70"/>
    <n v="76"/>
    <n v="70"/>
    <n v="74"/>
    <n v="86"/>
    <n v="52"/>
    <n v="0"/>
    <n v="1822838"/>
    <n v="151903.16666666666"/>
    <n v="0"/>
  </r>
  <r>
    <s v="Рара"/>
    <s v="Н"/>
    <s v="ОФ"/>
    <s v="ЛПЗ"/>
    <m/>
    <s v="Турк"/>
    <s v="Турк"/>
    <s v="Турк"/>
    <x v="50"/>
    <x v="0"/>
    <m/>
    <n v="67"/>
    <n v="35"/>
    <n v="86"/>
    <n v="70"/>
    <n v="78"/>
    <n v="75"/>
    <n v="70"/>
    <n v="55"/>
    <n v="3"/>
    <n v="2734257"/>
    <n v="227854.75"/>
    <n v="0"/>
  </r>
  <r>
    <s v="Архих"/>
    <s v="П"/>
    <s v="ЦПЗ"/>
    <s v="АПЗ"/>
    <m/>
    <s v="Туркан"/>
    <s v="Туркан"/>
    <s v="Туркан"/>
    <x v="50"/>
    <x v="0"/>
    <m/>
    <n v="52.428571428571431"/>
    <n v="34"/>
    <n v="56"/>
    <n v="60"/>
    <n v="55"/>
    <n v="51"/>
    <n v="74"/>
    <n v="37"/>
    <n v="0"/>
    <n v="156921"/>
    <n v="13076.75"/>
    <n v="0"/>
  </r>
  <r>
    <s v="Дормуд"/>
    <s v="П"/>
    <s v="ОПЗ"/>
    <s v="ЦПЗ"/>
    <m/>
    <s v="Турк"/>
    <s v="Турк"/>
    <s v="Турк"/>
    <x v="50"/>
    <x v="0"/>
    <m/>
    <n v="76.428571428571431"/>
    <n v="55"/>
    <n v="78"/>
    <n v="83"/>
    <n v="84"/>
    <n v="82"/>
    <n v="88"/>
    <n v="65"/>
    <n v="26"/>
    <n v="10201140"/>
    <n v="850095"/>
    <n v="0"/>
  </r>
  <r>
    <s v="Иллюдо"/>
    <s v="П"/>
    <s v="ППЗ"/>
    <s v="ЦПЗ"/>
    <m/>
    <s v="Турк"/>
    <s v="Турк"/>
    <s v="Турк"/>
    <x v="50"/>
    <x v="0"/>
    <m/>
    <n v="72"/>
    <n v="60"/>
    <n v="85"/>
    <n v="73"/>
    <n v="80"/>
    <n v="70"/>
    <n v="73"/>
    <n v="63"/>
    <n v="0"/>
    <n v="3743907"/>
    <n v="311992.25"/>
    <n v="0"/>
  </r>
  <r>
    <s v="Йонгамунг"/>
    <s v="П"/>
    <s v="ППЗ"/>
    <m/>
    <m/>
    <s v="Р.Тесно"/>
    <s v="Р.Тесно"/>
    <s v="Р.Тесно"/>
    <x v="50"/>
    <x v="0"/>
    <m/>
    <n v="49.428571428571431"/>
    <n v="29"/>
    <n v="74"/>
    <n v="53"/>
    <n v="41"/>
    <n v="70"/>
    <n v="51"/>
    <n v="28"/>
    <n v="0"/>
    <n v="87053"/>
    <n v="7254.416666666667"/>
    <n v="0"/>
  </r>
  <r>
    <s v="Миллон"/>
    <s v="П"/>
    <s v="ЦПЗ"/>
    <s v="ОПЗ"/>
    <m/>
    <s v="Турк"/>
    <s v="Турк"/>
    <s v="Турк"/>
    <x v="50"/>
    <x v="0"/>
    <m/>
    <n v="56.857142857142854"/>
    <n v="36"/>
    <n v="68"/>
    <n v="70"/>
    <n v="59"/>
    <n v="58"/>
    <n v="68"/>
    <n v="39"/>
    <n v="0"/>
    <n v="353062"/>
    <n v="29421.833333333332"/>
    <n v="0"/>
  </r>
  <r>
    <s v="Мишна"/>
    <s v="П"/>
    <s v="АПЗ"/>
    <s v="ЦПЗ"/>
    <m/>
    <s v="Турк"/>
    <s v="Турк"/>
    <s v="Турк"/>
    <x v="50"/>
    <x v="0"/>
    <m/>
    <n v="57.285714285714285"/>
    <n v="29"/>
    <n v="69"/>
    <n v="75"/>
    <n v="50"/>
    <n v="52"/>
    <n v="63"/>
    <n v="63"/>
    <n v="0"/>
    <n v="380596"/>
    <n v="31716.333333333332"/>
    <n v="0"/>
  </r>
  <r>
    <s v="Мультрих"/>
    <s v="П"/>
    <s v="ППЗ"/>
    <s v="АПЗ"/>
    <m/>
    <s v="Турк"/>
    <s v="Турк"/>
    <s v="Турк"/>
    <x v="50"/>
    <x v="0"/>
    <m/>
    <n v="60.285714285714285"/>
    <n v="63"/>
    <n v="73"/>
    <n v="63"/>
    <n v="69"/>
    <n v="60"/>
    <n v="55"/>
    <n v="39"/>
    <n v="0"/>
    <n v="634081"/>
    <n v="52840.083333333336"/>
    <n v="0"/>
  </r>
  <r>
    <s v="Пекерсон"/>
    <s v="П"/>
    <s v="ЦПЗ"/>
    <m/>
    <m/>
    <s v="Генуа"/>
    <s v="Генуа"/>
    <s v="Генуа"/>
    <x v="50"/>
    <x v="0"/>
    <m/>
    <n v="62.571428571428569"/>
    <n v="32"/>
    <n v="62"/>
    <n v="70"/>
    <n v="72"/>
    <n v="70"/>
    <n v="77"/>
    <n v="55"/>
    <n v="0"/>
    <n v="919943"/>
    <n v="76661.916666666672"/>
    <n v="0"/>
  </r>
  <r>
    <s v="Пусьер"/>
    <s v="Т"/>
    <s v="Т"/>
    <m/>
    <m/>
    <m/>
    <s v="Турк"/>
    <s v="Турк"/>
    <x v="50"/>
    <x v="0"/>
    <m/>
    <n v="72.285714285714292"/>
    <n v="68"/>
    <n v="69"/>
    <n v="80"/>
    <n v="85"/>
    <n v="74"/>
    <n v="74"/>
    <n v="56"/>
    <n v="0"/>
    <n v="3895156"/>
    <n v="324596.33333333331"/>
    <n v="0"/>
  </r>
  <r>
    <s v="Тольяр"/>
    <s v="П"/>
    <s v="ЛПЗ"/>
    <s v="ППЗ"/>
    <m/>
    <s v="Н.С."/>
    <s v="Н.С."/>
    <s v="Н.С."/>
    <x v="51"/>
    <x v="4"/>
    <m/>
    <n v="89.285714285714292"/>
    <n v="86"/>
    <n v="93"/>
    <n v="89"/>
    <n v="90"/>
    <n v="92"/>
    <n v="89"/>
    <n v="86"/>
    <n v="22"/>
    <n v="48295986"/>
    <n v="4024665.5"/>
    <n v="0"/>
  </r>
  <r>
    <s v="Кападокин"/>
    <s v="В"/>
    <s v="В"/>
    <m/>
    <m/>
    <s v="В.И."/>
    <s v="В.И."/>
    <s v="В.И."/>
    <x v="52"/>
    <x v="0"/>
    <m/>
    <n v="96.714285714285708"/>
    <n v="97"/>
    <n v="96"/>
    <n v="90"/>
    <n v="99"/>
    <n v="99"/>
    <n v="97"/>
    <n v="99"/>
    <n v="29"/>
    <n v="107398335"/>
    <n v="8949861.25"/>
    <n v="0"/>
  </r>
  <r>
    <s v="Алепов Федор"/>
    <s v="З"/>
    <s v="ЦЗ"/>
    <m/>
    <m/>
    <m/>
    <s v="В.И."/>
    <s v="В.И."/>
    <x v="52"/>
    <x v="0"/>
    <m/>
    <n v="73.428571428571431"/>
    <n v="35"/>
    <n v="87"/>
    <n v="73"/>
    <n v="72"/>
    <n v="84"/>
    <n v="90"/>
    <n v="73"/>
    <n v="0"/>
    <n v="4556704"/>
    <n v="379725.33333333331"/>
    <n v="0"/>
  </r>
  <r>
    <s v="Каштан"/>
    <s v="З"/>
    <s v="ЦЗ"/>
    <s v="ОПЗ"/>
    <s v="ПЗ"/>
    <s v="Мох"/>
    <s v="Мох"/>
    <s v="Мох"/>
    <x v="52"/>
    <x v="0"/>
    <m/>
    <n v="87.714285714285708"/>
    <n v="82"/>
    <n v="78"/>
    <n v="88"/>
    <n v="88"/>
    <n v="90"/>
    <n v="98"/>
    <n v="90"/>
    <n v="26"/>
    <n v="40438457"/>
    <n v="3369871.4166666665"/>
    <n v="0"/>
  </r>
  <r>
    <s v="Козмоз Лакки"/>
    <s v="З"/>
    <s v="ПЗ"/>
    <m/>
    <m/>
    <m/>
    <s v="В.И."/>
    <s v="В.И."/>
    <x v="52"/>
    <x v="0"/>
    <m/>
    <n v="75.285714285714292"/>
    <n v="35"/>
    <n v="88"/>
    <n v="79"/>
    <n v="77"/>
    <n v="80"/>
    <n v="81"/>
    <n v="87"/>
    <n v="0"/>
    <n v="5849595"/>
    <n v="487466.25"/>
    <n v="0"/>
  </r>
  <r>
    <s v="Конли"/>
    <s v="З"/>
    <s v="ЛЗ"/>
    <m/>
    <m/>
    <m/>
    <s v="В.И."/>
    <s v="В.И."/>
    <x v="52"/>
    <x v="0"/>
    <m/>
    <n v="75.571428571428569"/>
    <n v="40"/>
    <n v="90"/>
    <n v="80"/>
    <n v="86"/>
    <n v="77"/>
    <n v="71"/>
    <n v="85"/>
    <n v="0"/>
    <n v="6075421"/>
    <n v="506285.08333333331"/>
    <n v="0"/>
  </r>
  <r>
    <s v="Саир"/>
    <s v="З"/>
    <s v="ЦЗ"/>
    <s v="ОПЗ"/>
    <m/>
    <s v="Сув"/>
    <s v="В.И."/>
    <s v="В.И."/>
    <x v="52"/>
    <x v="0"/>
    <m/>
    <n v="79.285714285714292"/>
    <n v="60"/>
    <n v="85"/>
    <n v="85"/>
    <n v="83"/>
    <n v="84"/>
    <n v="88"/>
    <n v="70"/>
    <n v="26"/>
    <n v="14724505"/>
    <n v="1227042.0833333333"/>
    <n v="0"/>
  </r>
  <r>
    <s v="Сандера"/>
    <s v="З"/>
    <s v="ЦЗ"/>
    <s v="ЛЗ"/>
    <m/>
    <s v="Мал"/>
    <s v="В.И."/>
    <s v="В.И."/>
    <x v="52"/>
    <x v="0"/>
    <m/>
    <n v="79.285714285714292"/>
    <n v="60"/>
    <n v="77"/>
    <n v="84"/>
    <n v="82"/>
    <n v="85"/>
    <n v="87"/>
    <n v="80"/>
    <n v="26"/>
    <n v="14724505"/>
    <n v="1227042.0833333333"/>
    <n v="0"/>
  </r>
  <r>
    <s v="Укин"/>
    <s v="З"/>
    <s v="ЦЗ"/>
    <s v="ЛЗ"/>
    <s v="ПЗ"/>
    <s v="Сув"/>
    <s v="В.И."/>
    <s v="В.И."/>
    <x v="52"/>
    <x v="0"/>
    <m/>
    <n v="80"/>
    <n v="65"/>
    <n v="81"/>
    <n v="86"/>
    <n v="85"/>
    <n v="85"/>
    <n v="85"/>
    <n v="73"/>
    <n v="27"/>
    <n v="16106128"/>
    <n v="1342177.3333333333"/>
    <n v="0"/>
  </r>
  <r>
    <s v="Джердяк"/>
    <s v="Н"/>
    <s v="ЦН"/>
    <s v="АПЗ"/>
    <s v="ОФ"/>
    <s v="Зар"/>
    <s v="Зар"/>
    <s v="Зар"/>
    <x v="52"/>
    <x v="0"/>
    <m/>
    <n v="85.571428571428569"/>
    <n v="76"/>
    <n v="75"/>
    <n v="95"/>
    <n v="85"/>
    <n v="92"/>
    <n v="96"/>
    <n v="80"/>
    <n v="6"/>
    <n v="31577598"/>
    <n v="2631466.5"/>
    <n v="0"/>
  </r>
  <r>
    <s v="Ирен"/>
    <s v="Н"/>
    <s v="ЦН"/>
    <s v="АПЗ"/>
    <m/>
    <s v="Нумб"/>
    <s v="В.И."/>
    <s v="В.И."/>
    <x v="52"/>
    <x v="0"/>
    <m/>
    <n v="79.571428571428569"/>
    <n v="70"/>
    <n v="84"/>
    <n v="85"/>
    <n v="82"/>
    <n v="78"/>
    <n v="86"/>
    <n v="72"/>
    <n v="12"/>
    <n v="15263806"/>
    <n v="1271983.8333333333"/>
    <n v="0"/>
  </r>
  <r>
    <s v="Рейдар"/>
    <s v="Н"/>
    <s v="ОФ"/>
    <s v="АПЗ"/>
    <s v="ЦН"/>
    <s v="В.И."/>
    <s v="Лион"/>
    <s v="Лион"/>
    <x v="52"/>
    <x v="0"/>
    <m/>
    <n v="88.571428571428569"/>
    <n v="90"/>
    <n v="93"/>
    <n v="90"/>
    <n v="91"/>
    <n v="82"/>
    <n v="84"/>
    <n v="90"/>
    <n v="7"/>
    <n v="44568473"/>
    <n v="3714039.4166666665"/>
    <n v="0"/>
  </r>
  <r>
    <s v="Алмазын"/>
    <s v="П"/>
    <s v="АПЗ"/>
    <s v="ЛПЗ"/>
    <s v="ППЗ"/>
    <s v="Нал"/>
    <s v="Нал"/>
    <s v="Нал"/>
    <x v="52"/>
    <x v="0"/>
    <m/>
    <n v="89.571428571428569"/>
    <n v="89"/>
    <n v="86"/>
    <n v="94"/>
    <n v="90"/>
    <n v="87"/>
    <n v="91"/>
    <n v="90"/>
    <n v="17"/>
    <n v="49863903"/>
    <n v="4155325.25"/>
    <n v="0"/>
  </r>
  <r>
    <s v="Анхерт"/>
    <s v="П"/>
    <s v="ЦПЗ"/>
    <s v="ППЗ"/>
    <m/>
    <s v="С.С."/>
    <s v="С.С."/>
    <s v="С.С."/>
    <x v="52"/>
    <x v="0"/>
    <m/>
    <n v="88.571428571428569"/>
    <n v="90"/>
    <n v="86"/>
    <n v="95"/>
    <n v="90"/>
    <n v="85"/>
    <n v="85"/>
    <n v="89"/>
    <n v="17"/>
    <n v="44568473"/>
    <n v="3714039.4166666665"/>
    <n v="0"/>
  </r>
  <r>
    <s v="Гаджи"/>
    <s v="П"/>
    <s v="ОПЗ"/>
    <s v="ЦЗ"/>
    <m/>
    <s v="Мал"/>
    <s v="В.И."/>
    <s v="В.И."/>
    <x v="52"/>
    <x v="0"/>
    <m/>
    <n v="89.857142857142861"/>
    <n v="92"/>
    <n v="91"/>
    <n v="89"/>
    <n v="90"/>
    <n v="98"/>
    <n v="86"/>
    <n v="83"/>
    <n v="11"/>
    <n v="51477485"/>
    <n v="4289790.416666667"/>
    <n v="0"/>
  </r>
  <r>
    <s v="Кульчинский (П)"/>
    <s v="П"/>
    <s v="АПЗ"/>
    <s v="ППЗ"/>
    <s v="ЛПЗ"/>
    <s v="Б.Л."/>
    <s v="Б.Л."/>
    <s v="Б.Л."/>
    <x v="52"/>
    <x v="0"/>
    <m/>
    <n v="87.428571428571431"/>
    <n v="80"/>
    <n v="83"/>
    <n v="94"/>
    <n v="92"/>
    <n v="87"/>
    <n v="89"/>
    <n v="87"/>
    <n v="21"/>
    <n v="39140384"/>
    <n v="3261698.6666666665"/>
    <n v="0"/>
  </r>
  <r>
    <s v="Одоньера"/>
    <s v="П"/>
    <s v="АПЗ"/>
    <s v="ЛПЗ"/>
    <s v="ППЗ"/>
    <m/>
    <s v="В.И."/>
    <s v="В.И."/>
    <x v="52"/>
    <x v="0"/>
    <m/>
    <n v="75.857142857142861"/>
    <n v="50"/>
    <n v="91"/>
    <n v="76"/>
    <n v="85"/>
    <n v="75"/>
    <n v="83"/>
    <n v="71"/>
    <n v="22"/>
    <n v="9463594"/>
    <n v="788632.83333333337"/>
    <n v="0"/>
  </r>
  <r>
    <s v="Фистер"/>
    <s v="П"/>
    <s v="ЦПЗ"/>
    <s v="ОПЗ"/>
    <s v="ППЗ"/>
    <s v="В.И."/>
    <s v="В.И."/>
    <s v="В.И."/>
    <x v="52"/>
    <x v="0"/>
    <m/>
    <n v="91.571428571428569"/>
    <n v="90"/>
    <n v="84"/>
    <n v="99"/>
    <n v="93"/>
    <n v="90"/>
    <n v="95"/>
    <n v="90"/>
    <n v="21"/>
    <n v="62185790"/>
    <n v="5182149.166666667"/>
    <n v="0"/>
  </r>
  <r>
    <s v="Фостер"/>
    <s v="Т"/>
    <s v="Т"/>
    <m/>
    <m/>
    <m/>
    <s v="В.И."/>
    <s v="В.И."/>
    <x v="52"/>
    <x v="0"/>
    <m/>
    <n v="81.142857142857139"/>
    <n v="73"/>
    <n v="95"/>
    <n v="82"/>
    <n v="83"/>
    <n v="80"/>
    <n v="80"/>
    <n v="75"/>
    <n v="0"/>
    <n v="12373797"/>
    <n v="1031149.75"/>
    <n v="0"/>
  </r>
  <r>
    <s v="Дифенсус Секст"/>
    <s v="В"/>
    <s v="В"/>
    <m/>
    <m/>
    <m/>
    <s v="Орех"/>
    <s v="Орех"/>
    <x v="53"/>
    <x v="0"/>
    <m/>
    <n v="61.142857142857146"/>
    <n v="26"/>
    <n v="72"/>
    <n v="66"/>
    <n v="70"/>
    <n v="72"/>
    <n v="74"/>
    <n v="48"/>
    <n v="0"/>
    <n v="730226"/>
    <n v="60852.166666666664"/>
    <n v="0"/>
  </r>
  <r>
    <s v="Кондишенус Тит"/>
    <s v="В"/>
    <s v="В"/>
    <m/>
    <m/>
    <m/>
    <s v="Орех"/>
    <s v="Орех"/>
    <x v="53"/>
    <x v="0"/>
    <m/>
    <n v="63.142857142857146"/>
    <n v="28"/>
    <n v="74"/>
    <n v="68"/>
    <n v="72"/>
    <n v="74"/>
    <n v="76"/>
    <n v="50"/>
    <n v="0"/>
    <n v="1007494"/>
    <n v="83957.833333333328"/>
    <n v="0"/>
  </r>
  <r>
    <s v="Балансис Публий"/>
    <s v="З"/>
    <s v="ПЗ"/>
    <s v="ЦЗ"/>
    <m/>
    <m/>
    <s v="Орех"/>
    <s v="Орех"/>
    <x v="53"/>
    <x v="0"/>
    <m/>
    <n v="61"/>
    <n v="26"/>
    <n v="72"/>
    <n v="66"/>
    <n v="70"/>
    <n v="72"/>
    <n v="74"/>
    <n v="47"/>
    <n v="0"/>
    <n v="713343"/>
    <n v="59445.25"/>
    <n v="0"/>
  </r>
  <r>
    <s v="Ревенюм Гней"/>
    <s v="З"/>
    <s v="ЦЗ"/>
    <s v="ОПЗ"/>
    <m/>
    <m/>
    <s v="Орех"/>
    <s v="Орех"/>
    <x v="53"/>
    <x v="0"/>
    <m/>
    <n v="59.142857142857146"/>
    <n v="25"/>
    <n v="70"/>
    <n v="64"/>
    <n v="68"/>
    <n v="70"/>
    <n v="72"/>
    <n v="45"/>
    <n v="0"/>
    <n v="523629"/>
    <n v="43635.75"/>
    <n v="0"/>
  </r>
  <r>
    <s v="Теншн Децим"/>
    <s v="З"/>
    <s v="ПЗ"/>
    <s v="ЛЗ"/>
    <m/>
    <m/>
    <s v="Орех"/>
    <s v="Орех"/>
    <x v="53"/>
    <x v="0"/>
    <m/>
    <n v="57.857142857142854"/>
    <n v="24"/>
    <n v="68"/>
    <n v="63"/>
    <n v="67"/>
    <n v="69"/>
    <n v="71"/>
    <n v="43"/>
    <n v="0"/>
    <n v="420311"/>
    <n v="35025.916666666664"/>
    <n v="0"/>
  </r>
  <r>
    <s v="Фьючерус Марк"/>
    <s v="З"/>
    <s v="ЛЗ"/>
    <s v="ЦЗ"/>
    <m/>
    <m/>
    <s v="Орех"/>
    <s v="Орех"/>
    <x v="53"/>
    <x v="0"/>
    <m/>
    <n v="65.714285714285708"/>
    <n v="30"/>
    <n v="78"/>
    <n v="70"/>
    <n v="74"/>
    <n v="76"/>
    <n v="78"/>
    <n v="54"/>
    <n v="0"/>
    <n v="1501751"/>
    <n v="125145.91666666667"/>
    <n v="0"/>
  </r>
  <r>
    <s v="Эквитиус Квинт"/>
    <s v="З"/>
    <s v="ЦЗ"/>
    <s v="ЛЗ"/>
    <m/>
    <m/>
    <s v="Орех"/>
    <s v="Орех"/>
    <x v="53"/>
    <x v="0"/>
    <m/>
    <n v="67.571428571428569"/>
    <n v="31"/>
    <n v="80"/>
    <n v="72"/>
    <n v="76"/>
    <n v="78"/>
    <n v="80"/>
    <n v="56"/>
    <n v="0"/>
    <n v="1984409"/>
    <n v="165367.41666666666"/>
    <n v="0"/>
  </r>
  <r>
    <s v="Перформус Коммод"/>
    <s v="Н"/>
    <s v="ОФ"/>
    <s v="ЦН"/>
    <m/>
    <m/>
    <s v="Орех"/>
    <s v="Орех"/>
    <x v="53"/>
    <x v="0"/>
    <m/>
    <n v="65.142857142857139"/>
    <n v="29"/>
    <n v="76"/>
    <n v="70"/>
    <n v="74"/>
    <n v="76"/>
    <n v="78"/>
    <n v="53"/>
    <n v="0"/>
    <n v="1376158"/>
    <n v="114679.83333333333"/>
    <n v="0"/>
  </r>
  <r>
    <s v="Скалерус Пий"/>
    <s v="Н"/>
    <s v="ЦН"/>
    <s v="ОФ"/>
    <m/>
    <m/>
    <s v="Орех"/>
    <s v="Орех"/>
    <x v="53"/>
    <x v="0"/>
    <m/>
    <n v="72.571428571428569"/>
    <n v="36"/>
    <n v="86"/>
    <n v="78"/>
    <n v="80"/>
    <n v="82"/>
    <n v="84"/>
    <n v="62"/>
    <n v="0"/>
    <n v="4051882"/>
    <n v="337656.83333333331"/>
    <n v="0"/>
  </r>
  <r>
    <s v="Инпут Севе"/>
    <s v="П"/>
    <s v="ОПЗ"/>
    <s v="ЦПЗ"/>
    <m/>
    <m/>
    <s v="Орех"/>
    <s v="Орех"/>
    <x v="53"/>
    <x v="0"/>
    <m/>
    <n v="57.142857142857146"/>
    <n v="24"/>
    <n v="68"/>
    <n v="62"/>
    <n v="66"/>
    <n v="68"/>
    <n v="70"/>
    <n v="42"/>
    <n v="0"/>
    <n v="371210"/>
    <n v="30934.166666666668"/>
    <n v="0"/>
  </r>
  <r>
    <s v="Кейс Антонин"/>
    <s v="П"/>
    <s v="ЛПЗ"/>
    <s v="ОПЗ"/>
    <m/>
    <m/>
    <s v="Орех"/>
    <s v="Орех"/>
    <x v="53"/>
    <x v="0"/>
    <m/>
    <n v="56.142857142857146"/>
    <n v="23"/>
    <n v="67"/>
    <n v="61"/>
    <n v="65"/>
    <n v="67"/>
    <n v="69"/>
    <n v="41"/>
    <n v="0"/>
    <n v="311133"/>
    <n v="25927.75"/>
    <n v="0"/>
  </r>
  <r>
    <s v="Маттерс Нерва"/>
    <s v="П"/>
    <s v="ЦПЗ"/>
    <s v="ОПЗ"/>
    <m/>
    <m/>
    <s v="Орех"/>
    <s v="Орех"/>
    <x v="53"/>
    <x v="0"/>
    <m/>
    <n v="62.142857142857146"/>
    <n v="27"/>
    <n v="73"/>
    <n v="67"/>
    <n v="71"/>
    <n v="73"/>
    <n v="75"/>
    <n v="49"/>
    <n v="0"/>
    <n v="858840"/>
    <n v="71570"/>
    <n v="0"/>
  </r>
  <r>
    <s v="Меншен Луций"/>
    <s v="П"/>
    <s v="ОПЗ"/>
    <s v="ЦПЗ"/>
    <m/>
    <m/>
    <s v="Орех"/>
    <s v="Орех"/>
    <x v="53"/>
    <x v="0"/>
    <m/>
    <n v="60"/>
    <n v="25"/>
    <n v="71"/>
    <n v="65"/>
    <n v="69"/>
    <n v="71"/>
    <n v="73"/>
    <n v="46"/>
    <n v="0"/>
    <n v="604662"/>
    <n v="50388.5"/>
    <n v="0"/>
  </r>
  <r>
    <s v="Паттерн Аврелий"/>
    <s v="П"/>
    <s v="ППЗ"/>
    <s v="ЛПЗ"/>
    <m/>
    <m/>
    <s v="Орех"/>
    <s v="Орех"/>
    <x v="53"/>
    <x v="0"/>
    <m/>
    <n v="69"/>
    <n v="34"/>
    <n v="83"/>
    <n v="74"/>
    <n v="76"/>
    <n v="78"/>
    <n v="80"/>
    <n v="58"/>
    <n v="0"/>
    <n v="2446195"/>
    <n v="203849.58333333334"/>
    <n v="0"/>
  </r>
  <r>
    <s v="Пойнт Адриан"/>
    <s v="П"/>
    <s v="АПЗ"/>
    <s v="ЦПЗ"/>
    <m/>
    <m/>
    <s v="Орех"/>
    <s v="Орех"/>
    <x v="53"/>
    <x v="0"/>
    <m/>
    <n v="65"/>
    <n v="29"/>
    <n v="76"/>
    <n v="70"/>
    <n v="74"/>
    <n v="76"/>
    <n v="78"/>
    <n v="52"/>
    <n v="0"/>
    <n v="1346275"/>
    <n v="112189.58333333333"/>
    <n v="0"/>
  </r>
  <r>
    <s v="Регардус Марцелл"/>
    <s v="П"/>
    <s v="ППЗ"/>
    <s v="АПЗ"/>
    <m/>
    <m/>
    <s v="Орех"/>
    <s v="Орех"/>
    <x v="53"/>
    <x v="0"/>
    <m/>
    <n v="61"/>
    <n v="26"/>
    <n v="72"/>
    <n v="66"/>
    <n v="70"/>
    <n v="72"/>
    <n v="74"/>
    <n v="47"/>
    <n v="0"/>
    <n v="713343"/>
    <n v="59445.25"/>
    <n v="0"/>
  </r>
  <r>
    <s v="Стенд Гай"/>
    <s v="П"/>
    <s v="ОПЗ"/>
    <s v="ЦЗ"/>
    <m/>
    <m/>
    <s v="Орех"/>
    <s v="Орех"/>
    <x v="53"/>
    <x v="0"/>
    <m/>
    <n v="69.857142857142861"/>
    <n v="33"/>
    <n v="84"/>
    <n v="74"/>
    <n v="78"/>
    <n v="80"/>
    <n v="82"/>
    <n v="58"/>
    <n v="0"/>
    <n v="2767632"/>
    <n v="230636"/>
    <n v="0"/>
  </r>
  <r>
    <s v="Тарфория"/>
    <s v="П"/>
    <s v="АПЗ"/>
    <s v="ЛПЗ"/>
    <s v="ППЗ"/>
    <s v="Орех"/>
    <s v="Орех"/>
    <s v="Орех"/>
    <x v="53"/>
    <x v="0"/>
    <m/>
    <n v="64"/>
    <n v="40"/>
    <n v="76"/>
    <n v="62"/>
    <n v="68"/>
    <n v="60"/>
    <n v="60"/>
    <n v="82"/>
    <n v="0"/>
    <n v="1152922"/>
    <n v="96076.833333333328"/>
    <n v="0"/>
  </r>
  <r>
    <s v="Фортун Траян"/>
    <s v="П"/>
    <s v="ЦПЗ"/>
    <s v="ЛПЗ"/>
    <m/>
    <m/>
    <s v="Орех"/>
    <s v="Орех"/>
    <x v="53"/>
    <x v="0"/>
    <m/>
    <n v="58.142857142857146"/>
    <n v="24"/>
    <n v="69"/>
    <n v="63"/>
    <n v="67"/>
    <n v="69"/>
    <n v="71"/>
    <n v="44"/>
    <n v="0"/>
    <n v="441534"/>
    <n v="36794.5"/>
    <n v="0"/>
  </r>
  <r>
    <s v="Секьюран Авл"/>
    <s v="Т"/>
    <s v="Т"/>
    <m/>
    <m/>
    <m/>
    <s v="Орех"/>
    <s v="Орех"/>
    <x v="53"/>
    <x v="0"/>
    <m/>
    <n v="62.142857142857146"/>
    <n v="27"/>
    <n v="73"/>
    <n v="67"/>
    <n v="71"/>
    <n v="73"/>
    <n v="75"/>
    <n v="49"/>
    <n v="0"/>
    <n v="858840"/>
    <n v="71570"/>
    <n v="0"/>
  </r>
  <r>
    <s v="Брандвик Кайл"/>
    <s v="В"/>
    <s v="В"/>
    <m/>
    <m/>
    <m/>
    <s v="Лес"/>
    <s v="Лес"/>
    <x v="54"/>
    <x v="0"/>
    <m/>
    <n v="63"/>
    <n v="26"/>
    <n v="76"/>
    <n v="68"/>
    <n v="72"/>
    <n v="77"/>
    <n v="78"/>
    <n v="44"/>
    <n v="0"/>
    <n v="984931"/>
    <n v="82077.583333333328"/>
    <n v="0"/>
  </r>
  <r>
    <s v="Ларз (В)"/>
    <s v="В"/>
    <s v="В"/>
    <m/>
    <m/>
    <s v="Лес"/>
    <s v="Лес"/>
    <s v="Лес"/>
    <x v="54"/>
    <x v="0"/>
    <m/>
    <n v="69.857142857142861"/>
    <n v="51"/>
    <n v="93"/>
    <n v="70"/>
    <n v="60"/>
    <n v="75"/>
    <n v="75"/>
    <n v="65"/>
    <n v="29"/>
    <n v="4151447"/>
    <n v="345953.91666666669"/>
    <n v="0"/>
  </r>
  <r>
    <s v="Турви"/>
    <s v="В"/>
    <s v="В"/>
    <m/>
    <m/>
    <s v="Лес"/>
    <s v="Лес"/>
    <s v="Лес"/>
    <x v="54"/>
    <x v="0"/>
    <m/>
    <n v="60.142857142857146"/>
    <n v="38"/>
    <n v="67"/>
    <n v="43"/>
    <n v="83"/>
    <n v="66"/>
    <n v="64"/>
    <n v="60"/>
    <n v="0"/>
    <n v="619214"/>
    <n v="51601.166666666664"/>
    <n v="0"/>
  </r>
  <r>
    <s v="Вероник (З)"/>
    <s v="З"/>
    <s v="ЦЗ"/>
    <s v="ОПЗ"/>
    <m/>
    <s v="Лес"/>
    <s v="Лес"/>
    <s v="Лес"/>
    <x v="54"/>
    <x v="0"/>
    <m/>
    <n v="72.571428571428569"/>
    <n v="50"/>
    <n v="75"/>
    <n v="70"/>
    <n v="75"/>
    <n v="80"/>
    <n v="83"/>
    <n v="75"/>
    <n v="26"/>
    <n v="6077823"/>
    <n v="506485.25"/>
    <n v="0"/>
  </r>
  <r>
    <s v="Громлик Пауль"/>
    <s v="З"/>
    <s v="ЦЗ"/>
    <s v="ЛЗ"/>
    <m/>
    <s v="Лес"/>
    <s v="Лес"/>
    <s v="Лес"/>
    <x v="54"/>
    <x v="0"/>
    <m/>
    <n v="65.714285714285708"/>
    <n v="29"/>
    <n v="72"/>
    <n v="71"/>
    <n v="76"/>
    <n v="82"/>
    <n v="84"/>
    <n v="46"/>
    <n v="0"/>
    <n v="1501751"/>
    <n v="125145.91666666667"/>
    <n v="0"/>
  </r>
  <r>
    <s v="Домент Лука"/>
    <s v="З"/>
    <s v="ЦЗ"/>
    <s v="ПЗ"/>
    <m/>
    <m/>
    <s v="Лес"/>
    <s v="Лес"/>
    <x v="54"/>
    <x v="0"/>
    <m/>
    <n v="61.571428571428569"/>
    <n v="25"/>
    <n v="69"/>
    <n v="64"/>
    <n v="73"/>
    <n v="79"/>
    <n v="82"/>
    <n v="39"/>
    <n v="0"/>
    <n v="783056"/>
    <n v="65254.666666666664"/>
    <n v="0"/>
  </r>
  <r>
    <s v="Крэш"/>
    <s v="З"/>
    <s v="ЦЗ"/>
    <s v="ОПЗ"/>
    <m/>
    <s v="Лес"/>
    <s v="Лес"/>
    <s v="Лес"/>
    <x v="54"/>
    <x v="0"/>
    <m/>
    <n v="70.285714285714292"/>
    <n v="40"/>
    <n v="70"/>
    <n v="80"/>
    <n v="67"/>
    <n v="84"/>
    <n v="86"/>
    <n v="65"/>
    <n v="27"/>
    <n v="4413285"/>
    <n v="367773.75"/>
    <n v="0"/>
  </r>
  <r>
    <s v="Мормент"/>
    <s v="З"/>
    <s v="ЦЗ"/>
    <s v="ПЗ"/>
    <m/>
    <s v="Лес"/>
    <s v="Лес"/>
    <s v="Лес"/>
    <x v="54"/>
    <x v="0"/>
    <m/>
    <n v="70.285714285714292"/>
    <n v="42"/>
    <n v="70"/>
    <n v="78"/>
    <n v="70"/>
    <n v="81"/>
    <n v="83"/>
    <n v="68"/>
    <n v="0"/>
    <n v="2942190"/>
    <n v="245182.5"/>
    <n v="0"/>
  </r>
  <r>
    <s v="Стокли Ральф"/>
    <s v="З"/>
    <s v="ЦЗ"/>
    <s v="ОПЗ"/>
    <m/>
    <m/>
    <s v="Лес"/>
    <s v="Лес"/>
    <x v="54"/>
    <x v="0"/>
    <m/>
    <n v="57.142857142857146"/>
    <n v="21"/>
    <n v="63"/>
    <n v="60"/>
    <n v="69"/>
    <n v="75"/>
    <n v="79"/>
    <n v="33"/>
    <n v="0"/>
    <n v="371210"/>
    <n v="30934.166666666668"/>
    <n v="0"/>
  </r>
  <r>
    <s v="Толли"/>
    <s v="З"/>
    <s v="ЦЗ"/>
    <s v="ПЗ"/>
    <m/>
    <s v="Лес"/>
    <s v="Лес"/>
    <s v="Лес"/>
    <x v="54"/>
    <x v="0"/>
    <m/>
    <n v="65.428571428571431"/>
    <n v="38"/>
    <n v="65"/>
    <n v="74"/>
    <n v="65"/>
    <n v="78"/>
    <n v="80"/>
    <n v="58"/>
    <n v="0"/>
    <n v="1437721"/>
    <n v="119810.08333333333"/>
    <n v="0"/>
  </r>
  <r>
    <s v="Уйтант"/>
    <s v="З"/>
    <s v="ЦЗ"/>
    <m/>
    <m/>
    <s v="Лес"/>
    <s v="Лес"/>
    <s v="Лес"/>
    <x v="54"/>
    <x v="0"/>
    <m/>
    <n v="59.428571428571431"/>
    <n v="20"/>
    <n v="58"/>
    <n v="70"/>
    <n v="62"/>
    <n v="84"/>
    <n v="78"/>
    <n v="44"/>
    <n v="0"/>
    <n v="549482"/>
    <n v="45790.166666666664"/>
    <n v="0"/>
  </r>
  <r>
    <s v="Флэшер Тим"/>
    <s v="З"/>
    <s v="ЦЗ"/>
    <s v="ПЗ"/>
    <m/>
    <m/>
    <s v="Лес"/>
    <s v="Лес"/>
    <x v="54"/>
    <x v="0"/>
    <m/>
    <n v="53.285714285714285"/>
    <n v="20"/>
    <n v="56"/>
    <n v="55"/>
    <n v="64"/>
    <n v="70"/>
    <n v="77"/>
    <n v="31"/>
    <n v="0"/>
    <n v="184548"/>
    <n v="15379"/>
    <n v="0"/>
  </r>
  <r>
    <s v="Бальминтер"/>
    <s v="Н"/>
    <s v="ЦН"/>
    <s v="АПЗ"/>
    <m/>
    <s v="Лес"/>
    <s v="Лес"/>
    <s v="Лес"/>
    <x v="54"/>
    <x v="0"/>
    <m/>
    <n v="70"/>
    <n v="44"/>
    <n v="70"/>
    <n v="74"/>
    <n v="70"/>
    <n v="81"/>
    <n v="88"/>
    <n v="63"/>
    <n v="0"/>
    <n v="2824753"/>
    <n v="235396.08333333334"/>
    <n v="0"/>
  </r>
  <r>
    <s v="Вертуни Рауль"/>
    <s v="Н"/>
    <s v="ЦН"/>
    <m/>
    <m/>
    <s v="Лес"/>
    <s v="Лес"/>
    <s v="Лес"/>
    <x v="54"/>
    <x v="0"/>
    <m/>
    <n v="66.571428571428569"/>
    <n v="28"/>
    <n v="75"/>
    <n v="77"/>
    <n v="74"/>
    <n v="81"/>
    <n v="86"/>
    <n v="45"/>
    <n v="0"/>
    <n v="1709539"/>
    <n v="142461.58333333334"/>
    <n v="0"/>
  </r>
  <r>
    <s v="Столлант Йенс"/>
    <s v="Н"/>
    <s v="ЦН"/>
    <s v="АПЗ"/>
    <m/>
    <s v="Лес"/>
    <s v="Лес"/>
    <s v="Лес"/>
    <x v="54"/>
    <x v="0"/>
    <m/>
    <n v="66.571428571428569"/>
    <n v="28"/>
    <n v="75"/>
    <n v="77"/>
    <n v="74"/>
    <n v="81"/>
    <n v="86"/>
    <n v="45"/>
    <n v="0"/>
    <n v="1709539"/>
    <n v="142461.58333333334"/>
    <n v="0"/>
  </r>
  <r>
    <s v="Тормуни (Н)"/>
    <s v="Н"/>
    <s v="ЦН"/>
    <s v="АПЗ"/>
    <m/>
    <s v="Лес"/>
    <s v="Лес"/>
    <s v="Лес"/>
    <x v="54"/>
    <x v="0"/>
    <m/>
    <n v="75.428571428571431"/>
    <n v="60"/>
    <n v="77"/>
    <n v="79"/>
    <n v="74"/>
    <n v="82"/>
    <n v="86"/>
    <n v="70"/>
    <n v="0"/>
    <n v="5961545"/>
    <n v="496795.41666666669"/>
    <n v="0"/>
  </r>
  <r>
    <s v="Гравейсер Кеси"/>
    <s v="П"/>
    <s v="ЛПЗ"/>
    <s v="ОПЗ"/>
    <m/>
    <m/>
    <s v="Лес"/>
    <s v="Лес"/>
    <x v="54"/>
    <x v="0"/>
    <m/>
    <n v="59.142857142857146"/>
    <n v="20"/>
    <n v="85"/>
    <n v="66"/>
    <n v="70"/>
    <n v="71"/>
    <n v="72"/>
    <n v="30"/>
    <n v="0"/>
    <n v="523629"/>
    <n v="43635.75"/>
    <n v="0"/>
  </r>
  <r>
    <s v="Кеси"/>
    <s v="П"/>
    <s v="ЛПЗ"/>
    <s v="ОПЗ"/>
    <s v="ППЗ"/>
    <s v="Лес"/>
    <s v="Лес"/>
    <s v="Лес"/>
    <x v="54"/>
    <x v="0"/>
    <m/>
    <n v="67.285714285714292"/>
    <n v="42"/>
    <n v="88"/>
    <n v="73"/>
    <n v="72"/>
    <n v="74"/>
    <n v="70"/>
    <n v="52"/>
    <n v="23"/>
    <n v="2853120"/>
    <n v="237760"/>
    <n v="0"/>
  </r>
  <r>
    <s v="Оттоман"/>
    <s v="П"/>
    <s v="ОПЗ"/>
    <s v="ЦПЗ"/>
    <m/>
    <s v="Лес"/>
    <s v="Лес"/>
    <s v="Лес"/>
    <x v="54"/>
    <x v="0"/>
    <m/>
    <n v="77.285714285714292"/>
    <n v="60"/>
    <n v="75"/>
    <n v="84"/>
    <n v="77"/>
    <n v="86"/>
    <n v="93"/>
    <n v="66"/>
    <n v="18"/>
    <n v="11404691"/>
    <n v="950390.91666666663"/>
    <n v="0"/>
  </r>
  <r>
    <s v="Сайсер"/>
    <s v="П"/>
    <s v="АПЗ"/>
    <s v="ППЗ"/>
    <m/>
    <s v="Лес"/>
    <s v="Лес"/>
    <s v="Лес"/>
    <x v="54"/>
    <x v="0"/>
    <m/>
    <n v="64.428571428571431"/>
    <n v="40"/>
    <n v="71"/>
    <n v="74"/>
    <n v="71"/>
    <n v="73"/>
    <n v="73"/>
    <n v="49"/>
    <n v="0"/>
    <n v="1232495"/>
    <n v="102707.91666666667"/>
    <n v="0"/>
  </r>
  <r>
    <s v="Хейлбеорн"/>
    <s v="П"/>
    <s v="ОПЗ"/>
    <m/>
    <m/>
    <s v="Лес"/>
    <s v="Лес"/>
    <s v="Лес"/>
    <x v="54"/>
    <x v="0"/>
    <m/>
    <n v="74.714285714285708"/>
    <n v="41"/>
    <n v="78"/>
    <n v="85"/>
    <n v="74"/>
    <n v="85"/>
    <n v="90"/>
    <n v="70"/>
    <n v="18"/>
    <n v="8130697"/>
    <n v="677558.08333333337"/>
    <n v="0"/>
  </r>
  <r>
    <s v="Холлинтер Поль"/>
    <s v="П"/>
    <s v="ОПЗ"/>
    <s v="ЦПЗ"/>
    <m/>
    <m/>
    <s v="Лес"/>
    <s v="Лес"/>
    <x v="54"/>
    <x v="0"/>
    <m/>
    <n v="64.571428571428569"/>
    <n v="27"/>
    <n v="73"/>
    <n v="75"/>
    <n v="78"/>
    <n v="77"/>
    <n v="79"/>
    <n v="43"/>
    <n v="0"/>
    <n v="1260097"/>
    <n v="105008.08333333333"/>
    <n v="0"/>
  </r>
  <r>
    <s v="Цайпилле"/>
    <s v="П"/>
    <s v="ОПЗ"/>
    <m/>
    <m/>
    <s v="Лес"/>
    <s v="Лес"/>
    <s v="Лес"/>
    <x v="54"/>
    <x v="0"/>
    <m/>
    <n v="64.571428571428569"/>
    <n v="35"/>
    <n v="70"/>
    <n v="74"/>
    <n v="72"/>
    <n v="74"/>
    <n v="76"/>
    <n v="51"/>
    <n v="0"/>
    <n v="1260097"/>
    <n v="105008.08333333333"/>
    <n v="0"/>
  </r>
  <r>
    <s v="Торнвелл Марк"/>
    <s v="Т"/>
    <s v="Т"/>
    <m/>
    <m/>
    <m/>
    <s v="Лес"/>
    <s v="Лес"/>
    <x v="54"/>
    <x v="0"/>
    <m/>
    <n v="60.285714285714285"/>
    <n v="24"/>
    <n v="70"/>
    <n v="68"/>
    <n v="74"/>
    <n v="73"/>
    <n v="76"/>
    <n v="37"/>
    <n v="0"/>
    <n v="634081"/>
    <n v="52840.083333333336"/>
    <n v="0"/>
  </r>
  <r>
    <s v="Полмест"/>
    <s v="В"/>
    <s v="В"/>
    <m/>
    <m/>
    <s v="Ч.Л."/>
    <s v="Ч.Л."/>
    <s v="Ч.Л."/>
    <x v="55"/>
    <x v="0"/>
    <m/>
    <n v="64.142857142857139"/>
    <n v="32"/>
    <n v="60"/>
    <n v="61"/>
    <n v="63"/>
    <n v="86"/>
    <n v="77"/>
    <n v="70"/>
    <n v="0"/>
    <n v="1178917"/>
    <n v="98243.083333333328"/>
    <n v="0"/>
  </r>
  <r>
    <s v="Хартманн Курт"/>
    <s v="В"/>
    <s v="В"/>
    <m/>
    <m/>
    <m/>
    <s v="В.И."/>
    <s v="В.И."/>
    <x v="55"/>
    <x v="0"/>
    <m/>
    <n v="67.571428571428569"/>
    <n v="28"/>
    <n v="78"/>
    <n v="74"/>
    <n v="80"/>
    <n v="83"/>
    <n v="84"/>
    <n v="46"/>
    <n v="0"/>
    <n v="1984409"/>
    <n v="165367.41666666666"/>
    <n v="0"/>
  </r>
  <r>
    <s v="Булиант"/>
    <s v="З"/>
    <s v="ЦЗ"/>
    <s v="ЛЗ"/>
    <m/>
    <s v="Нумб"/>
    <s v="Нумб"/>
    <s v="Нумб"/>
    <x v="55"/>
    <x v="0"/>
    <m/>
    <n v="63.857142857142854"/>
    <n v="32"/>
    <n v="62"/>
    <n v="79"/>
    <n v="65"/>
    <n v="71"/>
    <n v="87"/>
    <n v="51"/>
    <n v="0"/>
    <n v="1127444"/>
    <n v="93953.666666666672"/>
    <n v="0"/>
  </r>
  <r>
    <s v="Верникель Ханс"/>
    <s v="З"/>
    <s v="ЦЗ"/>
    <s v="ПЗ"/>
    <m/>
    <m/>
    <s v="В.И."/>
    <s v="В.И."/>
    <x v="55"/>
    <x v="0"/>
    <m/>
    <n v="70"/>
    <n v="29"/>
    <n v="80"/>
    <n v="72"/>
    <n v="85"/>
    <n v="87"/>
    <n v="88"/>
    <n v="49"/>
    <n v="0"/>
    <n v="2824753"/>
    <n v="235396.08333333334"/>
    <n v="0"/>
  </r>
  <r>
    <s v="Драгун Милош"/>
    <s v="З"/>
    <s v="ЦЗ"/>
    <s v="ОПЗ"/>
    <m/>
    <m/>
    <s v="В.И."/>
    <s v="В.И."/>
    <x v="55"/>
    <x v="0"/>
    <m/>
    <n v="62.428571428571431"/>
    <n v="23"/>
    <n v="70"/>
    <n v="66"/>
    <n v="76"/>
    <n v="80"/>
    <n v="84"/>
    <n v="38"/>
    <n v="0"/>
    <n v="899154"/>
    <n v="74929.5"/>
    <n v="0"/>
  </r>
  <r>
    <s v="Зоо-Лии Эх"/>
    <s v="З"/>
    <s v="ЦЗ"/>
    <m/>
    <m/>
    <m/>
    <s v="В.И."/>
    <s v="В.И."/>
    <x v="55"/>
    <x v="0"/>
    <m/>
    <n v="69.142857142857139"/>
    <n v="40"/>
    <n v="80"/>
    <n v="77"/>
    <n v="70"/>
    <n v="75"/>
    <n v="82"/>
    <n v="60"/>
    <n v="0"/>
    <n v="2497315"/>
    <n v="32516.166666666668"/>
    <n v="0"/>
  </r>
  <r>
    <s v="Зогер"/>
    <s v="З"/>
    <s v="ПЗ"/>
    <m/>
    <m/>
    <s v="Генуа"/>
    <s v="Генуа"/>
    <s v="Генуа"/>
    <x v="55"/>
    <x v="0"/>
    <m/>
    <n v="71.571428571428569"/>
    <n v="58"/>
    <n v="78"/>
    <n v="78"/>
    <n v="72"/>
    <n v="76"/>
    <n v="74"/>
    <n v="65"/>
    <n v="0"/>
    <n v="3526931"/>
    <n v="293910.91666666669"/>
    <n v="0"/>
  </r>
  <r>
    <s v="Колзон Наберхт"/>
    <s v="З"/>
    <s v="ЦЗ"/>
    <s v="ЛЗ"/>
    <m/>
    <m/>
    <s v="В.И."/>
    <s v="В.И."/>
    <x v="55"/>
    <x v="0"/>
    <m/>
    <n v="65.428571428571431"/>
    <n v="26"/>
    <n v="75"/>
    <n v="67"/>
    <n v="79"/>
    <n v="83"/>
    <n v="86"/>
    <n v="42"/>
    <n v="0"/>
    <n v="1437721"/>
    <n v="119810.08333333333"/>
    <n v="0"/>
  </r>
  <r>
    <s v="Морзул"/>
    <s v="З"/>
    <s v="ЦЗ"/>
    <s v="ОПЗ"/>
    <m/>
    <s v="Биссий"/>
    <s v="Биссий"/>
    <s v="Биссий"/>
    <x v="55"/>
    <x v="0"/>
    <m/>
    <n v="60.857142857142854"/>
    <n v="41"/>
    <n v="66"/>
    <n v="68"/>
    <n v="65"/>
    <n v="87"/>
    <n v="67"/>
    <n v="32"/>
    <n v="0"/>
    <n v="696812"/>
    <n v="58067.666666666664"/>
    <n v="0"/>
  </r>
  <r>
    <s v="Терси"/>
    <s v="З"/>
    <s v="ЦЗ"/>
    <s v="ЛЗ"/>
    <m/>
    <s v="Нумб"/>
    <s v="Нумб"/>
    <s v="Нумб"/>
    <x v="55"/>
    <x v="0"/>
    <m/>
    <n v="65.714285714285708"/>
    <n v="34"/>
    <n v="65"/>
    <n v="78"/>
    <n v="63"/>
    <n v="74"/>
    <n v="93"/>
    <n v="53"/>
    <n v="0"/>
    <n v="1501751"/>
    <n v="125145.91666666667"/>
    <n v="0"/>
  </r>
  <r>
    <s v="Блеккенд"/>
    <s v="Н"/>
    <s v="ЦН"/>
    <s v="ОФ"/>
    <m/>
    <s v="Черлесск"/>
    <s v="Черлесск"/>
    <s v="Черлесск"/>
    <x v="55"/>
    <x v="0"/>
    <m/>
    <n v="72.571428571428569"/>
    <n v="50"/>
    <n v="81"/>
    <n v="80"/>
    <n v="65"/>
    <n v="78"/>
    <n v="90"/>
    <n v="64"/>
    <n v="0"/>
    <n v="4051882"/>
    <n v="337656.83333333331"/>
    <n v="0"/>
  </r>
  <r>
    <s v="Джалиос (Н)"/>
    <s v="Н"/>
    <s v="ОФ"/>
    <m/>
    <m/>
    <s v="Нумб"/>
    <s v="В.И."/>
    <s v="В.И."/>
    <x v="55"/>
    <x v="0"/>
    <m/>
    <n v="76.142857142857139"/>
    <n v="65"/>
    <n v="90"/>
    <n v="78"/>
    <n v="80"/>
    <n v="75"/>
    <n v="75"/>
    <n v="70"/>
    <n v="12"/>
    <n v="9826141"/>
    <n v="818845.08333333337"/>
    <n v="0"/>
  </r>
  <r>
    <s v="Инфиньер"/>
    <s v="Н"/>
    <s v="ЦН"/>
    <s v="ОФ"/>
    <m/>
    <s v="Снег"/>
    <s v="Снег"/>
    <s v="Снег"/>
    <x v="55"/>
    <x v="0"/>
    <m/>
    <n v="79.714285714285708"/>
    <n v="73"/>
    <n v="89"/>
    <n v="85"/>
    <n v="73"/>
    <n v="77"/>
    <n v="81"/>
    <n v="80"/>
    <n v="12"/>
    <n v="15540066"/>
    <n v="1295005.5"/>
    <n v="0"/>
  </r>
  <r>
    <s v="Кинурине (Н)"/>
    <s v="Н"/>
    <s v="ЦН"/>
    <s v="АПЗ"/>
    <m/>
    <s v="Снег"/>
    <s v="Снег"/>
    <s v="Снег"/>
    <x v="55"/>
    <x v="0"/>
    <m/>
    <n v="77.285714285714292"/>
    <n v="70"/>
    <n v="83"/>
    <n v="90"/>
    <n v="71"/>
    <n v="73"/>
    <n v="80"/>
    <n v="74"/>
    <n v="12"/>
    <n v="11404691"/>
    <n v="950390.91666666663"/>
    <n v="0"/>
  </r>
  <r>
    <s v="Феелис Ланье"/>
    <s v="Н"/>
    <s v="ЦН"/>
    <s v="ОФ"/>
    <m/>
    <m/>
    <s v="В.И."/>
    <s v="В.И."/>
    <x v="55"/>
    <x v="0"/>
    <m/>
    <n v="72.142857142857139"/>
    <n v="30"/>
    <n v="84"/>
    <n v="82"/>
    <n v="83"/>
    <n v="87"/>
    <n v="91"/>
    <n v="48"/>
    <n v="0"/>
    <n v="3818857"/>
    <n v="318238.08333333331"/>
    <n v="0"/>
  </r>
  <r>
    <s v="Бьянки Паоло"/>
    <s v="П"/>
    <s v="ППЗ"/>
    <s v="АПЗ"/>
    <m/>
    <m/>
    <s v="В.И."/>
    <s v="В.И."/>
    <x v="55"/>
    <x v="0"/>
    <m/>
    <n v="65.571428571428569"/>
    <n v="27"/>
    <n v="82"/>
    <n v="70"/>
    <n v="77"/>
    <n v="80"/>
    <n v="79"/>
    <n v="44"/>
    <n v="0"/>
    <n v="1469422"/>
    <n v="122451.83333333333"/>
    <n v="0"/>
  </r>
  <r>
    <s v="Дюгас Тон"/>
    <s v="П"/>
    <s v="ЦПЗ"/>
    <s v="ОПЗ"/>
    <m/>
    <m/>
    <s v="В.И."/>
    <s v="В.И."/>
    <x v="55"/>
    <x v="0"/>
    <m/>
    <n v="58.285714285714285"/>
    <n v="22"/>
    <n v="68"/>
    <n v="61"/>
    <n v="75"/>
    <n v="72"/>
    <n v="77"/>
    <n v="33"/>
    <n v="0"/>
    <n v="452503"/>
    <n v="37708.583333333336"/>
    <n v="0"/>
  </r>
  <r>
    <s v="Марк Лютер"/>
    <s v="П"/>
    <s v="ЛПЗ"/>
    <s v="АПЗ"/>
    <s v="ОПЗ"/>
    <s v="В.И."/>
    <s v="В.И."/>
    <s v="В.И."/>
    <x v="55"/>
    <x v="0"/>
    <m/>
    <n v="83.428571428571431"/>
    <n v="72"/>
    <n v="88"/>
    <n v="86"/>
    <n v="85"/>
    <n v="82"/>
    <n v="88"/>
    <n v="83"/>
    <n v="12"/>
    <n v="24504133"/>
    <n v="2042011.0833333333"/>
    <n v="0"/>
  </r>
  <r>
    <s v="Штормов Александр"/>
    <s v="П"/>
    <s v="ЛПЗ"/>
    <s v="ОПЗ"/>
    <m/>
    <m/>
    <s v="В.И."/>
    <s v="В.И."/>
    <x v="55"/>
    <x v="0"/>
    <m/>
    <n v="61.285714285714285"/>
    <n v="24"/>
    <n v="74"/>
    <n v="65"/>
    <n v="76"/>
    <n v="73"/>
    <n v="78"/>
    <n v="39"/>
    <n v="0"/>
    <n v="747468"/>
    <n v="62289"/>
    <n v="0"/>
  </r>
  <r>
    <s v="Сордин Сординанд"/>
    <s v="П"/>
    <s v="ОПЗ"/>
    <s v="ЦЗ"/>
    <m/>
    <m/>
    <s v="В.И."/>
    <s v="В.И."/>
    <x v="55"/>
    <x v="0"/>
    <m/>
    <n v="68.571428571428569"/>
    <n v="29"/>
    <n v="81"/>
    <n v="73"/>
    <n v="86"/>
    <n v="82"/>
    <n v="84"/>
    <n v="45"/>
    <n v="0"/>
    <n v="2298434"/>
    <n v="191536.16666666666"/>
    <n v="0"/>
  </r>
  <r>
    <s v="Тонлига"/>
    <s v="П"/>
    <s v="ОПЗ"/>
    <m/>
    <m/>
    <s v="Нумб"/>
    <s v="Нумб"/>
    <s v="Нумб"/>
    <x v="55"/>
    <x v="0"/>
    <m/>
    <n v="55.571428571428569"/>
    <n v="20"/>
    <n v="63"/>
    <n v="55"/>
    <n v="61"/>
    <n v="63"/>
    <n v="72"/>
    <n v="55"/>
    <n v="0"/>
    <n v="280877"/>
    <n v="23406.416666666668"/>
    <n v="0"/>
  </r>
  <r>
    <s v="Уйкант"/>
    <s v="П"/>
    <s v="ОПЗ"/>
    <m/>
    <m/>
    <s v="Лес"/>
    <s v="Лес"/>
    <s v="Лес"/>
    <x v="55"/>
    <x v="0"/>
    <m/>
    <n v="71.857142857142861"/>
    <n v="40"/>
    <n v="76"/>
    <n v="82"/>
    <n v="73"/>
    <n v="86"/>
    <n v="90"/>
    <n v="56"/>
    <n v="18"/>
    <n v="5505424"/>
    <n v="458785.33333333331"/>
    <n v="0"/>
  </r>
  <r>
    <s v="Горышев Буулин"/>
    <s v="Т"/>
    <s v="Т"/>
    <m/>
    <m/>
    <m/>
    <s v="В.И."/>
    <s v="В.И."/>
    <x v="55"/>
    <x v="0"/>
    <m/>
    <n v="65.142857142857139"/>
    <n v="25"/>
    <n v="77"/>
    <n v="72"/>
    <n v="81"/>
    <n v="79"/>
    <n v="82"/>
    <n v="40"/>
    <n v="0"/>
    <n v="1376158"/>
    <n v="114679.83333333333"/>
    <n v="0"/>
  </r>
  <r>
    <s v="Пападопус Никос"/>
    <s v="В"/>
    <s v="В"/>
    <m/>
    <m/>
    <m/>
    <s v="А.Н."/>
    <s v="А.Н."/>
    <x v="56"/>
    <x v="0"/>
    <m/>
    <n v="49.428571428571431"/>
    <n v="10"/>
    <n v="56"/>
    <n v="52"/>
    <n v="64"/>
    <n v="70"/>
    <n v="72"/>
    <n v="22"/>
    <n v="0"/>
    <n v="87053"/>
    <n v="7254.416666666667"/>
    <n v="0"/>
  </r>
  <r>
    <s v="Бенки"/>
    <s v="З"/>
    <s v="ЦЗ"/>
    <m/>
    <m/>
    <s v="Зел.Хол"/>
    <s v="Зел.Хол"/>
    <s v="Зел.Хол"/>
    <x v="56"/>
    <x v="0"/>
    <m/>
    <n v="52.428571428571431"/>
    <n v="36"/>
    <n v="41"/>
    <n v="76"/>
    <n v="57"/>
    <n v="70"/>
    <n v="57"/>
    <n v="30"/>
    <n v="0"/>
    <n v="156921"/>
    <n v="13076.75"/>
    <n v="0"/>
  </r>
  <r>
    <s v="Дюгуар Перни"/>
    <s v="З"/>
    <s v="ЛЗ"/>
    <s v="ЦЗ"/>
    <m/>
    <m/>
    <s v="А.Н."/>
    <s v="А.Н."/>
    <x v="56"/>
    <x v="0"/>
    <m/>
    <n v="54.142857142857146"/>
    <n v="15"/>
    <n v="68"/>
    <n v="62"/>
    <n v="70"/>
    <n v="68"/>
    <n v="70"/>
    <n v="26"/>
    <n v="0"/>
    <n v="216477"/>
    <n v="18039.75"/>
    <n v="0"/>
  </r>
  <r>
    <s v="Лер Монто"/>
    <s v="З"/>
    <s v="ЛЗ"/>
    <s v="ПЗ"/>
    <s v="ЦЗ"/>
    <s v="А.Н."/>
    <s v="А.Н."/>
    <s v="А.Н."/>
    <x v="56"/>
    <x v="0"/>
    <m/>
    <n v="80.714285714285708"/>
    <n v="70"/>
    <n v="95"/>
    <n v="81"/>
    <n v="90"/>
    <n v="80"/>
    <n v="64"/>
    <n v="85"/>
    <n v="27"/>
    <n v="17603351"/>
    <n v="1466945.9166666667"/>
    <n v="0"/>
  </r>
  <r>
    <s v="Мюллер Ханс"/>
    <s v="З"/>
    <s v="ПЗ"/>
    <s v="ЦЗ"/>
    <m/>
    <m/>
    <s v="А.Н."/>
    <s v="А.Н."/>
    <x v="56"/>
    <x v="0"/>
    <m/>
    <n v="60.571428571428569"/>
    <n v="33"/>
    <n v="66"/>
    <n v="52"/>
    <n v="70"/>
    <n v="80"/>
    <n v="88"/>
    <n v="35"/>
    <n v="26"/>
    <n v="997171"/>
    <n v="83097.583333333328"/>
    <n v="0"/>
  </r>
  <r>
    <s v="Харрингтон Джек"/>
    <s v="З"/>
    <s v="ЦЗ"/>
    <s v="ОПЗ"/>
    <m/>
    <m/>
    <s v="А.Н."/>
    <s v="А.Н."/>
    <x v="56"/>
    <x v="0"/>
    <m/>
    <n v="61.571428571428569"/>
    <n v="30"/>
    <n v="66"/>
    <n v="60"/>
    <n v="72"/>
    <n v="84"/>
    <n v="86"/>
    <n v="33"/>
    <n v="26"/>
    <n v="1174583"/>
    <n v="97881.916666666672"/>
    <n v="0"/>
  </r>
  <r>
    <s v="Ежов"/>
    <s v="Н"/>
    <s v="ОФ"/>
    <m/>
    <m/>
    <s v="Зел.Хол"/>
    <s v="Зел.Хол"/>
    <s v="Зел.Хол"/>
    <x v="56"/>
    <x v="0"/>
    <m/>
    <n v="62.714285714285715"/>
    <n v="40"/>
    <n v="70"/>
    <n v="70"/>
    <n v="71"/>
    <n v="68"/>
    <n v="70"/>
    <n v="50"/>
    <n v="0"/>
    <n v="941163"/>
    <n v="48039.833333333336"/>
    <n v="0"/>
  </r>
  <r>
    <s v="Лютингстен"/>
    <s v="Н"/>
    <s v="ОФ"/>
    <m/>
    <m/>
    <s v="С.К."/>
    <s v="С.К."/>
    <s v="С.К."/>
    <x v="56"/>
    <x v="0"/>
    <m/>
    <n v="75.285714285714292"/>
    <n v="65"/>
    <n v="87"/>
    <n v="75"/>
    <n v="80"/>
    <n v="80"/>
    <n v="75"/>
    <n v="65"/>
    <n v="0"/>
    <n v="5849595"/>
    <n v="410332.58333333331"/>
    <n v="0"/>
  </r>
  <r>
    <s v="Фарид Осуф"/>
    <s v="Н"/>
    <s v="ОФ"/>
    <s v="ЦН"/>
    <m/>
    <m/>
    <s v="А.Н."/>
    <s v="А.Н."/>
    <x v="56"/>
    <x v="0"/>
    <m/>
    <n v="55.428571428571431"/>
    <n v="16"/>
    <n v="70"/>
    <n v="64"/>
    <n v="68"/>
    <n v="70"/>
    <n v="72"/>
    <n v="28"/>
    <n v="0"/>
    <n v="273740"/>
    <n v="22811.666666666668"/>
    <n v="0"/>
  </r>
  <r>
    <s v="Добронравов"/>
    <s v="П"/>
    <s v="АПЗ"/>
    <s v="ЦН"/>
    <s v="ЛПЗ"/>
    <s v="Зел.Хол"/>
    <s v="Зел.Хол"/>
    <s v="Зел.Хол"/>
    <x v="56"/>
    <x v="0"/>
    <m/>
    <n v="73.857142857142861"/>
    <n v="70"/>
    <n v="71"/>
    <n v="80"/>
    <n v="72"/>
    <n v="74"/>
    <n v="80"/>
    <n v="70"/>
    <n v="17"/>
    <n v="7244632"/>
    <n v="603719.33333333337"/>
    <n v="0"/>
  </r>
  <r>
    <s v="Зазаиков"/>
    <s v="П"/>
    <s v="ЦПЗ"/>
    <s v="ППЗ"/>
    <m/>
    <s v="Смор"/>
    <s v="Смор"/>
    <s v="Смор"/>
    <x v="56"/>
    <x v="0"/>
    <m/>
    <n v="62.857142857142854"/>
    <n v="36"/>
    <n v="71"/>
    <n v="76"/>
    <n v="57"/>
    <n v="77"/>
    <n v="80"/>
    <n v="43"/>
    <n v="0"/>
    <n v="962823"/>
    <n v="80235.25"/>
    <n v="0"/>
  </r>
  <r>
    <s v="Ко Гарси"/>
    <s v="П"/>
    <s v="АПЗ"/>
    <s v="ЦПЗ"/>
    <m/>
    <m/>
    <s v="А.Н."/>
    <s v="А.Н."/>
    <x v="56"/>
    <x v="0"/>
    <m/>
    <n v="68.285714285714292"/>
    <n v="50"/>
    <n v="80"/>
    <n v="75"/>
    <n v="74"/>
    <n v="76"/>
    <n v="83"/>
    <n v="40"/>
    <n v="12"/>
    <n v="3306663"/>
    <n v="27976.333333333332"/>
    <n v="0"/>
  </r>
  <r>
    <s v="Латссох Эронд"/>
    <s v="П"/>
    <s v="ЦПЗ"/>
    <s v="ОПЗ"/>
    <m/>
    <m/>
    <s v="А.Н."/>
    <s v="А.Н."/>
    <x v="56"/>
    <x v="0"/>
    <m/>
    <n v="58.571428571428569"/>
    <n v="30"/>
    <n v="70"/>
    <n v="58"/>
    <n v="68"/>
    <n v="80"/>
    <n v="80"/>
    <n v="24"/>
    <n v="0"/>
    <n v="475181"/>
    <n v="39598.416666666664"/>
    <n v="0"/>
  </r>
  <r>
    <s v="Нини Марко"/>
    <s v="П"/>
    <s v="АПЗ"/>
    <s v="ППЗ"/>
    <s v="ЛПЗ"/>
    <m/>
    <s v="А.Н."/>
    <s v="А.Н."/>
    <x v="56"/>
    <x v="0"/>
    <m/>
    <n v="70.571428571428569"/>
    <n v="50"/>
    <n v="92"/>
    <n v="75"/>
    <n v="80"/>
    <n v="70"/>
    <n v="67"/>
    <n v="60"/>
    <n v="3"/>
    <n v="4596004"/>
    <n v="131752.66666666666"/>
    <n v="0"/>
  </r>
  <r>
    <s v="Пакла"/>
    <s v="П"/>
    <s v="АПЗ"/>
    <s v="ЛПЗ"/>
    <m/>
    <s v="Смор"/>
    <s v="Смор"/>
    <s v="Смор"/>
    <x v="56"/>
    <x v="0"/>
    <m/>
    <n v="66.857142857142861"/>
    <n v="49"/>
    <n v="69"/>
    <n v="90"/>
    <n v="70"/>
    <n v="64"/>
    <n v="69"/>
    <n v="57"/>
    <n v="0"/>
    <n v="1784343"/>
    <n v="80235.25"/>
    <n v="0"/>
  </r>
  <r>
    <s v="Торский"/>
    <s v="П"/>
    <s v="ОПЗ"/>
    <m/>
    <m/>
    <s v="Зел.Хол"/>
    <s v="Зел.Хол"/>
    <s v="Зел.Хол"/>
    <x v="56"/>
    <x v="0"/>
    <m/>
    <n v="62.857142857142854"/>
    <n v="30"/>
    <n v="70"/>
    <n v="74"/>
    <n v="68"/>
    <n v="70"/>
    <n v="78"/>
    <n v="50"/>
    <n v="0"/>
    <n v="962823"/>
    <n v="80235.25"/>
    <n v="0"/>
  </r>
  <r>
    <s v="Тульский"/>
    <s v="П"/>
    <s v="ЦПЗ"/>
    <s v="АПЗ"/>
    <m/>
    <s v="Зел.Хол"/>
    <s v="Зел.Хол"/>
    <s v="Зел.Хол"/>
    <x v="56"/>
    <x v="0"/>
    <m/>
    <n v="56.857142857142854"/>
    <n v="27"/>
    <n v="58"/>
    <n v="67"/>
    <n v="63"/>
    <n v="69"/>
    <n v="73"/>
    <n v="41"/>
    <n v="0"/>
    <n v="353062"/>
    <n v="29421.833333333332"/>
    <n v="0"/>
  </r>
  <r>
    <s v="Хорст"/>
    <s v="П"/>
    <s v="ЦПЗ"/>
    <s v="ОПЗ"/>
    <m/>
    <s v="Зел.Хол"/>
    <s v="Зел.Хол"/>
    <s v="Зел.Хол"/>
    <x v="56"/>
    <x v="0"/>
    <m/>
    <n v="57.285714285714285"/>
    <n v="22"/>
    <n v="67"/>
    <n v="65"/>
    <n v="60"/>
    <n v="68"/>
    <n v="75"/>
    <n v="44"/>
    <n v="0"/>
    <n v="380596"/>
    <n v="31716.333333333332"/>
    <n v="0"/>
  </r>
  <r>
    <s v="Яма Кенд"/>
    <s v="П"/>
    <s v="ЛПЗ"/>
    <s v="ОПЗ"/>
    <m/>
    <m/>
    <s v="А.Н."/>
    <s v="А.Н."/>
    <x v="56"/>
    <x v="0"/>
    <m/>
    <n v="49.857142857142854"/>
    <n v="11"/>
    <n v="66"/>
    <n v="54"/>
    <n v="66"/>
    <n v="64"/>
    <n v="66"/>
    <n v="22"/>
    <n v="0"/>
    <n v="94902"/>
    <n v="7908.5"/>
    <n v="0"/>
  </r>
  <r>
    <s v="Соколов Артём"/>
    <s v="Т"/>
    <s v="Т"/>
    <m/>
    <m/>
    <m/>
    <s v="А.Н."/>
    <s v="А.Н."/>
    <x v="56"/>
    <x v="0"/>
    <m/>
    <n v="65"/>
    <n v="40"/>
    <n v="70"/>
    <n v="70"/>
    <n v="75"/>
    <n v="80"/>
    <n v="80"/>
    <n v="40"/>
    <n v="0"/>
    <n v="1346275"/>
    <n v="11719.416666666666"/>
    <n v="0"/>
  </r>
  <r>
    <s v="Дрейв Кайл"/>
    <s v="В"/>
    <s v="В"/>
    <m/>
    <m/>
    <m/>
    <s v="А.Н."/>
    <s v="А.Н."/>
    <x v="57"/>
    <x v="0"/>
    <m/>
    <n v="70.714285714285708"/>
    <n v="38"/>
    <n v="73"/>
    <n v="74"/>
    <n v="78"/>
    <n v="82"/>
    <n v="79"/>
    <n v="71"/>
    <n v="0"/>
    <n v="3126595"/>
    <n v="260549.58333333334"/>
    <n v="0"/>
  </r>
  <r>
    <s v="Свендсен (В)"/>
    <s v="В"/>
    <s v="В"/>
    <m/>
    <m/>
    <s v="Кирп"/>
    <s v="Кирп"/>
    <s v="Кирп"/>
    <x v="57"/>
    <x v="0"/>
    <m/>
    <n v="90.571428571428569"/>
    <n v="97"/>
    <n v="74"/>
    <n v="90"/>
    <n v="91"/>
    <n v="90"/>
    <n v="94"/>
    <n v="98"/>
    <n v="30"/>
    <n v="55719016"/>
    <n v="4643251.333333333"/>
    <n v="0"/>
  </r>
  <r>
    <s v="Бефф (З)"/>
    <s v="З"/>
    <s v="ЛЗ"/>
    <s v="ЦЗ"/>
    <m/>
    <s v="А.Н."/>
    <s v="А.Н."/>
    <s v="А.Н."/>
    <x v="57"/>
    <x v="0"/>
    <m/>
    <n v="84.714285714285708"/>
    <n v="80"/>
    <n v="85"/>
    <n v="81"/>
    <n v="85"/>
    <n v="85"/>
    <n v="83"/>
    <n v="94"/>
    <n v="26"/>
    <n v="28553398"/>
    <n v="2379449.8333333335"/>
    <n v="0"/>
  </r>
  <r>
    <s v="Брокк Сандер"/>
    <s v="З"/>
    <s v="ПЗ"/>
    <s v="ЦЗ"/>
    <m/>
    <m/>
    <s v="А.Н."/>
    <s v="А.Н."/>
    <x v="57"/>
    <x v="0"/>
    <m/>
    <n v="72.571428571428569"/>
    <n v="42"/>
    <n v="76"/>
    <n v="81"/>
    <n v="79"/>
    <n v="77"/>
    <n v="80"/>
    <n v="73"/>
    <n v="0"/>
    <n v="4051882"/>
    <n v="337656.83333333331"/>
    <n v="0"/>
  </r>
  <r>
    <s v="Винн Оскар"/>
    <s v="З"/>
    <s v="ЦЗ"/>
    <s v="ОПЗ"/>
    <m/>
    <m/>
    <s v="А.Н."/>
    <s v="А.Н."/>
    <x v="57"/>
    <x v="0"/>
    <m/>
    <n v="73"/>
    <n v="47"/>
    <n v="74"/>
    <n v="80"/>
    <n v="78"/>
    <n v="81"/>
    <n v="79"/>
    <n v="72"/>
    <n v="0"/>
    <n v="4297626"/>
    <n v="358135.5"/>
    <n v="0"/>
  </r>
  <r>
    <s v="Знак (З)"/>
    <s v="З"/>
    <s v="ЦЗ"/>
    <s v="ПЗ"/>
    <m/>
    <s v="А.Н."/>
    <s v="А.Н."/>
    <s v="А.Н."/>
    <x v="57"/>
    <x v="0"/>
    <m/>
    <n v="83.428571428571431"/>
    <n v="75"/>
    <n v="84"/>
    <n v="80"/>
    <n v="90"/>
    <n v="87"/>
    <n v="88"/>
    <n v="80"/>
    <n v="28"/>
    <n v="24504133"/>
    <n v="2042011.0833333333"/>
    <n v="0"/>
  </r>
  <r>
    <s v="Зонд (З)"/>
    <s v="З"/>
    <s v="ЦЗ"/>
    <s v="ЛЗ"/>
    <m/>
    <s v="А.Н."/>
    <s v="А.Н."/>
    <s v="А.Н."/>
    <x v="57"/>
    <x v="0"/>
    <m/>
    <n v="85.857142857142861"/>
    <n v="70"/>
    <n v="80"/>
    <n v="83"/>
    <n v="91"/>
    <n v="89"/>
    <n v="90"/>
    <n v="98"/>
    <n v="26"/>
    <n v="32647925"/>
    <n v="2720660.4166666665"/>
    <n v="0"/>
  </r>
  <r>
    <s v="Карр Лука"/>
    <s v="З"/>
    <s v="ПЗ"/>
    <s v="ЛЗ"/>
    <m/>
    <m/>
    <s v="А.Н."/>
    <s v="А.Н."/>
    <x v="57"/>
    <x v="0"/>
    <m/>
    <n v="70.714285714285708"/>
    <n v="31"/>
    <n v="77"/>
    <n v="80"/>
    <n v="79"/>
    <n v="77"/>
    <n v="81"/>
    <n v="70"/>
    <n v="0"/>
    <n v="3126595"/>
    <n v="260549.58333333334"/>
    <n v="0"/>
  </r>
  <r>
    <s v="Ноир (З)"/>
    <s v="З"/>
    <s v="ЦЗ"/>
    <s v="ОПЗ"/>
    <m/>
    <s v="А.Н."/>
    <s v="А.Н."/>
    <s v="А.Н."/>
    <x v="57"/>
    <x v="0"/>
    <m/>
    <n v="86.142857142857139"/>
    <n v="80"/>
    <n v="83"/>
    <n v="90"/>
    <n v="85"/>
    <n v="85"/>
    <n v="92"/>
    <n v="88"/>
    <n v="27"/>
    <n v="33750793"/>
    <n v="2812566.0833333335"/>
    <n v="0"/>
  </r>
  <r>
    <s v="Стелл Игор"/>
    <s v="З"/>
    <s v="ЦЗ"/>
    <s v="ПЗ"/>
    <m/>
    <m/>
    <s v="А.Н."/>
    <s v="А.Н."/>
    <x v="57"/>
    <x v="0"/>
    <m/>
    <n v="72.571428571428569"/>
    <n v="44"/>
    <n v="78"/>
    <n v="79"/>
    <n v="80"/>
    <n v="78"/>
    <n v="80"/>
    <n v="69"/>
    <n v="0"/>
    <n v="4051882"/>
    <n v="337656.83333333331"/>
    <n v="0"/>
  </r>
  <r>
    <s v="Толл Мартин"/>
    <s v="З"/>
    <s v="ЛЗ"/>
    <s v="ЦЗ"/>
    <m/>
    <m/>
    <s v="А.Н."/>
    <s v="А.Н."/>
    <x v="57"/>
    <x v="0"/>
    <m/>
    <n v="71.428571428571431"/>
    <n v="35"/>
    <n v="78"/>
    <n v="79"/>
    <n v="81"/>
    <n v="76"/>
    <n v="82"/>
    <n v="69"/>
    <n v="0"/>
    <n v="3457162"/>
    <n v="288096.83333333331"/>
    <n v="0"/>
  </r>
  <r>
    <s v="А.Пюник (Н)"/>
    <s v="Н"/>
    <s v="ЦН"/>
    <s v="ОФ"/>
    <s v="АПЗ"/>
    <s v="А.Н."/>
    <s v="А.Н."/>
    <s v="А.Н."/>
    <x v="57"/>
    <x v="0"/>
    <m/>
    <n v="88.857142857142861"/>
    <n v="85"/>
    <n v="92"/>
    <n v="95"/>
    <n v="90"/>
    <n v="87"/>
    <n v="83"/>
    <n v="90"/>
    <n v="12"/>
    <n v="46027216"/>
    <n v="3835601.3333333335"/>
    <n v="0"/>
  </r>
  <r>
    <s v="Вилиамс (Н)"/>
    <s v="Н"/>
    <s v="ЦН"/>
    <s v="ОФ"/>
    <m/>
    <s v="Кирп"/>
    <s v="Кирп"/>
    <s v="Кирп"/>
    <x v="57"/>
    <x v="0"/>
    <m/>
    <n v="87"/>
    <n v="84"/>
    <n v="89"/>
    <n v="90"/>
    <n v="87"/>
    <n v="85"/>
    <n v="90"/>
    <n v="84"/>
    <n v="16"/>
    <n v="37263513"/>
    <n v="3105292.75"/>
    <n v="0"/>
  </r>
  <r>
    <s v="Гросс Тиль"/>
    <s v="Н"/>
    <s v="ЦН"/>
    <s v="ОФ"/>
    <m/>
    <m/>
    <s v="А.Н."/>
    <s v="А.Н."/>
    <x v="57"/>
    <x v="0"/>
    <m/>
    <n v="73.142857142857139"/>
    <n v="45"/>
    <n v="74"/>
    <n v="82"/>
    <n v="80"/>
    <n v="84"/>
    <n v="76"/>
    <n v="71"/>
    <n v="0"/>
    <n v="4382473"/>
    <n v="365206.08333333331"/>
    <n v="0"/>
  </r>
  <r>
    <s v="Персиваль (Н)"/>
    <s v="Н"/>
    <s v="ЦН"/>
    <s v="ОФ"/>
    <s v="АПЗ"/>
    <s v="Перс"/>
    <s v="Перс"/>
    <s v="Перс"/>
    <x v="57"/>
    <x v="0"/>
    <m/>
    <n v="87.428571428571431"/>
    <n v="85"/>
    <n v="90"/>
    <n v="91"/>
    <n v="84"/>
    <n v="88"/>
    <n v="86"/>
    <n v="88"/>
    <n v="5"/>
    <n v="39140384"/>
    <n v="3261698.6666666665"/>
    <n v="0"/>
  </r>
  <r>
    <s v="Брандт Нико"/>
    <s v="П"/>
    <s v="ЦПЗ"/>
    <s v="ЛПЗ"/>
    <m/>
    <m/>
    <s v="А.Н."/>
    <s v="А.Н."/>
    <x v="57"/>
    <x v="0"/>
    <m/>
    <n v="71.285714285714292"/>
    <n v="34"/>
    <n v="80"/>
    <n v="80"/>
    <n v="81"/>
    <n v="76"/>
    <n v="79"/>
    <n v="69"/>
    <n v="0"/>
    <n v="3388638"/>
    <n v="282386.5"/>
    <n v="0"/>
  </r>
  <r>
    <s v="Гримм Феликс"/>
    <s v="П"/>
    <s v="ОПЗ"/>
    <s v="ЦПЗ"/>
    <m/>
    <m/>
    <s v="А.Н."/>
    <s v="А.Н."/>
    <x v="57"/>
    <x v="0"/>
    <m/>
    <n v="74.142857142857139"/>
    <n v="39"/>
    <n v="80"/>
    <n v="84"/>
    <n v="82"/>
    <n v="81"/>
    <n v="80"/>
    <n v="73"/>
    <n v="0"/>
    <n v="5019879"/>
    <n v="418323.25"/>
    <n v="0"/>
  </r>
  <r>
    <s v="Гюнтер (П)"/>
    <s v="П"/>
    <s v="ЦПЗ"/>
    <s v="АПЗ"/>
    <s v="ППЗ"/>
    <s v="А.Н."/>
    <s v="А.Н."/>
    <s v="А.Н."/>
    <x v="57"/>
    <x v="0"/>
    <m/>
    <n v="92.142857142857139"/>
    <n v="88"/>
    <n v="87"/>
    <n v="93"/>
    <n v="99"/>
    <n v="92"/>
    <n v="90"/>
    <n v="96"/>
    <n v="17"/>
    <n v="66177142"/>
    <n v="5514761.833333333"/>
    <n v="0"/>
  </r>
  <r>
    <s v="Дада (П)"/>
    <s v="П"/>
    <s v="ЦПЗ"/>
    <s v="АПЗ"/>
    <m/>
    <s v="А.Н."/>
    <s v="А.Н."/>
    <s v="А.Н."/>
    <x v="57"/>
    <x v="0"/>
    <m/>
    <n v="92.857142857142861"/>
    <n v="90"/>
    <n v="88"/>
    <n v="98"/>
    <n v="97"/>
    <n v="91"/>
    <n v="89"/>
    <n v="97"/>
    <n v="21"/>
    <n v="71489857"/>
    <n v="5957488.083333333"/>
    <n v="0"/>
  </r>
  <r>
    <s v="Дорн Ральф"/>
    <s v="П"/>
    <s v="ППЗ"/>
    <s v="АПЗ"/>
    <m/>
    <m/>
    <s v="А.Н."/>
    <s v="А.Н."/>
    <x v="57"/>
    <x v="0"/>
    <m/>
    <n v="75"/>
    <n v="60"/>
    <n v="85"/>
    <n v="77"/>
    <n v="81"/>
    <n v="75"/>
    <n v="79"/>
    <n v="68"/>
    <n v="0"/>
    <n v="5631352"/>
    <n v="337656.83333333331"/>
    <n v="0"/>
  </r>
  <r>
    <s v="Клосс Эмиль"/>
    <s v="П"/>
    <s v="ЛПЗ"/>
    <s v="ЦПЗ"/>
    <m/>
    <m/>
    <s v="А.Н."/>
    <s v="А.Н."/>
    <x v="57"/>
    <x v="0"/>
    <m/>
    <n v="71.571428571428569"/>
    <n v="37"/>
    <n v="81"/>
    <n v="78"/>
    <n v="80"/>
    <n v="76"/>
    <n v="80"/>
    <n v="69"/>
    <n v="0"/>
    <n v="3526931"/>
    <n v="293910.91666666669"/>
    <n v="0"/>
  </r>
  <r>
    <s v="Маггиди (П)"/>
    <s v="П"/>
    <s v="ЦПЗ"/>
    <s v="ППЗ"/>
    <s v="ОПЗ"/>
    <s v="А.Н."/>
    <s v="А.Н."/>
    <s v="А.Н."/>
    <x v="57"/>
    <x v="0"/>
    <m/>
    <n v="89.285714285714292"/>
    <n v="89"/>
    <n v="89"/>
    <n v="88"/>
    <n v="97"/>
    <n v="88"/>
    <n v="85"/>
    <n v="89"/>
    <n v="22"/>
    <n v="48295986"/>
    <n v="4024665.5"/>
    <n v="0"/>
  </r>
  <r>
    <s v="Марр Тибо"/>
    <s v="П"/>
    <s v="ЦПЗ"/>
    <s v="ППЗ"/>
    <m/>
    <m/>
    <s v="А.Н."/>
    <s v="А.Н."/>
    <x v="57"/>
    <x v="0"/>
    <m/>
    <n v="73.428571428571431"/>
    <n v="41"/>
    <n v="79"/>
    <n v="83"/>
    <n v="81"/>
    <n v="80"/>
    <n v="79"/>
    <n v="71"/>
    <n v="0"/>
    <n v="4556704"/>
    <n v="379725.33333333331"/>
    <n v="0"/>
  </r>
  <r>
    <s v="Мезодич (П)"/>
    <s v="П"/>
    <s v="ЦПЗ"/>
    <s v="АПЗ"/>
    <s v="ЛПЗ"/>
    <s v="Зар"/>
    <s v="Зар"/>
    <s v="Зар"/>
    <x v="57"/>
    <x v="0"/>
    <m/>
    <n v="86.714285714285708"/>
    <n v="86"/>
    <n v="82"/>
    <n v="94"/>
    <n v="90"/>
    <n v="83"/>
    <n v="85"/>
    <n v="87"/>
    <n v="1"/>
    <n v="36057680"/>
    <n v="3004806.6666666665"/>
    <n v="0"/>
  </r>
  <r>
    <s v="Пратт Немо"/>
    <s v="П"/>
    <s v="ЦПЗ"/>
    <s v="АПЗ"/>
    <m/>
    <m/>
    <s v="А.Н."/>
    <s v="А.Н."/>
    <x v="57"/>
    <x v="0"/>
    <m/>
    <n v="71"/>
    <n v="33"/>
    <n v="82"/>
    <n v="78"/>
    <n v="81"/>
    <n v="75"/>
    <n v="78"/>
    <n v="70"/>
    <n v="0"/>
    <n v="3255244"/>
    <n v="271270.33333333331"/>
    <n v="0"/>
  </r>
  <r>
    <s v="Тошич"/>
    <s v="П"/>
    <s v="ЛПЗ"/>
    <s v="ППЗ"/>
    <s v="ОПЗ"/>
    <s v="Зар"/>
    <s v="Зар"/>
    <s v="Зар"/>
    <x v="57"/>
    <x v="0"/>
    <m/>
    <n v="85.571428571428569"/>
    <n v="84"/>
    <n v="95"/>
    <n v="83"/>
    <n v="88"/>
    <n v="84"/>
    <n v="80"/>
    <n v="85"/>
    <n v="23"/>
    <n v="31577598"/>
    <n v="2631466.5"/>
    <n v="0"/>
  </r>
  <r>
    <s v="Фальк Рюдигер"/>
    <s v="П"/>
    <s v="ППЗ"/>
    <s v="ОПЗ"/>
    <m/>
    <m/>
    <s v="А.Н."/>
    <s v="А.Н."/>
    <x v="57"/>
    <x v="0"/>
    <m/>
    <n v="71.142857142857139"/>
    <n v="40"/>
    <n v="79"/>
    <n v="78"/>
    <n v="80"/>
    <n v="75"/>
    <n v="78"/>
    <n v="68"/>
    <n v="0"/>
    <n v="3321338"/>
    <n v="276778.16666666669"/>
    <n v="0"/>
  </r>
  <r>
    <s v="Штерн Юлиан"/>
    <s v="П"/>
    <s v="ОПЗ"/>
    <s v="ЦЗ"/>
    <m/>
    <m/>
    <s v="А.Н."/>
    <s v="А.Н."/>
    <x v="57"/>
    <x v="0"/>
    <m/>
    <n v="73"/>
    <n v="46"/>
    <n v="81"/>
    <n v="79"/>
    <n v="80"/>
    <n v="77"/>
    <n v="78"/>
    <n v="70"/>
    <n v="0"/>
    <n v="4297626"/>
    <n v="358135.5"/>
    <n v="0"/>
  </r>
  <r>
    <s v="Гарлун"/>
    <s v="Т"/>
    <s v="Т"/>
    <m/>
    <m/>
    <m/>
    <s v="А.Н."/>
    <s v="А.Н."/>
    <x v="57"/>
    <x v="0"/>
    <m/>
    <n v="83.571428571428569"/>
    <n v="80"/>
    <n v="86"/>
    <n v="85"/>
    <n v="86"/>
    <n v="83"/>
    <n v="80"/>
    <n v="85"/>
    <n v="0"/>
    <n v="16617982"/>
    <n v="1384831.8333333333"/>
    <n v="0"/>
  </r>
  <r>
    <s v="Дорчан Рэй"/>
    <s v="В"/>
    <s v="В"/>
    <m/>
    <m/>
    <m/>
    <s v="Туркан"/>
    <s v="Туркан"/>
    <x v="58"/>
    <x v="0"/>
    <m/>
    <n v="46.714285714285715"/>
    <n v="8"/>
    <n v="59"/>
    <n v="51"/>
    <n v="58"/>
    <n v="60"/>
    <n v="62"/>
    <n v="29"/>
    <n v="0"/>
    <n v="49488"/>
    <n v="4124"/>
    <n v="0"/>
  </r>
  <r>
    <s v="Остичава Бон"/>
    <s v="В"/>
    <s v="В"/>
    <m/>
    <m/>
    <m/>
    <s v="Туркан"/>
    <s v="Туркан"/>
    <x v="58"/>
    <x v="0"/>
    <m/>
    <n v="49.142857142857146"/>
    <n v="10"/>
    <n v="62"/>
    <n v="54"/>
    <n v="60"/>
    <n v="62"/>
    <n v="64"/>
    <n v="32"/>
    <n v="0"/>
    <n v="82150"/>
    <n v="6845.833333333333"/>
    <n v="0"/>
  </r>
  <r>
    <s v="Хавуук Остин"/>
    <s v="В"/>
    <s v="В"/>
    <m/>
    <m/>
    <m/>
    <s v="Туркан"/>
    <s v="Туркан"/>
    <x v="58"/>
    <x v="0"/>
    <m/>
    <n v="47.285714285714285"/>
    <n v="8"/>
    <n v="60"/>
    <n v="53"/>
    <n v="58"/>
    <n v="60"/>
    <n v="62"/>
    <n v="30"/>
    <n v="0"/>
    <n v="55886"/>
    <n v="4657.166666666667"/>
    <n v="0"/>
  </r>
  <r>
    <s v="Корчва"/>
    <s v="З"/>
    <s v="ЦЗ"/>
    <m/>
    <m/>
    <s v="Туркан"/>
    <s v="Туркан"/>
    <s v="Туркан"/>
    <x v="58"/>
    <x v="0"/>
    <m/>
    <n v="37.714285714285715"/>
    <n v="20"/>
    <n v="30"/>
    <n v="40"/>
    <n v="42"/>
    <n v="55"/>
    <n v="56"/>
    <n v="21"/>
    <n v="0"/>
    <n v="5822"/>
    <n v="485.16666666666669"/>
    <n v="0"/>
  </r>
  <r>
    <s v="Кутук Ян"/>
    <s v="З"/>
    <s v="ПЗ"/>
    <s v="ЛЗ"/>
    <m/>
    <m/>
    <s v="Туркан"/>
    <s v="Туркан"/>
    <x v="58"/>
    <x v="0"/>
    <m/>
    <n v="46.857142857142854"/>
    <n v="7"/>
    <n v="60"/>
    <n v="53"/>
    <n v="58"/>
    <n v="60"/>
    <n v="62"/>
    <n v="28"/>
    <n v="0"/>
    <n v="51023"/>
    <n v="4251.916666666667"/>
    <n v="0"/>
  </r>
  <r>
    <s v="Мурзак Рой"/>
    <s v="З"/>
    <s v="ЦЗ"/>
    <s v="ЛЗ"/>
    <m/>
    <m/>
    <s v="Туркан"/>
    <s v="Туркан"/>
    <x v="58"/>
    <x v="0"/>
    <m/>
    <n v="51.857142857142854"/>
    <n v="12"/>
    <n v="66"/>
    <n v="58"/>
    <n v="62"/>
    <n v="64"/>
    <n v="66"/>
    <n v="35"/>
    <n v="0"/>
    <n v="140633"/>
    <n v="11719.416666666666"/>
    <n v="0"/>
  </r>
  <r>
    <s v="Тархан Кир"/>
    <s v="З"/>
    <s v="ЛЗ"/>
    <s v="ЦЗ"/>
    <m/>
    <m/>
    <s v="Туркан"/>
    <s v="Туркан"/>
    <x v="58"/>
    <x v="0"/>
    <m/>
    <n v="50.857142857142854"/>
    <n v="11"/>
    <n v="65"/>
    <n v="57"/>
    <n v="61"/>
    <n v="63"/>
    <n v="65"/>
    <n v="34"/>
    <n v="0"/>
    <n v="115750"/>
    <n v="9645.8333333333339"/>
    <n v="0"/>
  </r>
  <r>
    <s v="Хавууе Люк"/>
    <s v="З"/>
    <s v="ЦЗ"/>
    <s v="ОПЗ"/>
    <m/>
    <m/>
    <s v="Туркан"/>
    <s v="Туркан"/>
    <x v="58"/>
    <x v="0"/>
    <m/>
    <n v="43.857142857142854"/>
    <n v="6"/>
    <n v="56"/>
    <n v="49"/>
    <n v="55"/>
    <n v="57"/>
    <n v="59"/>
    <n v="25"/>
    <n v="0"/>
    <n v="26328"/>
    <n v="2194"/>
    <n v="0"/>
  </r>
  <r>
    <s v="Чабак Тим"/>
    <s v="З"/>
    <s v="ПЗ"/>
    <s v="ЦЗ"/>
    <m/>
    <m/>
    <s v="Туркан"/>
    <s v="Туркан"/>
    <x v="58"/>
    <x v="0"/>
    <m/>
    <n v="49.285714285714285"/>
    <n v="9"/>
    <n v="64"/>
    <n v="55"/>
    <n v="60"/>
    <n v="62"/>
    <n v="64"/>
    <n v="31"/>
    <n v="0"/>
    <n v="84569"/>
    <n v="7047.416666666667"/>
    <n v="0"/>
  </r>
  <r>
    <s v="Борчак Дан"/>
    <s v="Н"/>
    <s v="ОФ"/>
    <s v="ЦН"/>
    <m/>
    <m/>
    <s v="Туркан"/>
    <s v="Туркан"/>
    <x v="58"/>
    <x v="0"/>
    <m/>
    <n v="56.428571428571431"/>
    <n v="14"/>
    <n v="70"/>
    <n v="63"/>
    <n v="68"/>
    <n v="70"/>
    <n v="72"/>
    <n v="38"/>
    <n v="0"/>
    <n v="327334"/>
    <n v="27277.833333333332"/>
    <n v="0"/>
  </r>
  <r>
    <s v="Мурзак Эрл"/>
    <s v="Н"/>
    <s v="ОФ"/>
    <s v="ЦН"/>
    <m/>
    <m/>
    <s v="Туркан"/>
    <s v="Туркан"/>
    <x v="58"/>
    <x v="0"/>
    <m/>
    <n v="51.428571428571431"/>
    <n v="10"/>
    <n v="65"/>
    <n v="58"/>
    <n v="63"/>
    <n v="65"/>
    <n v="67"/>
    <n v="32"/>
    <n v="0"/>
    <n v="129433"/>
    <n v="10786.083333333334"/>
    <n v="0"/>
  </r>
  <r>
    <s v="Тутукун Буха"/>
    <s v="Н"/>
    <s v="ЦН"/>
    <s v="ОФ"/>
    <m/>
    <s v="Туркан"/>
    <s v="Туркан"/>
    <s v="Туркан"/>
    <x v="58"/>
    <x v="0"/>
    <m/>
    <n v="60.285714285714285"/>
    <n v="15"/>
    <n v="70"/>
    <n v="75"/>
    <n v="70"/>
    <n v="72"/>
    <n v="75"/>
    <n v="45"/>
    <n v="0"/>
    <n v="634081"/>
    <n v="52840.083333333336"/>
    <n v="0"/>
  </r>
  <r>
    <s v="Бахчи Мэйс"/>
    <s v="П"/>
    <s v="ЦПЗ"/>
    <s v="ОПЗ"/>
    <m/>
    <m/>
    <s v="Туркан"/>
    <s v="Туркан"/>
    <x v="58"/>
    <x v="0"/>
    <m/>
    <n v="54.714285714285715"/>
    <n v="13"/>
    <n v="68"/>
    <n v="61"/>
    <n v="66"/>
    <n v="68"/>
    <n v="70"/>
    <n v="37"/>
    <n v="0"/>
    <n v="240441"/>
    <n v="20036.75"/>
    <n v="0"/>
  </r>
  <r>
    <s v="Карачай Ирж"/>
    <s v="П"/>
    <s v="ППЗ"/>
    <s v="ЛПЗ"/>
    <m/>
    <m/>
    <s v="Туркан"/>
    <s v="Туркан"/>
    <x v="58"/>
    <x v="0"/>
    <m/>
    <n v="52.571428571428569"/>
    <n v="11"/>
    <n v="66"/>
    <n v="59"/>
    <n v="64"/>
    <n v="66"/>
    <n v="68"/>
    <n v="34"/>
    <n v="0"/>
    <n v="161250"/>
    <n v="13437.5"/>
    <n v="0"/>
  </r>
  <r>
    <s v="Корчвак Кс"/>
    <s v="П"/>
    <s v="ППЗ"/>
    <s v="АПЗ"/>
    <m/>
    <s v="Туркан"/>
    <s v="Туркан"/>
    <s v="Туркан"/>
    <x v="58"/>
    <x v="0"/>
    <m/>
    <n v="59"/>
    <n v="14"/>
    <n v="68"/>
    <n v="72"/>
    <n v="70"/>
    <n v="72"/>
    <n v="74"/>
    <n v="43"/>
    <n v="0"/>
    <n v="511117"/>
    <n v="42593.083333333336"/>
    <n v="0"/>
  </r>
  <r>
    <s v="Курчак Дар"/>
    <s v="П"/>
    <s v="ОПЗ"/>
    <s v="ЦПЗ"/>
    <m/>
    <m/>
    <s v="Туркан"/>
    <s v="Туркан"/>
    <x v="58"/>
    <x v="0"/>
    <m/>
    <n v="49.857142857142854"/>
    <n v="9"/>
    <n v="63"/>
    <n v="55"/>
    <n v="62"/>
    <n v="64"/>
    <n v="66"/>
    <n v="30"/>
    <n v="0"/>
    <n v="94902"/>
    <n v="7908.5"/>
    <n v="0"/>
  </r>
  <r>
    <s v="Сарык Стан"/>
    <s v="П"/>
    <s v="ППЗ"/>
    <s v="АПЗ"/>
    <m/>
    <m/>
    <s v="Туркан"/>
    <s v="Туркан"/>
    <x v="58"/>
    <x v="0"/>
    <m/>
    <n v="46.285714285714285"/>
    <n v="7"/>
    <n v="59"/>
    <n v="52"/>
    <n v="58"/>
    <n v="60"/>
    <n v="62"/>
    <n v="26"/>
    <n v="0"/>
    <n v="45131"/>
    <n v="3760.9166666666665"/>
    <n v="0"/>
  </r>
  <r>
    <s v="Тутук Кайус"/>
    <s v="П"/>
    <s v="АПЗ"/>
    <s v="ЦПЗ"/>
    <m/>
    <m/>
    <s v="Туркан"/>
    <s v="Туркан"/>
    <x v="58"/>
    <x v="0"/>
    <m/>
    <n v="44.428571428571431"/>
    <n v="6"/>
    <n v="55"/>
    <n v="49"/>
    <n v="57"/>
    <n v="59"/>
    <n v="61"/>
    <n v="24"/>
    <n v="0"/>
    <n v="29966"/>
    <n v="2497.1666666666665"/>
    <n v="0"/>
  </r>
  <r>
    <s v="Хавуу Пол"/>
    <s v="П"/>
    <s v="ЛПЗ"/>
    <s v="ОПЗ"/>
    <m/>
    <m/>
    <s v="Туркан"/>
    <s v="Туркан"/>
    <x v="58"/>
    <x v="0"/>
    <m/>
    <n v="50.857142857142854"/>
    <n v="10"/>
    <n v="64"/>
    <n v="57"/>
    <n v="62"/>
    <n v="64"/>
    <n v="66"/>
    <n v="33"/>
    <n v="0"/>
    <n v="115750"/>
    <n v="9645.8333333333339"/>
    <n v="0"/>
  </r>
  <r>
    <s v="Тутук Элд"/>
    <s v="Т"/>
    <s v="Т"/>
    <m/>
    <m/>
    <m/>
    <s v="Туркан"/>
    <s v="Туркан"/>
    <x v="58"/>
    <x v="0"/>
    <m/>
    <n v="47.714285714285715"/>
    <n v="9"/>
    <n v="60"/>
    <n v="52"/>
    <n v="59"/>
    <n v="61"/>
    <n v="63"/>
    <n v="30"/>
    <n v="0"/>
    <n v="61163"/>
    <n v="5096.916666666667"/>
    <n v="0"/>
  </r>
  <r>
    <s v="Галлон"/>
    <s v="В"/>
    <s v="В"/>
    <m/>
    <m/>
    <s v="Павс"/>
    <s v="Павс"/>
    <s v="Павс"/>
    <x v="59"/>
    <x v="0"/>
    <m/>
    <n v="82.571428571428569"/>
    <n v="72"/>
    <n v="70"/>
    <n v="80"/>
    <n v="100"/>
    <n v="81"/>
    <n v="80"/>
    <n v="95"/>
    <n v="31"/>
    <n v="22099846"/>
    <n v="1841653.8333333333"/>
    <n v="0"/>
  </r>
  <r>
    <s v="Даллон Реми"/>
    <s v="В"/>
    <s v="В"/>
    <m/>
    <m/>
    <m/>
    <s v="Павс"/>
    <s v="Павс"/>
    <x v="59"/>
    <x v="0"/>
    <m/>
    <n v="72.571428571428569"/>
    <n v="42"/>
    <n v="76"/>
    <n v="81"/>
    <n v="79"/>
    <n v="77"/>
    <n v="80"/>
    <n v="73"/>
    <n v="0"/>
    <n v="4051882"/>
    <n v="337656.83333333331"/>
    <n v="0"/>
  </r>
  <r>
    <s v="Ожерков (В)"/>
    <s v="В"/>
    <s v="В"/>
    <m/>
    <m/>
    <s v="Нест"/>
    <s v="Нест"/>
    <s v="Нест"/>
    <x v="59"/>
    <x v="0"/>
    <m/>
    <n v="86.285714285714292"/>
    <n v="80"/>
    <n v="80"/>
    <n v="84"/>
    <n v="87"/>
    <n v="87"/>
    <n v="96"/>
    <n v="90"/>
    <n v="30"/>
    <n v="34314704"/>
    <n v="2859558.6666666665"/>
    <n v="0"/>
  </r>
  <r>
    <s v="Али (З)"/>
    <s v="З"/>
    <s v="ПЗ"/>
    <s v="ЛЗ"/>
    <m/>
    <s v="Павс"/>
    <s v="Павс"/>
    <s v="Павс"/>
    <x v="59"/>
    <x v="0"/>
    <m/>
    <n v="84.142857142857139"/>
    <n v="75"/>
    <n v="90"/>
    <n v="83"/>
    <n v="91"/>
    <n v="83"/>
    <n v="83"/>
    <n v="84"/>
    <n v="26"/>
    <n v="26684792"/>
    <n v="2223732.6666666665"/>
    <n v="0"/>
  </r>
  <r>
    <s v="Аллин Седрик"/>
    <s v="З"/>
    <s v="ПЗ"/>
    <s v="ЛЗ"/>
    <m/>
    <m/>
    <s v="Павс"/>
    <s v="Павс"/>
    <x v="59"/>
    <x v="0"/>
    <m/>
    <n v="70.714285714285708"/>
    <n v="31"/>
    <n v="77"/>
    <n v="80"/>
    <n v="79"/>
    <n v="77"/>
    <n v="81"/>
    <n v="70"/>
    <n v="0"/>
    <n v="3126595"/>
    <n v="260549.58333333334"/>
    <n v="0"/>
  </r>
  <r>
    <s v="Биотор (З)"/>
    <s v="З"/>
    <s v="ЛЗ"/>
    <s v="ПЗ"/>
    <m/>
    <s v="Павс"/>
    <s v="Эстл"/>
    <s v="Эстл"/>
    <x v="59"/>
    <x v="0"/>
    <m/>
    <n v="90.428571428571431"/>
    <n v="90"/>
    <n v="91"/>
    <n v="86"/>
    <n v="90"/>
    <n v="96"/>
    <n v="87"/>
    <n v="93"/>
    <n v="26"/>
    <n v="54846379"/>
    <n v="4570531.583333333"/>
    <n v="0"/>
  </r>
  <r>
    <s v="Кеготти"/>
    <s v="З"/>
    <s v="ПЗ"/>
    <s v="ЛЗ"/>
    <s v="ЦЗ"/>
    <s v="Павс"/>
    <s v="Павс"/>
    <s v="Павс"/>
    <x v="59"/>
    <x v="0"/>
    <m/>
    <n v="89"/>
    <n v="81"/>
    <n v="88"/>
    <n v="81"/>
    <n v="100"/>
    <n v="90"/>
    <n v="86"/>
    <n v="97"/>
    <n v="27"/>
    <n v="46772580"/>
    <n v="3897715"/>
    <n v="0"/>
  </r>
  <r>
    <s v="Павис Лоран"/>
    <s v="З"/>
    <s v="ЦЗ"/>
    <s v="ОПЗ"/>
    <m/>
    <m/>
    <s v="Павс"/>
    <s v="Павс"/>
    <x v="59"/>
    <x v="0"/>
    <m/>
    <n v="73"/>
    <n v="47"/>
    <n v="74"/>
    <n v="80"/>
    <n v="78"/>
    <n v="81"/>
    <n v="79"/>
    <n v="72"/>
    <n v="0"/>
    <n v="4297626"/>
    <n v="358135.5"/>
    <n v="0"/>
  </r>
  <r>
    <s v="Пафи (З)"/>
    <s v="З"/>
    <s v="ЦЗ"/>
    <s v="ПЗ"/>
    <m/>
    <s v="Павс"/>
    <s v="Павс"/>
    <s v="Павс"/>
    <x v="59"/>
    <x v="0"/>
    <m/>
    <n v="85.714285714285708"/>
    <n v="77"/>
    <n v="85"/>
    <n v="85"/>
    <n v="95"/>
    <n v="81"/>
    <n v="91"/>
    <n v="86"/>
    <n v="26"/>
    <n v="32108748"/>
    <n v="2675729"/>
    <n v="0"/>
  </r>
  <r>
    <s v="Фарин Ксавье"/>
    <s v="З"/>
    <s v="ПЗ"/>
    <s v="ЦЗ"/>
    <m/>
    <m/>
    <s v="Павс"/>
    <s v="Павс"/>
    <x v="59"/>
    <x v="0"/>
    <m/>
    <n v="72.571428571428569"/>
    <n v="42"/>
    <n v="76"/>
    <n v="81"/>
    <n v="79"/>
    <n v="77"/>
    <n v="80"/>
    <n v="73"/>
    <n v="0"/>
    <n v="4051882"/>
    <n v="337656.83333333331"/>
    <n v="0"/>
  </r>
  <r>
    <s v="Хуллер Тьерри"/>
    <s v="З"/>
    <s v="ЛЗ"/>
    <s v="ЦЗ"/>
    <m/>
    <m/>
    <s v="Павс"/>
    <s v="Павс"/>
    <x v="59"/>
    <x v="0"/>
    <m/>
    <n v="71.428571428571431"/>
    <n v="35"/>
    <n v="78"/>
    <n v="79"/>
    <n v="81"/>
    <n v="76"/>
    <n v="82"/>
    <n v="69"/>
    <n v="0"/>
    <n v="3457162"/>
    <n v="288096.83333333331"/>
    <n v="0"/>
  </r>
  <r>
    <s v="Хусер (З)"/>
    <s v="З"/>
    <s v="ЦЗ"/>
    <s v="ЛЗ"/>
    <s v="ПЗ"/>
    <s v="Павс"/>
    <s v="Павс"/>
    <s v="Павс"/>
    <x v="59"/>
    <x v="0"/>
    <m/>
    <n v="82.142857142857139"/>
    <n v="71"/>
    <n v="80"/>
    <n v="80"/>
    <n v="93"/>
    <n v="80"/>
    <n v="90"/>
    <n v="81"/>
    <n v="28"/>
    <n v="20979219"/>
    <n v="1748268.25"/>
    <n v="0"/>
  </r>
  <r>
    <s v="Ланна (Н)"/>
    <s v="Н"/>
    <s v="ОФ"/>
    <s v="ППЗ"/>
    <m/>
    <s v="Павс"/>
    <s v="Лион"/>
    <s v="Лион"/>
    <x v="59"/>
    <x v="0"/>
    <m/>
    <n v="85"/>
    <n v="83"/>
    <n v="92"/>
    <n v="83"/>
    <n v="84"/>
    <n v="84"/>
    <n v="78"/>
    <n v="91"/>
    <n v="3"/>
    <n v="29531161"/>
    <n v="2460930.0833333335"/>
    <n v="0"/>
  </r>
  <r>
    <s v="Пафин Уго"/>
    <s v="Н"/>
    <s v="ЦН"/>
    <s v="ОФ"/>
    <m/>
    <m/>
    <s v="Павс"/>
    <s v="Павс"/>
    <x v="59"/>
    <x v="0"/>
    <m/>
    <n v="73.285714285714292"/>
    <n v="46"/>
    <n v="74"/>
    <n v="82"/>
    <n v="80"/>
    <n v="84"/>
    <n v="76"/>
    <n v="71"/>
    <n v="0"/>
    <n v="4468825"/>
    <n v="372402.08333333331"/>
    <n v="0"/>
  </r>
  <r>
    <s v="Т. Кушер (Н)"/>
    <s v="Н"/>
    <s v="ЦН"/>
    <s v="ОФ"/>
    <m/>
    <s v="Павс"/>
    <s v="Павс"/>
    <s v="Павс"/>
    <x v="59"/>
    <x v="0"/>
    <m/>
    <n v="94.142857142857139"/>
    <n v="95"/>
    <n v="91"/>
    <n v="99"/>
    <n v="98"/>
    <n v="89"/>
    <n v="94"/>
    <n v="93"/>
    <n v="7"/>
    <n v="82028545"/>
    <n v="6835712.083333333"/>
    <n v="0"/>
  </r>
  <r>
    <s v="Юлиан (Н)"/>
    <s v="Н"/>
    <s v="ОФ"/>
    <s v="АПЗ"/>
    <m/>
    <s v="Юл"/>
    <s v="Юл"/>
    <s v="Юл"/>
    <x v="59"/>
    <x v="0"/>
    <m/>
    <n v="91.571428571428569"/>
    <n v="91"/>
    <n v="93"/>
    <n v="90"/>
    <n v="91"/>
    <n v="97"/>
    <n v="86"/>
    <n v="93"/>
    <n v="11"/>
    <n v="62185790"/>
    <n v="5182149.166666667"/>
    <n v="0"/>
  </r>
  <r>
    <s v="Азонов (П)"/>
    <s v="П"/>
    <s v="ЦПЗ"/>
    <s v="ППЗ"/>
    <m/>
    <s v="Павс"/>
    <s v="Павс"/>
    <s v="Павс"/>
    <x v="59"/>
    <x v="0"/>
    <m/>
    <n v="90.571428571428569"/>
    <n v="89"/>
    <n v="88"/>
    <n v="90"/>
    <n v="96"/>
    <n v="85"/>
    <n v="92"/>
    <n v="94"/>
    <n v="24"/>
    <n v="55719016"/>
    <n v="4643251.333333333"/>
    <n v="0"/>
  </r>
  <r>
    <s v="Азорин Фабьен"/>
    <s v="П"/>
    <s v="ЛПЗ"/>
    <s v="ЦПЗ"/>
    <m/>
    <m/>
    <s v="Павс"/>
    <s v="Павс"/>
    <x v="59"/>
    <x v="0"/>
    <m/>
    <n v="73.142857142857139"/>
    <n v="48"/>
    <n v="81"/>
    <n v="78"/>
    <n v="80"/>
    <n v="76"/>
    <n v="80"/>
    <n v="69"/>
    <n v="0"/>
    <n v="4382473"/>
    <n v="365206.08333333331"/>
    <n v="0"/>
  </r>
  <r>
    <s v="Бъелло Маттео"/>
    <s v="П"/>
    <s v="ЦПЗ"/>
    <s v="АПЗ"/>
    <m/>
    <m/>
    <s v="Павс"/>
    <s v="Павс"/>
    <x v="59"/>
    <x v="0"/>
    <m/>
    <n v="71.857142857142861"/>
    <n v="39"/>
    <n v="82"/>
    <n v="78"/>
    <n v="81"/>
    <n v="75"/>
    <n v="78"/>
    <n v="70"/>
    <n v="0"/>
    <n v="3670283"/>
    <n v="305856.91666666669"/>
    <n v="0"/>
  </r>
  <r>
    <s v="Бъен"/>
    <s v="П"/>
    <s v="ОПЗ"/>
    <s v="ЦПЗ"/>
    <s v="ЦЗ"/>
    <s v="Павс"/>
    <s v="Павс"/>
    <s v="Павс"/>
    <x v="59"/>
    <x v="0"/>
    <m/>
    <n v="85.142857142857139"/>
    <n v="73"/>
    <n v="84"/>
    <n v="84"/>
    <n v="88"/>
    <n v="90"/>
    <n v="97"/>
    <n v="80"/>
    <n v="18"/>
    <n v="30031254"/>
    <n v="2502604.5"/>
    <n v="0"/>
  </r>
  <r>
    <s v="Кеффи Янис"/>
    <s v="П"/>
    <s v="ОПЗ"/>
    <s v="ЦПЗ"/>
    <m/>
    <m/>
    <s v="Павс"/>
    <s v="Павс"/>
    <x v="59"/>
    <x v="0"/>
    <m/>
    <n v="74.857142857142861"/>
    <n v="44"/>
    <n v="80"/>
    <n v="84"/>
    <n v="82"/>
    <n v="81"/>
    <n v="80"/>
    <n v="73"/>
    <n v="0"/>
    <n v="5525003"/>
    <n v="460416.91666666669"/>
    <n v="0"/>
  </r>
  <r>
    <s v="Ланнис Оливье"/>
    <s v="П"/>
    <s v="ОПЗ"/>
    <s v="ЦЗ"/>
    <m/>
    <m/>
    <s v="Павс"/>
    <s v="Павс"/>
    <x v="59"/>
    <x v="0"/>
    <m/>
    <n v="72.857142857142861"/>
    <n v="37"/>
    <n v="79"/>
    <n v="83"/>
    <n v="81"/>
    <n v="80"/>
    <n v="79"/>
    <n v="71"/>
    <n v="0"/>
    <n v="4214261"/>
    <n v="351188.41666666669"/>
    <n v="0"/>
  </r>
  <r>
    <s v="Сиен де Киля (П)"/>
    <s v="П"/>
    <s v="ЦПЗ"/>
    <s v="ЛПЗ"/>
    <m/>
    <s v="Павс"/>
    <s v="Павс"/>
    <s v="Павс"/>
    <x v="59"/>
    <x v="0"/>
    <m/>
    <n v="91.285714285714292"/>
    <n v="90"/>
    <n v="92"/>
    <n v="90"/>
    <n v="99"/>
    <n v="83"/>
    <n v="88"/>
    <n v="97"/>
    <n v="24"/>
    <n v="60272533"/>
    <n v="5022711.083333333"/>
    <n v="0"/>
  </r>
  <r>
    <s v="Хусеро Диего"/>
    <s v="П"/>
    <s v="ЦПЗ"/>
    <s v="ППЗ"/>
    <m/>
    <m/>
    <s v="Павс"/>
    <s v="Павс"/>
    <x v="59"/>
    <x v="0"/>
    <m/>
    <n v="72.285714285714292"/>
    <n v="41"/>
    <n v="81"/>
    <n v="79"/>
    <n v="80"/>
    <n v="77"/>
    <n v="78"/>
    <n v="70"/>
    <n v="0"/>
    <n v="3895156"/>
    <n v="324596.33333333331"/>
    <n v="0"/>
  </r>
  <r>
    <s v="Царрелли (П)"/>
    <s v="П"/>
    <s v="ЦПЗ"/>
    <s v="ОПЗ"/>
    <s v="ППЗ"/>
    <s v="Павс"/>
    <s v="Павс"/>
    <s v="Павс"/>
    <x v="59"/>
    <x v="0"/>
    <m/>
    <n v="92.142857142857139"/>
    <n v="93"/>
    <n v="94"/>
    <n v="95"/>
    <n v="100"/>
    <n v="80"/>
    <n v="84"/>
    <n v="99"/>
    <n v="24"/>
    <n v="66177142"/>
    <n v="5514761.833333333"/>
    <n v="0"/>
  </r>
  <r>
    <s v="Юсмар Нордин"/>
    <s v="П"/>
    <s v="ППЗ"/>
    <s v="АПЗ"/>
    <m/>
    <m/>
    <s v="Павс"/>
    <s v="Павс"/>
    <x v="59"/>
    <x v="0"/>
    <m/>
    <n v="70.428571428571431"/>
    <n v="33"/>
    <n v="80"/>
    <n v="77"/>
    <n v="81"/>
    <n v="75"/>
    <n v="79"/>
    <n v="68"/>
    <n v="0"/>
    <n v="3002540"/>
    <n v="250211.66666666666"/>
    <n v="0"/>
  </r>
  <r>
    <s v="Юсфил"/>
    <s v="П"/>
    <s v="ЦПЗ"/>
    <s v="АПЗ"/>
    <s v="ЛПЗ"/>
    <s v="Павс"/>
    <s v="Павс"/>
    <s v="Павс"/>
    <x v="59"/>
    <x v="0"/>
    <m/>
    <n v="91.142857142857139"/>
    <n v="91"/>
    <n v="93"/>
    <n v="91"/>
    <n v="99"/>
    <n v="79"/>
    <n v="88"/>
    <n v="97"/>
    <n v="24"/>
    <n v="59335916"/>
    <n v="4944659.666666667"/>
    <n v="0"/>
  </r>
  <r>
    <s v="Ван Дер Берг Люк"/>
    <s v="В"/>
    <s v="В"/>
    <m/>
    <m/>
    <m/>
    <s v="Бел"/>
    <s v="Бел"/>
    <x v="60"/>
    <x v="0"/>
    <m/>
    <n v="75"/>
    <n v="68"/>
    <n v="73"/>
    <n v="74"/>
    <n v="78"/>
    <n v="82"/>
    <n v="79"/>
    <n v="71"/>
    <n v="0"/>
    <n v="5631352"/>
    <n v="469279.33333333331"/>
    <n v="0"/>
  </r>
  <r>
    <s v="Стоялл"/>
    <s v="В"/>
    <s v="В"/>
    <m/>
    <m/>
    <s v="Вор"/>
    <s v="Вор"/>
    <s v="Вор"/>
    <x v="60"/>
    <x v="0"/>
    <m/>
    <n v="86.857142857142861"/>
    <n v="80"/>
    <n v="86"/>
    <n v="85"/>
    <n v="88"/>
    <n v="92"/>
    <n v="92"/>
    <n v="85"/>
    <n v="29"/>
    <n v="36656134"/>
    <n v="3054677.8333333335"/>
    <n v="0"/>
  </r>
  <r>
    <s v="Ван Аккер Дитер"/>
    <s v="З"/>
    <s v="ПЗ"/>
    <s v="ЛЗ"/>
    <m/>
    <m/>
    <s v="Бел"/>
    <s v="Бел"/>
    <x v="60"/>
    <x v="0"/>
    <m/>
    <n v="76.142857142857139"/>
    <n v="69"/>
    <n v="77"/>
    <n v="80"/>
    <n v="79"/>
    <n v="77"/>
    <n v="81"/>
    <n v="70"/>
    <n v="0"/>
    <n v="6550761"/>
    <n v="545896.75"/>
    <n v="0"/>
  </r>
  <r>
    <s v="Ван Хоут Рубен"/>
    <s v="З"/>
    <s v="ЛЗ"/>
    <s v="ЦЗ"/>
    <m/>
    <m/>
    <s v="Бел"/>
    <s v="Бел"/>
    <x v="60"/>
    <x v="0"/>
    <m/>
    <n v="76.285714285714292"/>
    <n v="69"/>
    <n v="78"/>
    <n v="79"/>
    <n v="81"/>
    <n v="76"/>
    <n v="82"/>
    <n v="69"/>
    <n v="0"/>
    <n v="6674707"/>
    <n v="556225.58333333337"/>
    <n v="0"/>
  </r>
  <r>
    <s v="Де Врис Томас"/>
    <s v="З"/>
    <s v="ПЗ"/>
    <s v="ЦЗ"/>
    <m/>
    <m/>
    <s v="Бел"/>
    <s v="Бел"/>
    <x v="60"/>
    <x v="0"/>
    <m/>
    <n v="76.857142857142861"/>
    <n v="72"/>
    <n v="76"/>
    <n v="81"/>
    <n v="79"/>
    <n v="77"/>
    <n v="80"/>
    <n v="73"/>
    <n v="0"/>
    <n v="7191879"/>
    <n v="599323.25"/>
    <n v="0"/>
  </r>
  <r>
    <s v="Зегг (З)"/>
    <s v="З"/>
    <s v="ЦЗ"/>
    <s v="ЛЗ"/>
    <m/>
    <s v="Бел"/>
    <s v="Бел"/>
    <s v="Бел"/>
    <x v="60"/>
    <x v="0"/>
    <m/>
    <n v="89.857142857142861"/>
    <n v="83"/>
    <n v="80"/>
    <n v="90"/>
    <n v="92"/>
    <n v="95"/>
    <n v="98"/>
    <n v="91"/>
    <n v="28"/>
    <n v="51477485"/>
    <n v="4289790.416666667"/>
    <n v="0"/>
  </r>
  <r>
    <s v="Клаасен Йенс"/>
    <s v="З"/>
    <s v="ЦЗ"/>
    <s v="ОПЗ"/>
    <m/>
    <m/>
    <s v="Бел"/>
    <s v="Бел"/>
    <x v="60"/>
    <x v="0"/>
    <m/>
    <n v="76.285714285714292"/>
    <n v="70"/>
    <n v="74"/>
    <n v="80"/>
    <n v="78"/>
    <n v="81"/>
    <n v="79"/>
    <n v="72"/>
    <n v="0"/>
    <n v="6674707"/>
    <n v="556225.58333333337"/>
    <n v="0"/>
  </r>
  <r>
    <s v="Сурден (З)"/>
    <s v="З"/>
    <s v="ЦЗ"/>
    <s v="ПЗ"/>
    <m/>
    <s v="Своб"/>
    <s v="Своб"/>
    <s v="Своб"/>
    <x v="60"/>
    <x v="0"/>
    <m/>
    <n v="84.857142857142861"/>
    <n v="80"/>
    <n v="80"/>
    <n v="86"/>
    <n v="87"/>
    <n v="88"/>
    <n v="89"/>
    <n v="84"/>
    <n v="28"/>
    <n v="29038576"/>
    <n v="2419881.3333333335"/>
    <n v="0"/>
  </r>
  <r>
    <s v="Тольати (З)"/>
    <s v="З"/>
    <s v="ПЗ"/>
    <s v="ОПЗ"/>
    <s v="ЛЗ"/>
    <s v="Лин"/>
    <s v="Лион"/>
    <s v="Лион"/>
    <x v="60"/>
    <x v="0"/>
    <m/>
    <n v="87.571428571428569"/>
    <n v="84"/>
    <n v="90"/>
    <n v="85"/>
    <n v="87"/>
    <n v="89"/>
    <n v="88"/>
    <n v="90"/>
    <n v="27"/>
    <n v="39784656"/>
    <n v="3315388"/>
    <n v="0"/>
  </r>
  <r>
    <s v="Фифельус (З)"/>
    <s v="З"/>
    <s v="ЦЗ"/>
    <s v="ПЗ"/>
    <m/>
    <s v="Бел"/>
    <s v="Бел"/>
    <s v="Бел"/>
    <x v="60"/>
    <x v="0"/>
    <m/>
    <n v="85.142857142857139"/>
    <n v="73"/>
    <n v="77"/>
    <n v="83"/>
    <n v="84"/>
    <n v="94"/>
    <n v="92"/>
    <n v="93"/>
    <n v="27"/>
    <n v="30031254"/>
    <n v="2502604.5"/>
    <n v="0"/>
  </r>
  <r>
    <s v="Ван Хойдонк Кун"/>
    <s v="Н"/>
    <s v="ЦН"/>
    <m/>
    <m/>
    <m/>
    <s v="Бел"/>
    <s v="Бел"/>
    <x v="60"/>
    <x v="0"/>
    <m/>
    <n v="77.142857142857139"/>
    <n v="75"/>
    <n v="73"/>
    <n v="82"/>
    <n v="80"/>
    <n v="84"/>
    <n v="75"/>
    <n v="71"/>
    <n v="0"/>
    <n v="7463752"/>
    <n v="621979.33333333337"/>
    <n v="0"/>
  </r>
  <r>
    <s v="Де Виттер Мартен"/>
    <s v="Н"/>
    <s v="ЦН"/>
    <s v="ОФ"/>
    <m/>
    <m/>
    <s v="Бел"/>
    <s v="Бел"/>
    <x v="60"/>
    <x v="0"/>
    <m/>
    <n v="76.714285714285708"/>
    <n v="73"/>
    <n v="75"/>
    <n v="81"/>
    <n v="79"/>
    <n v="83"/>
    <n v="76"/>
    <n v="70"/>
    <n v="0"/>
    <n v="7059314"/>
    <n v="588276.16666666663"/>
    <n v="0"/>
  </r>
  <r>
    <s v="Дундуш (Н)"/>
    <s v="Н"/>
    <s v="ЦН"/>
    <m/>
    <m/>
    <s v="Сул"/>
    <s v="Сул"/>
    <s v="Сул"/>
    <x v="60"/>
    <x v="0"/>
    <m/>
    <n v="94.428571428571431"/>
    <n v="93"/>
    <n v="90"/>
    <n v="98"/>
    <n v="90"/>
    <n v="99"/>
    <n v="100"/>
    <n v="91"/>
    <n v="6"/>
    <n v="84552306"/>
    <n v="7046025.5"/>
    <n v="0"/>
  </r>
  <r>
    <s v="Хелиан (Н)"/>
    <s v="Н"/>
    <s v="ЦН"/>
    <m/>
    <m/>
    <s v="Вал"/>
    <s v="Вал"/>
    <s v="Вал"/>
    <x v="60"/>
    <x v="0"/>
    <m/>
    <n v="89.142857142857139"/>
    <n v="89"/>
    <n v="93"/>
    <n v="93"/>
    <n v="89"/>
    <n v="84"/>
    <n v="86"/>
    <n v="90"/>
    <n v="5"/>
    <n v="47528790"/>
    <n v="3960732.5"/>
    <n v="0"/>
  </r>
  <r>
    <s v="Барадюзю (П)"/>
    <s v="П"/>
    <s v="ЦПЗ"/>
    <s v="ППЗ"/>
    <m/>
    <s v="Сул"/>
    <s v="Сул"/>
    <s v="Сул"/>
    <x v="60"/>
    <x v="0"/>
    <m/>
    <n v="92.857142857142861"/>
    <n v="89"/>
    <n v="89"/>
    <n v="96"/>
    <n v="98"/>
    <n v="90"/>
    <n v="92"/>
    <n v="96"/>
    <n v="17"/>
    <n v="71489857"/>
    <n v="5957488.083333333"/>
    <n v="0"/>
  </r>
  <r>
    <s v="Ван Бюрен Хендрик"/>
    <s v="П"/>
    <s v="ОПЗ"/>
    <s v="ЦЗ"/>
    <m/>
    <m/>
    <s v="Бел"/>
    <s v="Бел"/>
    <x v="60"/>
    <x v="0"/>
    <m/>
    <n v="78"/>
    <n v="73"/>
    <n v="79"/>
    <n v="83"/>
    <n v="81"/>
    <n v="80"/>
    <n v="79"/>
    <n v="71"/>
    <n v="0"/>
    <n v="8335776"/>
    <n v="694648"/>
    <n v="0"/>
  </r>
  <r>
    <s v="Ван Гоо Барт"/>
    <s v="П"/>
    <s v="ЦПЗ"/>
    <s v="АПЗ"/>
    <m/>
    <m/>
    <s v="Бел"/>
    <s v="Бел"/>
    <x v="60"/>
    <x v="0"/>
    <m/>
    <n v="76.714285714285708"/>
    <n v="73"/>
    <n v="82"/>
    <n v="78"/>
    <n v="81"/>
    <n v="75"/>
    <n v="78"/>
    <n v="70"/>
    <n v="0"/>
    <n v="7059314"/>
    <n v="588276.16666666663"/>
    <n v="0"/>
  </r>
  <r>
    <s v="Веркаутерен Йос"/>
    <s v="П"/>
    <s v="ППЗ"/>
    <s v="АПЗ"/>
    <m/>
    <m/>
    <s v="Бел"/>
    <s v="Бел"/>
    <x v="60"/>
    <x v="0"/>
    <m/>
    <n v="75.571428571428569"/>
    <n v="69"/>
    <n v="80"/>
    <n v="77"/>
    <n v="81"/>
    <n v="75"/>
    <n v="79"/>
    <n v="68"/>
    <n v="0"/>
    <n v="6075421"/>
    <n v="506285.08333333331"/>
    <n v="0"/>
  </r>
  <r>
    <s v="Витчер "/>
    <s v="П"/>
    <s v="ЦПЗ"/>
    <s v="ЛПЗ"/>
    <s v="АПЗ"/>
    <s v="Сар"/>
    <s v="Сар"/>
    <s v="Сар"/>
    <x v="60"/>
    <x v="0"/>
    <m/>
    <n v="91.714285714285708"/>
    <n v="93"/>
    <n v="93"/>
    <n v="90"/>
    <n v="96"/>
    <n v="88"/>
    <n v="90"/>
    <n v="92"/>
    <n v="10"/>
    <n v="63162766"/>
    <n v="5263563.833333333"/>
    <n v="0"/>
  </r>
  <r>
    <s v="Далворт (П)"/>
    <s v="П"/>
    <s v="ЦПЗ"/>
    <s v="АПЗ"/>
    <m/>
    <s v="Бел"/>
    <s v="Бел"/>
    <s v="Бел"/>
    <x v="60"/>
    <x v="0"/>
    <m/>
    <n v="88.571428571428569"/>
    <n v="88"/>
    <n v="89"/>
    <n v="90"/>
    <n v="88"/>
    <n v="88"/>
    <n v="91"/>
    <n v="86"/>
    <n v="24"/>
    <n v="44568473"/>
    <n v="3714039.4166666665"/>
    <n v="0"/>
  </r>
  <r>
    <s v="Де Клерк Свен"/>
    <s v="П"/>
    <s v="ОПЗ"/>
    <s v="ЦПЗ"/>
    <m/>
    <m/>
    <s v="Бел"/>
    <s v="Бел"/>
    <x v="60"/>
    <x v="0"/>
    <m/>
    <n v="79.142857142857139"/>
    <n v="74"/>
    <n v="80"/>
    <n v="84"/>
    <n v="82"/>
    <n v="81"/>
    <n v="80"/>
    <n v="73"/>
    <n v="0"/>
    <n v="9640893"/>
    <n v="803407.75"/>
    <n v="0"/>
  </r>
  <r>
    <s v="Де Мол Яспер"/>
    <s v="П"/>
    <s v="ЛПЗ"/>
    <s v="ЦПЗ"/>
    <m/>
    <m/>
    <s v="Бел"/>
    <s v="Бел"/>
    <x v="60"/>
    <x v="0"/>
    <m/>
    <n v="76.571428571428569"/>
    <n v="72"/>
    <n v="81"/>
    <n v="78"/>
    <n v="80"/>
    <n v="76"/>
    <n v="80"/>
    <n v="69"/>
    <n v="0"/>
    <n v="6928952"/>
    <n v="577412.66666666663"/>
    <n v="0"/>
  </r>
  <r>
    <s v="Дульстранг (П)"/>
    <s v="П"/>
    <s v="ЦПЗ"/>
    <s v="ОПЗ"/>
    <s v="ППЗ"/>
    <s v="Бел"/>
    <s v="Бел"/>
    <s v="Бел"/>
    <x v="60"/>
    <x v="0"/>
    <m/>
    <n v="96.285714285714292"/>
    <n v="95"/>
    <n v="94"/>
    <n v="100"/>
    <n v="99"/>
    <n v="95"/>
    <n v="94"/>
    <n v="97"/>
    <n v="10"/>
    <n v="102732966"/>
    <n v="8561080.5"/>
    <n v="0"/>
  </r>
  <r>
    <s v="Люсье (П)"/>
    <s v="П"/>
    <s v="АПЗ"/>
    <s v="ЦПЗ"/>
    <m/>
    <s v="Вал"/>
    <s v="Вал"/>
    <s v="Вал"/>
    <x v="60"/>
    <x v="0"/>
    <m/>
    <n v="88.428571428571431"/>
    <n v="90"/>
    <n v="98"/>
    <n v="99"/>
    <n v="84"/>
    <n v="85"/>
    <n v="81"/>
    <n v="82"/>
    <n v="1"/>
    <n v="43854822"/>
    <n v="3654568.5"/>
    <n v="0"/>
  </r>
  <r>
    <s v="Пишелли (П)"/>
    <s v="П"/>
    <s v="ЦПЗ"/>
    <s v="ОПЗ"/>
    <s v="АПЗ"/>
    <s v="Ост"/>
    <s v="Ост"/>
    <s v="Ост"/>
    <x v="60"/>
    <x v="0"/>
    <m/>
    <n v="88.571428571428569"/>
    <n v="85"/>
    <n v="86"/>
    <n v="90"/>
    <n v="96"/>
    <n v="90"/>
    <n v="80"/>
    <n v="93"/>
    <n v="24"/>
    <n v="44568473"/>
    <n v="3714039.4166666665"/>
    <n v="0"/>
  </r>
  <r>
    <s v="Фальшер (П)"/>
    <s v="П"/>
    <s v="АПЗ"/>
    <s v="ППЗ"/>
    <s v="ЛПЗ"/>
    <s v="Ост"/>
    <s v="Ост"/>
    <s v="Ост"/>
    <x v="60"/>
    <x v="0"/>
    <m/>
    <n v="89.142857142857139"/>
    <n v="86"/>
    <n v="84"/>
    <n v="95"/>
    <n v="89"/>
    <n v="94"/>
    <n v="91"/>
    <n v="85"/>
    <n v="1"/>
    <n v="47528790"/>
    <n v="3960732.5"/>
    <n v="0"/>
  </r>
  <r>
    <s v="Гройшер"/>
    <s v="Т"/>
    <s v="Т"/>
    <m/>
    <m/>
    <m/>
    <s v="Бел"/>
    <s v="Бел"/>
    <x v="60"/>
    <x v="0"/>
    <m/>
    <n v="84"/>
    <n v="74"/>
    <n v="85"/>
    <n v="85"/>
    <n v="88"/>
    <n v="85"/>
    <n v="88"/>
    <n v="83"/>
    <n v="0"/>
    <n v="17490123"/>
    <n v="1457510.25"/>
    <n v="0"/>
  </r>
  <r>
    <s v="Варченко Игорь"/>
    <s v="В"/>
    <s v="В"/>
    <m/>
    <m/>
    <m/>
    <s v="В.И."/>
    <s v="В.И."/>
    <x v="61"/>
    <x v="0"/>
    <m/>
    <n v="72.857142857142861"/>
    <n v="29"/>
    <n v="78"/>
    <n v="82"/>
    <n v="86"/>
    <n v="88"/>
    <n v="92"/>
    <n v="55"/>
    <n v="0"/>
    <n v="4214261"/>
    <n v="351188.41666666669"/>
    <n v="0"/>
  </r>
  <r>
    <s v="Шогин"/>
    <s v="В"/>
    <s v="В"/>
    <m/>
    <m/>
    <s v="Черлесск"/>
    <s v="Черлесск"/>
    <s v="Черлесск"/>
    <x v="61"/>
    <x v="0"/>
    <m/>
    <n v="68.714285714285708"/>
    <n v="50"/>
    <n v="70"/>
    <n v="70"/>
    <n v="69"/>
    <n v="72"/>
    <n v="90"/>
    <n v="60"/>
    <n v="0"/>
    <n v="2346770"/>
    <n v="96076.833333333328"/>
    <n v="0"/>
  </r>
  <r>
    <s v="Актуба"/>
    <s v="З"/>
    <s v="ЦЗ"/>
    <s v="ПЗ"/>
    <m/>
    <s v="Нумб"/>
    <s v="Нумб"/>
    <s v="Нумб"/>
    <x v="61"/>
    <x v="0"/>
    <m/>
    <n v="72.142857142857139"/>
    <n v="40"/>
    <n v="70"/>
    <n v="84"/>
    <n v="70"/>
    <n v="78"/>
    <n v="93"/>
    <n v="70"/>
    <n v="0"/>
    <n v="3818857"/>
    <n v="318238.08333333331"/>
    <n v="0"/>
  </r>
  <r>
    <s v="Горват Милан"/>
    <s v="З"/>
    <s v="ЦЗ"/>
    <s v="ПЗ"/>
    <m/>
    <m/>
    <s v="В.И."/>
    <s v="В.И."/>
    <x v="61"/>
    <x v="0"/>
    <m/>
    <n v="66.571428571428569"/>
    <n v="23"/>
    <n v="75"/>
    <n v="68"/>
    <n v="82"/>
    <n v="83"/>
    <n v="87"/>
    <n v="48"/>
    <n v="0"/>
    <n v="1709539"/>
    <n v="142461.58333333334"/>
    <n v="0"/>
  </r>
  <r>
    <s v="Гот"/>
    <s v="З"/>
    <s v="ЦЗ"/>
    <m/>
    <m/>
    <s v="Шах"/>
    <s v="Шах"/>
    <s v="Шах"/>
    <x v="61"/>
    <x v="0"/>
    <m/>
    <n v="79.142857142857139"/>
    <n v="70"/>
    <n v="70"/>
    <n v="84"/>
    <n v="82"/>
    <n v="82"/>
    <n v="96"/>
    <n v="70"/>
    <n v="0"/>
    <n v="9640893"/>
    <n v="803407.75"/>
    <n v="0"/>
  </r>
  <r>
    <s v="Зборовский Ян"/>
    <s v="З"/>
    <s v="ЦЗ"/>
    <s v="ОПЗ"/>
    <m/>
    <m/>
    <s v="В.И."/>
    <s v="В.И."/>
    <x v="61"/>
    <x v="0"/>
    <m/>
    <n v="71.285714285714292"/>
    <n v="34"/>
    <n v="80"/>
    <n v="74"/>
    <n v="84"/>
    <n v="86"/>
    <n v="90"/>
    <n v="51"/>
    <n v="0"/>
    <n v="3388638"/>
    <n v="282386.5"/>
    <n v="0"/>
  </r>
  <r>
    <s v="Кабута Атти"/>
    <s v="З"/>
    <s v="ЦЗ"/>
    <m/>
    <m/>
    <m/>
    <s v="В.И."/>
    <s v="В.И."/>
    <x v="61"/>
    <x v="0"/>
    <m/>
    <n v="68.142857142857139"/>
    <n v="26"/>
    <n v="78"/>
    <n v="70"/>
    <n v="80"/>
    <n v="85"/>
    <n v="88"/>
    <n v="50"/>
    <n v="0"/>
    <n v="2158756"/>
    <n v="179896.33333333334"/>
    <n v="0"/>
  </r>
  <r>
    <s v="Кривой"/>
    <s v="З"/>
    <s v="ЦЗ"/>
    <m/>
    <m/>
    <s v="Туркан"/>
    <s v="В.И."/>
    <s v="В.И."/>
    <x v="61"/>
    <x v="0"/>
    <m/>
    <n v="76.857142857142861"/>
    <n v="65"/>
    <n v="70"/>
    <n v="78"/>
    <n v="80"/>
    <n v="81"/>
    <n v="91"/>
    <n v="73"/>
    <n v="0"/>
    <n v="7191879"/>
    <n v="599323.25"/>
    <n v="0"/>
  </r>
  <r>
    <s v="Флайфио"/>
    <s v="З"/>
    <s v="ЦЗ"/>
    <m/>
    <m/>
    <s v="В.И."/>
    <s v="В.И."/>
    <s v="В.И."/>
    <x v="61"/>
    <x v="0"/>
    <m/>
    <n v="79.857142857142861"/>
    <n v="70"/>
    <n v="70"/>
    <n v="92"/>
    <n v="72"/>
    <n v="85"/>
    <n v="90"/>
    <n v="80"/>
    <n v="26"/>
    <n v="15820819"/>
    <n v="1318401.5833333333"/>
    <n v="0"/>
  </r>
  <r>
    <s v="Штайгер Курт"/>
    <s v="З"/>
    <s v="ЦЗ"/>
    <s v="ОПЗ"/>
    <m/>
    <m/>
    <s v="В.И."/>
    <s v="В.И."/>
    <x v="61"/>
    <x v="0"/>
    <m/>
    <n v="68.142857142857139"/>
    <n v="26"/>
    <n v="78"/>
    <n v="70"/>
    <n v="80"/>
    <n v="85"/>
    <n v="88"/>
    <n v="50"/>
    <n v="0"/>
    <n v="2158756"/>
    <n v="179896.33333333334"/>
    <n v="0"/>
  </r>
  <r>
    <s v="Бьянки Марко"/>
    <s v="Н"/>
    <s v="ЦН"/>
    <s v="АПЗ"/>
    <m/>
    <m/>
    <s v="В.И."/>
    <s v="В.И."/>
    <x v="61"/>
    <x v="0"/>
    <m/>
    <n v="70.142857142857139"/>
    <n v="25"/>
    <n v="79"/>
    <n v="80"/>
    <n v="81"/>
    <n v="86"/>
    <n v="88"/>
    <n v="52"/>
    <n v="0"/>
    <n v="2882933"/>
    <n v="240244.41666666666"/>
    <n v="0"/>
  </r>
  <r>
    <s v="Варон"/>
    <s v="Н"/>
    <s v="ЦН"/>
    <s v="АПЗ"/>
    <m/>
    <s v="Ост"/>
    <s v="Ост"/>
    <s v="Ост"/>
    <x v="61"/>
    <x v="0"/>
    <m/>
    <n v="78.285714285714292"/>
    <n v="65"/>
    <n v="77"/>
    <n v="85"/>
    <n v="79"/>
    <n v="90"/>
    <n v="92"/>
    <n v="60"/>
    <n v="6"/>
    <n v="12969298"/>
    <n v="1080774.8333333333"/>
    <n v="0"/>
  </r>
  <r>
    <s v="Дельгадо Рауль"/>
    <s v="Н"/>
    <s v="ЦН"/>
    <s v="ОФ"/>
    <m/>
    <m/>
    <s v="В.И."/>
    <s v="В.И."/>
    <x v="61"/>
    <x v="0"/>
    <m/>
    <n v="75.142857142857139"/>
    <n v="37"/>
    <n v="85"/>
    <n v="84"/>
    <n v="83"/>
    <n v="89"/>
    <n v="91"/>
    <n v="57"/>
    <n v="0"/>
    <n v="5739540"/>
    <n v="478295"/>
    <n v="0"/>
  </r>
  <r>
    <s v="Оби (Н)"/>
    <s v="Н"/>
    <s v="ЦН"/>
    <m/>
    <m/>
    <s v="Мал"/>
    <s v="Мель"/>
    <s v="Мель"/>
    <x v="61"/>
    <x v="0"/>
    <m/>
    <n v="78.714285714285708"/>
    <n v="76"/>
    <n v="85"/>
    <n v="82"/>
    <n v="78"/>
    <n v="82"/>
    <n v="76"/>
    <n v="72"/>
    <n v="7"/>
    <n v="13697044"/>
    <n v="1141420.3333333333"/>
    <n v="0"/>
  </r>
  <r>
    <s v="Анардо (П)"/>
    <s v="П"/>
    <s v="ЛПЗ"/>
    <s v="ППЗ"/>
    <m/>
    <s v="Мал"/>
    <s v="В.И."/>
    <s v="В.И."/>
    <x v="61"/>
    <x v="0"/>
    <m/>
    <n v="73.571428571428569"/>
    <n v="50"/>
    <n v="90"/>
    <n v="76"/>
    <n v="80"/>
    <n v="73"/>
    <n v="78"/>
    <n v="68"/>
    <n v="0"/>
    <n v="4646136"/>
    <n v="387178"/>
    <n v="0"/>
  </r>
  <r>
    <s v="Гульсич (П)"/>
    <s v="П"/>
    <s v="ЦПЗ"/>
    <s v="АПЗ"/>
    <m/>
    <s v="Лес"/>
    <s v="Лес"/>
    <s v="Лес"/>
    <x v="61"/>
    <x v="0"/>
    <m/>
    <n v="84.571428571428569"/>
    <n v="80"/>
    <n v="83"/>
    <n v="91"/>
    <n v="86"/>
    <n v="84"/>
    <n v="85"/>
    <n v="83"/>
    <n v="21"/>
    <n v="28075528"/>
    <n v="2339627.3333333335"/>
    <n v="0"/>
  </r>
  <r>
    <s v="Дюбуа Луи"/>
    <s v="П"/>
    <s v="ЛПЗ"/>
    <s v="ОПЗ"/>
    <m/>
    <s v="Орех"/>
    <s v="Орех"/>
    <s v="Орех"/>
    <x v="61"/>
    <x v="0"/>
    <m/>
    <n v="68.285714285714292"/>
    <n v="22"/>
    <n v="86"/>
    <n v="70"/>
    <n v="82"/>
    <n v="84"/>
    <n v="85"/>
    <n v="49"/>
    <n v="0"/>
    <n v="2204442"/>
    <n v="183703.5"/>
    <n v="0"/>
  </r>
  <r>
    <s v="Лэммис Колин"/>
    <s v="П"/>
    <s v="ЦПЗ"/>
    <s v="АПЗ"/>
    <m/>
    <m/>
    <s v="В.И."/>
    <s v="В.И."/>
    <x v="61"/>
    <x v="0"/>
    <m/>
    <n v="72.857142857142861"/>
    <n v="33"/>
    <n v="81"/>
    <n v="78"/>
    <n v="88"/>
    <n v="89"/>
    <n v="87"/>
    <n v="54"/>
    <n v="0"/>
    <n v="4214261"/>
    <n v="351188.41666666669"/>
    <n v="0"/>
  </r>
  <r>
    <s v="Мизель (П)"/>
    <s v="П"/>
    <s v="ОПЗ"/>
    <s v="ЦПЗ"/>
    <s v="ЦЗ"/>
    <s v="Мох"/>
    <s v="Мох"/>
    <s v="Мох"/>
    <x v="61"/>
    <x v="0"/>
    <m/>
    <n v="74"/>
    <n v="69"/>
    <n v="71"/>
    <n v="82"/>
    <n v="73"/>
    <n v="83"/>
    <n v="76"/>
    <n v="64"/>
    <n v="0"/>
    <n v="4923991"/>
    <n v="410332.58333333331"/>
    <n v="0"/>
  </r>
  <r>
    <s v="Петров (П)"/>
    <s v="П"/>
    <s v="ОПЗ"/>
    <s v="ЦЗ"/>
    <s v="ЦПЗ"/>
    <s v="Мал"/>
    <s v="В.И."/>
    <s v="В.И."/>
    <x v="61"/>
    <x v="0"/>
    <m/>
    <n v="85.142857142857139"/>
    <n v="65"/>
    <n v="84"/>
    <n v="91"/>
    <n v="92"/>
    <n v="93"/>
    <n v="90"/>
    <n v="81"/>
    <n v="25"/>
    <n v="30031254"/>
    <n v="2502604.5"/>
    <n v="0"/>
  </r>
  <r>
    <s v="Смит Томас"/>
    <s v="П"/>
    <s v="ППЗ"/>
    <s v="АПЗ"/>
    <m/>
    <m/>
    <s v="В.И."/>
    <s v="В.И."/>
    <x v="61"/>
    <x v="0"/>
    <m/>
    <n v="66.428571428571431"/>
    <n v="21"/>
    <n v="88"/>
    <n v="66"/>
    <n v="80"/>
    <n v="81"/>
    <n v="83"/>
    <n v="46"/>
    <n v="0"/>
    <n v="1673205"/>
    <n v="139433.75"/>
    <n v="0"/>
  </r>
  <r>
    <s v="Георигий Зуб"/>
    <s v="Т"/>
    <s v="Т"/>
    <m/>
    <m/>
    <m/>
    <s v="Черлесск"/>
    <s v="Черлесск"/>
    <x v="61"/>
    <x v="0"/>
    <m/>
    <n v="79.857142857142861"/>
    <n v="80"/>
    <n v="83"/>
    <n v="75"/>
    <n v="76"/>
    <n v="89"/>
    <n v="96"/>
    <n v="60"/>
    <n v="0"/>
    <n v="10547213"/>
    <n v="878934.41666666663"/>
    <n v="0"/>
  </r>
  <r>
    <s v="Альфон (В)"/>
    <s v="В"/>
    <s v="В"/>
    <m/>
    <m/>
    <s v="Мох"/>
    <s v="Мох"/>
    <s v="Мох"/>
    <x v="62"/>
    <x v="0"/>
    <m/>
    <n v="74.571428571428569"/>
    <n v="62"/>
    <n v="70"/>
    <n v="80"/>
    <n v="74"/>
    <n v="83"/>
    <n v="81"/>
    <n v="72"/>
    <n v="0"/>
    <n v="5317710"/>
    <n v="443142.5"/>
    <n v="0"/>
  </r>
  <r>
    <s v="Мендоса Алонсо"/>
    <s v="В"/>
    <s v="В"/>
    <m/>
    <m/>
    <m/>
    <s v="В.И."/>
    <s v="В.И."/>
    <x v="62"/>
    <x v="0"/>
    <m/>
    <n v="70.285714285714292"/>
    <n v="31"/>
    <n v="76"/>
    <n v="80"/>
    <n v="83"/>
    <n v="86"/>
    <n v="87"/>
    <n v="49"/>
    <n v="0"/>
    <n v="2942190"/>
    <n v="245182.5"/>
    <n v="0"/>
  </r>
  <r>
    <s v="Аль-варис (З)"/>
    <s v="З"/>
    <s v="ЦЗ"/>
    <m/>
    <m/>
    <s v="Мал"/>
    <s v="В.И."/>
    <s v="В.И."/>
    <x v="62"/>
    <x v="0"/>
    <m/>
    <n v="70.285714285714292"/>
    <n v="50"/>
    <n v="70"/>
    <n v="71"/>
    <n v="73"/>
    <n v="78"/>
    <n v="80"/>
    <n v="70"/>
    <n v="0"/>
    <n v="2942190"/>
    <n v="245182.5"/>
    <n v="0"/>
  </r>
  <r>
    <s v="Варгаш Тадеуш"/>
    <s v="З"/>
    <s v="ЦЗ"/>
    <s v="ЛЗ"/>
    <m/>
    <m/>
    <s v="В.И."/>
    <s v="В.И."/>
    <x v="62"/>
    <x v="0"/>
    <m/>
    <n v="75.857142857142861"/>
    <n v="37"/>
    <n v="87"/>
    <n v="82"/>
    <n v="88"/>
    <n v="90"/>
    <n v="91"/>
    <n v="56"/>
    <n v="0"/>
    <n v="6309063"/>
    <n v="525755.25"/>
    <n v="0"/>
  </r>
  <r>
    <s v="Маттеос Дубон"/>
    <s v="З"/>
    <s v="ЦЗ"/>
    <m/>
    <m/>
    <m/>
    <s v="В.И."/>
    <s v="В.И."/>
    <x v="62"/>
    <x v="0"/>
    <m/>
    <n v="59.142857142857146"/>
    <n v="20"/>
    <n v="67"/>
    <n v="68"/>
    <n v="71"/>
    <n v="75"/>
    <n v="79"/>
    <n v="34"/>
    <n v="0"/>
    <n v="523629"/>
    <n v="43635.75"/>
    <n v="0"/>
  </r>
  <r>
    <s v="Лундквист Оле"/>
    <s v="З"/>
    <s v="ЦЗ"/>
    <m/>
    <m/>
    <m/>
    <s v="В.И."/>
    <s v="В.И."/>
    <x v="62"/>
    <x v="0"/>
    <m/>
    <n v="64.285714285714292"/>
    <n v="23"/>
    <n v="73"/>
    <n v="74"/>
    <n v="77"/>
    <n v="80"/>
    <n v="83"/>
    <n v="40"/>
    <n v="0"/>
    <n v="1205438"/>
    <n v="100453.16666666667"/>
    <n v="0"/>
  </r>
  <r>
    <s v="Штернберг Кай"/>
    <s v="З"/>
    <s v="ЦЗ"/>
    <s v="ОПЗ"/>
    <m/>
    <m/>
    <s v="В.И."/>
    <s v="В.И."/>
    <x v="62"/>
    <x v="0"/>
    <m/>
    <n v="67.142857142857139"/>
    <n v="25"/>
    <n v="74"/>
    <n v="78"/>
    <n v="81"/>
    <n v="84"/>
    <n v="86"/>
    <n v="42"/>
    <n v="0"/>
    <n v="1862080"/>
    <n v="155173.33333333334"/>
    <n v="0"/>
  </r>
  <r>
    <s v="Вагуе (Н)"/>
    <s v="Н"/>
    <s v="ЦН"/>
    <s v="ОФ"/>
    <s v="АПЗ"/>
    <s v="Кут"/>
    <s v="Кут"/>
    <s v="Кут"/>
    <x v="62"/>
    <x v="0"/>
    <m/>
    <n v="87.714285714285708"/>
    <n v="80"/>
    <n v="92"/>
    <n v="91"/>
    <n v="88"/>
    <n v="83"/>
    <n v="88"/>
    <n v="92"/>
    <n v="10"/>
    <n v="40438457"/>
    <n v="3369871.4166666665"/>
    <n v="0"/>
  </r>
  <r>
    <s v="Дрошта (Н)"/>
    <s v="Н"/>
    <s v="ЦН"/>
    <s v="АПЗ"/>
    <m/>
    <s v="Б.Л."/>
    <s v="Б.Л."/>
    <s v="Б.Л."/>
    <x v="62"/>
    <x v="0"/>
    <m/>
    <n v="82.142857142857139"/>
    <n v="70"/>
    <n v="86"/>
    <n v="88"/>
    <n v="81"/>
    <n v="84"/>
    <n v="88"/>
    <n v="78"/>
    <n v="7"/>
    <n v="20979219"/>
    <n v="1748268.25"/>
    <n v="0"/>
  </r>
  <r>
    <s v="Морено Хавьер"/>
    <s v="Н"/>
    <s v="ЦН"/>
    <s v="ОФ"/>
    <m/>
    <m/>
    <s v="В.И."/>
    <s v="В.И."/>
    <x v="62"/>
    <x v="0"/>
    <m/>
    <n v="76.142857142857139"/>
    <n v="33"/>
    <n v="91"/>
    <n v="88"/>
    <n v="87"/>
    <n v="89"/>
    <n v="92"/>
    <n v="53"/>
    <n v="0"/>
    <n v="6550761"/>
    <n v="545896.75"/>
    <n v="0"/>
  </r>
  <r>
    <s v="Сурсои (н)"/>
    <s v="Н"/>
    <s v="ОФ"/>
    <m/>
    <m/>
    <s v="Мал"/>
    <s v="В.И."/>
    <s v="В.И."/>
    <x v="62"/>
    <x v="0"/>
    <m/>
    <n v="76.142857142857139"/>
    <n v="65"/>
    <n v="86"/>
    <n v="78"/>
    <n v="80"/>
    <n v="79"/>
    <n v="75"/>
    <n v="70"/>
    <n v="3"/>
    <n v="9826141"/>
    <n v="818845.08333333337"/>
    <n v="0"/>
  </r>
  <r>
    <s v="Термианор"/>
    <s v="Н"/>
    <s v="ЦН"/>
    <s v="АПЗ"/>
    <m/>
    <s v="Биссий"/>
    <s v="Биссий"/>
    <s v="Биссий"/>
    <x v="62"/>
    <x v="0"/>
    <m/>
    <n v="72.571428571428569"/>
    <n v="50"/>
    <n v="80"/>
    <n v="86"/>
    <n v="75"/>
    <n v="82"/>
    <n v="93"/>
    <n v="42"/>
    <n v="6"/>
    <n v="6077823"/>
    <n v="506485.25"/>
    <n v="0"/>
  </r>
  <r>
    <s v="Берарди Лука"/>
    <s v="П"/>
    <s v="ОПЗ"/>
    <s v="ЦЗ"/>
    <m/>
    <m/>
    <s v="В.И."/>
    <s v="В.И."/>
    <x v="62"/>
    <x v="0"/>
    <m/>
    <n v="70.857142857142861"/>
    <n v="29"/>
    <n v="85"/>
    <n v="80"/>
    <n v="88"/>
    <n v="83"/>
    <n v="84"/>
    <n v="47"/>
    <n v="0"/>
    <n v="3190336"/>
    <n v="265861.33333333331"/>
    <n v="0"/>
  </r>
  <r>
    <s v="Газар Орсити"/>
    <s v="П"/>
    <s v="ЦПЗ"/>
    <s v="АПЗ"/>
    <s v="ОПЗ"/>
    <s v="Сув"/>
    <s v="В.И."/>
    <s v="В.И."/>
    <x v="62"/>
    <x v="0"/>
    <m/>
    <n v="70.142857142857139"/>
    <n v="65"/>
    <n v="76"/>
    <n v="76"/>
    <n v="70"/>
    <n v="77"/>
    <n v="83"/>
    <n v="44"/>
    <n v="0"/>
    <n v="2882933"/>
    <n v="240244.41666666666"/>
    <n v="0"/>
  </r>
  <r>
    <s v="Дювально Люк"/>
    <s v="П"/>
    <s v="ЛПЗ"/>
    <s v="ОПЗ"/>
    <m/>
    <m/>
    <s v="В.И."/>
    <s v="В.И."/>
    <x v="62"/>
    <x v="0"/>
    <m/>
    <n v="62.285714285714285"/>
    <n v="22"/>
    <n v="81"/>
    <n v="68"/>
    <n v="77"/>
    <n v="74"/>
    <n v="77"/>
    <n v="37"/>
    <n v="0"/>
    <n v="878789"/>
    <n v="73232.416666666672"/>
    <n v="0"/>
  </r>
  <r>
    <s v="Климов (П)"/>
    <s v="П"/>
    <s v="ОПЗ"/>
    <s v="ЦЗ"/>
    <m/>
    <s v="Сув"/>
    <s v="В.И."/>
    <s v="В.И."/>
    <x v="62"/>
    <x v="0"/>
    <m/>
    <n v="74.428571428571431"/>
    <n v="68"/>
    <n v="70"/>
    <n v="82"/>
    <n v="69"/>
    <n v="80"/>
    <n v="90"/>
    <n v="62"/>
    <n v="0"/>
    <n v="5216712"/>
    <n v="434726"/>
    <n v="0"/>
  </r>
  <r>
    <s v="Мали (П)"/>
    <s v="П"/>
    <s v="ЛПЗ"/>
    <s v="АПЗ"/>
    <m/>
    <s v="Туркан"/>
    <s v="Мель"/>
    <s v="Мель"/>
    <x v="62"/>
    <x v="0"/>
    <m/>
    <n v="79.285714285714292"/>
    <n v="75"/>
    <n v="93"/>
    <n v="78"/>
    <n v="80"/>
    <n v="82"/>
    <n v="77"/>
    <n v="70"/>
    <n v="22"/>
    <n v="14724505"/>
    <n v="1227042.0833333333"/>
    <n v="0"/>
  </r>
  <r>
    <s v="Новачек Лот"/>
    <s v="П"/>
    <s v="ЦПЗ"/>
    <s v="ОПЗ"/>
    <m/>
    <m/>
    <s v="В.И."/>
    <s v="В.И."/>
    <x v="62"/>
    <x v="0"/>
    <m/>
    <n v="61.285714285714285"/>
    <n v="21"/>
    <n v="71"/>
    <n v="72"/>
    <n v="75"/>
    <n v="76"/>
    <n v="78"/>
    <n v="36"/>
    <n v="0"/>
    <n v="747468"/>
    <n v="62289"/>
    <n v="0"/>
  </r>
  <r>
    <s v="Пейман"/>
    <s v="П"/>
    <s v="АПЗ"/>
    <m/>
    <m/>
    <s v="Генуа"/>
    <s v="Генуа"/>
    <s v="Генуа"/>
    <x v="62"/>
    <x v="0"/>
    <m/>
    <n v="64.428571428571431"/>
    <n v="50"/>
    <n v="70"/>
    <n v="74"/>
    <n v="73"/>
    <n v="71"/>
    <n v="73"/>
    <n v="40"/>
    <n v="0"/>
    <n v="1232495"/>
    <n v="102707.91666666667"/>
    <n v="0"/>
  </r>
  <r>
    <s v="Фицджеральд Шон"/>
    <s v="П"/>
    <s v="ППЗ"/>
    <s v="АПЗ"/>
    <m/>
    <m/>
    <s v="В.И."/>
    <s v="В.И."/>
    <x v="62"/>
    <x v="0"/>
    <m/>
    <n v="69.714285714285708"/>
    <n v="28"/>
    <n v="89"/>
    <n v="78"/>
    <n v="82"/>
    <n v="84"/>
    <n v="82"/>
    <n v="45"/>
    <n v="0"/>
    <n v="2711552"/>
    <n v="225962.66666666666"/>
    <n v="0"/>
  </r>
  <r>
    <s v="Энрики (П)"/>
    <s v="П"/>
    <s v="ППЗ"/>
    <s v="ОПЗ"/>
    <m/>
    <s v="Генуа"/>
    <s v="Эстл"/>
    <s v="Эстл"/>
    <x v="62"/>
    <x v="0"/>
    <m/>
    <n v="79.714285714285708"/>
    <n v="75"/>
    <n v="89"/>
    <n v="83"/>
    <n v="85"/>
    <n v="83"/>
    <n v="78"/>
    <n v="65"/>
    <n v="23"/>
    <n v="15540066"/>
    <n v="1295005.5"/>
    <n v="0"/>
  </r>
  <r>
    <s v="Сёренсен Нильс"/>
    <s v="Т"/>
    <s v="Т"/>
    <m/>
    <m/>
    <m/>
    <s v="В.И."/>
    <s v="В.И."/>
    <x v="62"/>
    <x v="0"/>
    <m/>
    <n v="65.714285714285708"/>
    <n v="24"/>
    <n v="79"/>
    <n v="74"/>
    <n v="81"/>
    <n v="78"/>
    <n v="81"/>
    <n v="43"/>
    <n v="0"/>
    <n v="1501751"/>
    <n v="125145.91666666667"/>
    <n v="0"/>
  </r>
  <r>
    <s v="Икелен (В)"/>
    <s v="В"/>
    <s v="В"/>
    <m/>
    <m/>
    <s v="Вал"/>
    <s v="Вал"/>
    <s v="Вал"/>
    <x v="63"/>
    <x v="0"/>
    <m/>
    <n v="94.142857142857139"/>
    <n v="96"/>
    <n v="99"/>
    <n v="89"/>
    <n v="90"/>
    <n v="96"/>
    <n v="95"/>
    <n v="94"/>
    <n v="29"/>
    <n v="82028545"/>
    <n v="6835712.083333333"/>
    <n v="0"/>
  </r>
  <r>
    <s v="Ахти-Аласи"/>
    <s v="З"/>
    <s v="ЛЗ"/>
    <s v="ПЗ"/>
    <m/>
    <m/>
    <s v="В.И."/>
    <s v="В.И."/>
    <x v="63"/>
    <x v="0"/>
    <m/>
    <n v="73"/>
    <n v="31"/>
    <n v="90"/>
    <n v="74"/>
    <n v="81"/>
    <n v="76"/>
    <n v="74"/>
    <n v="85"/>
    <n v="26"/>
    <n v="6446439"/>
    <n v="537203.25"/>
    <n v="0"/>
  </r>
  <r>
    <s v="Гранлунд "/>
    <s v="З"/>
    <s v="ЛЗ"/>
    <s v="ОПЗ"/>
    <s v="ЦЗ"/>
    <s v="В.И."/>
    <s v="В.И."/>
    <s v="В.И."/>
    <x v="63"/>
    <x v="0"/>
    <m/>
    <n v="93.142857142857139"/>
    <n v="90"/>
    <n v="96"/>
    <n v="90"/>
    <n v="95"/>
    <n v="92"/>
    <n v="91"/>
    <n v="98"/>
    <n v="18"/>
    <n v="73720253"/>
    <n v="6143354.416666667"/>
    <n v="0"/>
  </r>
  <r>
    <s v="Йорвуд Гарз"/>
    <s v="З"/>
    <s v="ЦЗ"/>
    <s v="ЛЗ"/>
    <m/>
    <m/>
    <s v="В.И."/>
    <s v="В.И."/>
    <x v="63"/>
    <x v="0"/>
    <m/>
    <n v="77"/>
    <n v="33"/>
    <n v="85"/>
    <n v="88"/>
    <n v="89"/>
    <n v="85"/>
    <n v="84"/>
    <n v="75"/>
    <n v="26"/>
    <n v="10990021"/>
    <n v="915835.08333333337"/>
    <n v="0"/>
  </r>
  <r>
    <s v="Коршер Жоб"/>
    <s v="З"/>
    <s v="ЦЗ"/>
    <s v="ПЗ"/>
    <m/>
    <m/>
    <s v="В.И."/>
    <s v="В.И."/>
    <x v="63"/>
    <x v="0"/>
    <m/>
    <n v="72.571428571428569"/>
    <n v="41"/>
    <n v="78"/>
    <n v="70"/>
    <n v="80"/>
    <n v="88"/>
    <n v="76"/>
    <n v="75"/>
    <n v="26"/>
    <n v="6077823"/>
    <n v="506485.25"/>
    <n v="0"/>
  </r>
  <r>
    <s v="Нани"/>
    <s v="З"/>
    <s v="ПЗ"/>
    <s v="ЛЗ"/>
    <m/>
    <s v="Черлесск"/>
    <s v="Лион"/>
    <s v="Лион"/>
    <x v="63"/>
    <x v="0"/>
    <m/>
    <n v="90.714285714285708"/>
    <n v="90"/>
    <n v="95"/>
    <n v="89"/>
    <n v="93"/>
    <n v="90"/>
    <n v="88"/>
    <n v="90"/>
    <n v="18"/>
    <n v="56604129"/>
    <n v="4717010.75"/>
    <n v="0"/>
  </r>
  <r>
    <s v="Оскар"/>
    <s v="З"/>
    <s v="ЦЗ"/>
    <s v="ОПЗ"/>
    <m/>
    <s v="Над"/>
    <s v="Над"/>
    <s v="Над"/>
    <x v="63"/>
    <x v="0"/>
    <m/>
    <n v="92.285714285714292"/>
    <n v="89"/>
    <n v="83"/>
    <n v="95"/>
    <n v="96"/>
    <n v="98"/>
    <n v="95"/>
    <n v="90"/>
    <n v="1"/>
    <n v="67210332"/>
    <n v="5600861"/>
    <n v="0"/>
  </r>
  <r>
    <s v="Щербак"/>
    <s v="З"/>
    <s v="ПЗ"/>
    <s v="ЛЗ"/>
    <s v="ЦЗ"/>
    <s v="Н.С."/>
    <s v="Н.С."/>
    <s v="Н.С."/>
    <x v="63"/>
    <x v="0"/>
    <m/>
    <n v="92"/>
    <n v="90"/>
    <n v="85"/>
    <n v="98"/>
    <n v="97"/>
    <n v="96"/>
    <n v="84"/>
    <n v="94"/>
    <n v="1"/>
    <n v="65158269"/>
    <n v="5429855.75"/>
    <n v="0"/>
  </r>
  <r>
    <s v="Данза "/>
    <s v="Н"/>
    <s v="ЦН"/>
    <m/>
    <m/>
    <s v="В.И."/>
    <s v="В.И."/>
    <s v="В.И."/>
    <x v="63"/>
    <x v="0"/>
    <m/>
    <n v="95.142857142857139"/>
    <n v="97"/>
    <n v="88"/>
    <n v="99"/>
    <n v="93"/>
    <n v="97"/>
    <n v="100"/>
    <n v="92"/>
    <n v="6"/>
    <n v="91170252"/>
    <n v="7597521"/>
    <n v="0"/>
  </r>
  <r>
    <s v="Ларно"/>
    <s v="Н"/>
    <s v="ОФ"/>
    <s v="ЛПЗ"/>
    <m/>
    <s v="Турн"/>
    <s v="Турн"/>
    <s v="Турн"/>
    <x v="63"/>
    <x v="0"/>
    <m/>
    <n v="94.428571428571431"/>
    <n v="93"/>
    <n v="99"/>
    <n v="90"/>
    <n v="98"/>
    <n v="98"/>
    <n v="84"/>
    <n v="99"/>
    <n v="20"/>
    <n v="84552306"/>
    <n v="7046025.5"/>
    <n v="0"/>
  </r>
  <r>
    <s v="Лоо (Н)"/>
    <s v="Н"/>
    <s v="ЦН"/>
    <s v="ОФ"/>
    <m/>
    <s v="Ч.Л."/>
    <s v="Ч.Л."/>
    <s v="Ч.Л."/>
    <x v="63"/>
    <x v="0"/>
    <m/>
    <n v="89.571428571428569"/>
    <n v="85"/>
    <n v="98"/>
    <n v="90"/>
    <n v="85"/>
    <n v="93"/>
    <n v="86"/>
    <n v="90"/>
    <n v="20"/>
    <n v="49863903"/>
    <n v="4155325.25"/>
    <n v="0"/>
  </r>
  <r>
    <s v="Найкер"/>
    <s v="Н"/>
    <s v="ОФ"/>
    <s v="ЦН"/>
    <m/>
    <s v="Лин"/>
    <s v="Лин"/>
    <s v="Лин"/>
    <x v="63"/>
    <x v="0"/>
    <m/>
    <n v="95.571428571428569"/>
    <n v="97"/>
    <n v="100"/>
    <n v="96"/>
    <n v="98"/>
    <n v="93"/>
    <n v="85"/>
    <n v="100"/>
    <n v="10"/>
    <n v="95361273"/>
    <n v="7946772.75"/>
    <n v="0"/>
  </r>
  <r>
    <s v="Анн (П)"/>
    <s v="П"/>
    <s v="ЦПЗ"/>
    <s v="ЛПЗ"/>
    <m/>
    <s v="Вар"/>
    <s v="Вар"/>
    <s v="Вар"/>
    <x v="63"/>
    <x v="0"/>
    <m/>
    <n v="94.142857142857139"/>
    <n v="93"/>
    <n v="95"/>
    <n v="95"/>
    <n v="96"/>
    <n v="90"/>
    <n v="92"/>
    <n v="98"/>
    <n v="10"/>
    <n v="82028545"/>
    <n v="6835712.083333333"/>
    <n v="0"/>
  </r>
  <r>
    <s v="Базурин (П)"/>
    <s v="П"/>
    <s v="АПЗ"/>
    <s v="ЦН"/>
    <s v="ЛПЗ"/>
    <s v="Вор"/>
    <s v="Вор"/>
    <s v="Вор"/>
    <x v="63"/>
    <x v="0"/>
    <m/>
    <n v="97.571428571428569"/>
    <n v="98"/>
    <n v="94"/>
    <n v="100"/>
    <n v="100"/>
    <n v="95"/>
    <n v="96"/>
    <n v="100"/>
    <n v="10"/>
    <n v="117305371"/>
    <n v="9775447.583333334"/>
    <n v="0"/>
  </r>
  <r>
    <s v="Гази"/>
    <s v="П"/>
    <s v="ЛПЗ"/>
    <s v="ОПЗ"/>
    <s v="ЦПЗ"/>
    <s v="В.И."/>
    <s v="В.И."/>
    <s v="В.И."/>
    <x v="63"/>
    <x v="0"/>
    <m/>
    <n v="94.285714285714292"/>
    <n v="97"/>
    <n v="100"/>
    <n v="96"/>
    <n v="95"/>
    <n v="91"/>
    <n v="87"/>
    <n v="94"/>
    <n v="23"/>
    <n v="83281822"/>
    <n v="6940151.833333333"/>
    <n v="0"/>
  </r>
  <r>
    <s v="Кэшик (П)"/>
    <s v="П"/>
    <s v="ЦПЗ"/>
    <s v="ЛПЗ"/>
    <s v="ППЗ"/>
    <s v="Сул"/>
    <s v="Сул"/>
    <s v="Сул"/>
    <x v="63"/>
    <x v="0"/>
    <m/>
    <n v="91.428571428571431"/>
    <n v="88"/>
    <n v="86"/>
    <n v="96"/>
    <n v="94"/>
    <n v="96"/>
    <n v="89"/>
    <n v="91"/>
    <n v="19"/>
    <n v="61222435"/>
    <n v="5101869.583333333"/>
    <n v="0"/>
  </r>
  <r>
    <s v="Лесандро (П)"/>
    <s v="П"/>
    <s v="ЛПЗ"/>
    <s v="ЦПЗ"/>
    <m/>
    <s v="А.Н."/>
    <s v="А.Н."/>
    <s v="А.Н."/>
    <x v="63"/>
    <x v="0"/>
    <m/>
    <n v="88.142857142857139"/>
    <n v="84"/>
    <n v="97"/>
    <n v="83"/>
    <n v="88"/>
    <n v="93"/>
    <n v="82"/>
    <n v="90"/>
    <n v="3"/>
    <n v="42458291"/>
    <n v="3538190.9166666665"/>
    <n v="0"/>
  </r>
  <r>
    <s v="Шукан Йерг"/>
    <s v="П"/>
    <s v="ОПЗ"/>
    <s v="ЦПЗ"/>
    <m/>
    <m/>
    <s v="В.И."/>
    <s v="В.И."/>
    <x v="63"/>
    <x v="0"/>
    <m/>
    <n v="70.714285714285708"/>
    <n v="40"/>
    <n v="72"/>
    <n v="78"/>
    <n v="72"/>
    <n v="85"/>
    <n v="71"/>
    <n v="77"/>
    <n v="26"/>
    <n v="4689893"/>
    <n v="390824.41666666669"/>
    <n v="0"/>
  </r>
  <r>
    <s v="Ридел"/>
    <s v="П"/>
    <s v="ЦПЗ"/>
    <s v="ЛПЗ"/>
    <s v="АПЗ"/>
    <s v="Сув"/>
    <s v="В.И."/>
    <s v="В.И."/>
    <x v="63"/>
    <x v="0"/>
    <m/>
    <n v="90.285714285714292"/>
    <n v="89"/>
    <n v="88"/>
    <n v="91"/>
    <n v="96"/>
    <n v="89"/>
    <n v="90"/>
    <n v="89"/>
    <n v="22"/>
    <n v="53986062"/>
    <n v="4498838.5"/>
    <n v="0"/>
  </r>
  <r>
    <s v="Твитич (П)"/>
    <s v="П"/>
    <s v="АПЗ"/>
    <s v="ЦПЗ"/>
    <s v="ЦН"/>
    <s v="Турн"/>
    <s v="Турн"/>
    <s v="Турн"/>
    <x v="63"/>
    <x v="0"/>
    <m/>
    <n v="93.285714285714292"/>
    <n v="95"/>
    <n v="85"/>
    <n v="100"/>
    <n v="92"/>
    <n v="93"/>
    <n v="92"/>
    <n v="96"/>
    <n v="21"/>
    <n v="74858768"/>
    <n v="6238230.666666667"/>
    <n v="0"/>
  </r>
  <r>
    <s v="Фермали Туля"/>
    <s v="П"/>
    <s v="ОПЗ"/>
    <s v="ЦПЗ"/>
    <m/>
    <m/>
    <s v="В.И."/>
    <s v="В.И."/>
    <x v="63"/>
    <x v="0"/>
    <m/>
    <n v="77.285714285714292"/>
    <n v="34"/>
    <n v="86"/>
    <n v="89"/>
    <n v="86"/>
    <n v="83"/>
    <n v="84"/>
    <n v="79"/>
    <n v="26"/>
    <n v="11404691"/>
    <n v="950390.91666666663"/>
    <n v="0"/>
  </r>
  <r>
    <s v="Хлопшев Эх"/>
    <s v="П"/>
    <s v="ОПЗ"/>
    <s v="ЦПЗ"/>
    <m/>
    <m/>
    <s v="В.И."/>
    <s v="В.И."/>
    <x v="63"/>
    <x v="0"/>
    <m/>
    <n v="75.142857142857139"/>
    <n v="37"/>
    <n v="74"/>
    <n v="85"/>
    <n v="75"/>
    <n v="86"/>
    <n v="89"/>
    <n v="80"/>
    <n v="26"/>
    <n v="8609310"/>
    <n v="717442.5"/>
    <n v="0"/>
  </r>
  <r>
    <s v="Ойл"/>
    <s v="Т"/>
    <s v="Т"/>
    <m/>
    <m/>
    <m/>
    <s v="Кирп"/>
    <s v="Кирп"/>
    <x v="63"/>
    <x v="0"/>
    <m/>
    <n v="93"/>
    <n v="96"/>
    <n v="96"/>
    <n v="90"/>
    <n v="93"/>
    <n v="94"/>
    <n v="89"/>
    <n v="93"/>
    <n v="0"/>
    <n v="48398231"/>
    <n v="4033185.9166666665"/>
    <n v="0"/>
  </r>
  <r>
    <s v="Забеков"/>
    <s v="З"/>
    <s v="ЛЗ"/>
    <s v="ЦЗ"/>
    <m/>
    <s v="Кут"/>
    <s v="Кут"/>
    <s v="Кут"/>
    <x v="64"/>
    <x v="5"/>
    <m/>
    <n v="91.428571428571431"/>
    <n v="87"/>
    <n v="93"/>
    <n v="92"/>
    <n v="94"/>
    <n v="90"/>
    <n v="89"/>
    <n v="95"/>
    <n v="24"/>
    <n v="61222435"/>
    <n v="5101869.583333333"/>
    <n v="0"/>
  </r>
  <r>
    <s v="Базель"/>
    <s v="П"/>
    <s v="АПЗ"/>
    <s v="ППЗ"/>
    <s v="ЦН"/>
    <s v="С.К."/>
    <s v="С.К."/>
    <s v="С.К."/>
    <x v="64"/>
    <x v="5"/>
    <m/>
    <n v="96.857142857142861"/>
    <n v="100"/>
    <n v="93"/>
    <n v="100"/>
    <n v="100"/>
    <n v="97"/>
    <n v="88"/>
    <n v="100"/>
    <n v="13"/>
    <n v="108995307"/>
    <n v="9082942.25"/>
    <n v="0"/>
  </r>
  <r>
    <s v="Дробыш "/>
    <s v="Н"/>
    <s v="ЦН"/>
    <s v="ОФ"/>
    <m/>
    <s v="Над"/>
    <s v="Над"/>
    <s v="Над"/>
    <x v="65"/>
    <x v="3"/>
    <m/>
    <n v="94.857142857142861"/>
    <n v="100"/>
    <n v="96"/>
    <n v="97"/>
    <n v="96"/>
    <n v="90"/>
    <n v="90"/>
    <n v="95"/>
    <n v="13"/>
    <n v="88469109"/>
    <n v="7372425.75"/>
    <n v="0"/>
  </r>
  <r>
    <s v="Фелиппе "/>
    <s v="Н"/>
    <s v="ОФ"/>
    <s v="АПЗ"/>
    <s v="ЛПЗ"/>
    <s v="Сув"/>
    <s v="В.И."/>
    <s v="В.И."/>
    <x v="65"/>
    <x v="3"/>
    <m/>
    <n v="87.714285714285708"/>
    <n v="85"/>
    <n v="87"/>
    <n v="89"/>
    <n v="91"/>
    <n v="84"/>
    <n v="86"/>
    <n v="92"/>
    <n v="17"/>
    <n v="40438457"/>
    <n v="3369871.4166666665"/>
    <n v="0"/>
  </r>
  <r>
    <s v="Бруздал Рэйм"/>
    <s v="В"/>
    <s v="В"/>
    <m/>
    <m/>
    <m/>
    <s v="Переп"/>
    <s v="Переп"/>
    <x v="66"/>
    <x v="0"/>
    <m/>
    <n v="31.571428571428573"/>
    <n v="8"/>
    <n v="40"/>
    <n v="34"/>
    <n v="38"/>
    <n v="40"/>
    <n v="42"/>
    <n v="19"/>
    <n v="0"/>
    <n v="984"/>
    <n v="82"/>
    <n v="0"/>
  </r>
  <r>
    <s v="Курташ Остак"/>
    <s v="В"/>
    <s v="В"/>
    <m/>
    <m/>
    <m/>
    <s v="Переп"/>
    <s v="Переп"/>
    <x v="66"/>
    <x v="0"/>
    <m/>
    <n v="35.428571428571431"/>
    <n v="10"/>
    <n v="46"/>
    <n v="38"/>
    <n v="42"/>
    <n v="44"/>
    <n v="46"/>
    <n v="22"/>
    <n v="0"/>
    <n v="3116"/>
    <n v="259.66666666666669"/>
    <n v="0"/>
  </r>
  <r>
    <s v="Хаген Останис"/>
    <s v="В"/>
    <s v="В"/>
    <m/>
    <m/>
    <m/>
    <s v="Переп"/>
    <s v="Переп"/>
    <x v="66"/>
    <x v="0"/>
    <m/>
    <n v="31.857142857142858"/>
    <n v="8"/>
    <n v="42"/>
    <n v="34"/>
    <n v="38"/>
    <n v="40"/>
    <n v="42"/>
    <n v="19"/>
    <n v="0"/>
    <n v="1077"/>
    <n v="89.75"/>
    <n v="0"/>
  </r>
  <r>
    <s v="Дунмал Роймунд"/>
    <s v="З"/>
    <s v="ЦЗ"/>
    <s v="ЛЗ"/>
    <m/>
    <m/>
    <s v="Переп"/>
    <s v="Переп"/>
    <x v="66"/>
    <x v="0"/>
    <m/>
    <n v="39.142857142857146"/>
    <n v="12"/>
    <n v="52"/>
    <n v="42"/>
    <n v="46"/>
    <n v="48"/>
    <n v="50"/>
    <n v="24"/>
    <n v="0"/>
    <n v="8444"/>
    <n v="703.66666666666663"/>
    <n v="0"/>
  </r>
  <r>
    <s v="Кравел Люкас"/>
    <s v="З"/>
    <s v="ЦЗ"/>
    <s v="ОПЗ"/>
    <m/>
    <m/>
    <s v="Переп"/>
    <s v="Переп"/>
    <x v="66"/>
    <x v="0"/>
    <m/>
    <n v="28.142857142857142"/>
    <n v="6"/>
    <n v="36"/>
    <n v="30"/>
    <n v="34"/>
    <n v="36"/>
    <n v="38"/>
    <n v="17"/>
    <n v="0"/>
    <n v="312"/>
    <n v="26"/>
    <n v="0"/>
  </r>
  <r>
    <s v="Линдрум Кириан"/>
    <s v="З"/>
    <s v="ЛЗ"/>
    <s v="ЦЗ"/>
    <m/>
    <m/>
    <s v="Переп"/>
    <s v="Переп"/>
    <x v="66"/>
    <x v="0"/>
    <m/>
    <n v="37.428571428571431"/>
    <n v="11"/>
    <n v="50"/>
    <n v="40"/>
    <n v="44"/>
    <n v="46"/>
    <n v="48"/>
    <n v="23"/>
    <n v="0"/>
    <n v="5396"/>
    <n v="449.66666666666669"/>
    <n v="0"/>
  </r>
  <r>
    <s v="Стрыжа Тимон"/>
    <s v="З"/>
    <s v="ПЗ"/>
    <s v="ЦЗ"/>
    <m/>
    <m/>
    <s v="Переп"/>
    <s v="Переп"/>
    <x v="66"/>
    <x v="0"/>
    <m/>
    <n v="35.142857142857146"/>
    <n v="9"/>
    <n v="46"/>
    <n v="38"/>
    <n v="42"/>
    <n v="44"/>
    <n v="46"/>
    <n v="21"/>
    <n v="0"/>
    <n v="2874"/>
    <n v="239.5"/>
    <n v="0"/>
  </r>
  <r>
    <s v="Хвал Ян"/>
    <s v="З"/>
    <s v="ПЗ"/>
    <s v="ЛЗ"/>
    <m/>
    <m/>
    <s v="Переп"/>
    <s v="Переп"/>
    <x v="66"/>
    <x v="0"/>
    <m/>
    <n v="31.285714285714285"/>
    <n v="7"/>
    <n v="40"/>
    <n v="34"/>
    <n v="38"/>
    <n v="40"/>
    <n v="42"/>
    <n v="18"/>
    <n v="0"/>
    <n v="899"/>
    <n v="74.916666666666671"/>
    <n v="0"/>
  </r>
  <r>
    <s v="Дорзуг Даниэль"/>
    <s v="Н"/>
    <s v="ОФ"/>
    <s v="ЦН"/>
    <m/>
    <m/>
    <s v="Переп"/>
    <s v="Переп"/>
    <x v="66"/>
    <x v="0"/>
    <m/>
    <n v="42.571428571428569"/>
    <n v="14"/>
    <n v="56"/>
    <n v="46"/>
    <n v="50"/>
    <n v="52"/>
    <n v="54"/>
    <n v="26"/>
    <n v="0"/>
    <n v="19552"/>
    <n v="1629.3333333333333"/>
    <n v="0"/>
  </r>
  <r>
    <s v="Пеллегрин Эрлик"/>
    <s v="Н"/>
    <s v="ОФ"/>
    <s v="ЦН"/>
    <m/>
    <m/>
    <s v="Переп"/>
    <s v="Переп"/>
    <x v="66"/>
    <x v="0"/>
    <m/>
    <n v="36.142857142857146"/>
    <n v="10"/>
    <n v="46"/>
    <n v="38"/>
    <n v="44"/>
    <n v="46"/>
    <n v="48"/>
    <n v="21"/>
    <n v="0"/>
    <n v="3804"/>
    <n v="317"/>
    <n v="0"/>
  </r>
  <r>
    <s v="Туров Аальд"/>
    <s v="Н"/>
    <s v="ЦН"/>
    <s v="ОФ"/>
    <m/>
    <m/>
    <s v="Переп"/>
    <s v="Переп"/>
    <x v="66"/>
    <x v="0"/>
    <m/>
    <n v="55.428571428571431"/>
    <n v="18"/>
    <n v="70"/>
    <n v="62"/>
    <n v="64"/>
    <n v="66"/>
    <n v="68"/>
    <n v="40"/>
    <n v="0"/>
    <n v="273740"/>
    <n v="22811.666666666668"/>
    <n v="0"/>
  </r>
  <r>
    <s v="Бьянко Кайус"/>
    <s v="П"/>
    <s v="АПЗ"/>
    <s v="ЦПЗ"/>
    <m/>
    <m/>
    <s v="Переп"/>
    <s v="Переп"/>
    <x v="66"/>
    <x v="0"/>
    <m/>
    <n v="28"/>
    <n v="6"/>
    <n v="36"/>
    <n v="30"/>
    <n v="34"/>
    <n v="36"/>
    <n v="38"/>
    <n v="16"/>
    <n v="0"/>
    <n v="297"/>
    <n v="24.75"/>
    <n v="0"/>
  </r>
  <r>
    <s v="Вернин Мэйсон"/>
    <s v="П"/>
    <s v="ЦПЗ"/>
    <s v="ОПЗ"/>
    <m/>
    <m/>
    <s v="Переп"/>
    <s v="Переп"/>
    <x v="66"/>
    <x v="0"/>
    <m/>
    <n v="40.857142857142854"/>
    <n v="13"/>
    <n v="54"/>
    <n v="44"/>
    <n v="48"/>
    <n v="50"/>
    <n v="52"/>
    <n v="25"/>
    <n v="0"/>
    <n v="12963"/>
    <n v="1080.25"/>
    <n v="0"/>
  </r>
  <r>
    <s v="Горван Полус"/>
    <s v="П"/>
    <s v="АПЗ"/>
    <s v="ЛПЗ"/>
    <m/>
    <m/>
    <s v="Переп"/>
    <s v="Переп"/>
    <x v="66"/>
    <x v="0"/>
    <m/>
    <n v="36.571428571428569"/>
    <n v="10"/>
    <n v="48"/>
    <n v="38"/>
    <n v="44"/>
    <n v="46"/>
    <n v="48"/>
    <n v="22"/>
    <n v="0"/>
    <n v="4280"/>
    <n v="356.66666666666669"/>
    <n v="0"/>
  </r>
  <r>
    <s v="Курпас"/>
    <s v="П"/>
    <s v="ЦПЗ"/>
    <s v="ОПЗ"/>
    <m/>
    <m/>
    <s v="Переп"/>
    <s v="Переп"/>
    <x v="66"/>
    <x v="0"/>
    <m/>
    <n v="43.714285714285715"/>
    <n v="15"/>
    <n v="42"/>
    <n v="53"/>
    <n v="52"/>
    <n v="60"/>
    <n v="63"/>
    <n v="21"/>
    <n v="0"/>
    <n v="25483"/>
    <n v="2123.5833333333335"/>
    <n v="0"/>
  </r>
  <r>
    <s v="Моржан Дариус"/>
    <s v="П"/>
    <s v="ОПЗ"/>
    <s v="ЦПЗ"/>
    <m/>
    <m/>
    <s v="Переп"/>
    <s v="Переп"/>
    <x v="66"/>
    <x v="0"/>
    <m/>
    <n v="34.428571428571431"/>
    <n v="9"/>
    <n v="44"/>
    <n v="36"/>
    <n v="42"/>
    <n v="44"/>
    <n v="46"/>
    <n v="20"/>
    <n v="0"/>
    <n v="2340"/>
    <n v="195"/>
    <n v="0"/>
  </r>
  <r>
    <s v="Салмин Оквал"/>
    <s v="П"/>
    <s v="ППЗ"/>
    <s v="АПЗ"/>
    <m/>
    <m/>
    <s v="Переп"/>
    <s v="Переп"/>
    <x v="66"/>
    <x v="0"/>
    <m/>
    <n v="38.285714285714285"/>
    <n v="11"/>
    <n v="50"/>
    <n v="40"/>
    <n v="46"/>
    <n v="48"/>
    <n v="50"/>
    <n v="23"/>
    <n v="0"/>
    <n v="6767"/>
    <n v="563.91666666666663"/>
    <n v="0"/>
  </r>
  <r>
    <s v="Краб Ксавьер"/>
    <s v="П"/>
    <s v="ППЗ"/>
    <s v="АПЗ"/>
    <m/>
    <m/>
    <s v="Переп"/>
    <s v="Переп"/>
    <x v="66"/>
    <x v="0"/>
    <m/>
    <n v="52.142857142857146"/>
    <n v="15"/>
    <n v="64"/>
    <n v="58"/>
    <n v="62"/>
    <n v="64"/>
    <n v="66"/>
    <n v="36"/>
    <n v="0"/>
    <n v="148576"/>
    <n v="12381.333333333334"/>
    <n v="0"/>
  </r>
  <r>
    <s v="Соловко Станис"/>
    <s v="П"/>
    <s v="ЛПЗ"/>
    <s v="ОПЗ"/>
    <m/>
    <m/>
    <s v="Переп"/>
    <s v="Переп"/>
    <x v="66"/>
    <x v="0"/>
    <m/>
    <n v="29.857142857142858"/>
    <n v="7"/>
    <n v="38"/>
    <n v="32"/>
    <n v="36"/>
    <n v="38"/>
    <n v="40"/>
    <n v="18"/>
    <n v="0"/>
    <n v="563"/>
    <n v="46.916666666666664"/>
    <n v="0"/>
  </r>
  <r>
    <s v="Жмунд Элдок"/>
    <s v="Т"/>
    <s v="Т"/>
    <m/>
    <m/>
    <m/>
    <s v="Переп"/>
    <s v="Переп"/>
    <x v="66"/>
    <x v="0"/>
    <m/>
    <n v="33.571428571428569"/>
    <n v="9"/>
    <n v="44"/>
    <n v="36"/>
    <n v="40"/>
    <n v="42"/>
    <n v="44"/>
    <n v="20"/>
    <n v="0"/>
    <n v="1819"/>
    <n v="151.58333333333334"/>
    <n v="0"/>
  </r>
  <r>
    <s v="Думбаж"/>
    <s v="В"/>
    <s v="В"/>
    <m/>
    <m/>
    <s v="Хан"/>
    <s v="Хан"/>
    <s v="Хан"/>
    <x v="67"/>
    <x v="0"/>
    <m/>
    <n v="59.142857142857146"/>
    <n v="30"/>
    <n v="83"/>
    <n v="77"/>
    <n v="55"/>
    <n v="61"/>
    <n v="72"/>
    <n v="36"/>
    <n v="0"/>
    <n v="523629"/>
    <n v="43635.75"/>
    <n v="0"/>
  </r>
  <r>
    <s v="Эрд Богр"/>
    <s v="В"/>
    <s v="В"/>
    <m/>
    <m/>
    <m/>
    <s v="Хан"/>
    <s v="Хан"/>
    <x v="67"/>
    <x v="0"/>
    <m/>
    <n v="63.714285714285715"/>
    <n v="26"/>
    <n v="73"/>
    <n v="69"/>
    <n v="76"/>
    <n v="79"/>
    <n v="80"/>
    <n v="43"/>
    <n v="0"/>
    <n v="1102474"/>
    <n v="91872.833333333328"/>
    <n v="0"/>
  </r>
  <r>
    <s v="Батмунх Даваа"/>
    <s v="З"/>
    <s v="ЦЗ"/>
    <s v="ОПЗ"/>
    <m/>
    <m/>
    <s v="Хан"/>
    <s v="Хан"/>
    <x v="67"/>
    <x v="0"/>
    <m/>
    <n v="58.285714285714285"/>
    <n v="21"/>
    <n v="65"/>
    <n v="61"/>
    <n v="72"/>
    <n v="76"/>
    <n v="80"/>
    <n v="33"/>
    <n v="0"/>
    <n v="452503"/>
    <n v="37708.583333333336"/>
    <n v="0"/>
  </r>
  <r>
    <s v="Борсун"/>
    <s v="З"/>
    <s v="ЦЗ"/>
    <s v="ПЗ"/>
    <m/>
    <s v="Хан"/>
    <s v="Хан"/>
    <s v="Хан"/>
    <x v="67"/>
    <x v="0"/>
    <m/>
    <n v="66.285714285714292"/>
    <n v="35"/>
    <n v="58"/>
    <n v="78"/>
    <n v="80"/>
    <n v="78"/>
    <n v="84"/>
    <n v="51"/>
    <n v="0"/>
    <n v="1637569"/>
    <n v="136464.08333333334"/>
    <n v="0"/>
  </r>
  <r>
    <s v="Быгай"/>
    <s v="З"/>
    <s v="ЦЗ"/>
    <s v="ЛЗ"/>
    <m/>
    <s v="Хан"/>
    <s v="Хан"/>
    <s v="Хан"/>
    <x v="67"/>
    <x v="0"/>
    <m/>
    <n v="65.571428571428569"/>
    <n v="31"/>
    <n v="61"/>
    <n v="77"/>
    <n v="71"/>
    <n v="79"/>
    <n v="92"/>
    <n v="48"/>
    <n v="0"/>
    <n v="1469422"/>
    <n v="122451.83333333333"/>
    <n v="0"/>
  </r>
  <r>
    <s v="Гантулга Бат"/>
    <s v="З"/>
    <s v="ЦЗ"/>
    <s v="ЛЗ"/>
    <m/>
    <m/>
    <s v="Хан"/>
    <s v="Хан"/>
    <x v="67"/>
    <x v="0"/>
    <m/>
    <n v="62"/>
    <n v="25"/>
    <n v="71"/>
    <n v="63"/>
    <n v="75"/>
    <n v="79"/>
    <n v="82"/>
    <n v="39"/>
    <n v="0"/>
    <n v="839300"/>
    <n v="69941.666666666672"/>
    <n v="0"/>
  </r>
  <r>
    <s v="Отгонбаяр Алтан"/>
    <s v="З"/>
    <s v="ЦЗ"/>
    <m/>
    <m/>
    <m/>
    <s v="Хан"/>
    <s v="Хан"/>
    <x v="67"/>
    <x v="0"/>
    <m/>
    <n v="54"/>
    <n v="20"/>
    <n v="58"/>
    <n v="54"/>
    <n v="66"/>
    <n v="71"/>
    <n v="78"/>
    <n v="31"/>
    <n v="0"/>
    <n v="210833"/>
    <n v="17569.416666666668"/>
    <n v="0"/>
  </r>
  <r>
    <s v="Хорвокки"/>
    <s v="З"/>
    <s v="ЦЗ"/>
    <s v="ЛЗ"/>
    <m/>
    <s v="Хан"/>
    <s v="Хан"/>
    <s v="Хан"/>
    <x v="67"/>
    <x v="0"/>
    <m/>
    <n v="70"/>
    <n v="38"/>
    <n v="70"/>
    <n v="76"/>
    <n v="77"/>
    <n v="80"/>
    <n v="88"/>
    <n v="61"/>
    <n v="0"/>
    <n v="2824753"/>
    <n v="235396.08333333334"/>
    <n v="0"/>
  </r>
  <r>
    <s v="Чулуунбаяр Тэмур"/>
    <s v="З"/>
    <s v="ЦЗ"/>
    <s v="ПЗ"/>
    <m/>
    <s v="Хан"/>
    <s v="Хан"/>
    <s v="Хан"/>
    <x v="67"/>
    <x v="0"/>
    <m/>
    <n v="66.714285714285708"/>
    <n v="29"/>
    <n v="76"/>
    <n v="68"/>
    <n v="81"/>
    <n v="83"/>
    <n v="84"/>
    <n v="46"/>
    <n v="0"/>
    <n v="1746580"/>
    <n v="145548.33333333334"/>
    <n v="0"/>
  </r>
  <r>
    <s v="Ютис"/>
    <s v="З"/>
    <s v="ЦЗ"/>
    <s v="ПЗ"/>
    <m/>
    <s v="Хан"/>
    <s v="Хан"/>
    <s v="Хан"/>
    <x v="67"/>
    <x v="0"/>
    <m/>
    <n v="65.142857142857139"/>
    <n v="30"/>
    <n v="64"/>
    <n v="71"/>
    <n v="70"/>
    <n v="82"/>
    <n v="87"/>
    <n v="52"/>
    <n v="0"/>
    <n v="1376158"/>
    <n v="114679.83333333333"/>
    <n v="0"/>
  </r>
  <r>
    <s v="Баленгай"/>
    <s v="Н"/>
    <s v="ЦН"/>
    <m/>
    <m/>
    <s v="Мам"/>
    <s v="Мам"/>
    <s v="Мам"/>
    <x v="67"/>
    <x v="0"/>
    <m/>
    <n v="73.428571428571431"/>
    <n v="61"/>
    <n v="73"/>
    <n v="78"/>
    <n v="67"/>
    <n v="80"/>
    <n v="85"/>
    <n v="70"/>
    <n v="6"/>
    <n v="6835056"/>
    <n v="569588"/>
    <n v="0"/>
  </r>
  <r>
    <s v="Йохта"/>
    <s v="Н"/>
    <s v="ЦН"/>
    <m/>
    <m/>
    <s v="Хан"/>
    <s v="Хан"/>
    <s v="Хан"/>
    <x v="67"/>
    <x v="0"/>
    <m/>
    <n v="60.285714285714285"/>
    <n v="35"/>
    <n v="65"/>
    <n v="70"/>
    <n v="63"/>
    <n v="76"/>
    <n v="83"/>
    <n v="30"/>
    <n v="0"/>
    <n v="634081"/>
    <n v="52840.083333333336"/>
    <n v="0"/>
  </r>
  <r>
    <s v="Сүхбаатар Чингис"/>
    <s v="Н"/>
    <s v="ЦН"/>
    <s v="АПЗ"/>
    <m/>
    <s v="Хан"/>
    <s v="Хан"/>
    <s v="Хан"/>
    <x v="67"/>
    <x v="0"/>
    <m/>
    <n v="67.857142857142861"/>
    <n v="28"/>
    <n v="79"/>
    <n v="77"/>
    <n v="78"/>
    <n v="82"/>
    <n v="86"/>
    <n v="45"/>
    <n v="0"/>
    <n v="2069931"/>
    <n v="172494.25"/>
    <n v="0"/>
  </r>
  <r>
    <s v="Бат-Эрдэнэ Төмөр"/>
    <s v="П"/>
    <s v="ЛПЗ"/>
    <s v="ОПЗ"/>
    <m/>
    <m/>
    <s v="Хан"/>
    <s v="Хан"/>
    <x v="67"/>
    <x v="0"/>
    <m/>
    <n v="57.714285714285715"/>
    <n v="22"/>
    <n v="70"/>
    <n v="61"/>
    <n v="72"/>
    <n v="69"/>
    <n v="74"/>
    <n v="36"/>
    <n v="0"/>
    <n v="410047"/>
    <n v="34170.583333333336"/>
    <n v="0"/>
  </r>
  <r>
    <s v="Бранмарк"/>
    <s v="П"/>
    <s v="ОПЗ"/>
    <s v="ЦЗ"/>
    <m/>
    <s v="Турн"/>
    <s v="Турн"/>
    <s v="Турн"/>
    <x v="67"/>
    <x v="0"/>
    <m/>
    <n v="86.428571428571431"/>
    <n v="80"/>
    <n v="85"/>
    <n v="87"/>
    <n v="87"/>
    <n v="98"/>
    <n v="98"/>
    <n v="70"/>
    <n v="18"/>
    <n v="34887079"/>
    <n v="2907256.5833333335"/>
    <n v="0"/>
  </r>
  <r>
    <s v="Доржсурэн Батбаяр"/>
    <s v="П"/>
    <s v="ЦПЗ"/>
    <s v="ОПЗ"/>
    <m/>
    <m/>
    <s v="Хан"/>
    <s v="Хан"/>
    <x v="67"/>
    <x v="0"/>
    <m/>
    <n v="54.714285714285715"/>
    <n v="20"/>
    <n v="64"/>
    <n v="57"/>
    <n v="71"/>
    <n v="68"/>
    <n v="73"/>
    <n v="30"/>
    <n v="0"/>
    <n v="240441"/>
    <n v="20036.75"/>
    <n v="0"/>
  </r>
  <r>
    <s v="Мэнхбат Энх"/>
    <s v="П"/>
    <s v="ОПЗ"/>
    <s v="ЦЗ"/>
    <m/>
    <s v="Хан"/>
    <s v="Хан"/>
    <s v="Хан"/>
    <x v="67"/>
    <x v="0"/>
    <m/>
    <n v="65"/>
    <n v="26"/>
    <n v="77"/>
    <n v="69"/>
    <n v="82"/>
    <n v="78"/>
    <n v="80"/>
    <n v="43"/>
    <n v="0"/>
    <n v="1346275"/>
    <n v="112189.58333333333"/>
    <n v="0"/>
  </r>
  <r>
    <s v="Пламеншет"/>
    <s v="П"/>
    <s v="ППЗ"/>
    <m/>
    <m/>
    <s v="Тел"/>
    <s v="Тел"/>
    <s v="Тел"/>
    <x v="67"/>
    <x v="0"/>
    <m/>
    <n v="54.857142857142854"/>
    <n v="34"/>
    <n v="73"/>
    <n v="59"/>
    <n v="56"/>
    <n v="60"/>
    <n v="58"/>
    <n v="44"/>
    <n v="0"/>
    <n v="246793"/>
    <n v="20566.083333333332"/>
    <n v="0"/>
  </r>
  <r>
    <s v="Удмурук"/>
    <s v="П"/>
    <s v="ЦПЗ"/>
    <s v="АПЗ"/>
    <m/>
    <s v="Хан"/>
    <s v="Хан"/>
    <s v="Хан"/>
    <x v="67"/>
    <x v="0"/>
    <m/>
    <n v="63.428571428571431"/>
    <n v="37"/>
    <n v="72"/>
    <n v="73"/>
    <n v="75"/>
    <n v="69"/>
    <n v="59"/>
    <n v="59"/>
    <n v="0"/>
    <n v="1054022"/>
    <n v="87835.166666666672"/>
    <n v="0"/>
  </r>
  <r>
    <s v="Хиллил"/>
    <s v="П"/>
    <s v="ОПЗ"/>
    <m/>
    <m/>
    <s v="Хан"/>
    <s v="Хан"/>
    <s v="Хан"/>
    <x v="67"/>
    <x v="0"/>
    <m/>
    <n v="58.857142857142854"/>
    <n v="34"/>
    <n v="56"/>
    <n v="64"/>
    <n v="64"/>
    <n v="69"/>
    <n v="62"/>
    <n v="63"/>
    <n v="0"/>
    <n v="498876"/>
    <n v="41573"/>
    <n v="0"/>
  </r>
  <r>
    <s v="Эрдэнэчулуун Ганзориг"/>
    <s v="П"/>
    <s v="ППЗ"/>
    <s v="АПЗ"/>
    <m/>
    <m/>
    <s v="Хан"/>
    <s v="Хан"/>
    <x v="67"/>
    <x v="0"/>
    <m/>
    <n v="61.857142857142854"/>
    <n v="24"/>
    <n v="78"/>
    <n v="66"/>
    <n v="73"/>
    <n v="76"/>
    <n v="75"/>
    <n v="41"/>
    <n v="0"/>
    <n v="820160"/>
    <n v="68346.666666666672"/>
    <n v="0"/>
  </r>
  <r>
    <s v="Ячзук"/>
    <s v="П"/>
    <s v="ЦПЗ"/>
    <s v="АПЗ"/>
    <m/>
    <s v="Хан"/>
    <s v="Хан"/>
    <s v="Хан"/>
    <x v="67"/>
    <x v="0"/>
    <m/>
    <n v="60.571428571428569"/>
    <n v="53"/>
    <n v="54"/>
    <n v="75"/>
    <n v="62"/>
    <n v="66"/>
    <n v="63"/>
    <n v="51"/>
    <n v="0"/>
    <n v="664781"/>
    <n v="55398.416666666664"/>
    <n v="0"/>
  </r>
  <r>
    <s v="Уйцулла"/>
    <s v="Т"/>
    <s v="Т"/>
    <m/>
    <m/>
    <m/>
    <s v="Хан"/>
    <s v="Хан"/>
    <x v="67"/>
    <x v="0"/>
    <m/>
    <n v="70.285714285714292"/>
    <n v="63"/>
    <n v="79"/>
    <n v="82"/>
    <n v="66"/>
    <n v="77"/>
    <n v="83"/>
    <n v="42"/>
    <n v="0"/>
    <n v="2942190"/>
    <n v="245182.5"/>
    <n v="0"/>
  </r>
  <r>
    <s v="Алне Атанес"/>
    <s v="В"/>
    <s v="В"/>
    <m/>
    <m/>
    <m/>
    <s v="Лес"/>
    <s v="Лес"/>
    <x v="68"/>
    <x v="0"/>
    <m/>
    <n v="31.857142857142858"/>
    <n v="8"/>
    <n v="42"/>
    <n v="34"/>
    <n v="38"/>
    <n v="40"/>
    <n v="42"/>
    <n v="19"/>
    <n v="0"/>
    <n v="1077"/>
    <n v="89.75"/>
    <n v="0"/>
  </r>
  <r>
    <s v="Варне Наком"/>
    <s v="В"/>
    <s v="В"/>
    <m/>
    <m/>
    <m/>
    <s v="Лес"/>
    <s v="Лес"/>
    <x v="68"/>
    <x v="0"/>
    <m/>
    <n v="31.571428571428573"/>
    <n v="8"/>
    <n v="40"/>
    <n v="34"/>
    <n v="38"/>
    <n v="40"/>
    <n v="42"/>
    <n v="19"/>
    <n v="0"/>
    <n v="984"/>
    <n v="82"/>
    <n v="0"/>
  </r>
  <r>
    <s v="Рарне Анрок"/>
    <s v="В"/>
    <s v="В"/>
    <m/>
    <m/>
    <m/>
    <s v="Лес"/>
    <s v="Лес"/>
    <x v="68"/>
    <x v="0"/>
    <m/>
    <n v="35.428571428571431"/>
    <n v="10"/>
    <n v="46"/>
    <n v="38"/>
    <n v="42"/>
    <n v="44"/>
    <n v="46"/>
    <n v="22"/>
    <n v="0"/>
    <n v="3116"/>
    <n v="259.66666666666669"/>
    <n v="0"/>
  </r>
  <r>
    <s v="Гарне Ранен"/>
    <s v="З"/>
    <s v="ПЗ"/>
    <s v="ЦЗ"/>
    <m/>
    <m/>
    <s v="Лес"/>
    <s v="Лес"/>
    <x v="68"/>
    <x v="0"/>
    <m/>
    <n v="35.142857142857146"/>
    <n v="9"/>
    <n v="46"/>
    <n v="38"/>
    <n v="42"/>
    <n v="44"/>
    <n v="46"/>
    <n v="21"/>
    <n v="0"/>
    <n v="2874"/>
    <n v="239.5"/>
    <n v="0"/>
  </r>
  <r>
    <s v="Гормизул Ронос"/>
    <s v="З"/>
    <s v="ЦЗ"/>
    <s v="ОПЗ"/>
    <m/>
    <m/>
    <s v="Лес"/>
    <s v="Лес"/>
    <x v="68"/>
    <x v="0"/>
    <m/>
    <n v="28.142857142857142"/>
    <n v="6"/>
    <n v="36"/>
    <n v="30"/>
    <n v="34"/>
    <n v="36"/>
    <n v="38"/>
    <n v="17"/>
    <n v="0"/>
    <n v="312"/>
    <n v="26"/>
    <n v="0"/>
  </r>
  <r>
    <s v="Мор Ар"/>
    <s v="З"/>
    <s v="ПЗ"/>
    <s v="ЛЗ"/>
    <m/>
    <m/>
    <s v="Лес"/>
    <s v="Лес"/>
    <x v="68"/>
    <x v="0"/>
    <m/>
    <n v="31.285714285714285"/>
    <n v="7"/>
    <n v="40"/>
    <n v="34"/>
    <n v="38"/>
    <n v="40"/>
    <n v="42"/>
    <n v="18"/>
    <n v="0"/>
    <n v="899"/>
    <n v="74.916666666666671"/>
    <n v="0"/>
  </r>
  <r>
    <s v="Тарне Ланмонд"/>
    <s v="З"/>
    <s v="ЦЗ"/>
    <s v="ЛЗ"/>
    <m/>
    <m/>
    <s v="Лес"/>
    <s v="Лес"/>
    <x v="68"/>
    <x v="0"/>
    <m/>
    <n v="39.142857142857146"/>
    <n v="12"/>
    <n v="52"/>
    <n v="42"/>
    <n v="46"/>
    <n v="48"/>
    <n v="50"/>
    <n v="24"/>
    <n v="0"/>
    <n v="8444"/>
    <n v="703.66666666666663"/>
    <n v="0"/>
  </r>
  <r>
    <s v="Шарне Рарнельд"/>
    <s v="Н"/>
    <s v="ОФ"/>
    <s v="ЦН"/>
    <m/>
    <m/>
    <s v="Лес"/>
    <s v="Лес"/>
    <x v="68"/>
    <x v="0"/>
    <m/>
    <n v="55.428571428571431"/>
    <n v="18"/>
    <n v="70"/>
    <n v="62"/>
    <n v="64"/>
    <n v="66"/>
    <n v="68"/>
    <n v="40"/>
    <n v="0"/>
    <n v="273740"/>
    <n v="22811.666666666668"/>
    <n v="0"/>
  </r>
  <r>
    <s v="Шормидор Анкек"/>
    <s v="Н"/>
    <s v="ОФ"/>
    <s v="ЦН"/>
    <m/>
    <m/>
    <s v="Лес"/>
    <s v="Лес"/>
    <x v="68"/>
    <x v="0"/>
    <m/>
    <n v="36.142857142857146"/>
    <n v="10"/>
    <n v="46"/>
    <n v="38"/>
    <n v="44"/>
    <n v="46"/>
    <n v="48"/>
    <n v="21"/>
    <n v="0"/>
    <n v="3804"/>
    <n v="317"/>
    <n v="0"/>
  </r>
  <r>
    <s v="Алне Гновьир"/>
    <s v="П"/>
    <s v="ППЗ"/>
    <s v="АПЗ"/>
    <m/>
    <m/>
    <s v="Лес"/>
    <s v="Лес"/>
    <x v="68"/>
    <x v="0"/>
    <m/>
    <n v="52.142857142857146"/>
    <n v="15"/>
    <n v="64"/>
    <n v="58"/>
    <n v="62"/>
    <n v="64"/>
    <n v="66"/>
    <n v="36"/>
    <n v="0"/>
    <n v="148576"/>
    <n v="12381.333333333334"/>
    <n v="0"/>
  </r>
  <r>
    <s v="Барне Толеус"/>
    <s v="П"/>
    <s v="ОПЗ"/>
    <s v="ЦЗ"/>
    <m/>
    <m/>
    <s v="Лес"/>
    <s v="Лес"/>
    <x v="68"/>
    <x v="0"/>
    <m/>
    <n v="34.428571428571431"/>
    <n v="9"/>
    <n v="44"/>
    <n v="36"/>
    <n v="42"/>
    <n v="44"/>
    <n v="46"/>
    <n v="20"/>
    <n v="0"/>
    <n v="2340"/>
    <n v="195"/>
    <n v="0"/>
  </r>
  <r>
    <s v="Варне Тонанс"/>
    <s v="П"/>
    <s v="АПЗ"/>
    <s v="ППЗ"/>
    <m/>
    <m/>
    <s v="Лес"/>
    <s v="Лес"/>
    <x v="68"/>
    <x v="0"/>
    <m/>
    <n v="29.857142857142858"/>
    <n v="7"/>
    <n v="38"/>
    <n v="32"/>
    <n v="36"/>
    <n v="38"/>
    <n v="40"/>
    <n v="18"/>
    <n v="0"/>
    <n v="563"/>
    <n v="46.916666666666664"/>
    <n v="0"/>
  </r>
  <r>
    <s v="Карне Алкек"/>
    <s v="П"/>
    <s v="ЛПЗ"/>
    <s v="ОПЗ"/>
    <m/>
    <m/>
    <s v="Лес"/>
    <s v="Лес"/>
    <x v="68"/>
    <x v="0"/>
    <m/>
    <n v="38.285714285714285"/>
    <n v="11"/>
    <n v="50"/>
    <n v="40"/>
    <n v="46"/>
    <n v="48"/>
    <n v="50"/>
    <n v="23"/>
    <n v="0"/>
    <n v="6767"/>
    <n v="563.91666666666663"/>
    <n v="0"/>
  </r>
  <r>
    <s v="Ларне Наксен"/>
    <s v="П"/>
    <s v="ЦПЗ"/>
    <s v="ОПЗ"/>
    <m/>
    <m/>
    <s v="Лес"/>
    <s v="Лес"/>
    <x v="68"/>
    <x v="0"/>
    <m/>
    <n v="49.857142857142854"/>
    <n v="45"/>
    <n v="60"/>
    <n v="44"/>
    <n v="48"/>
    <n v="50"/>
    <n v="52"/>
    <n v="50"/>
    <n v="12"/>
    <n v="142353"/>
    <n v="1080.25"/>
    <n v="0"/>
  </r>
  <r>
    <s v="Нормимир Ганон"/>
    <s v="П"/>
    <s v="ОПЗ"/>
    <s v="ЦПЗ"/>
    <m/>
    <m/>
    <s v="Лес"/>
    <s v="Лес"/>
    <x v="68"/>
    <x v="0"/>
    <m/>
    <n v="37.428571428571431"/>
    <n v="11"/>
    <n v="50"/>
    <n v="40"/>
    <n v="44"/>
    <n v="46"/>
    <n v="48"/>
    <n v="23"/>
    <n v="0"/>
    <n v="5396"/>
    <n v="449.66666666666669"/>
    <n v="0"/>
  </r>
  <r>
    <s v="Сор Гоенс"/>
    <s v="П"/>
    <s v="ЦПЗ"/>
    <s v="ЛПЗ"/>
    <m/>
    <m/>
    <s v="Лес"/>
    <s v="Лес"/>
    <x v="68"/>
    <x v="0"/>
    <m/>
    <n v="55.142857142857146"/>
    <n v="40"/>
    <n v="66"/>
    <n v="73"/>
    <n v="60"/>
    <n v="60"/>
    <n v="38"/>
    <n v="49"/>
    <n v="0"/>
    <n v="259952"/>
    <n v="21662.666666666668"/>
    <n v="0"/>
  </r>
  <r>
    <s v="Тормибер Бансе"/>
    <s v="П"/>
    <s v="АПЗ"/>
    <s v="ЦПЗ"/>
    <m/>
    <m/>
    <s v="Лес"/>
    <s v="Лес"/>
    <x v="68"/>
    <x v="0"/>
    <m/>
    <n v="36.571428571428569"/>
    <n v="10"/>
    <n v="48"/>
    <n v="38"/>
    <n v="44"/>
    <n v="46"/>
    <n v="48"/>
    <n v="22"/>
    <n v="0"/>
    <n v="4280"/>
    <n v="356.66666666666669"/>
    <n v="0"/>
  </r>
  <r>
    <s v="Хорми Ваццу"/>
    <s v="П"/>
    <s v="АПЗ"/>
    <s v="ЛПЗ"/>
    <s v="ППЗ"/>
    <s v="Лес"/>
    <s v="Лес"/>
    <s v="Лес"/>
    <x v="68"/>
    <x v="0"/>
    <m/>
    <n v="38.428571428571431"/>
    <n v="21"/>
    <n v="74"/>
    <n v="40"/>
    <n v="42"/>
    <n v="30"/>
    <n v="40"/>
    <n v="22"/>
    <n v="0"/>
    <n v="7024"/>
    <n v="585.33333333333337"/>
    <n v="0"/>
  </r>
  <r>
    <s v="Чор Толеэль"/>
    <s v="П"/>
    <s v="ППЗ"/>
    <s v="АПЗ"/>
    <m/>
    <m/>
    <s v="Лес"/>
    <s v="Лес"/>
    <x v="68"/>
    <x v="0"/>
    <m/>
    <n v="42.571428571428569"/>
    <n v="14"/>
    <n v="56"/>
    <n v="46"/>
    <n v="50"/>
    <n v="52"/>
    <n v="54"/>
    <n v="26"/>
    <n v="0"/>
    <n v="19552"/>
    <n v="1629.3333333333333"/>
    <n v="0"/>
  </r>
  <r>
    <s v="Тор Аркек"/>
    <s v="Т"/>
    <s v="Т"/>
    <m/>
    <m/>
    <m/>
    <s v="Лес"/>
    <s v="Лес"/>
    <x v="68"/>
    <x v="0"/>
    <m/>
    <n v="33.571428571428569"/>
    <n v="9"/>
    <n v="44"/>
    <n v="36"/>
    <n v="40"/>
    <n v="42"/>
    <n v="44"/>
    <n v="20"/>
    <n v="0"/>
    <n v="1819"/>
    <n v="151.58333333333334"/>
    <n v="0"/>
  </r>
  <r>
    <s v="Мельоныч"/>
    <s v="П"/>
    <s v="АПЗ"/>
    <s v="ЛПЗ"/>
    <s v="ЦН"/>
    <s v="Турн"/>
    <s v="Турн"/>
    <s v="Турн"/>
    <x v="69"/>
    <x v="6"/>
    <m/>
    <n v="92"/>
    <n v="92"/>
    <n v="84"/>
    <n v="98"/>
    <n v="92"/>
    <n v="93"/>
    <n v="93"/>
    <n v="92"/>
    <n v="1"/>
    <n v="65158269"/>
    <n v="5429855.75"/>
    <n v="0"/>
  </r>
  <r>
    <s v="Ойзаро"/>
    <s v="П"/>
    <s v="ЛПЗ"/>
    <s v="ППЗ"/>
    <s v="ЦПЗ"/>
    <s v="Сув"/>
    <s v="В.И."/>
    <s v="В.И."/>
    <x v="69"/>
    <x v="6"/>
    <m/>
    <n v="90.857142857142861"/>
    <n v="90"/>
    <n v="97"/>
    <n v="90"/>
    <n v="94"/>
    <n v="90"/>
    <n v="83"/>
    <n v="92"/>
    <n v="3"/>
    <n v="57501877"/>
    <n v="4791823.083333333"/>
    <n v="0"/>
  </r>
  <r>
    <s v="Велдрин Остак"/>
    <s v="В"/>
    <s v="В"/>
    <m/>
    <m/>
    <m/>
    <s v="В.И."/>
    <s v="В.И."/>
    <x v="70"/>
    <x v="0"/>
    <m/>
    <n v="45.142857142857146"/>
    <n v="16"/>
    <n v="56"/>
    <n v="48"/>
    <n v="54"/>
    <n v="56"/>
    <n v="58"/>
    <n v="28"/>
    <n v="0"/>
    <n v="35148"/>
    <n v="2929"/>
    <n v="0"/>
  </r>
  <r>
    <s v="Гронн Эмиль"/>
    <s v="В"/>
    <s v="В"/>
    <m/>
    <m/>
    <m/>
    <s v="В.И."/>
    <s v="В.И."/>
    <x v="70"/>
    <x v="0"/>
    <m/>
    <n v="66.571428571428569"/>
    <n v="27"/>
    <n v="72"/>
    <n v="68"/>
    <n v="77"/>
    <n v="79"/>
    <n v="74"/>
    <n v="69"/>
    <n v="0"/>
    <n v="1709539"/>
    <n v="142461.58333333334"/>
    <n v="0"/>
  </r>
  <r>
    <s v="Крамун Рэйм"/>
    <s v="В"/>
    <s v="В"/>
    <m/>
    <m/>
    <m/>
    <s v="В.И."/>
    <s v="В.И."/>
    <x v="70"/>
    <x v="0"/>
    <m/>
    <n v="40.285714285714285"/>
    <n v="14"/>
    <n v="50"/>
    <n v="44"/>
    <n v="48"/>
    <n v="50"/>
    <n v="52"/>
    <n v="24"/>
    <n v="0"/>
    <n v="11260"/>
    <n v="938.33333333333337"/>
    <n v="0"/>
  </r>
  <r>
    <s v="Хагенвик Останис"/>
    <s v="В"/>
    <s v="В"/>
    <m/>
    <m/>
    <m/>
    <s v="В.И."/>
    <s v="В.И."/>
    <x v="70"/>
    <x v="0"/>
    <m/>
    <n v="40.714285714285715"/>
    <n v="14"/>
    <n v="52"/>
    <n v="44"/>
    <n v="48"/>
    <n v="50"/>
    <n v="52"/>
    <n v="25"/>
    <n v="0"/>
    <n v="12517"/>
    <n v="1043.0833333333333"/>
    <n v="0"/>
  </r>
  <r>
    <s v="Гтабун Люкас"/>
    <s v="З"/>
    <s v="ЦЗ"/>
    <s v="ОПЗ"/>
    <m/>
    <m/>
    <s v="В.И."/>
    <s v="В.И."/>
    <x v="70"/>
    <x v="0"/>
    <m/>
    <n v="36.857142857142854"/>
    <n v="12"/>
    <n v="46"/>
    <n v="40"/>
    <n v="44"/>
    <n v="46"/>
    <n v="48"/>
    <n v="22"/>
    <n v="0"/>
    <n v="4627"/>
    <n v="385.58333333333331"/>
    <n v="0"/>
  </r>
  <r>
    <s v="Делмар Роймунд"/>
    <s v="З"/>
    <s v="ЦЗ"/>
    <s v="ЛЗ"/>
    <m/>
    <m/>
    <s v="В.И."/>
    <s v="В.И."/>
    <x v="70"/>
    <x v="0"/>
    <m/>
    <n v="47.714285714285715"/>
    <n v="18"/>
    <n v="60"/>
    <n v="52"/>
    <n v="56"/>
    <n v="58"/>
    <n v="60"/>
    <n v="30"/>
    <n v="0"/>
    <n v="61163"/>
    <n v="5096.916666666667"/>
    <n v="0"/>
  </r>
  <r>
    <s v="Гостер Ромет"/>
    <s v="З"/>
    <s v="ЛЗ"/>
    <s v="ЦЗ"/>
    <m/>
    <m/>
    <s v="В.И."/>
    <s v="В.И."/>
    <x v="70"/>
    <x v="0"/>
    <m/>
    <n v="46"/>
    <n v="17"/>
    <n v="58"/>
    <n v="50"/>
    <n v="54"/>
    <n v="56"/>
    <n v="58"/>
    <n v="29"/>
    <n v="0"/>
    <n v="42421"/>
    <n v="3535.0833333333335"/>
    <n v="0"/>
  </r>
  <r>
    <s v="Строжин Тимон"/>
    <s v="З"/>
    <s v="ПЗ"/>
    <s v="ЦЗ"/>
    <m/>
    <m/>
    <s v="В.И."/>
    <s v="В.И."/>
    <x v="70"/>
    <x v="0"/>
    <m/>
    <n v="43.714285714285715"/>
    <n v="15"/>
    <n v="54"/>
    <n v="48"/>
    <n v="52"/>
    <n v="54"/>
    <n v="56"/>
    <n v="27"/>
    <n v="0"/>
    <n v="25483"/>
    <n v="2123.5833333333335"/>
    <n v="0"/>
  </r>
  <r>
    <s v="Хуанто Ян"/>
    <s v="З"/>
    <s v="ПЗ"/>
    <s v="ЛЗ"/>
    <m/>
    <m/>
    <s v="В.И."/>
    <s v="В.И."/>
    <x v="70"/>
    <x v="0"/>
    <m/>
    <n v="40.142857142857146"/>
    <n v="13"/>
    <n v="50"/>
    <n v="44"/>
    <n v="48"/>
    <n v="50"/>
    <n v="52"/>
    <n v="24"/>
    <n v="0"/>
    <n v="10867"/>
    <n v="905.58333333333337"/>
    <n v="0"/>
  </r>
  <r>
    <s v="Шоковой"/>
    <s v="З"/>
    <s v="ЦЗ"/>
    <m/>
    <m/>
    <m/>
    <s v="В.И."/>
    <s v="В.И."/>
    <x v="70"/>
    <x v="0"/>
    <m/>
    <n v="40.714285714285715"/>
    <n v="10"/>
    <n v="34"/>
    <n v="40"/>
    <n v="42"/>
    <n v="60"/>
    <n v="76"/>
    <n v="23"/>
    <n v="0"/>
    <n v="12517"/>
    <n v="1043.0833333333333"/>
    <n v="0"/>
  </r>
  <r>
    <s v="Дорнвик Даниэль"/>
    <s v="Н"/>
    <s v="ОФ"/>
    <s v="ЦН"/>
    <m/>
    <m/>
    <s v="В.И."/>
    <s v="В.И."/>
    <x v="70"/>
    <x v="0"/>
    <m/>
    <n v="51.428571428571431"/>
    <n v="21"/>
    <n v="64"/>
    <n v="56"/>
    <n v="60"/>
    <n v="62"/>
    <n v="64"/>
    <n v="33"/>
    <n v="0"/>
    <n v="129433"/>
    <n v="10786.083333333334"/>
    <n v="0"/>
  </r>
  <r>
    <s v="Ютас-Гон Шен"/>
    <s v="Н"/>
    <s v="ОФ"/>
    <s v="ЦН"/>
    <m/>
    <m/>
    <s v="В.И."/>
    <s v="В.И."/>
    <x v="70"/>
    <x v="0"/>
    <m/>
    <n v="45.142857142857146"/>
    <n v="16"/>
    <n v="56"/>
    <n v="48"/>
    <n v="54"/>
    <n v="56"/>
    <n v="58"/>
    <n v="28"/>
    <n v="0"/>
    <n v="35148"/>
    <n v="2929"/>
    <n v="0"/>
  </r>
  <r>
    <s v="Муров Хогланд"/>
    <s v="Н"/>
    <s v="ЦН"/>
    <s v="ОФ"/>
    <m/>
    <m/>
    <s v="В.И."/>
    <s v="В.И."/>
    <x v="70"/>
    <x v="0"/>
    <m/>
    <n v="64.857142857142861"/>
    <n v="26"/>
    <n v="80"/>
    <n v="72"/>
    <n v="74"/>
    <n v="76"/>
    <n v="78"/>
    <n v="48"/>
    <n v="0"/>
    <n v="1316977"/>
    <n v="109748.08333333333"/>
    <n v="0"/>
  </r>
  <r>
    <s v="Бьянкарди Кайус"/>
    <s v="П"/>
    <s v="ЦПЗ"/>
    <s v="ОПЗ"/>
    <m/>
    <m/>
    <s v="В.И."/>
    <s v="В.И."/>
    <x v="70"/>
    <x v="0"/>
    <m/>
    <n v="35.428571428571431"/>
    <n v="11"/>
    <n v="46"/>
    <n v="38"/>
    <n v="42"/>
    <n v="44"/>
    <n v="46"/>
    <n v="21"/>
    <n v="0"/>
    <n v="3116"/>
    <n v="259.66666666666669"/>
    <n v="0"/>
  </r>
  <r>
    <s v="Верникус Мэйсон"/>
    <s v="П"/>
    <s v="ОПЗ"/>
    <s v="ЦЗ"/>
    <m/>
    <m/>
    <s v="В.И."/>
    <s v="В.И."/>
    <x v="70"/>
    <x v="0"/>
    <m/>
    <n v="49.428571428571431"/>
    <n v="19"/>
    <n v="62"/>
    <n v="54"/>
    <n v="58"/>
    <n v="60"/>
    <n v="62"/>
    <n v="31"/>
    <n v="0"/>
    <n v="87053"/>
    <n v="7254.416666666667"/>
    <n v="0"/>
  </r>
  <r>
    <s v="Горваль Полус"/>
    <s v="П"/>
    <s v="ЦПЗ"/>
    <s v="ЛПЗ"/>
    <m/>
    <m/>
    <s v="В.И."/>
    <s v="В.И."/>
    <x v="70"/>
    <x v="0"/>
    <m/>
    <n v="46"/>
    <n v="17"/>
    <n v="58"/>
    <n v="50"/>
    <n v="54"/>
    <n v="56"/>
    <n v="58"/>
    <n v="29"/>
    <n v="0"/>
    <n v="42421"/>
    <n v="3535.0833333333335"/>
    <n v="0"/>
  </r>
  <r>
    <s v="Морендо Дариус"/>
    <s v="П"/>
    <s v="ОПЗ"/>
    <s v="ЦПЗ"/>
    <m/>
    <m/>
    <s v="В.И."/>
    <s v="В.И."/>
    <x v="70"/>
    <x v="0"/>
    <m/>
    <n v="43.285714285714285"/>
    <n v="15"/>
    <n v="54"/>
    <n v="46"/>
    <n v="52"/>
    <n v="54"/>
    <n v="56"/>
    <n v="26"/>
    <n v="0"/>
    <n v="23092"/>
    <n v="1924.3333333333333"/>
    <n v="0"/>
  </r>
  <r>
    <s v="Алмиаго Иржас"/>
    <s v="П"/>
    <s v="АПЗ"/>
    <s v="ППЗ"/>
    <m/>
    <m/>
    <s v="В.И."/>
    <s v="В.И."/>
    <x v="70"/>
    <x v="0"/>
    <m/>
    <n v="47.714285714285715"/>
    <n v="18"/>
    <n v="60"/>
    <n v="52"/>
    <n v="56"/>
    <n v="58"/>
    <n v="60"/>
    <n v="30"/>
    <n v="0"/>
    <n v="61163"/>
    <n v="5096.916666666667"/>
    <n v="0"/>
  </r>
  <r>
    <s v="Скарабео Ксавьер"/>
    <s v="П"/>
    <s v="ППЗ"/>
    <s v="АПЗ"/>
    <m/>
    <m/>
    <s v="В.И."/>
    <s v="В.И."/>
    <x v="70"/>
    <x v="0"/>
    <m/>
    <n v="61.571428571428569"/>
    <n v="23"/>
    <n v="74"/>
    <n v="68"/>
    <n v="72"/>
    <n v="74"/>
    <n v="76"/>
    <n v="44"/>
    <n v="0"/>
    <n v="783056"/>
    <n v="65254.666666666664"/>
    <n v="0"/>
  </r>
  <r>
    <s v="Соловкин Станис"/>
    <s v="П"/>
    <s v="АПЗ"/>
    <s v="ЦПЗ"/>
    <m/>
    <m/>
    <s v="В.И."/>
    <s v="В.И."/>
    <x v="70"/>
    <x v="0"/>
    <m/>
    <n v="38.571428571428569"/>
    <n v="13"/>
    <n v="48"/>
    <n v="42"/>
    <n v="46"/>
    <n v="48"/>
    <n v="50"/>
    <n v="23"/>
    <n v="0"/>
    <n v="7289"/>
    <n v="607.41666666666663"/>
    <n v="0"/>
  </r>
  <r>
    <s v="Торвалд Элдок"/>
    <s v="Т"/>
    <s v="Т"/>
    <m/>
    <m/>
    <m/>
    <s v="В.И."/>
    <s v="В.И."/>
    <x v="70"/>
    <x v="0"/>
    <m/>
    <n v="42.428571428571431"/>
    <n v="15"/>
    <n v="54"/>
    <n v="46"/>
    <n v="50"/>
    <n v="52"/>
    <n v="54"/>
    <n v="26"/>
    <n v="0"/>
    <n v="18906"/>
    <n v="1575.5"/>
    <n v="0"/>
  </r>
  <r>
    <s v="Булли"/>
    <s v="В"/>
    <s v="В"/>
    <m/>
    <m/>
    <s v="Генуа"/>
    <s v="Генуа"/>
    <s v="Генуа"/>
    <x v="71"/>
    <x v="0"/>
    <m/>
    <n v="63.857142857142854"/>
    <n v="49"/>
    <n v="55"/>
    <n v="66"/>
    <n v="70"/>
    <n v="75"/>
    <n v="77"/>
    <n v="55"/>
    <n v="0"/>
    <n v="1127444"/>
    <n v="93953.666666666672"/>
    <n v="0"/>
  </r>
  <r>
    <s v="Йорж"/>
    <s v="В"/>
    <s v="В"/>
    <m/>
    <m/>
    <s v="Генуа"/>
    <s v="Генуа"/>
    <s v="Генуа"/>
    <x v="71"/>
    <x v="0"/>
    <m/>
    <n v="73.571428571428569"/>
    <n v="51"/>
    <n v="75"/>
    <n v="76"/>
    <n v="80"/>
    <n v="81"/>
    <n v="80"/>
    <n v="72"/>
    <n v="0"/>
    <n v="4646136"/>
    <n v="387178"/>
    <n v="0"/>
  </r>
  <r>
    <s v="Барти Хьюго"/>
    <s v="З"/>
    <s v="ЦЗ"/>
    <s v="ПЗ"/>
    <m/>
    <m/>
    <s v="В.И."/>
    <s v="В.И."/>
    <x v="71"/>
    <x v="0"/>
    <m/>
    <n v="60.285714285714285"/>
    <n v="23"/>
    <n v="65"/>
    <n v="58"/>
    <n v="74"/>
    <n v="69"/>
    <n v="80"/>
    <n v="53"/>
    <n v="0"/>
    <n v="634081"/>
    <n v="52840.083333333336"/>
    <n v="0"/>
  </r>
  <r>
    <s v="Губка"/>
    <s v="З"/>
    <s v="ЦЗ"/>
    <s v="ЛЗ"/>
    <m/>
    <s v="Черлесск"/>
    <s v="Черлесск"/>
    <s v="Черлесск"/>
    <x v="71"/>
    <x v="0"/>
    <m/>
    <n v="72.714285714285708"/>
    <n v="60"/>
    <n v="63"/>
    <n v="74"/>
    <n v="80"/>
    <n v="82"/>
    <n v="80"/>
    <n v="70"/>
    <n v="0"/>
    <n v="4132354"/>
    <n v="344362.83333333331"/>
    <n v="0"/>
  </r>
  <r>
    <s v="Кветта Пол"/>
    <s v="З"/>
    <s v="ЦЗ"/>
    <s v="ОПЗ"/>
    <m/>
    <m/>
    <s v="В.И."/>
    <s v="В.И."/>
    <x v="71"/>
    <x v="0"/>
    <m/>
    <n v="61.142857142857146"/>
    <n v="30"/>
    <n v="83"/>
    <n v="56"/>
    <n v="69"/>
    <n v="71"/>
    <n v="68"/>
    <n v="51"/>
    <n v="0"/>
    <n v="730226"/>
    <n v="60852.166666666664"/>
    <n v="0"/>
  </r>
  <r>
    <s v="Лайтшед"/>
    <s v="З"/>
    <s v="ЦЗ"/>
    <m/>
    <m/>
    <s v="Генуа"/>
    <s v="Генуа"/>
    <s v="Генуа"/>
    <x v="71"/>
    <x v="0"/>
    <m/>
    <n v="76.857142857142861"/>
    <n v="73"/>
    <n v="67"/>
    <n v="67"/>
    <n v="78"/>
    <n v="85"/>
    <n v="84"/>
    <n v="84"/>
    <n v="0"/>
    <n v="7191879"/>
    <n v="599323.25"/>
    <n v="0"/>
  </r>
  <r>
    <s v="Олбари (З)"/>
    <s v="З"/>
    <s v="ЦЗ"/>
    <m/>
    <m/>
    <s v="Мал"/>
    <s v="В.И."/>
    <s v="В.И."/>
    <x v="71"/>
    <x v="0"/>
    <m/>
    <n v="73.571428571428569"/>
    <n v="55"/>
    <n v="74"/>
    <n v="70"/>
    <n v="80"/>
    <n v="82"/>
    <n v="79"/>
    <n v="75"/>
    <n v="0"/>
    <n v="4646136"/>
    <n v="387178"/>
    <n v="0"/>
  </r>
  <r>
    <s v="Олдрин Марк"/>
    <s v="З"/>
    <s v="ЛЗ"/>
    <s v="ЦЗ"/>
    <m/>
    <m/>
    <s v="В.И."/>
    <s v="В.И."/>
    <x v="71"/>
    <x v="0"/>
    <m/>
    <n v="65.857142857142861"/>
    <n v="38"/>
    <n v="70"/>
    <n v="61"/>
    <n v="66"/>
    <n v="89"/>
    <n v="77"/>
    <n v="60"/>
    <n v="0"/>
    <n v="1534719"/>
    <n v="127893.25"/>
    <n v="0"/>
  </r>
  <r>
    <s v="Штебель"/>
    <s v="З"/>
    <s v="ЦЗ"/>
    <s v="ЛЗ"/>
    <m/>
    <s v="Мал"/>
    <s v="В.И."/>
    <s v="В.И."/>
    <x v="71"/>
    <x v="0"/>
    <m/>
    <n v="71.285714285714292"/>
    <n v="48"/>
    <n v="65"/>
    <n v="75"/>
    <n v="75"/>
    <n v="80"/>
    <n v="86"/>
    <n v="70"/>
    <n v="0"/>
    <n v="3388638"/>
    <n v="282386.5"/>
    <n v="0"/>
  </r>
  <r>
    <s v="Штейн Люк"/>
    <s v="З"/>
    <s v="ЦЗ"/>
    <s v="ЛЗ"/>
    <m/>
    <m/>
    <s v="В.И."/>
    <s v="В.И."/>
    <x v="71"/>
    <x v="0"/>
    <m/>
    <n v="70.142857142857139"/>
    <n v="50"/>
    <n v="80"/>
    <n v="75"/>
    <n v="72"/>
    <n v="82"/>
    <n v="75"/>
    <n v="57"/>
    <n v="12"/>
    <n v="4324400"/>
    <n v="107354.58333333333"/>
    <n v="0"/>
  </r>
  <r>
    <s v="Ирин (н)"/>
    <s v="Н"/>
    <s v="ЦН"/>
    <m/>
    <m/>
    <s v="Туркан"/>
    <s v="В.И."/>
    <s v="В.И."/>
    <x v="71"/>
    <x v="0"/>
    <m/>
    <n v="75.428571428571431"/>
    <n v="60"/>
    <n v="80"/>
    <n v="83"/>
    <n v="81"/>
    <n v="74"/>
    <n v="85"/>
    <n v="65"/>
    <n v="0"/>
    <n v="5961545"/>
    <n v="496795.41666666669"/>
    <n v="0"/>
  </r>
  <r>
    <s v="Манду (Н)"/>
    <s v="Н"/>
    <s v="ЦН"/>
    <s v="АПЗ"/>
    <m/>
    <s v="Биссий"/>
    <s v="Бельск"/>
    <s v="Бельск"/>
    <x v="71"/>
    <x v="0"/>
    <m/>
    <n v="82.285714285714292"/>
    <n v="73"/>
    <n v="81"/>
    <n v="92"/>
    <n v="80"/>
    <n v="86"/>
    <n v="94"/>
    <n v="70"/>
    <n v="6"/>
    <n v="21346944"/>
    <n v="1778912"/>
    <n v="0"/>
  </r>
  <r>
    <s v="Финчли Роб"/>
    <s v="Н"/>
    <s v="ЦН"/>
    <s v="ОФ"/>
    <m/>
    <m/>
    <s v="В.И."/>
    <s v="В.И."/>
    <x v="71"/>
    <x v="0"/>
    <m/>
    <n v="65"/>
    <n v="36"/>
    <n v="78"/>
    <n v="65"/>
    <n v="70"/>
    <n v="77"/>
    <n v="71"/>
    <n v="58"/>
    <n v="0"/>
    <n v="1346275"/>
    <n v="112189.58333333333"/>
    <n v="0"/>
  </r>
  <r>
    <s v="Виктор Гу "/>
    <s v="П"/>
    <s v="ЦПЗ"/>
    <s v="ЛПЗ"/>
    <s v="ППЗ"/>
    <s v="Ч.Л."/>
    <s v="Ч.Л."/>
    <s v="Ч.Л."/>
    <x v="71"/>
    <x v="0"/>
    <m/>
    <n v="80.571428571428569"/>
    <n v="70"/>
    <n v="80"/>
    <n v="89"/>
    <n v="80"/>
    <n v="78"/>
    <n v="84"/>
    <n v="83"/>
    <n v="21"/>
    <n v="17294257"/>
    <n v="1441188.0833333333"/>
    <n v="0"/>
  </r>
  <r>
    <s v="Гарвин Тед"/>
    <s v="П"/>
    <s v="ЛПЗ"/>
    <s v="ЦПЗ"/>
    <m/>
    <m/>
    <s v="В.И."/>
    <s v="В.И."/>
    <x v="71"/>
    <x v="0"/>
    <m/>
    <n v="60.714285714285715"/>
    <n v="28"/>
    <n v="81"/>
    <n v="52"/>
    <n v="75"/>
    <n v="69"/>
    <n v="66"/>
    <n v="54"/>
    <n v="0"/>
    <n v="680627"/>
    <n v="56718.916666666664"/>
    <n v="0"/>
  </r>
  <r>
    <s v="Лоренс Тим"/>
    <s v="П"/>
    <s v="ОПЗ"/>
    <s v="ЦПЗ"/>
    <m/>
    <m/>
    <s v="В.И."/>
    <s v="В.И."/>
    <x v="71"/>
    <x v="0"/>
    <m/>
    <n v="65.571428571428569"/>
    <n v="39"/>
    <n v="65"/>
    <n v="59"/>
    <n v="82"/>
    <n v="80"/>
    <n v="72"/>
    <n v="62"/>
    <n v="0"/>
    <n v="1469422"/>
    <n v="122451.83333333333"/>
    <n v="0"/>
  </r>
  <r>
    <s v="Марчент Луи"/>
    <s v="П"/>
    <s v="ППЗ"/>
    <s v="АПЗ"/>
    <m/>
    <m/>
    <s v="В.И."/>
    <s v="В.И."/>
    <x v="71"/>
    <x v="0"/>
    <m/>
    <n v="65.428571428571431"/>
    <n v="41"/>
    <n v="76"/>
    <n v="64"/>
    <n v="71"/>
    <n v="73"/>
    <n v="74"/>
    <n v="59"/>
    <n v="0"/>
    <n v="1437721"/>
    <n v="119810.08333333333"/>
    <n v="0"/>
  </r>
  <r>
    <s v="Мончлер (П)"/>
    <s v="П"/>
    <s v="ЦПЗ"/>
    <s v="АПЗ"/>
    <s v="ЛПЗ"/>
    <s v="Кут"/>
    <s v="Кут"/>
    <s v="Кут"/>
    <x v="71"/>
    <x v="0"/>
    <m/>
    <n v="92.142857142857139"/>
    <n v="88"/>
    <n v="88"/>
    <n v="94"/>
    <n v="97"/>
    <n v="94"/>
    <n v="92"/>
    <n v="92"/>
    <n v="17"/>
    <n v="66177142"/>
    <n v="5514761.833333333"/>
    <n v="0"/>
  </r>
  <r>
    <s v="Синевский (П)"/>
    <s v="П"/>
    <s v="ЦПЗ"/>
    <s v="АПЗ"/>
    <s v="ОПЗ"/>
    <s v="Б.Л."/>
    <s v="Б.Л."/>
    <s v="Б.Л."/>
    <x v="71"/>
    <x v="0"/>
    <m/>
    <n v="87.285714285714292"/>
    <n v="81"/>
    <n v="84"/>
    <n v="92"/>
    <n v="93"/>
    <n v="88"/>
    <n v="88"/>
    <n v="85"/>
    <n v="17"/>
    <n v="38505518"/>
    <n v="3208793.1666666665"/>
    <n v="0"/>
  </r>
  <r>
    <s v="Стритт Джон"/>
    <s v="П"/>
    <s v="ЦПЗ"/>
    <s v="АПЗ"/>
    <m/>
    <m/>
    <s v="В.И."/>
    <s v="В.И."/>
    <x v="71"/>
    <x v="0"/>
    <m/>
    <n v="61.285714285714285"/>
    <n v="32"/>
    <n v="73"/>
    <n v="55"/>
    <n v="77"/>
    <n v="67"/>
    <n v="69"/>
    <n v="56"/>
    <n v="0"/>
    <n v="747468"/>
    <n v="62289"/>
    <n v="0"/>
  </r>
  <r>
    <s v="Тошич Оксарский"/>
    <s v="П"/>
    <s v="ЛПЗ"/>
    <s v="ОПЗ"/>
    <s v="ППЗ"/>
    <s v="Сув"/>
    <s v="В.И."/>
    <s v="В.И."/>
    <x v="71"/>
    <x v="0"/>
    <m/>
    <n v="85"/>
    <n v="80"/>
    <n v="92"/>
    <n v="84"/>
    <n v="88"/>
    <n v="83"/>
    <n v="83"/>
    <n v="85"/>
    <n v="23"/>
    <n v="29531161"/>
    <n v="2460930.0833333335"/>
    <n v="0"/>
  </r>
  <r>
    <s v="Фятта"/>
    <s v="П"/>
    <s v="ОПЗ"/>
    <s v="ЦПЗ"/>
    <m/>
    <s v="Биссий"/>
    <s v="Биссий"/>
    <s v="Биссий"/>
    <x v="71"/>
    <x v="0"/>
    <m/>
    <n v="64.142857142857139"/>
    <n v="40"/>
    <n v="65"/>
    <n v="75"/>
    <n v="71"/>
    <n v="74"/>
    <n v="83"/>
    <n v="41"/>
    <n v="0"/>
    <n v="1178917"/>
    <n v="98243.083333333328"/>
    <n v="0"/>
  </r>
  <r>
    <s v="Вик Трид"/>
    <s v="Т"/>
    <s v="Т"/>
    <m/>
    <m/>
    <m/>
    <s v="Генуа"/>
    <s v="Генуа"/>
    <x v="71"/>
    <x v="0"/>
    <m/>
    <n v="79.714285714285708"/>
    <n v="69"/>
    <n v="90"/>
    <n v="80"/>
    <n v="85"/>
    <n v="88"/>
    <n v="80"/>
    <n v="66"/>
    <n v="0"/>
    <n v="10360044"/>
    <n v="863337"/>
    <n v="0"/>
  </r>
  <r>
    <s v="Брантин Оскар"/>
    <s v="В"/>
    <s v="В"/>
    <m/>
    <m/>
    <m/>
    <s v="К.С."/>
    <s v="К.С."/>
    <x v="72"/>
    <x v="0"/>
    <m/>
    <n v="64.142857142857139"/>
    <n v="26"/>
    <n v="74"/>
    <n v="70"/>
    <n v="76"/>
    <n v="79"/>
    <n v="80"/>
    <n v="44"/>
    <n v="0"/>
    <n v="1178917"/>
    <n v="98243.083333333328"/>
    <n v="0"/>
  </r>
  <r>
    <s v="Сарда (В)"/>
    <s v="В"/>
    <s v="В"/>
    <m/>
    <m/>
    <s v="Турк"/>
    <s v="Турк"/>
    <s v="Турк"/>
    <x v="72"/>
    <x v="0"/>
    <m/>
    <n v="66.285714285714292"/>
    <n v="44"/>
    <n v="86"/>
    <n v="80"/>
    <n v="50"/>
    <n v="66"/>
    <n v="73"/>
    <n v="65"/>
    <n v="0"/>
    <n v="1637569"/>
    <n v="136464.08333333334"/>
    <n v="0"/>
  </r>
  <r>
    <s v="Термин"/>
    <s v="В"/>
    <s v="В"/>
    <m/>
    <m/>
    <s v="К.С."/>
    <s v="К.С."/>
    <s v="К.С."/>
    <x v="72"/>
    <x v="0"/>
    <m/>
    <n v="70"/>
    <n v="32"/>
    <n v="76"/>
    <n v="73"/>
    <n v="82"/>
    <n v="74"/>
    <n v="79"/>
    <n v="74"/>
    <n v="0"/>
    <n v="2824753"/>
    <n v="235396.08333333334"/>
    <n v="0"/>
  </r>
  <r>
    <s v="Аллавс"/>
    <s v="З"/>
    <s v="ЦЗ"/>
    <m/>
    <m/>
    <s v="К.С."/>
    <s v="К.С."/>
    <s v="К.С."/>
    <x v="72"/>
    <x v="0"/>
    <m/>
    <n v="59.571428571428569"/>
    <n v="50"/>
    <n v="70"/>
    <n v="59"/>
    <n v="60"/>
    <n v="70"/>
    <n v="71"/>
    <n v="37"/>
    <n v="0"/>
    <n v="562834"/>
    <n v="46902.833333333336"/>
    <n v="0"/>
  </r>
  <r>
    <s v="Бальтер Люк"/>
    <s v="З"/>
    <s v="ЦЗ"/>
    <s v="ПЗ"/>
    <m/>
    <m/>
    <s v="К.С."/>
    <s v="К.С."/>
    <x v="72"/>
    <x v="0"/>
    <m/>
    <n v="62"/>
    <n v="25"/>
    <n v="71"/>
    <n v="63"/>
    <n v="75"/>
    <n v="79"/>
    <n v="82"/>
    <n v="39"/>
    <n v="0"/>
    <n v="839300"/>
    <n v="69941.666666666672"/>
    <n v="0"/>
  </r>
  <r>
    <s v="Дорда Рауль"/>
    <s v="З"/>
    <s v="ЦЗ"/>
    <s v="ОПЗ"/>
    <m/>
    <m/>
    <s v="К.С."/>
    <s v="К.С."/>
    <x v="72"/>
    <x v="0"/>
    <m/>
    <n v="58.285714285714285"/>
    <n v="21"/>
    <n v="66"/>
    <n v="60"/>
    <n v="72"/>
    <n v="77"/>
    <n v="79"/>
    <n v="33"/>
    <n v="0"/>
    <n v="452503"/>
    <n v="37708.583333333336"/>
    <n v="0"/>
  </r>
  <r>
    <s v="Кутер"/>
    <s v="З"/>
    <s v="ПЗ"/>
    <s v="ОПЗ"/>
    <m/>
    <s v="К.С."/>
    <s v="К.С."/>
    <s v="К.С."/>
    <x v="72"/>
    <x v="0"/>
    <m/>
    <n v="72.714285714285708"/>
    <n v="68"/>
    <n v="86"/>
    <n v="78"/>
    <n v="80"/>
    <n v="61"/>
    <n v="80"/>
    <n v="56"/>
    <n v="0"/>
    <n v="4132354"/>
    <n v="344362.83333333331"/>
    <n v="0"/>
  </r>
  <r>
    <s v="Нустен"/>
    <s v="З"/>
    <s v="ЦЗ"/>
    <s v="ЛЗ"/>
    <m/>
    <s v="К.С."/>
    <s v="К.С."/>
    <s v="К.С."/>
    <x v="72"/>
    <x v="0"/>
    <m/>
    <n v="59.857142857142854"/>
    <n v="51"/>
    <n v="62"/>
    <n v="70"/>
    <n v="53"/>
    <n v="74"/>
    <n v="65"/>
    <n v="44"/>
    <n v="0"/>
    <n v="590419"/>
    <n v="49201.583333333336"/>
    <n v="0"/>
  </r>
  <r>
    <s v="Струнен Марк"/>
    <s v="З"/>
    <s v="ЦЗ"/>
    <m/>
    <m/>
    <m/>
    <s v="К.С."/>
    <s v="К.С."/>
    <x v="72"/>
    <x v="0"/>
    <m/>
    <n v="66.714285714285708"/>
    <n v="29"/>
    <n v="76"/>
    <n v="68"/>
    <n v="81"/>
    <n v="83"/>
    <n v="84"/>
    <n v="46"/>
    <n v="0"/>
    <n v="1746580"/>
    <n v="145548.33333333334"/>
    <n v="0"/>
  </r>
  <r>
    <s v="Фрилавс Тим"/>
    <s v="З"/>
    <s v="ЦЗ"/>
    <s v="ЛЗ"/>
    <m/>
    <m/>
    <s v="К.С."/>
    <s v="К.С."/>
    <x v="72"/>
    <x v="0"/>
    <m/>
    <n v="66.714285714285708"/>
    <n v="29"/>
    <n v="76"/>
    <n v="68"/>
    <n v="81"/>
    <n v="83"/>
    <n v="84"/>
    <n v="46"/>
    <n v="0"/>
    <n v="1746580"/>
    <n v="145548.33333333334"/>
    <n v="0"/>
  </r>
  <r>
    <s v="Хунен"/>
    <s v="З"/>
    <s v="ПЗ"/>
    <m/>
    <m/>
    <s v="К.С."/>
    <s v="К.С."/>
    <s v="К.С."/>
    <x v="72"/>
    <x v="0"/>
    <m/>
    <n v="60.714285714285715"/>
    <n v="52"/>
    <n v="75"/>
    <n v="65"/>
    <n v="56"/>
    <n v="67"/>
    <n v="65"/>
    <n v="45"/>
    <n v="0"/>
    <n v="680627"/>
    <n v="56718.916666666664"/>
    <n v="0"/>
  </r>
  <r>
    <s v="Твистен Нильс"/>
    <s v="Н"/>
    <s v="ЦН"/>
    <s v="ОФ"/>
    <m/>
    <m/>
    <s v="К.С."/>
    <s v="К.С."/>
    <x v="72"/>
    <x v="0"/>
    <m/>
    <n v="67.857142857142861"/>
    <n v="28"/>
    <n v="79"/>
    <n v="77"/>
    <n v="78"/>
    <n v="82"/>
    <n v="86"/>
    <n v="45"/>
    <n v="0"/>
    <n v="2069931"/>
    <n v="172494.25"/>
    <n v="0"/>
  </r>
  <r>
    <s v="Тьюстен"/>
    <s v="Н"/>
    <s v="ЦН"/>
    <m/>
    <m/>
    <s v="К.С."/>
    <s v="К.С."/>
    <s v="К.С."/>
    <x v="72"/>
    <x v="0"/>
    <m/>
    <n v="63.571428571428569"/>
    <n v="40"/>
    <n v="65"/>
    <n v="73"/>
    <n v="70"/>
    <n v="73"/>
    <n v="79"/>
    <n v="45"/>
    <n v="0"/>
    <n v="1078003"/>
    <n v="89833.583333333328"/>
    <n v="0"/>
  </r>
  <r>
    <s v="Чадгинсон Пол"/>
    <s v="Н"/>
    <s v="ЦН"/>
    <m/>
    <m/>
    <m/>
    <s v="К.С."/>
    <s v="К.С."/>
    <x v="72"/>
    <x v="0"/>
    <m/>
    <n v="67.857142857142861"/>
    <n v="28"/>
    <n v="79"/>
    <n v="77"/>
    <n v="78"/>
    <n v="82"/>
    <n v="86"/>
    <n v="45"/>
    <n v="0"/>
    <n v="2069931"/>
    <n v="172494.25"/>
    <n v="0"/>
  </r>
  <r>
    <s v="Чергинсов"/>
    <s v="Н"/>
    <s v="ОФ"/>
    <s v="ЦН"/>
    <m/>
    <s v="К.С."/>
    <s v="К.С."/>
    <s v="К.С."/>
    <x v="72"/>
    <x v="0"/>
    <m/>
    <n v="63.428571428571431"/>
    <n v="35"/>
    <n v="68"/>
    <n v="70"/>
    <n v="72"/>
    <n v="71"/>
    <n v="81"/>
    <n v="47"/>
    <n v="0"/>
    <n v="1054022"/>
    <n v="87835.166666666672"/>
    <n v="0"/>
  </r>
  <r>
    <s v="Баргин"/>
    <s v="П"/>
    <s v="ЛПЗ"/>
    <s v="ППЗ"/>
    <m/>
    <s v="К.С."/>
    <s v="К.С."/>
    <s v="К.С."/>
    <x v="72"/>
    <x v="0"/>
    <m/>
    <n v="65.142857142857139"/>
    <n v="40"/>
    <n v="77"/>
    <n v="72"/>
    <n v="71"/>
    <n v="68"/>
    <n v="75"/>
    <n v="53"/>
    <n v="0"/>
    <n v="1376158"/>
    <n v="114679.83333333333"/>
    <n v="0"/>
  </r>
  <r>
    <s v="Вельминг"/>
    <s v="П"/>
    <s v="ЦПЗ"/>
    <s v="ОПЗ"/>
    <m/>
    <s v="К.С."/>
    <s v="К.С."/>
    <s v="К.С."/>
    <x v="72"/>
    <x v="0"/>
    <m/>
    <n v="65.857142857142861"/>
    <n v="42"/>
    <n v="75"/>
    <n v="75"/>
    <n v="72"/>
    <n v="67"/>
    <n v="79"/>
    <n v="51"/>
    <n v="0"/>
    <n v="1534719"/>
    <n v="127893.25"/>
    <n v="0"/>
  </r>
  <r>
    <s v="Вергина Луи"/>
    <s v="П"/>
    <s v="ППЗ"/>
    <s v="АПЗ"/>
    <m/>
    <m/>
    <s v="К.С."/>
    <s v="К.С."/>
    <x v="72"/>
    <x v="0"/>
    <m/>
    <n v="65"/>
    <n v="26"/>
    <n v="77"/>
    <n v="69"/>
    <n v="82"/>
    <n v="78"/>
    <n v="80"/>
    <n v="43"/>
    <n v="0"/>
    <n v="1346275"/>
    <n v="112189.58333333333"/>
    <n v="0"/>
  </r>
  <r>
    <s v="Грокер Ханс"/>
    <s v="П"/>
    <s v="ЦПЗ"/>
    <s v="ППЗ"/>
    <m/>
    <m/>
    <s v="К.С."/>
    <s v="К.С."/>
    <x v="72"/>
    <x v="0"/>
    <m/>
    <n v="56"/>
    <n v="19"/>
    <n v="62"/>
    <n v="65"/>
    <n v="69"/>
    <n v="70"/>
    <n v="75"/>
    <n v="32"/>
    <n v="0"/>
    <n v="303306"/>
    <n v="25275.5"/>
    <n v="0"/>
  </r>
  <r>
    <s v="Жеолби"/>
    <s v="П"/>
    <s v="ЛПЗ"/>
    <s v="АПЗ"/>
    <s v="ОПЗ"/>
    <s v="К.С."/>
    <s v="К.С."/>
    <s v="К.С."/>
    <x v="72"/>
    <x v="0"/>
    <m/>
    <n v="68.857142857142861"/>
    <n v="35"/>
    <n v="83"/>
    <n v="75"/>
    <n v="78"/>
    <n v="69"/>
    <n v="82"/>
    <n v="60"/>
    <n v="0"/>
    <n v="2396018"/>
    <n v="199668.16666666666"/>
    <n v="0"/>
  </r>
  <r>
    <s v="Сергина (П)"/>
    <s v="П"/>
    <s v="ППЗ"/>
    <s v="АПЗ"/>
    <m/>
    <s v="К.С."/>
    <s v="К.С."/>
    <s v="К.С."/>
    <x v="72"/>
    <x v="0"/>
    <m/>
    <n v="77.142857142857139"/>
    <n v="70"/>
    <n v="83"/>
    <n v="82"/>
    <n v="80"/>
    <n v="74"/>
    <n v="80"/>
    <n v="71"/>
    <n v="24"/>
    <n v="11195628"/>
    <n v="932969"/>
    <n v="0"/>
  </r>
  <r>
    <s v="Токер"/>
    <s v="П"/>
    <s v="ЦПЗ"/>
    <s v="ППЗ"/>
    <m/>
    <s v="К.С."/>
    <s v="К.С."/>
    <s v="К.С."/>
    <x v="72"/>
    <x v="0"/>
    <m/>
    <n v="66"/>
    <n v="43"/>
    <n v="74"/>
    <n v="74"/>
    <n v="73"/>
    <n v="68"/>
    <n v="78"/>
    <n v="52"/>
    <n v="0"/>
    <n v="1568337"/>
    <n v="130694.75"/>
    <n v="0"/>
  </r>
  <r>
    <s v="Стерминг Кай"/>
    <s v="Т"/>
    <s v="Т"/>
    <m/>
    <m/>
    <m/>
    <s v="К.С."/>
    <s v="К.С."/>
    <x v="72"/>
    <x v="0"/>
    <m/>
    <n v="61"/>
    <n v="24"/>
    <n v="72"/>
    <n v="67"/>
    <n v="76"/>
    <n v="74"/>
    <n v="77"/>
    <n v="37"/>
    <n v="0"/>
    <n v="713343"/>
    <n v="59445.25"/>
    <n v="0"/>
  </r>
  <r>
    <s v="Дракенберг Олаф"/>
    <s v="В"/>
    <s v="В"/>
    <m/>
    <m/>
    <m/>
    <s v="Бел"/>
    <s v="Бел"/>
    <x v="73"/>
    <x v="0"/>
    <m/>
    <n v="73.571428571428569"/>
    <n v="40"/>
    <n v="80"/>
    <n v="80"/>
    <n v="86"/>
    <n v="90"/>
    <n v="79"/>
    <n v="60"/>
    <n v="30"/>
    <n v="6969204"/>
    <n v="580767"/>
    <n v="0"/>
  </r>
  <r>
    <s v="Кушима (В)"/>
    <s v="В"/>
    <s v="В"/>
    <m/>
    <m/>
    <s v="Шах"/>
    <s v="Лион"/>
    <s v="Лион"/>
    <x v="73"/>
    <x v="0"/>
    <m/>
    <n v="78.857142857142861"/>
    <n v="70"/>
    <n v="92"/>
    <n v="77"/>
    <n v="82"/>
    <n v="80"/>
    <n v="82"/>
    <n v="69"/>
    <n v="31"/>
    <n v="13947670"/>
    <n v="1162305.8333333333"/>
    <n v="0"/>
  </r>
  <r>
    <s v="Акин (З)"/>
    <s v="З"/>
    <s v="ЦЗ"/>
    <m/>
    <m/>
    <s v="Вод"/>
    <s v="Вод"/>
    <s v="Вод"/>
    <x v="73"/>
    <x v="0"/>
    <m/>
    <n v="73.714285714285708"/>
    <n v="70"/>
    <n v="70"/>
    <n v="88"/>
    <n v="75"/>
    <n v="70"/>
    <n v="88"/>
    <n v="55"/>
    <n v="0"/>
    <n v="4737145"/>
    <n v="394762.08333333331"/>
    <n v="0"/>
  </r>
  <r>
    <s v="Бергстен Оле"/>
    <s v="З"/>
    <s v="ПЗ"/>
    <m/>
    <m/>
    <m/>
    <s v="Бел"/>
    <s v="Бел"/>
    <x v="73"/>
    <x v="0"/>
    <m/>
    <n v="69.571428571428569"/>
    <n v="44"/>
    <n v="85"/>
    <n v="62"/>
    <n v="80"/>
    <n v="82"/>
    <n v="84"/>
    <n v="50"/>
    <n v="0"/>
    <n v="2656497"/>
    <n v="221374.75"/>
    <n v="0"/>
  </r>
  <r>
    <s v="Винтерфельд Ганс"/>
    <s v="З"/>
    <s v="ЦЗ"/>
    <s v="ЛЗ"/>
    <m/>
    <m/>
    <s v="Бел"/>
    <s v="Бел"/>
    <x v="73"/>
    <x v="0"/>
    <m/>
    <n v="66.285714285714292"/>
    <n v="23"/>
    <n v="76"/>
    <n v="70"/>
    <n v="82"/>
    <n v="84"/>
    <n v="86"/>
    <n v="43"/>
    <n v="0"/>
    <n v="1637569"/>
    <n v="136464.08333333334"/>
    <n v="0"/>
  </r>
  <r>
    <s v="Розенкранц Ларс"/>
    <s v="З"/>
    <s v="ЦЗ"/>
    <m/>
    <m/>
    <m/>
    <s v="Бел"/>
    <s v="Бел"/>
    <x v="73"/>
    <x v="0"/>
    <m/>
    <n v="51.571428571428569"/>
    <n v="15"/>
    <n v="55"/>
    <n v="58"/>
    <n v="66"/>
    <n v="68"/>
    <n v="72"/>
    <n v="27"/>
    <n v="0"/>
    <n v="133074"/>
    <n v="11089.5"/>
    <n v="0"/>
  </r>
  <r>
    <s v="Ферсуо (З)"/>
    <s v="З"/>
    <s v="ЦЗ"/>
    <m/>
    <m/>
    <s v="А.Н."/>
    <s v="А.Н."/>
    <s v="А.Н."/>
    <x v="73"/>
    <x v="0"/>
    <m/>
    <n v="74.428571428571431"/>
    <n v="59"/>
    <n v="70"/>
    <n v="70"/>
    <n v="89"/>
    <n v="81"/>
    <n v="82"/>
    <n v="70"/>
    <n v="0"/>
    <n v="5216712"/>
    <n v="434726"/>
    <n v="0"/>
  </r>
  <r>
    <s v="Жтальберг Уси"/>
    <s v="З"/>
    <s v="ЦЗ"/>
    <s v="ОПЗ"/>
    <m/>
    <m/>
    <s v="Бел"/>
    <s v="Бел"/>
    <x v="73"/>
    <x v="0"/>
    <m/>
    <n v="59.571428571428569"/>
    <n v="16"/>
    <n v="66"/>
    <n v="64"/>
    <n v="78"/>
    <n v="80"/>
    <n v="81"/>
    <n v="32"/>
    <n v="0"/>
    <n v="562834"/>
    <n v="46902.833333333336"/>
    <n v="0"/>
  </r>
  <r>
    <s v="Лендинг"/>
    <s v="Н"/>
    <s v="ЦН"/>
    <s v="АПЗ"/>
    <m/>
    <s v="Клю"/>
    <s v="Клю"/>
    <s v="Клю"/>
    <x v="73"/>
    <x v="0"/>
    <m/>
    <n v="70.571428571428569"/>
    <n v="52"/>
    <n v="81"/>
    <n v="80"/>
    <n v="78"/>
    <n v="74"/>
    <n v="77"/>
    <n v="52"/>
    <n v="0"/>
    <n v="3064003"/>
    <n v="255333.58333333334"/>
    <n v="0"/>
  </r>
  <r>
    <s v="Рихтер Курт"/>
    <s v="Н"/>
    <s v="ЦН"/>
    <s v="АПЗ"/>
    <m/>
    <m/>
    <s v="Бел"/>
    <s v="Бел"/>
    <x v="73"/>
    <x v="0"/>
    <m/>
    <n v="71.714285714285708"/>
    <n v="48"/>
    <n v="82"/>
    <n v="80"/>
    <n v="81"/>
    <n v="82"/>
    <n v="85"/>
    <n v="44"/>
    <n v="7"/>
    <n v="5396946"/>
    <n v="449745.5"/>
    <n v="0"/>
  </r>
  <r>
    <s v="Тогист"/>
    <s v="Н"/>
    <s v="ЦН"/>
    <m/>
    <m/>
    <s v="Сар"/>
    <s v="Сар"/>
    <s v="Сар"/>
    <x v="73"/>
    <x v="0"/>
    <m/>
    <n v="62"/>
    <n v="35"/>
    <n v="70"/>
    <n v="74"/>
    <n v="70"/>
    <n v="68"/>
    <n v="77"/>
    <n v="40"/>
    <n v="0"/>
    <n v="839300"/>
    <n v="69941.666666666672"/>
    <n v="0"/>
  </r>
  <r>
    <s v="Грайстер"/>
    <s v="П"/>
    <s v="АПЗ"/>
    <s v="ЦПЗ"/>
    <m/>
    <s v="Шах"/>
    <s v="Шах"/>
    <s v="Шах"/>
    <x v="73"/>
    <x v="0"/>
    <m/>
    <n v="58.285714285714285"/>
    <n v="42"/>
    <n v="57"/>
    <n v="73"/>
    <n v="65"/>
    <n v="52"/>
    <n v="66"/>
    <n v="53"/>
    <n v="0"/>
    <n v="452503"/>
    <n v="37708.583333333336"/>
    <n v="0"/>
  </r>
  <r>
    <s v="Кальтенбруннер Дитер"/>
    <s v="П"/>
    <s v="ЦПЗ"/>
    <s v="ЛПЗ"/>
    <m/>
    <m/>
    <s v="Бел"/>
    <s v="Бел"/>
    <x v="73"/>
    <x v="0"/>
    <m/>
    <n v="65.571428571428569"/>
    <n v="24"/>
    <n v="78"/>
    <n v="74"/>
    <n v="84"/>
    <n v="78"/>
    <n v="80"/>
    <n v="41"/>
    <n v="0"/>
    <n v="1469422"/>
    <n v="122451.83333333333"/>
    <n v="0"/>
  </r>
  <r>
    <s v="Л. Ханчик (П)"/>
    <s v="П"/>
    <s v="ППЗ"/>
    <s v="ЛПЗ"/>
    <m/>
    <s v="Бел"/>
    <s v="Бел"/>
    <s v="Бел"/>
    <x v="73"/>
    <x v="0"/>
    <m/>
    <n v="87"/>
    <n v="84"/>
    <n v="92"/>
    <n v="89"/>
    <n v="90"/>
    <n v="83"/>
    <n v="83"/>
    <n v="88"/>
    <n v="23"/>
    <n v="37263513"/>
    <n v="3105292.75"/>
    <n v="0"/>
  </r>
  <r>
    <s v="П. Лоурет (П)"/>
    <s v="П"/>
    <s v="ЦПЗ"/>
    <s v="ЛПЗ"/>
    <m/>
    <s v="Бел"/>
    <s v="Бел"/>
    <s v="Бел"/>
    <x v="73"/>
    <x v="0"/>
    <m/>
    <n v="88.285714285714292"/>
    <n v="86"/>
    <n v="91"/>
    <n v="87"/>
    <n v="96"/>
    <n v="87"/>
    <n v="84"/>
    <n v="87"/>
    <n v="23"/>
    <n v="43151472"/>
    <n v="3595956"/>
    <n v="0"/>
  </r>
  <r>
    <s v="Тормир (П)"/>
    <s v="П"/>
    <s v="ЦПЗ"/>
    <s v="ОПЗ"/>
    <s v="АПЗ"/>
    <s v="Вар"/>
    <s v="Вар"/>
    <s v="Вар"/>
    <x v="73"/>
    <x v="0"/>
    <m/>
    <n v="84.428571428571431"/>
    <n v="78"/>
    <n v="81"/>
    <n v="81"/>
    <n v="84"/>
    <n v="94"/>
    <n v="95"/>
    <n v="78"/>
    <n v="18"/>
    <n v="27604868"/>
    <n v="2300405.6666666665"/>
    <n v="0"/>
  </r>
  <r>
    <s v="Фалькенхаген Пауль"/>
    <s v="П"/>
    <s v="ППЗ"/>
    <s v="ЛПЗ"/>
    <m/>
    <m/>
    <s v="Бел"/>
    <s v="Бел"/>
    <x v="73"/>
    <x v="0"/>
    <m/>
    <n v="54.714285714285715"/>
    <n v="16"/>
    <n v="60"/>
    <n v="64"/>
    <n v="72"/>
    <n v="70"/>
    <n v="73"/>
    <n v="28"/>
    <n v="0"/>
    <n v="240441"/>
    <n v="20036.75"/>
    <n v="0"/>
  </r>
  <r>
    <s v="Хольцманн Макс"/>
    <s v="П"/>
    <s v="АПЗ"/>
    <s v="ЦПЗ"/>
    <m/>
    <m/>
    <s v="Бел"/>
    <s v="Бел"/>
    <x v="73"/>
    <x v="0"/>
    <m/>
    <n v="57.142857142857146"/>
    <n v="18"/>
    <n v="64"/>
    <n v="66"/>
    <n v="74"/>
    <n v="72"/>
    <n v="75"/>
    <n v="31"/>
    <n v="0"/>
    <n v="371210"/>
    <n v="30934.166666666668"/>
    <n v="0"/>
  </r>
  <r>
    <s v="Штейнберг Эрих"/>
    <s v="П"/>
    <s v="ЦПЗ"/>
    <s v="ОПЗ"/>
    <m/>
    <m/>
    <s v="Бел"/>
    <s v="Бел"/>
    <x v="73"/>
    <x v="0"/>
    <m/>
    <n v="61.571428571428569"/>
    <n v="21"/>
    <n v="72"/>
    <n v="68"/>
    <n v="80"/>
    <n v="76"/>
    <n v="78"/>
    <n v="36"/>
    <n v="0"/>
    <n v="783056"/>
    <n v="65254.666666666664"/>
    <n v="0"/>
  </r>
  <r>
    <s v="Щвагер (П)"/>
    <s v="П"/>
    <s v="ЦПЗ"/>
    <s v="ППЗ"/>
    <m/>
    <s v="Щеб"/>
    <s v="Щеб"/>
    <s v="Щеб"/>
    <x v="73"/>
    <x v="0"/>
    <m/>
    <n v="52.142857142857146"/>
    <n v="32"/>
    <n v="59"/>
    <n v="66"/>
    <n v="57"/>
    <n v="55"/>
    <n v="66"/>
    <n v="30"/>
    <n v="0"/>
    <n v="148576"/>
    <n v="12381.333333333334"/>
    <n v="0"/>
  </r>
  <r>
    <s v="Кальетр"/>
    <s v="Т"/>
    <s v="Т"/>
    <m/>
    <m/>
    <m/>
    <s v="Бел"/>
    <s v="Бел"/>
    <x v="73"/>
    <x v="0"/>
    <m/>
    <n v="73.428571428571431"/>
    <n v="63"/>
    <n v="79"/>
    <n v="84"/>
    <n v="74"/>
    <n v="82"/>
    <n v="74"/>
    <n v="58"/>
    <n v="0"/>
    <n v="4556704"/>
    <n v="379725.33333333331"/>
    <n v="0"/>
  </r>
  <r>
    <s v="Власенко Радим"/>
    <s v="В"/>
    <s v="В"/>
    <m/>
    <m/>
    <m/>
    <s v="Мох"/>
    <s v="Мох"/>
    <x v="74"/>
    <x v="0"/>
    <m/>
    <n v="75.285714285714292"/>
    <n v="70"/>
    <n v="74"/>
    <n v="73"/>
    <n v="79"/>
    <n v="81"/>
    <n v="78"/>
    <n v="72"/>
    <n v="0"/>
    <n v="5849595"/>
    <n v="487466.25"/>
    <n v="0"/>
  </r>
  <r>
    <s v="Суиилла (В)"/>
    <s v="В"/>
    <s v="В"/>
    <m/>
    <m/>
    <s v="Вор"/>
    <s v="Вор"/>
    <s v="Вор"/>
    <x v="74"/>
    <x v="0"/>
    <m/>
    <n v="87.142857142857139"/>
    <n v="83"/>
    <n v="84"/>
    <n v="82"/>
    <n v="86"/>
    <n v="90"/>
    <n v="94"/>
    <n v="91"/>
    <n v="31"/>
    <n v="37879934"/>
    <n v="3156661.1666666665"/>
    <n v="0"/>
  </r>
  <r>
    <s v="Грайз (З)"/>
    <s v="З"/>
    <s v="ЦЗ"/>
    <s v="ОПЗ"/>
    <m/>
    <s v="С.К."/>
    <s v="С.К."/>
    <s v="С.К."/>
    <x v="74"/>
    <x v="0"/>
    <m/>
    <n v="93.571428571428569"/>
    <n v="95"/>
    <n v="87"/>
    <n v="97"/>
    <n v="97"/>
    <n v="94"/>
    <n v="90"/>
    <n v="95"/>
    <n v="1"/>
    <n v="77183392"/>
    <n v="6431949.333333333"/>
    <n v="0"/>
  </r>
  <r>
    <s v="Зовар Крэм"/>
    <s v="З"/>
    <s v="ПЗ"/>
    <s v="ЦЗ"/>
    <m/>
    <m/>
    <s v="Мох"/>
    <s v="Мох"/>
    <x v="74"/>
    <x v="0"/>
    <m/>
    <n v="76.285714285714292"/>
    <n v="72"/>
    <n v="75"/>
    <n v="80"/>
    <n v="78"/>
    <n v="76"/>
    <n v="79"/>
    <n v="74"/>
    <n v="0"/>
    <n v="6674707"/>
    <n v="556225.58333333337"/>
    <n v="0"/>
  </r>
  <r>
    <s v="Исаксен (З)"/>
    <s v="З"/>
    <s v="ЛЗ"/>
    <s v="ЦЗ"/>
    <s v="ОПЗ"/>
    <s v="Кирп"/>
    <s v="Кирп"/>
    <s v="Кирп"/>
    <x v="74"/>
    <x v="0"/>
    <m/>
    <n v="93.571428571428569"/>
    <n v="92"/>
    <n v="95"/>
    <n v="92"/>
    <n v="95"/>
    <n v="95"/>
    <n v="91"/>
    <n v="95"/>
    <n v="1"/>
    <n v="77183392"/>
    <n v="6431949.333333333"/>
    <n v="0"/>
  </r>
  <r>
    <s v="Лисовский Богдан"/>
    <s v="З"/>
    <s v="ЛЗ"/>
    <s v="ЦЗ"/>
    <m/>
    <m/>
    <s v="Мох"/>
    <s v="Мох"/>
    <x v="74"/>
    <x v="0"/>
    <m/>
    <n v="75.571428571428569"/>
    <n v="68"/>
    <n v="77"/>
    <n v="78"/>
    <n v="80"/>
    <n v="75"/>
    <n v="81"/>
    <n v="70"/>
    <n v="0"/>
    <n v="6075421"/>
    <n v="506285.08333333331"/>
    <n v="0"/>
  </r>
  <r>
    <s v="Михени (З)"/>
    <s v="З"/>
    <s v="ЦЗ"/>
    <s v="ЛЗ"/>
    <m/>
    <s v="Мох"/>
    <s v="Мох"/>
    <s v="Мох"/>
    <x v="74"/>
    <x v="0"/>
    <m/>
    <n v="85.571428571428569"/>
    <n v="88"/>
    <n v="81"/>
    <n v="85"/>
    <n v="82"/>
    <n v="89"/>
    <n v="88"/>
    <n v="86"/>
    <n v="28"/>
    <n v="31577598"/>
    <n v="2631466.5"/>
    <n v="0"/>
  </r>
  <r>
    <s v="Сиилоол (з)"/>
    <s v="З"/>
    <s v="ЦЗ"/>
    <s v="ОПЗ"/>
    <s v="ЛЗ"/>
    <s v="Мох"/>
    <s v="Лив"/>
    <s v="Лив"/>
    <x v="74"/>
    <x v="0"/>
    <m/>
    <n v="81.857142857142861"/>
    <n v="84"/>
    <n v="82"/>
    <n v="80"/>
    <n v="84"/>
    <n v="82"/>
    <n v="83"/>
    <n v="78"/>
    <n v="27"/>
    <n v="20260823"/>
    <n v="1688401.9166666667"/>
    <n v="0"/>
  </r>
  <r>
    <s v="Стрельцов Мирослав"/>
    <s v="З"/>
    <s v="ЦЗ"/>
    <s v="ОПЗ"/>
    <m/>
    <m/>
    <s v="Мох"/>
    <s v="Мох"/>
    <x v="74"/>
    <x v="0"/>
    <m/>
    <n v="75.571428571428569"/>
    <n v="71"/>
    <n v="73"/>
    <n v="79"/>
    <n v="77"/>
    <n v="80"/>
    <n v="78"/>
    <n v="71"/>
    <n v="0"/>
    <n v="6075421"/>
    <n v="506285.08333333331"/>
    <n v="0"/>
  </r>
  <r>
    <s v="Богумилов Ратибор"/>
    <s v="Н"/>
    <s v="ОФ"/>
    <s v="ЛПЗ"/>
    <m/>
    <m/>
    <s v="Мох"/>
    <s v="Мох"/>
    <x v="74"/>
    <x v="0"/>
    <m/>
    <n v="75.142857142857139"/>
    <n v="70"/>
    <n v="80"/>
    <n v="76"/>
    <n v="79"/>
    <n v="77"/>
    <n v="76"/>
    <n v="68"/>
    <n v="0"/>
    <n v="5739540"/>
    <n v="478295"/>
    <n v="0"/>
  </r>
  <r>
    <s v="Даллакки (П)"/>
    <s v="Н"/>
    <s v="ЦН"/>
    <s v="ОФ"/>
    <m/>
    <s v="Мох"/>
    <s v="Мох"/>
    <s v="Мох"/>
    <x v="74"/>
    <x v="0"/>
    <m/>
    <n v="90.285714285714292"/>
    <n v="90"/>
    <n v="93"/>
    <n v="93"/>
    <n v="92"/>
    <n v="82"/>
    <n v="88"/>
    <n v="94"/>
    <n v="12"/>
    <n v="53986062"/>
    <n v="4498838.5"/>
    <n v="0"/>
  </r>
  <r>
    <s v="Дуглас (Н)"/>
    <s v="Н"/>
    <s v="ЦН"/>
    <s v="АПЗ"/>
    <m/>
    <s v="Бел"/>
    <s v="Бел"/>
    <s v="Бел"/>
    <x v="74"/>
    <x v="0"/>
    <m/>
    <n v="91.285714285714292"/>
    <n v="92"/>
    <n v="90"/>
    <n v="95"/>
    <n v="91"/>
    <n v="89"/>
    <n v="87"/>
    <n v="95"/>
    <n v="7"/>
    <n v="60272533"/>
    <n v="5022711.083333333"/>
    <n v="0"/>
  </r>
  <r>
    <s v="Еллоита (П)"/>
    <s v="Н"/>
    <s v="ЦН"/>
    <s v="ОФ"/>
    <m/>
    <s v="Мох"/>
    <s v="Мох"/>
    <s v="Мох"/>
    <x v="74"/>
    <x v="0"/>
    <m/>
    <n v="90.714285714285708"/>
    <n v="91"/>
    <n v="95"/>
    <n v="91"/>
    <n v="91"/>
    <n v="85"/>
    <n v="89"/>
    <n v="93"/>
    <n v="12"/>
    <n v="56604129"/>
    <n v="4717010.75"/>
    <n v="0"/>
  </r>
  <r>
    <s v="Хроум (Н)"/>
    <s v="Н"/>
    <s v="ЦН"/>
    <m/>
    <m/>
    <s v="Мох"/>
    <s v="Мох"/>
    <s v="Мох"/>
    <x v="74"/>
    <x v="0"/>
    <m/>
    <n v="77"/>
    <n v="64"/>
    <n v="71"/>
    <n v="88"/>
    <n v="80"/>
    <n v="84"/>
    <n v="92"/>
    <n v="60"/>
    <n v="6"/>
    <n v="10990021"/>
    <n v="915835.08333333337"/>
    <n v="0"/>
  </r>
  <r>
    <s v="Яромиров Святогор"/>
    <s v="Н"/>
    <s v="ЦН"/>
    <s v="ОФ"/>
    <m/>
    <m/>
    <s v="Мох"/>
    <s v="Мох"/>
    <x v="74"/>
    <x v="0"/>
    <m/>
    <n v="76.285714285714292"/>
    <n v="74"/>
    <n v="75"/>
    <n v="80"/>
    <n v="78"/>
    <n v="82"/>
    <n v="75"/>
    <n v="70"/>
    <n v="0"/>
    <n v="6674707"/>
    <n v="556225.58333333337"/>
    <n v="0"/>
  </r>
  <r>
    <s v="Войцеховский Светозар"/>
    <s v="П"/>
    <s v="ППЗ"/>
    <s v="АПЗ"/>
    <m/>
    <m/>
    <s v="Мох"/>
    <s v="Мох"/>
    <x v="74"/>
    <x v="0"/>
    <m/>
    <n v="74"/>
    <n v="69"/>
    <n v="78"/>
    <n v="75"/>
    <n v="80"/>
    <n v="73"/>
    <n v="77"/>
    <n v="66"/>
    <n v="0"/>
    <n v="4923991"/>
    <n v="410332.58333333331"/>
    <n v="0"/>
  </r>
  <r>
    <s v="Гаширов (П)"/>
    <s v="П"/>
    <s v="ЦПЗ"/>
    <s v="ППЗ"/>
    <s v="ОПЗ"/>
    <s v="Мох"/>
    <s v="Мох"/>
    <s v="Мох"/>
    <x v="74"/>
    <x v="0"/>
    <m/>
    <n v="85.714285714285708"/>
    <n v="84"/>
    <n v="85"/>
    <n v="89"/>
    <n v="82"/>
    <n v="87"/>
    <n v="93"/>
    <n v="80"/>
    <n v="26"/>
    <n v="32108748"/>
    <n v="2675729"/>
    <n v="0"/>
  </r>
  <r>
    <s v="Гонсалес (П)"/>
    <s v="П"/>
    <s v="ЦПЗ"/>
    <s v="ЛПЗ"/>
    <m/>
    <s v="Снег"/>
    <s v="Снег"/>
    <s v="Снег"/>
    <x v="74"/>
    <x v="0"/>
    <m/>
    <n v="65"/>
    <n v="36"/>
    <n v="64"/>
    <n v="73"/>
    <n v="78"/>
    <n v="68"/>
    <n v="76"/>
    <n v="60"/>
    <n v="0"/>
    <n v="1346275"/>
    <n v="112189.58333333333"/>
    <n v="0"/>
  </r>
  <r>
    <s v="Ковалев Добрыня"/>
    <s v="П"/>
    <s v="ОПЗ"/>
    <s v="ЦПЗ"/>
    <m/>
    <m/>
    <s v="Мох"/>
    <s v="Мох"/>
    <x v="74"/>
    <x v="0"/>
    <m/>
    <n v="78.142857142857139"/>
    <n v="73"/>
    <n v="79"/>
    <n v="83"/>
    <n v="81"/>
    <n v="80"/>
    <n v="79"/>
    <n v="72"/>
    <n v="0"/>
    <n v="8489711"/>
    <n v="707475.91666666663"/>
    <n v="0"/>
  </r>
  <r>
    <s v="Милодрагович Велеслав"/>
    <s v="П"/>
    <s v="ЛПЗ"/>
    <s v="ЦПЗ"/>
    <m/>
    <m/>
    <s v="Мох"/>
    <s v="Мох"/>
    <x v="74"/>
    <x v="0"/>
    <m/>
    <n v="74.714285714285708"/>
    <n v="70"/>
    <n v="79"/>
    <n v="76"/>
    <n v="79"/>
    <n v="74"/>
    <n v="78"/>
    <n v="67"/>
    <n v="0"/>
    <n v="5420465"/>
    <n v="451705.41666666669"/>
    <n v="0"/>
  </r>
  <r>
    <s v="Миронскировва (П)"/>
    <s v="П"/>
    <s v="ППЗ"/>
    <s v="ОПЗ"/>
    <s v="АПЗ"/>
    <s v="Мох"/>
    <s v="Мох"/>
    <s v="Мох"/>
    <x v="74"/>
    <x v="0"/>
    <m/>
    <n v="89.714285714285708"/>
    <n v="88"/>
    <n v="96"/>
    <n v="88"/>
    <n v="93"/>
    <n v="85"/>
    <n v="85"/>
    <n v="93"/>
    <n v="3"/>
    <n v="50664913"/>
    <n v="4222076.083333333"/>
    <n v="0"/>
  </r>
  <r>
    <s v="Мохнович (П)"/>
    <s v="П"/>
    <s v="АПЗ"/>
    <s v="ЦПЗ"/>
    <s v="ЦН"/>
    <s v="Мох"/>
    <s v="Мох"/>
    <s v="Мох"/>
    <x v="74"/>
    <x v="0"/>
    <m/>
    <n v="88.714285714285708"/>
    <n v="86"/>
    <n v="84"/>
    <n v="94"/>
    <n v="90"/>
    <n v="87"/>
    <n v="90"/>
    <n v="90"/>
    <n v="21"/>
    <n v="45292560"/>
    <n v="3774380"/>
    <n v="0"/>
  </r>
  <r>
    <s v="Радзивилл Ярополк"/>
    <s v="П"/>
    <s v="ЦПЗ"/>
    <s v="АПЗ"/>
    <m/>
    <m/>
    <s v="Мох"/>
    <s v="Мох"/>
    <x v="74"/>
    <x v="0"/>
    <m/>
    <n v="76"/>
    <n v="74"/>
    <n v="81"/>
    <n v="77"/>
    <n v="80"/>
    <n v="74"/>
    <n v="77"/>
    <n v="69"/>
    <n v="0"/>
    <n v="6428889"/>
    <n v="535740.75"/>
    <n v="0"/>
  </r>
  <r>
    <s v="Рухна (П)"/>
    <s v="П"/>
    <s v="ОПЗ"/>
    <s v="ЦПЗ"/>
    <s v="ЦЗ"/>
    <s v="Мох"/>
    <s v="Мох"/>
    <s v="Мох"/>
    <x v="74"/>
    <x v="0"/>
    <m/>
    <n v="89.857142857142861"/>
    <n v="90"/>
    <n v="87"/>
    <n v="90"/>
    <n v="88"/>
    <n v="89"/>
    <n v="95"/>
    <n v="90"/>
    <n v="18"/>
    <n v="51477485"/>
    <n v="4289790.416666667"/>
    <n v="0"/>
  </r>
  <r>
    <s v="Сырна (П)"/>
    <s v="П"/>
    <s v="ОПЗ"/>
    <s v="ЦПЗ"/>
    <s v="ЦЗ"/>
    <s v="Мох"/>
    <s v="Мох"/>
    <s v="Мох"/>
    <x v="74"/>
    <x v="0"/>
    <m/>
    <n v="87.428571428571431"/>
    <n v="88"/>
    <n v="80"/>
    <n v="89"/>
    <n v="87"/>
    <n v="90"/>
    <n v="90"/>
    <n v="88"/>
    <n v="26"/>
    <n v="39140384"/>
    <n v="3261698.6666666665"/>
    <n v="0"/>
  </r>
  <r>
    <s v="Руханов"/>
    <s v="Т"/>
    <s v="Т"/>
    <m/>
    <m/>
    <m/>
    <s v="Мох"/>
    <s v="Мох"/>
    <x v="74"/>
    <x v="0"/>
    <m/>
    <n v="85.571428571428569"/>
    <n v="80"/>
    <n v="85"/>
    <n v="82"/>
    <n v="92"/>
    <n v="83"/>
    <n v="93"/>
    <n v="84"/>
    <n v="0"/>
    <n v="21051732"/>
    <n v="1754311"/>
    <n v="0"/>
  </r>
  <r>
    <s v="Борнеб Рэйус"/>
    <s v="В"/>
    <s v="В"/>
    <m/>
    <m/>
    <m/>
    <s v="Мал"/>
    <s v="В.И."/>
    <x v="75"/>
    <x v="0"/>
    <m/>
    <n v="35.142857142857146"/>
    <n v="13"/>
    <n v="43"/>
    <n v="37"/>
    <n v="41"/>
    <n v="43"/>
    <n v="45"/>
    <n v="24"/>
    <n v="0"/>
    <n v="2874"/>
    <n v="239.5"/>
    <n v="0"/>
  </r>
  <r>
    <s v="Жорнеб Арик"/>
    <s v="В"/>
    <s v="В"/>
    <m/>
    <m/>
    <m/>
    <s v="Мал"/>
    <s v="В.И."/>
    <x v="75"/>
    <x v="0"/>
    <m/>
    <n v="39"/>
    <n v="15"/>
    <n v="49"/>
    <n v="41"/>
    <n v="45"/>
    <n v="47"/>
    <n v="49"/>
    <n v="27"/>
    <n v="0"/>
    <n v="8141"/>
    <n v="678.41666666666663"/>
    <n v="0"/>
  </r>
  <r>
    <s v="Щорнеб Аранеис"/>
    <s v="В"/>
    <s v="В"/>
    <m/>
    <m/>
    <m/>
    <s v="Мал"/>
    <s v="В.И."/>
    <x v="75"/>
    <x v="0"/>
    <m/>
    <n v="35.428571428571431"/>
    <n v="13"/>
    <n v="45"/>
    <n v="37"/>
    <n v="41"/>
    <n v="43"/>
    <n v="45"/>
    <n v="24"/>
    <n v="0"/>
    <n v="3116"/>
    <n v="259.66666666666669"/>
    <n v="0"/>
  </r>
  <r>
    <s v="Гречко Арг"/>
    <s v="З"/>
    <s v="ЦЗ"/>
    <s v="ОПЗ"/>
    <m/>
    <m/>
    <s v="Мал"/>
    <s v="В.И."/>
    <x v="75"/>
    <x v="0"/>
    <m/>
    <n v="31.714285714285715"/>
    <n v="11"/>
    <n v="39"/>
    <n v="33"/>
    <n v="37"/>
    <n v="39"/>
    <n v="41"/>
    <n v="22"/>
    <n v="0"/>
    <n v="1030"/>
    <n v="85.833333333333329"/>
    <n v="0"/>
  </r>
  <r>
    <s v="Дорнеб Алан"/>
    <s v="З"/>
    <s v="ЦЗ"/>
    <s v="ЛЗ"/>
    <m/>
    <m/>
    <s v="Мал"/>
    <s v="В.И."/>
    <x v="75"/>
    <x v="0"/>
    <m/>
    <n v="42.714285714285715"/>
    <n v="17"/>
    <n v="55"/>
    <n v="45"/>
    <n v="49"/>
    <n v="51"/>
    <n v="53"/>
    <n v="29"/>
    <n v="0"/>
    <n v="20218"/>
    <n v="1684.8333333333333"/>
    <n v="0"/>
  </r>
  <r>
    <s v="Корнеб Ран"/>
    <s v="З"/>
    <s v="ПЗ"/>
    <s v="ЦЗ"/>
    <m/>
    <m/>
    <s v="Мал"/>
    <s v="В.И."/>
    <x v="75"/>
    <x v="0"/>
    <m/>
    <n v="38.714285714285715"/>
    <n v="14"/>
    <n v="49"/>
    <n v="41"/>
    <n v="45"/>
    <n v="47"/>
    <n v="49"/>
    <n v="26"/>
    <n v="0"/>
    <n v="7564"/>
    <n v="630.33333333333337"/>
    <n v="0"/>
  </r>
  <r>
    <s v="Лан Ар"/>
    <s v="З"/>
    <s v="ПЗ"/>
    <s v="ЛЗ"/>
    <m/>
    <m/>
    <s v="Мал"/>
    <s v="В.И."/>
    <x v="75"/>
    <x v="0"/>
    <m/>
    <n v="61.142857142857146"/>
    <n v="45"/>
    <n v="88"/>
    <n v="53"/>
    <n v="65"/>
    <n v="67"/>
    <n v="53"/>
    <n v="57"/>
    <n v="0"/>
    <n v="730226"/>
    <n v="60852.166666666664"/>
    <n v="0"/>
  </r>
  <r>
    <s v="Манновзул Ран"/>
    <s v="З"/>
    <s v="ЛЗ"/>
    <s v="ЦЗ"/>
    <m/>
    <m/>
    <s v="Мал"/>
    <s v="В.И."/>
    <x v="75"/>
    <x v="0"/>
    <m/>
    <n v="41"/>
    <n v="16"/>
    <n v="53"/>
    <n v="43"/>
    <n v="47"/>
    <n v="49"/>
    <n v="51"/>
    <n v="28"/>
    <n v="0"/>
    <n v="13423"/>
    <n v="1118.5833333333333"/>
    <n v="0"/>
  </r>
  <r>
    <s v="Хан Рок"/>
    <s v="Н"/>
    <s v="ОФ"/>
    <s v="ЦН"/>
    <m/>
    <m/>
    <s v="Мал"/>
    <s v="В.И."/>
    <x v="75"/>
    <x v="0"/>
    <m/>
    <n v="71.285714285714292"/>
    <n v="65"/>
    <n v="80"/>
    <n v="81"/>
    <n v="75"/>
    <n v="70"/>
    <n v="73"/>
    <n v="55"/>
    <n v="7"/>
    <n v="5082956"/>
    <n v="209150.66666666666"/>
    <n v="0"/>
  </r>
  <r>
    <s v="Цанновбер Анк"/>
    <s v="Н"/>
    <s v="ОФ"/>
    <s v="ЦН"/>
    <m/>
    <m/>
    <s v="Мал"/>
    <s v="В.И."/>
    <x v="75"/>
    <x v="0"/>
    <m/>
    <n v="39.714285714285715"/>
    <n v="15"/>
    <n v="49"/>
    <n v="41"/>
    <n v="47"/>
    <n v="49"/>
    <n v="51"/>
    <n v="26"/>
    <n v="0"/>
    <n v="9761"/>
    <n v="813.41666666666663"/>
    <n v="0"/>
  </r>
  <r>
    <s v="Чорнеб Рарнельд"/>
    <s v="Н"/>
    <s v="ЦН"/>
    <s v="ОФ"/>
    <m/>
    <m/>
    <s v="Мал"/>
    <s v="В.И."/>
    <x v="75"/>
    <x v="0"/>
    <m/>
    <n v="59"/>
    <n v="23"/>
    <n v="73"/>
    <n v="65"/>
    <n v="67"/>
    <n v="69"/>
    <n v="71"/>
    <n v="45"/>
    <n v="0"/>
    <n v="511117"/>
    <n v="42593.083333333336"/>
    <n v="0"/>
  </r>
  <r>
    <s v="Жаннов Д"/>
    <s v="П"/>
    <s v="ЦПЗ"/>
    <s v="АПЗ"/>
    <m/>
    <m/>
    <s v="Мал"/>
    <s v="В.И."/>
    <x v="75"/>
    <x v="0"/>
    <m/>
    <n v="43.714285714285715"/>
    <n v="28"/>
    <n v="53"/>
    <n v="55"/>
    <n v="53"/>
    <n v="43"/>
    <n v="48"/>
    <n v="26"/>
    <n v="0"/>
    <n v="25483"/>
    <n v="2123.5833333333335"/>
    <n v="0"/>
  </r>
  <r>
    <s v="Норнеб Рон"/>
    <s v="П"/>
    <s v="ОПЗ"/>
    <s v="ЦПЗ"/>
    <m/>
    <m/>
    <s v="Мал"/>
    <s v="В.И."/>
    <x v="75"/>
    <x v="0"/>
    <m/>
    <n v="38"/>
    <n v="14"/>
    <n v="47"/>
    <n v="39"/>
    <n v="45"/>
    <n v="47"/>
    <n v="49"/>
    <n v="25"/>
    <n v="0"/>
    <n v="6279"/>
    <n v="523.25"/>
    <n v="0"/>
  </r>
  <r>
    <s v="Порнеб Ранто"/>
    <s v="П"/>
    <s v="ОПЗ"/>
    <s v="ЦЗ"/>
    <m/>
    <m/>
    <s v="Мал"/>
    <s v="В.И."/>
    <x v="75"/>
    <x v="0"/>
    <m/>
    <n v="44.428571428571431"/>
    <n v="18"/>
    <n v="57"/>
    <n v="47"/>
    <n v="51"/>
    <n v="53"/>
    <n v="55"/>
    <n v="30"/>
    <n v="0"/>
    <n v="29966"/>
    <n v="2497.1666666666665"/>
    <n v="0"/>
  </r>
  <r>
    <s v="Ран Ронис"/>
    <s v="П"/>
    <s v="ЦПЗ"/>
    <s v="ОПЗ"/>
    <m/>
    <m/>
    <s v="Мал"/>
    <s v="В.И."/>
    <x v="75"/>
    <x v="0"/>
    <m/>
    <n v="31.571428571428573"/>
    <n v="11"/>
    <n v="39"/>
    <n v="33"/>
    <n v="37"/>
    <n v="39"/>
    <n v="41"/>
    <n v="21"/>
    <n v="0"/>
    <n v="984"/>
    <n v="82"/>
    <n v="0"/>
  </r>
  <r>
    <s v="Санновмир Ран"/>
    <s v="П"/>
    <s v="ЛПЗ"/>
    <s v="ОПЗ"/>
    <m/>
    <m/>
    <s v="Мал"/>
    <s v="В.И."/>
    <x v="75"/>
    <x v="0"/>
    <m/>
    <n v="40.142857142857146"/>
    <n v="15"/>
    <n v="51"/>
    <n v="41"/>
    <n v="47"/>
    <n v="49"/>
    <n v="51"/>
    <n v="27"/>
    <n v="0"/>
    <n v="10867"/>
    <n v="905.58333333333337"/>
    <n v="0"/>
  </r>
  <r>
    <s v="Торнеб Ркон"/>
    <s v="П"/>
    <s v="ППЗ"/>
    <s v="АПЗ"/>
    <m/>
    <m/>
    <s v="Мал"/>
    <s v="В.И."/>
    <x v="75"/>
    <x v="0"/>
    <m/>
    <n v="33.428571428571431"/>
    <n v="12"/>
    <n v="41"/>
    <n v="35"/>
    <n v="39"/>
    <n v="41"/>
    <n v="43"/>
    <n v="23"/>
    <n v="0"/>
    <n v="1743"/>
    <n v="145.25"/>
    <n v="0"/>
  </r>
  <r>
    <s v="Форнеб Анк"/>
    <s v="П"/>
    <s v="ППЗ"/>
    <s v="ЛПЗ"/>
    <m/>
    <m/>
    <s v="Мал"/>
    <s v="В.И."/>
    <x v="75"/>
    <x v="0"/>
    <m/>
    <n v="41.857142857142854"/>
    <n v="16"/>
    <n v="53"/>
    <n v="43"/>
    <n v="49"/>
    <n v="51"/>
    <n v="53"/>
    <n v="28"/>
    <n v="0"/>
    <n v="16509"/>
    <n v="1375.75"/>
    <n v="0"/>
  </r>
  <r>
    <s v="Шорнеб Рновьир"/>
    <s v="П"/>
    <s v="ППЗ"/>
    <s v="АПЗ"/>
    <m/>
    <m/>
    <s v="Мал"/>
    <s v="В.И."/>
    <x v="75"/>
    <x v="0"/>
    <m/>
    <n v="55.714285714285715"/>
    <n v="20"/>
    <n v="67"/>
    <n v="61"/>
    <n v="65"/>
    <n v="67"/>
    <n v="69"/>
    <n v="41"/>
    <n v="0"/>
    <n v="288182"/>
    <n v="24015.166666666668"/>
    <n v="0"/>
  </r>
  <r>
    <s v="Тан Арт"/>
    <s v="Т"/>
    <s v="Т"/>
    <m/>
    <m/>
    <m/>
    <s v="Мал"/>
    <s v="В.И."/>
    <x v="75"/>
    <x v="0"/>
    <m/>
    <n v="75.285714285714292"/>
    <n v="65"/>
    <n v="70"/>
    <n v="75"/>
    <n v="80"/>
    <n v="82"/>
    <n v="80"/>
    <n v="75"/>
    <n v="0"/>
    <n v="5849595"/>
    <n v="416.5"/>
    <n v="0"/>
  </r>
  <r>
    <s v="Вел Ксав"/>
    <s v="В"/>
    <s v="В"/>
    <m/>
    <m/>
    <m/>
    <s v="В.И."/>
    <s v="В.И."/>
    <x v="76"/>
    <x v="0"/>
    <m/>
    <n v="61"/>
    <n v="19"/>
    <n v="78"/>
    <n v="64"/>
    <n v="74"/>
    <n v="76"/>
    <n v="78"/>
    <n v="38"/>
    <n v="0"/>
    <n v="713343"/>
    <n v="59445.25"/>
    <n v="0"/>
  </r>
  <r>
    <s v="Мокмор"/>
    <s v="В"/>
    <s v="В"/>
    <m/>
    <m/>
    <s v="Биссий"/>
    <s v="Биссий"/>
    <s v="Биссий"/>
    <x v="76"/>
    <x v="0"/>
    <m/>
    <n v="58.428571428571431"/>
    <n v="20"/>
    <n v="69"/>
    <n v="54"/>
    <n v="75"/>
    <n v="60"/>
    <n v="65"/>
    <n v="66"/>
    <n v="0"/>
    <n v="463717"/>
    <n v="38643.083333333336"/>
    <n v="0"/>
  </r>
  <r>
    <s v="Буновик"/>
    <s v="З"/>
    <s v="ЦЗ"/>
    <m/>
    <m/>
    <s v="Нумб"/>
    <s v="Нумб"/>
    <s v="Нумб"/>
    <x v="76"/>
    <x v="0"/>
    <m/>
    <n v="62.571428571428569"/>
    <n v="15"/>
    <n v="51"/>
    <n v="68"/>
    <n v="74"/>
    <n v="83"/>
    <n v="96"/>
    <n v="51"/>
    <n v="0"/>
    <n v="919943"/>
    <n v="76661.916666666672"/>
    <n v="0"/>
  </r>
  <r>
    <s v="Крафт Брал"/>
    <s v="З"/>
    <s v="ПЗ"/>
    <s v="ЦЗ"/>
    <m/>
    <m/>
    <s v="В.И."/>
    <s v="В.И."/>
    <x v="76"/>
    <x v="0"/>
    <m/>
    <n v="55"/>
    <n v="16"/>
    <n v="76"/>
    <n v="61"/>
    <n v="65"/>
    <n v="67"/>
    <n v="70"/>
    <n v="30"/>
    <n v="0"/>
    <n v="253296"/>
    <n v="21108"/>
    <n v="0"/>
  </r>
  <r>
    <s v="Мольд Зерф"/>
    <s v="З"/>
    <s v="ЛЗ"/>
    <s v="ЦЗ"/>
    <m/>
    <m/>
    <s v="В.И."/>
    <s v="В.И."/>
    <x v="76"/>
    <x v="0"/>
    <m/>
    <n v="59.285714285714285"/>
    <n v="18"/>
    <n v="82"/>
    <n v="66"/>
    <n v="70"/>
    <n v="72"/>
    <n v="74"/>
    <n v="33"/>
    <n v="0"/>
    <n v="536415"/>
    <n v="44701.25"/>
    <n v="0"/>
  </r>
  <r>
    <s v="Пиль-Траск"/>
    <s v="З"/>
    <s v="ЦЗ"/>
    <s v="ОПЗ"/>
    <m/>
    <m/>
    <s v="В.И."/>
    <s v="В.И."/>
    <x v="76"/>
    <x v="0"/>
    <m/>
    <n v="57.857142857142854"/>
    <n v="17"/>
    <n v="79"/>
    <n v="65"/>
    <n v="73"/>
    <n v="69"/>
    <n v="71"/>
    <n v="31"/>
    <n v="0"/>
    <n v="420311"/>
    <n v="35025.916666666664"/>
    <n v="0"/>
  </r>
  <r>
    <s v="Грив Торн"/>
    <s v="Н"/>
    <s v="ОФ"/>
    <s v="ЦН"/>
    <m/>
    <m/>
    <s v="В.И."/>
    <s v="В.И."/>
    <x v="76"/>
    <x v="0"/>
    <m/>
    <n v="56.857142857142854"/>
    <n v="17"/>
    <n v="79"/>
    <n v="63"/>
    <n v="71"/>
    <n v="69"/>
    <n v="71"/>
    <n v="28"/>
    <n v="0"/>
    <n v="353062"/>
    <n v="29421.833333333332"/>
    <n v="0"/>
  </r>
  <r>
    <s v="Москот"/>
    <s v="Н"/>
    <s v="ЦН"/>
    <m/>
    <m/>
    <s v="Лес"/>
    <s v="Лес"/>
    <s v="Лес"/>
    <x v="76"/>
    <x v="0"/>
    <m/>
    <n v="64.142857142857139"/>
    <n v="38"/>
    <n v="73"/>
    <n v="68"/>
    <n v="65"/>
    <n v="71"/>
    <n v="78"/>
    <n v="56"/>
    <n v="0"/>
    <n v="1178917"/>
    <n v="98243.083333333328"/>
    <n v="0"/>
  </r>
  <r>
    <s v="Ролл"/>
    <s v="Н"/>
    <s v="ЦН"/>
    <m/>
    <m/>
    <s v="Генуа"/>
    <s v="Генуа"/>
    <s v="Генуа"/>
    <x v="76"/>
    <x v="0"/>
    <m/>
    <n v="60.428571428571431"/>
    <n v="25"/>
    <n v="68"/>
    <n v="71"/>
    <n v="70"/>
    <n v="65"/>
    <n v="68"/>
    <n v="56"/>
    <n v="0"/>
    <n v="649267"/>
    <n v="54105.583333333336"/>
    <n v="0"/>
  </r>
  <r>
    <s v="Скарн Мирт"/>
    <s v="Н"/>
    <s v="ОФ"/>
    <s v="ЦН"/>
    <m/>
    <m/>
    <s v="В.И."/>
    <s v="В.И."/>
    <x v="76"/>
    <x v="0"/>
    <m/>
    <n v="65.571428571428569"/>
    <n v="35"/>
    <n v="74"/>
    <n v="80"/>
    <n v="73"/>
    <n v="69"/>
    <n v="83"/>
    <n v="45"/>
    <n v="7"/>
    <n v="2204133"/>
    <n v="183677.75"/>
    <n v="0"/>
  </r>
  <r>
    <s v="Трункелло Зерфо"/>
    <s v="Н"/>
    <s v="ЦН"/>
    <s v="ОФ"/>
    <m/>
    <m/>
    <s v="В.И."/>
    <s v="В.И."/>
    <x v="76"/>
    <x v="0"/>
    <m/>
    <n v="66.285714285714292"/>
    <n v="22"/>
    <n v="87"/>
    <n v="75"/>
    <n v="79"/>
    <n v="81"/>
    <n v="84"/>
    <n v="36"/>
    <n v="0"/>
    <n v="1637569"/>
    <n v="136464.08333333334"/>
    <n v="0"/>
  </r>
  <r>
    <s v="Брунтелло Ксавро"/>
    <s v="П"/>
    <s v="ППЗ"/>
    <s v="АПЗ"/>
    <m/>
    <m/>
    <s v="В.И."/>
    <s v="В.И."/>
    <x v="76"/>
    <x v="0"/>
    <m/>
    <n v="68.571428571428569"/>
    <n v="23"/>
    <n v="88"/>
    <n v="76"/>
    <n v="82"/>
    <n v="85"/>
    <n v="87"/>
    <n v="39"/>
    <n v="0"/>
    <n v="2298434"/>
    <n v="191536.16666666666"/>
    <n v="0"/>
  </r>
  <r>
    <s v="Воль Ксав"/>
    <s v="П"/>
    <s v="ОПЗ"/>
    <s v="ЦПЗ"/>
    <m/>
    <m/>
    <s v="В.И."/>
    <s v="В.И."/>
    <x v="76"/>
    <x v="0"/>
    <m/>
    <n v="57"/>
    <n v="16"/>
    <n v="78"/>
    <n v="63"/>
    <n v="69"/>
    <n v="71"/>
    <n v="73"/>
    <n v="29"/>
    <n v="0"/>
    <n v="362034"/>
    <n v="30169.5"/>
    <n v="0"/>
  </r>
  <r>
    <s v="Друн Мирт"/>
    <s v="П"/>
    <s v="ЦПЗ"/>
    <s v="ОПЗ"/>
    <m/>
    <m/>
    <s v="В.И."/>
    <s v="В.И."/>
    <x v="76"/>
    <x v="0"/>
    <m/>
    <n v="60"/>
    <n v="18"/>
    <n v="80"/>
    <n v="67"/>
    <n v="75"/>
    <n v="73"/>
    <n v="75"/>
    <n v="32"/>
    <n v="0"/>
    <n v="604662"/>
    <n v="50388.5"/>
    <n v="0"/>
  </r>
  <r>
    <s v="Скар Эльв"/>
    <s v="П"/>
    <s v="АПЗ"/>
    <s v="ЦПЗ"/>
    <m/>
    <m/>
    <s v="В.И."/>
    <s v="В.И."/>
    <x v="76"/>
    <x v="0"/>
    <m/>
    <n v="59"/>
    <n v="16"/>
    <n v="77"/>
    <n v="65"/>
    <n v="73"/>
    <n v="75"/>
    <n v="77"/>
    <n v="30"/>
    <n v="0"/>
    <n v="511117"/>
    <n v="42593.083333333336"/>
    <n v="0"/>
  </r>
  <r>
    <s v="Трив-Оск"/>
    <s v="П"/>
    <s v="АПЗ"/>
    <s v="ППЗ"/>
    <m/>
    <m/>
    <s v="В.И."/>
    <s v="В.И."/>
    <x v="76"/>
    <x v="0"/>
    <m/>
    <n v="57.571428571428569"/>
    <n v="16"/>
    <n v="76"/>
    <n v="63"/>
    <n v="71"/>
    <n v="73"/>
    <n v="75"/>
    <n v="29"/>
    <n v="0"/>
    <n v="400010"/>
    <n v="33334.166666666664"/>
    <n v="0"/>
  </r>
  <r>
    <s v="Фальк Вельм"/>
    <s v="П"/>
    <s v="ЛПЗ"/>
    <s v="ОПЗ"/>
    <m/>
    <m/>
    <s v="В.И."/>
    <s v="В.И."/>
    <x v="76"/>
    <x v="0"/>
    <m/>
    <n v="64.714285714285708"/>
    <n v="21"/>
    <n v="85"/>
    <n v="73"/>
    <n v="77"/>
    <n v="79"/>
    <n v="81"/>
    <n v="37"/>
    <n v="0"/>
    <n v="1288255"/>
    <n v="107354.58333333333"/>
    <n v="0"/>
  </r>
  <r>
    <s v="Фейшер"/>
    <s v="П"/>
    <s v="ЦПЗ"/>
    <m/>
    <m/>
    <s v="Биссий"/>
    <s v="Биссий"/>
    <s v="Биссий"/>
    <x v="76"/>
    <x v="0"/>
    <m/>
    <n v="57.428571428571431"/>
    <n v="20"/>
    <n v="55"/>
    <n v="70"/>
    <n v="70"/>
    <n v="70"/>
    <n v="82"/>
    <n v="35"/>
    <n v="0"/>
    <n v="390194"/>
    <n v="32516.166666666668"/>
    <n v="0"/>
  </r>
  <r>
    <s v="Хируин"/>
    <s v="П"/>
    <s v="ППЗ"/>
    <s v="ОПЗ"/>
    <m/>
    <s v="Мал"/>
    <s v="В.И."/>
    <s v="В.И."/>
    <x v="76"/>
    <x v="0"/>
    <m/>
    <n v="76"/>
    <n v="50"/>
    <n v="86"/>
    <n v="81"/>
    <n v="81"/>
    <n v="75"/>
    <n v="82"/>
    <n v="77"/>
    <n v="0"/>
    <n v="6428889"/>
    <n v="535740.75"/>
    <n v="0"/>
  </r>
  <r>
    <s v="Трув Ольг"/>
    <s v="Т"/>
    <s v="Т"/>
    <m/>
    <m/>
    <m/>
    <s v="В.И."/>
    <s v="В.И."/>
    <x v="76"/>
    <x v="0"/>
    <m/>
    <n v="58.142857142857146"/>
    <n v="17"/>
    <n v="75"/>
    <n v="61"/>
    <n v="71"/>
    <n v="73"/>
    <n v="75"/>
    <n v="35"/>
    <n v="0"/>
    <n v="441534"/>
    <n v="36794.5"/>
    <n v="0"/>
  </r>
  <r>
    <s v="Дом.Суарес"/>
    <s v="П"/>
    <s v="ЦПЗ"/>
    <s v="ОПЗ"/>
    <m/>
    <s v="В.И."/>
    <s v="В.И."/>
    <s v="В.И."/>
    <x v="77"/>
    <x v="7"/>
    <m/>
    <n v="96"/>
    <n v="98"/>
    <n v="95"/>
    <n v="98"/>
    <n v="97"/>
    <n v="95"/>
    <n v="91"/>
    <n v="98"/>
    <n v="10"/>
    <n v="99724896"/>
    <n v="8310408"/>
    <n v="0"/>
  </r>
  <r>
    <s v="Батинел Ругока"/>
    <s v="В"/>
    <s v="В"/>
    <m/>
    <m/>
    <m/>
    <s v="В.И."/>
    <s v="В.И."/>
    <x v="78"/>
    <x v="0"/>
    <m/>
    <n v="47.428571428571431"/>
    <n v="27"/>
    <n v="56"/>
    <n v="48"/>
    <n v="54"/>
    <n v="56"/>
    <n v="58"/>
    <n v="33"/>
    <n v="0"/>
    <n v="57598"/>
    <n v="4799.833333333333"/>
    <n v="0"/>
  </r>
  <r>
    <s v="Домиза Лупе"/>
    <s v="В"/>
    <s v="В"/>
    <m/>
    <m/>
    <m/>
    <s v="В.И."/>
    <s v="В.И."/>
    <x v="78"/>
    <x v="0"/>
    <m/>
    <n v="42.571428571428569"/>
    <n v="25"/>
    <n v="50"/>
    <n v="44"/>
    <n v="48"/>
    <n v="50"/>
    <n v="52"/>
    <n v="29"/>
    <n v="0"/>
    <n v="19552"/>
    <n v="1629.3333333333333"/>
    <n v="0"/>
  </r>
  <r>
    <s v="Бертин Разул"/>
    <s v="З"/>
    <s v="ПЗ"/>
    <s v="ЦЗ"/>
    <m/>
    <m/>
    <s v="В.И."/>
    <s v="В.И."/>
    <x v="78"/>
    <x v="0"/>
    <m/>
    <n v="46"/>
    <n v="26"/>
    <n v="54"/>
    <n v="48"/>
    <n v="52"/>
    <n v="54"/>
    <n v="56"/>
    <n v="32"/>
    <n v="0"/>
    <n v="42421"/>
    <n v="3535.0833333333335"/>
    <n v="0"/>
  </r>
  <r>
    <s v="Валнис Каррел"/>
    <s v="З"/>
    <s v="ПЗ"/>
    <s v="ЦЗ"/>
    <m/>
    <m/>
    <s v="В.И."/>
    <s v="В.И."/>
    <x v="78"/>
    <x v="0"/>
    <m/>
    <n v="48.285714285714285"/>
    <n v="28"/>
    <n v="58"/>
    <n v="50"/>
    <n v="54"/>
    <n v="56"/>
    <n v="58"/>
    <n v="34"/>
    <n v="0"/>
    <n v="68895"/>
    <n v="5741.25"/>
    <n v="0"/>
  </r>
  <r>
    <s v="Зуфар Ганло"/>
    <s v="З"/>
    <s v="ЦЗ"/>
    <s v="ЛЗ"/>
    <m/>
    <m/>
    <s v="В.И."/>
    <s v="В.И."/>
    <x v="78"/>
    <x v="0"/>
    <m/>
    <n v="50"/>
    <n v="29"/>
    <n v="60"/>
    <n v="52"/>
    <n v="56"/>
    <n v="58"/>
    <n v="60"/>
    <n v="35"/>
    <n v="0"/>
    <n v="97657"/>
    <n v="8138.083333333333"/>
    <n v="0"/>
  </r>
  <r>
    <s v="Куйгун Бастилло"/>
    <s v="З"/>
    <s v="ПЗ"/>
    <s v="ЛЗ"/>
    <m/>
    <m/>
    <s v="В.И."/>
    <s v="В.И."/>
    <x v="78"/>
    <x v="0"/>
    <m/>
    <n v="42.428571428571431"/>
    <n v="24"/>
    <n v="50"/>
    <n v="44"/>
    <n v="48"/>
    <n v="50"/>
    <n v="52"/>
    <n v="29"/>
    <n v="0"/>
    <n v="18906"/>
    <n v="1575.5"/>
    <n v="0"/>
  </r>
  <r>
    <s v="Келамо Рите"/>
    <s v="З"/>
    <s v="ЦЗ"/>
    <s v="ОПЗ"/>
    <m/>
    <m/>
    <s v="В.И."/>
    <s v="В.И."/>
    <x v="78"/>
    <x v="0"/>
    <m/>
    <n v="39.142857142857146"/>
    <n v="23"/>
    <n v="46"/>
    <n v="40"/>
    <n v="44"/>
    <n v="46"/>
    <n v="48"/>
    <n v="27"/>
    <n v="0"/>
    <n v="8444"/>
    <n v="703.66666666666663"/>
    <n v="0"/>
  </r>
  <r>
    <s v="Мокрый Альберт"/>
    <s v="Н"/>
    <s v="ОФ"/>
    <s v="АПЗ"/>
    <m/>
    <m/>
    <s v="В.И."/>
    <s v="В.И."/>
    <x v="78"/>
    <x v="0"/>
    <m/>
    <n v="38.428571428571431"/>
    <n v="36"/>
    <n v="67"/>
    <n v="45"/>
    <n v="42"/>
    <n v="31"/>
    <n v="32"/>
    <n v="16"/>
    <n v="0"/>
    <n v="7024"/>
    <n v="585.33333333333337"/>
    <n v="0"/>
  </r>
  <r>
    <s v="Мориззе Гогна"/>
    <s v="Н"/>
    <s v="ЦН"/>
    <s v="ОФ"/>
    <m/>
    <m/>
    <s v="В.И."/>
    <s v="В.И."/>
    <x v="78"/>
    <x v="0"/>
    <m/>
    <n v="67.142857142857139"/>
    <n v="37"/>
    <n v="80"/>
    <n v="72"/>
    <n v="74"/>
    <n v="76"/>
    <n v="78"/>
    <n v="53"/>
    <n v="0"/>
    <n v="1862080"/>
    <n v="155173.33333333334"/>
    <n v="0"/>
  </r>
  <r>
    <s v="Тувино Кела"/>
    <s v="Н"/>
    <s v="ОФ"/>
    <s v="ЦН"/>
    <m/>
    <m/>
    <s v="В.И."/>
    <s v="В.И."/>
    <x v="78"/>
    <x v="0"/>
    <m/>
    <n v="47.428571428571431"/>
    <n v="27"/>
    <n v="56"/>
    <n v="48"/>
    <n v="54"/>
    <n v="56"/>
    <n v="58"/>
    <n v="33"/>
    <n v="0"/>
    <n v="57598"/>
    <n v="4799.833333333333"/>
    <n v="0"/>
  </r>
  <r>
    <s v="Бонфир Ландос"/>
    <s v="П"/>
    <s v="ЦПЗ"/>
    <s v="ОПЗ"/>
    <m/>
    <m/>
    <s v="В.И."/>
    <s v="В.И."/>
    <x v="78"/>
    <x v="0"/>
    <m/>
    <n v="37.714285714285715"/>
    <n v="22"/>
    <n v="46"/>
    <n v="38"/>
    <n v="42"/>
    <n v="44"/>
    <n v="46"/>
    <n v="26"/>
    <n v="0"/>
    <n v="5822"/>
    <n v="485.16666666666669"/>
    <n v="0"/>
  </r>
  <r>
    <s v="Ганло Бертин"/>
    <s v="П"/>
    <s v="ППЗ"/>
    <s v="АПЗ"/>
    <m/>
    <m/>
    <s v="В.И."/>
    <s v="В.И."/>
    <x v="78"/>
    <x v="0"/>
    <m/>
    <n v="63.857142857142854"/>
    <n v="34"/>
    <n v="74"/>
    <n v="68"/>
    <n v="72"/>
    <n v="74"/>
    <n v="76"/>
    <n v="49"/>
    <n v="0"/>
    <n v="1127444"/>
    <n v="93953.666666666672"/>
    <n v="0"/>
  </r>
  <r>
    <s v="Гетрин Балсун"/>
    <s v="П"/>
    <s v="ЦПЗ"/>
    <s v="ЛПЗ"/>
    <m/>
    <m/>
    <s v="В.И."/>
    <s v="В.И."/>
    <x v="78"/>
    <x v="0"/>
    <m/>
    <n v="48.285714285714285"/>
    <n v="28"/>
    <n v="58"/>
    <n v="50"/>
    <n v="54"/>
    <n v="56"/>
    <n v="58"/>
    <n v="34"/>
    <n v="0"/>
    <n v="68895"/>
    <n v="5741.25"/>
    <n v="0"/>
  </r>
  <r>
    <s v="Донмас Пиргол"/>
    <s v="П"/>
    <s v="ОПЗ"/>
    <s v="ЦПЗ"/>
    <m/>
    <m/>
    <s v="В.И."/>
    <s v="В.И."/>
    <x v="78"/>
    <x v="0"/>
    <m/>
    <n v="45.571428571428569"/>
    <n v="26"/>
    <n v="54"/>
    <n v="46"/>
    <n v="52"/>
    <n v="54"/>
    <n v="56"/>
    <n v="31"/>
    <n v="0"/>
    <n v="38631"/>
    <n v="3219.25"/>
    <n v="0"/>
  </r>
  <r>
    <s v="Залупе Роса"/>
    <s v="П"/>
    <s v="ППЗ"/>
    <s v="АПЗ"/>
    <m/>
    <m/>
    <s v="В.И."/>
    <s v="В.И."/>
    <x v="78"/>
    <x v="0"/>
    <m/>
    <n v="53.714285714285715"/>
    <n v="32"/>
    <n v="64"/>
    <n v="56"/>
    <n v="60"/>
    <n v="62"/>
    <n v="64"/>
    <n v="38"/>
    <n v="0"/>
    <n v="199940"/>
    <n v="16661.666666666668"/>
    <n v="0"/>
  </r>
  <r>
    <s v="Разул Кандер"/>
    <s v="П"/>
    <s v="ОПЗ"/>
    <s v="ЦПЗ"/>
    <m/>
    <m/>
    <s v="В.И."/>
    <s v="В.И."/>
    <x v="78"/>
    <x v="0"/>
    <m/>
    <n v="43"/>
    <n v="25"/>
    <n v="52"/>
    <n v="44"/>
    <n v="48"/>
    <n v="50"/>
    <n v="52"/>
    <n v="30"/>
    <n v="0"/>
    <n v="21612"/>
    <n v="1801"/>
    <n v="0"/>
  </r>
  <r>
    <s v="Рунсан Таркел"/>
    <s v="П"/>
    <s v="ОПЗ"/>
    <s v="ЦЗ"/>
    <m/>
    <m/>
    <s v="В.И."/>
    <s v="В.И."/>
    <x v="78"/>
    <x v="0"/>
    <m/>
    <n v="51.714285714285715"/>
    <n v="30"/>
    <n v="62"/>
    <n v="54"/>
    <n v="58"/>
    <n v="60"/>
    <n v="62"/>
    <n v="36"/>
    <n v="0"/>
    <n v="136807"/>
    <n v="11400.583333333334"/>
    <n v="0"/>
  </r>
  <r>
    <s v="Тикару Доми"/>
    <s v="П"/>
    <s v="ЛПЗ"/>
    <s v="ОПЗ"/>
    <m/>
    <m/>
    <s v="В.И."/>
    <s v="В.И."/>
    <x v="78"/>
    <x v="0"/>
    <m/>
    <n v="50"/>
    <n v="29"/>
    <n v="60"/>
    <n v="52"/>
    <n v="56"/>
    <n v="58"/>
    <n v="60"/>
    <n v="35"/>
    <n v="0"/>
    <n v="97657"/>
    <n v="8138.083333333333"/>
    <n v="0"/>
  </r>
  <r>
    <s v="Токба Ринел"/>
    <s v="П"/>
    <s v="АПЗ"/>
    <s v="ЦПЗ"/>
    <m/>
    <m/>
    <s v="В.И."/>
    <s v="В.И."/>
    <x v="78"/>
    <x v="0"/>
    <m/>
    <n v="40.857142857142854"/>
    <n v="24"/>
    <n v="48"/>
    <n v="42"/>
    <n v="46"/>
    <n v="48"/>
    <n v="50"/>
    <n v="28"/>
    <n v="0"/>
    <n v="12963"/>
    <n v="1080.25"/>
    <n v="0"/>
  </r>
  <r>
    <s v="Росату Вино"/>
    <s v="Т"/>
    <s v="Т"/>
    <m/>
    <m/>
    <m/>
    <s v="В.И."/>
    <s v="В.И."/>
    <x v="78"/>
    <x v="0"/>
    <m/>
    <n v="44.714285714285715"/>
    <n v="26"/>
    <n v="54"/>
    <n v="46"/>
    <n v="50"/>
    <n v="52"/>
    <n v="54"/>
    <n v="31"/>
    <n v="0"/>
    <n v="31950"/>
    <n v="2662.5"/>
    <n v="0"/>
  </r>
  <r>
    <s v="Ош Кай"/>
    <s v="В"/>
    <s v="В"/>
    <m/>
    <m/>
    <m/>
    <s v="Ост"/>
    <s v="Ост"/>
    <x v="79"/>
    <x v="0"/>
    <m/>
    <n v="57.428571428571431"/>
    <n v="14"/>
    <n v="73"/>
    <n v="59"/>
    <n v="69"/>
    <n v="81"/>
    <n v="73"/>
    <n v="33"/>
    <n v="0"/>
    <n v="390194"/>
    <n v="32516.166666666668"/>
    <n v="0"/>
  </r>
  <r>
    <s v="Альтруи"/>
    <s v="З"/>
    <s v="ЦЗ"/>
    <s v="ЛЗ"/>
    <m/>
    <s v="Генуа"/>
    <s v="Генуа"/>
    <s v="Генуа"/>
    <x v="79"/>
    <x v="0"/>
    <m/>
    <n v="68.142857142857139"/>
    <n v="65"/>
    <n v="71"/>
    <n v="67"/>
    <n v="60"/>
    <n v="67"/>
    <n v="77"/>
    <n v="70"/>
    <n v="0"/>
    <n v="2158756"/>
    <n v="179896.33333333334"/>
    <n v="0"/>
  </r>
  <r>
    <s v="Брунвель Ларс"/>
    <s v="З"/>
    <s v="ПЗ"/>
    <s v="ЦЗ"/>
    <m/>
    <m/>
    <s v="Ост"/>
    <s v="Ост"/>
    <x v="79"/>
    <x v="0"/>
    <m/>
    <n v="55.714285714285715"/>
    <n v="13"/>
    <n v="77"/>
    <n v="61"/>
    <n v="65"/>
    <n v="77"/>
    <n v="69"/>
    <n v="28"/>
    <n v="0"/>
    <n v="288182"/>
    <n v="24015.166666666668"/>
    <n v="0"/>
  </r>
  <r>
    <s v="Гвиндус Марк"/>
    <s v="З"/>
    <s v="ЦЗ"/>
    <s v="ЛЗ"/>
    <m/>
    <m/>
    <s v="Ост"/>
    <s v="Ост"/>
    <x v="79"/>
    <x v="0"/>
    <m/>
    <n v="54.285714285714285"/>
    <n v="12"/>
    <n v="74"/>
    <n v="60"/>
    <n v="68"/>
    <n v="74"/>
    <n v="66"/>
    <n v="26"/>
    <n v="0"/>
    <n v="222258"/>
    <n v="18521.5"/>
    <n v="0"/>
  </r>
  <r>
    <s v="Оллош"/>
    <s v="З"/>
    <s v="ЛЗ"/>
    <m/>
    <m/>
    <s v="Биссий"/>
    <s v="Биссий"/>
    <s v="Биссий"/>
    <x v="79"/>
    <x v="0"/>
    <m/>
    <n v="73.428571428571431"/>
    <n v="63"/>
    <n v="75"/>
    <n v="88"/>
    <n v="72"/>
    <n v="65"/>
    <n v="68"/>
    <n v="83"/>
    <n v="0"/>
    <n v="4556704"/>
    <n v="379725.33333333331"/>
    <n v="0"/>
  </r>
  <r>
    <s v="Тарн Эрик"/>
    <s v="З"/>
    <s v="ПЗ"/>
    <s v="ЦЗ"/>
    <m/>
    <m/>
    <s v="Ост"/>
    <s v="Ост"/>
    <x v="79"/>
    <x v="0"/>
    <m/>
    <n v="51.428571428571431"/>
    <n v="11"/>
    <n v="71"/>
    <n v="56"/>
    <n v="60"/>
    <n v="72"/>
    <n v="65"/>
    <n v="25"/>
    <n v="0"/>
    <n v="129433"/>
    <n v="10786.083333333334"/>
    <n v="0"/>
  </r>
  <r>
    <s v="Веллур Эрик"/>
    <s v="Н"/>
    <s v="ОФ"/>
    <s v="ЦН"/>
    <m/>
    <m/>
    <s v="Ост"/>
    <s v="Ост"/>
    <x v="79"/>
    <x v="0"/>
    <m/>
    <n v="53.285714285714285"/>
    <n v="12"/>
    <n v="74"/>
    <n v="58"/>
    <n v="66"/>
    <n v="74"/>
    <n v="66"/>
    <n v="23"/>
    <n v="0"/>
    <n v="184548"/>
    <n v="15379"/>
    <n v="0"/>
  </r>
  <r>
    <s v="Ирми Пол"/>
    <s v="Н"/>
    <s v="ЦН"/>
    <s v="ОФ"/>
    <m/>
    <m/>
    <s v="Ост"/>
    <s v="Ост"/>
    <x v="79"/>
    <x v="0"/>
    <m/>
    <n v="53.714285714285715"/>
    <n v="11"/>
    <n v="71"/>
    <n v="58"/>
    <n v="66"/>
    <n v="76"/>
    <n v="70"/>
    <n v="24"/>
    <n v="0"/>
    <n v="199940"/>
    <n v="16661.666666666668"/>
    <n v="0"/>
  </r>
  <r>
    <s v="Крон Марк"/>
    <s v="Н"/>
    <s v="ОФ"/>
    <s v="ЦН"/>
    <m/>
    <m/>
    <s v="Ост"/>
    <s v="Ост"/>
    <x v="79"/>
    <x v="0"/>
    <m/>
    <n v="50.714285714285715"/>
    <n v="10"/>
    <n v="69"/>
    <n v="54"/>
    <n v="62"/>
    <n v="72"/>
    <n v="66"/>
    <n v="22"/>
    <n v="0"/>
    <n v="112540"/>
    <n v="9378.3333333333339"/>
    <n v="0"/>
  </r>
  <r>
    <s v="Скунда (Н)"/>
    <s v="Н"/>
    <s v="ЦН"/>
    <m/>
    <m/>
    <s v="Б.Л."/>
    <s v="Б.Л."/>
    <s v="Б.Л."/>
    <x v="79"/>
    <x v="0"/>
    <m/>
    <n v="75.428571428571431"/>
    <n v="64"/>
    <n v="85"/>
    <n v="79"/>
    <n v="72"/>
    <n v="76"/>
    <n v="77"/>
    <n v="75"/>
    <n v="3"/>
    <n v="8942318"/>
    <n v="745193.16666666663"/>
    <n v="0"/>
  </r>
  <r>
    <s v="Хольмгард Тим"/>
    <s v="Н"/>
    <s v="ЦН"/>
    <s v="ОФ"/>
    <m/>
    <m/>
    <s v="Ост"/>
    <s v="Ост"/>
    <x v="79"/>
    <x v="0"/>
    <m/>
    <n v="62.714285714285715"/>
    <n v="17"/>
    <n v="82"/>
    <n v="70"/>
    <n v="74"/>
    <n v="86"/>
    <n v="79"/>
    <n v="31"/>
    <n v="0"/>
    <n v="941163"/>
    <n v="78430.25"/>
    <n v="0"/>
  </r>
  <r>
    <s v="Брэн Кай"/>
    <s v="П"/>
    <s v="ЛПЗ"/>
    <s v="ЦПЗ"/>
    <m/>
    <m/>
    <s v="Ост"/>
    <s v="Ост"/>
    <x v="79"/>
    <x v="0"/>
    <m/>
    <n v="53.714285714285715"/>
    <n v="11"/>
    <n v="71"/>
    <n v="58"/>
    <n v="66"/>
    <n v="76"/>
    <n v="70"/>
    <n v="24"/>
    <n v="0"/>
    <n v="199940"/>
    <n v="16661.666666666668"/>
    <n v="0"/>
  </r>
  <r>
    <s v="Вергун Олаф"/>
    <s v="П"/>
    <s v="ППЗ"/>
    <s v="АПЗ"/>
    <m/>
    <m/>
    <s v="Ост"/>
    <s v="Ост"/>
    <x v="79"/>
    <x v="0"/>
    <m/>
    <n v="61.142857142857146"/>
    <n v="16"/>
    <n v="80"/>
    <n v="68"/>
    <n v="72"/>
    <n v="84"/>
    <n v="76"/>
    <n v="32"/>
    <n v="0"/>
    <n v="730226"/>
    <n v="60852.166666666664"/>
    <n v="0"/>
  </r>
  <r>
    <s v="Дарно Тим"/>
    <s v="П"/>
    <s v="АПЗ"/>
    <s v="ППЗ"/>
    <m/>
    <m/>
    <s v="Ост"/>
    <s v="Ост"/>
    <x v="79"/>
    <x v="0"/>
    <m/>
    <n v="56.428571428571431"/>
    <n v="13"/>
    <n v="75"/>
    <n v="62"/>
    <n v="70"/>
    <n v="78"/>
    <n v="70"/>
    <n v="27"/>
    <n v="0"/>
    <n v="327334"/>
    <n v="27277.833333333332"/>
    <n v="0"/>
  </r>
  <r>
    <s v="Икис (П)"/>
    <s v="П"/>
    <s v="ОПЗ"/>
    <s v="ЦПЗ"/>
    <m/>
    <s v="Ост"/>
    <s v="Ост"/>
    <s v="Ост"/>
    <x v="79"/>
    <x v="0"/>
    <m/>
    <n v="67"/>
    <n v="46"/>
    <n v="65"/>
    <n v="76"/>
    <n v="72"/>
    <n v="81"/>
    <n v="73"/>
    <n v="56"/>
    <n v="0"/>
    <n v="1822838"/>
    <n v="151903.16666666666"/>
    <n v="0"/>
  </r>
  <r>
    <s v="Маллус Ян"/>
    <s v="П"/>
    <s v="ЛПЗ"/>
    <s v="ОПЗ"/>
    <m/>
    <m/>
    <s v="Ост"/>
    <s v="Ост"/>
    <x v="79"/>
    <x v="0"/>
    <m/>
    <n v="55.428571428571431"/>
    <n v="11"/>
    <n v="72"/>
    <n v="60"/>
    <n v="68"/>
    <n v="80"/>
    <n v="72"/>
    <n v="25"/>
    <n v="0"/>
    <n v="273740"/>
    <n v="22811.666666666668"/>
    <n v="0"/>
  </r>
  <r>
    <s v="Скарнвел Оси"/>
    <s v="П"/>
    <s v="ППЗ"/>
    <s v="ЛПЗ"/>
    <m/>
    <m/>
    <s v="Ост"/>
    <s v="Ост"/>
    <x v="79"/>
    <x v="0"/>
    <m/>
    <n v="71.857142857142861"/>
    <n v="50"/>
    <n v="83"/>
    <n v="71"/>
    <n v="77"/>
    <n v="90"/>
    <n v="82"/>
    <n v="50"/>
    <n v="18"/>
    <n v="5505424"/>
    <n v="458785.33333333331"/>
    <n v="0"/>
  </r>
  <r>
    <s v="Танги (П)"/>
    <s v="П"/>
    <s v="ОПЗ"/>
    <s v="ЦЗ"/>
    <s v="ЦПЗ"/>
    <s v="Ост"/>
    <s v="Ост"/>
    <s v="Ост"/>
    <x v="79"/>
    <x v="0"/>
    <m/>
    <n v="66.285714285714292"/>
    <n v="42"/>
    <n v="67"/>
    <n v="78"/>
    <n v="71"/>
    <n v="83"/>
    <n v="75"/>
    <n v="48"/>
    <n v="0"/>
    <n v="1637569"/>
    <n v="136464.08333333334"/>
    <n v="0"/>
  </r>
  <r>
    <s v="Фер Пол"/>
    <s v="П"/>
    <s v="АПЗ"/>
    <s v="ЦПЗ"/>
    <m/>
    <m/>
    <s v="Ост"/>
    <s v="Ост"/>
    <x v="79"/>
    <x v="0"/>
    <m/>
    <n v="66.285714285714292"/>
    <n v="30"/>
    <n v="80"/>
    <n v="69"/>
    <n v="81"/>
    <n v="76"/>
    <n v="68"/>
    <n v="60"/>
    <n v="8"/>
    <n v="2456353"/>
    <n v="204696.08333333334"/>
    <n v="0"/>
  </r>
  <r>
    <s v="Звер Одор"/>
    <s v="Т"/>
    <s v="Т"/>
    <m/>
    <m/>
    <m/>
    <s v="Ост"/>
    <s v="Ост"/>
    <x v="79"/>
    <x v="0"/>
    <m/>
    <n v="54.571428571428569"/>
    <n v="12"/>
    <n v="70"/>
    <n v="56"/>
    <n v="66"/>
    <n v="78"/>
    <n v="70"/>
    <n v="30"/>
    <n v="0"/>
    <n v="234236"/>
    <n v="19519.666666666668"/>
    <n v="0"/>
  </r>
  <r>
    <s v="Вельгор Остин"/>
    <s v="В"/>
    <s v="В"/>
    <m/>
    <m/>
    <m/>
    <s v="В.И."/>
    <s v="В.И."/>
    <x v="80"/>
    <x v="0"/>
    <m/>
    <n v="52.714285714285715"/>
    <n v="10"/>
    <n v="67"/>
    <n v="59"/>
    <n v="65"/>
    <n v="67"/>
    <n v="69"/>
    <n v="32"/>
    <n v="0"/>
    <n v="165686"/>
    <n v="13807.166666666666"/>
    <n v="0"/>
  </r>
  <r>
    <s v="Кранцль Рэй"/>
    <s v="В"/>
    <s v="В"/>
    <m/>
    <m/>
    <m/>
    <s v="В.И."/>
    <s v="В.И."/>
    <x v="80"/>
    <x v="0"/>
    <m/>
    <n v="50.285714285714285"/>
    <n v="8"/>
    <n v="64"/>
    <n v="56"/>
    <n v="63"/>
    <n v="65"/>
    <n v="67"/>
    <n v="29"/>
    <n v="0"/>
    <n v="103383"/>
    <n v="8615.25"/>
    <n v="0"/>
  </r>
  <r>
    <s v="Хагенвик Остин"/>
    <s v="В"/>
    <s v="В"/>
    <m/>
    <m/>
    <m/>
    <s v="В.И."/>
    <s v="В.И."/>
    <x v="80"/>
    <x v="0"/>
    <m/>
    <n v="50.857142857142854"/>
    <n v="8"/>
    <n v="65"/>
    <n v="58"/>
    <n v="63"/>
    <n v="65"/>
    <n v="67"/>
    <n v="30"/>
    <n v="0"/>
    <n v="115750"/>
    <n v="9645.8333333333339"/>
    <n v="0"/>
  </r>
  <r>
    <s v="Граловец Люк"/>
    <s v="З"/>
    <s v="ЦЗ"/>
    <s v="ОПЗ"/>
    <m/>
    <m/>
    <s v="В.И."/>
    <s v="В.И."/>
    <x v="80"/>
    <x v="0"/>
    <m/>
    <n v="47.428571428571431"/>
    <n v="6"/>
    <n v="61"/>
    <n v="54"/>
    <n v="60"/>
    <n v="62"/>
    <n v="64"/>
    <n v="25"/>
    <n v="0"/>
    <n v="57598"/>
    <n v="4799.833333333333"/>
    <n v="0"/>
  </r>
  <r>
    <s v="Гунито Ян"/>
    <s v="З"/>
    <s v="ПЗ"/>
    <s v="ЛЗ"/>
    <m/>
    <m/>
    <s v="В.И."/>
    <s v="В.И."/>
    <x v="80"/>
    <x v="0"/>
    <m/>
    <n v="50.428571428571431"/>
    <n v="7"/>
    <n v="65"/>
    <n v="58"/>
    <n v="63"/>
    <n v="65"/>
    <n v="67"/>
    <n v="28"/>
    <n v="0"/>
    <n v="106358"/>
    <n v="8863.1666666666661"/>
    <n v="0"/>
  </r>
  <r>
    <s v="Дельгаро Рой"/>
    <s v="З"/>
    <s v="ЦЗ"/>
    <s v="ЛЗ"/>
    <m/>
    <m/>
    <s v="В.И."/>
    <s v="В.И."/>
    <x v="80"/>
    <x v="0"/>
    <m/>
    <n v="55.428571428571431"/>
    <n v="12"/>
    <n v="71"/>
    <n v="63"/>
    <n v="67"/>
    <n v="69"/>
    <n v="71"/>
    <n v="35"/>
    <n v="0"/>
    <n v="273740"/>
    <n v="22811.666666666668"/>
    <n v="0"/>
  </r>
  <r>
    <s v="Линдрум Кир"/>
    <s v="З"/>
    <s v="ЛЗ"/>
    <s v="ЦЗ"/>
    <m/>
    <m/>
    <s v="В.И."/>
    <s v="В.И."/>
    <x v="80"/>
    <x v="0"/>
    <m/>
    <n v="54.428571428571431"/>
    <n v="11"/>
    <n v="70"/>
    <n v="62"/>
    <n v="66"/>
    <n v="68"/>
    <n v="70"/>
    <n v="34"/>
    <n v="0"/>
    <n v="228176"/>
    <n v="19014.666666666668"/>
    <n v="0"/>
  </r>
  <r>
    <s v="Строжин Тим"/>
    <s v="З"/>
    <s v="ПЗ"/>
    <s v="ЦЗ"/>
    <m/>
    <m/>
    <s v="В.И."/>
    <s v="В.И."/>
    <x v="80"/>
    <x v="0"/>
    <m/>
    <n v="52.857142857142854"/>
    <n v="9"/>
    <n v="69"/>
    <n v="60"/>
    <n v="65"/>
    <n v="67"/>
    <n v="69"/>
    <n v="31"/>
    <n v="0"/>
    <n v="170231"/>
    <n v="14185.916666666666"/>
    <n v="0"/>
  </r>
  <r>
    <s v="Дорн Хехем"/>
    <s v="Н"/>
    <s v="ОФ"/>
    <s v="ЦН"/>
    <m/>
    <m/>
    <s v="В.И."/>
    <s v="В.И."/>
    <x v="80"/>
    <x v="0"/>
    <m/>
    <n v="60"/>
    <n v="14"/>
    <n v="75"/>
    <n v="68"/>
    <n v="73"/>
    <n v="75"/>
    <n v="77"/>
    <n v="38"/>
    <n v="0"/>
    <n v="604662"/>
    <n v="50388.5"/>
    <n v="0"/>
  </r>
  <r>
    <s v="Торгорн Атэм"/>
    <s v="Н"/>
    <s v="ОФ"/>
    <s v="ЦН"/>
    <m/>
    <m/>
    <s v="В.И."/>
    <s v="В.И."/>
    <x v="80"/>
    <x v="0"/>
    <m/>
    <n v="55"/>
    <n v="10"/>
    <n v="70"/>
    <n v="63"/>
    <n v="68"/>
    <n v="70"/>
    <n v="72"/>
    <n v="32"/>
    <n v="0"/>
    <n v="253296"/>
    <n v="21108"/>
    <n v="0"/>
  </r>
  <r>
    <s v="Ааорно Ценли"/>
    <s v="Н"/>
    <s v="ЦН"/>
    <s v="ОФ"/>
    <m/>
    <m/>
    <s v="В.И."/>
    <s v="В.И."/>
    <x v="80"/>
    <x v="0"/>
    <m/>
    <n v="63.857142857142854"/>
    <n v="15"/>
    <n v="75"/>
    <n v="80"/>
    <n v="75"/>
    <n v="77"/>
    <n v="80"/>
    <n v="45"/>
    <n v="0"/>
    <n v="1127444"/>
    <n v="93953.666666666672"/>
    <n v="0"/>
  </r>
  <r>
    <s v="Бублятор Тута"/>
    <s v="П"/>
    <s v="АПЗ"/>
    <s v="ЦПЗ"/>
    <m/>
    <m/>
    <s v="В.И."/>
    <s v="В.И."/>
    <x v="80"/>
    <x v="0"/>
    <m/>
    <n v="48"/>
    <n v="6"/>
    <n v="60"/>
    <n v="54"/>
    <n v="62"/>
    <n v="64"/>
    <n v="66"/>
    <n v="24"/>
    <n v="0"/>
    <n v="64926"/>
    <n v="5410.5"/>
    <n v="0"/>
  </r>
  <r>
    <s v="Вендел"/>
    <s v="П"/>
    <s v="ОПЗ"/>
    <s v="ЦЗ"/>
    <s v="ЦПЗ"/>
    <m/>
    <s v="Мох"/>
    <s v="Мох"/>
    <x v="80"/>
    <x v="0"/>
    <m/>
    <n v="80"/>
    <n v="66"/>
    <n v="83"/>
    <n v="83"/>
    <n v="84"/>
    <n v="85"/>
    <n v="90"/>
    <n v="69"/>
    <n v="26"/>
    <n v="16106128"/>
    <n v="1041972"/>
    <n v="0"/>
  </r>
  <r>
    <s v="Клосберри Хели"/>
    <s v="П"/>
    <s v="ЦПЗ"/>
    <s v="ОПЗ"/>
    <m/>
    <m/>
    <s v="В.И."/>
    <s v="В.И."/>
    <x v="80"/>
    <x v="0"/>
    <m/>
    <n v="58.285714285714285"/>
    <n v="13"/>
    <n v="73"/>
    <n v="66"/>
    <n v="71"/>
    <n v="73"/>
    <n v="75"/>
    <n v="37"/>
    <n v="0"/>
    <n v="452503"/>
    <n v="37708.583333333336"/>
    <n v="0"/>
  </r>
  <r>
    <s v="Горваль Забмер"/>
    <s v="П"/>
    <s v="АПЗ"/>
    <s v="ППЗ"/>
    <m/>
    <m/>
    <s v="В.И."/>
    <s v="В.И."/>
    <x v="80"/>
    <x v="0"/>
    <m/>
    <n v="54.428571428571431"/>
    <n v="10"/>
    <n v="69"/>
    <n v="62"/>
    <n v="67"/>
    <n v="69"/>
    <n v="71"/>
    <n v="33"/>
    <n v="0"/>
    <n v="228176"/>
    <n v="19014.666666666668"/>
    <n v="0"/>
  </r>
  <r>
    <s v="Морендо Дар"/>
    <s v="П"/>
    <s v="ОПЗ"/>
    <s v="ЦПЗ"/>
    <m/>
    <m/>
    <s v="В.И."/>
    <s v="В.И."/>
    <x v="80"/>
    <x v="0"/>
    <m/>
    <n v="53.428571428571431"/>
    <n v="9"/>
    <n v="68"/>
    <n v="60"/>
    <n v="67"/>
    <n v="69"/>
    <n v="71"/>
    <n v="30"/>
    <n v="0"/>
    <n v="189556"/>
    <n v="15796.333333333334"/>
    <n v="0"/>
  </r>
  <r>
    <s v="Салмиаго Ирж"/>
    <s v="П"/>
    <s v="ППЗ"/>
    <s v="АПЗ"/>
    <m/>
    <m/>
    <s v="В.И."/>
    <s v="В.И."/>
    <x v="80"/>
    <x v="0"/>
    <m/>
    <n v="56.142857142857146"/>
    <n v="11"/>
    <n v="71"/>
    <n v="64"/>
    <n v="69"/>
    <n v="71"/>
    <n v="73"/>
    <n v="34"/>
    <n v="0"/>
    <n v="311133"/>
    <n v="25927.75"/>
    <n v="0"/>
  </r>
  <r>
    <s v="Соржень Григор"/>
    <s v="П"/>
    <s v="ЛПЗ"/>
    <s v="ОПЗ"/>
    <m/>
    <m/>
    <s v="В.И."/>
    <s v="В.И."/>
    <x v="80"/>
    <x v="0"/>
    <m/>
    <n v="49.857142857142854"/>
    <n v="7"/>
    <n v="64"/>
    <n v="57"/>
    <n v="63"/>
    <n v="65"/>
    <n v="67"/>
    <n v="26"/>
    <n v="0"/>
    <n v="94902"/>
    <n v="7908.5"/>
    <n v="0"/>
  </r>
  <r>
    <s v="Сорабео Ксон"/>
    <s v="П"/>
    <s v="ППЗ"/>
    <s v="АПЗ"/>
    <m/>
    <m/>
    <s v="В.И."/>
    <s v="В.И."/>
    <x v="80"/>
    <x v="0"/>
    <m/>
    <n v="62.571428571428569"/>
    <n v="14"/>
    <n v="73"/>
    <n v="77"/>
    <n v="75"/>
    <n v="77"/>
    <n v="79"/>
    <n v="43"/>
    <n v="0"/>
    <n v="919943"/>
    <n v="76661.916666666672"/>
    <n v="0"/>
  </r>
  <r>
    <s v="Торнбю Элд"/>
    <s v="Т"/>
    <s v="Т"/>
    <m/>
    <m/>
    <m/>
    <s v="В.И."/>
    <s v="В.И."/>
    <x v="80"/>
    <x v="0"/>
    <m/>
    <n v="51.285714285714285"/>
    <n v="9"/>
    <n v="65"/>
    <n v="57"/>
    <n v="64"/>
    <n v="66"/>
    <n v="68"/>
    <n v="30"/>
    <n v="0"/>
    <n v="125883"/>
    <n v="10490.25"/>
    <n v="0"/>
  </r>
  <r>
    <s v="М.Кеовн"/>
    <s v="Н"/>
    <s v="ЦН"/>
    <s v="АПЗ"/>
    <m/>
    <s v="А.Н."/>
    <s v="А.Н."/>
    <s v="А.Н."/>
    <x v="81"/>
    <x v="8"/>
    <m/>
    <n v="80.714285714285708"/>
    <n v="75"/>
    <n v="83"/>
    <n v="90"/>
    <n v="82"/>
    <n v="80"/>
    <n v="85"/>
    <n v="70"/>
    <n v="7"/>
    <n v="17603351"/>
    <n v="1466945.9166666667"/>
    <n v="0"/>
  </r>
  <r>
    <s v="Барунел Тимока"/>
    <s v="В"/>
    <s v="В"/>
    <m/>
    <m/>
    <m/>
    <s v="Биссий"/>
    <s v="Биссий"/>
    <x v="82"/>
    <x v="0"/>
    <m/>
    <n v="31.857142857142858"/>
    <n v="10"/>
    <n v="41"/>
    <n v="33"/>
    <n v="37"/>
    <n v="39"/>
    <n v="41"/>
    <n v="22"/>
    <n v="0"/>
    <n v="1077"/>
    <n v="89.75"/>
    <n v="0"/>
  </r>
  <r>
    <s v="Дозалу Пе"/>
    <s v="В"/>
    <s v="В"/>
    <m/>
    <m/>
    <m/>
    <s v="Биссий"/>
    <s v="Биссий"/>
    <x v="82"/>
    <x v="0"/>
    <m/>
    <n v="28"/>
    <n v="8"/>
    <n v="35"/>
    <n v="29"/>
    <n v="33"/>
    <n v="35"/>
    <n v="37"/>
    <n v="19"/>
    <n v="0"/>
    <n v="297"/>
    <n v="24.75"/>
    <n v="0"/>
  </r>
  <r>
    <s v="Бертинра Зул"/>
    <s v="З"/>
    <s v="ПЗ"/>
    <s v="ЦЗ"/>
    <m/>
    <m/>
    <s v="Биссий"/>
    <s v="Биссий"/>
    <x v="82"/>
    <x v="0"/>
    <m/>
    <n v="31.571428571428573"/>
    <n v="9"/>
    <n v="41"/>
    <n v="33"/>
    <n v="37"/>
    <n v="39"/>
    <n v="41"/>
    <n v="21"/>
    <n v="0"/>
    <n v="984"/>
    <n v="82"/>
    <n v="0"/>
  </r>
  <r>
    <s v="Валнискар Рел"/>
    <s v="З"/>
    <s v="ЛЗ"/>
    <s v="ЦЗ"/>
    <m/>
    <m/>
    <s v="Биссий"/>
    <s v="Биссий"/>
    <x v="82"/>
    <x v="0"/>
    <m/>
    <n v="33.857142857142854"/>
    <n v="11"/>
    <n v="45"/>
    <n v="35"/>
    <n v="39"/>
    <n v="41"/>
    <n v="43"/>
    <n v="23"/>
    <n v="0"/>
    <n v="1980"/>
    <n v="165"/>
    <n v="0"/>
  </r>
  <r>
    <s v="Зуфарган Ломин"/>
    <s v="З"/>
    <s v="ЦЗ"/>
    <s v="ЛЗ"/>
    <m/>
    <m/>
    <s v="Биссий"/>
    <s v="Биссий"/>
    <x v="82"/>
    <x v="0"/>
    <m/>
    <n v="35.571428571428569"/>
    <n v="12"/>
    <n v="47"/>
    <n v="37"/>
    <n v="41"/>
    <n v="43"/>
    <n v="45"/>
    <n v="24"/>
    <n v="0"/>
    <n v="3244"/>
    <n v="270.33333333333331"/>
    <n v="0"/>
  </r>
  <r>
    <s v="Кандерми Минтор"/>
    <s v="З"/>
    <s v="ПЗ"/>
    <s v="ЛЗ"/>
    <m/>
    <m/>
    <s v="Биссий"/>
    <s v="Биссий"/>
    <x v="82"/>
    <x v="0"/>
    <m/>
    <n v="27.714285714285715"/>
    <n v="7"/>
    <n v="35"/>
    <n v="29"/>
    <n v="33"/>
    <n v="35"/>
    <n v="37"/>
    <n v="18"/>
    <n v="0"/>
    <n v="268"/>
    <n v="22.333333333333332"/>
    <n v="0"/>
  </r>
  <r>
    <s v="Каш Зом"/>
    <s v="З"/>
    <s v="ЦЗ"/>
    <m/>
    <m/>
    <m/>
    <s v="Биссий"/>
    <s v="Биссий"/>
    <x v="82"/>
    <x v="0"/>
    <m/>
    <n v="29.714285714285715"/>
    <n v="13"/>
    <n v="25"/>
    <n v="37"/>
    <n v="26"/>
    <n v="36"/>
    <n v="50"/>
    <n v="21"/>
    <n v="0"/>
    <n v="537"/>
    <n v="44.75"/>
    <n v="0"/>
  </r>
  <r>
    <s v="Келамон Ритеза"/>
    <s v="З"/>
    <s v="ЦЗ"/>
    <s v="ОПЗ"/>
    <m/>
    <m/>
    <s v="Биссий"/>
    <s v="Биссий"/>
    <x v="82"/>
    <x v="0"/>
    <m/>
    <n v="24.571428571428573"/>
    <n v="6"/>
    <n v="31"/>
    <n v="25"/>
    <n v="29"/>
    <n v="31"/>
    <n v="33"/>
    <n v="17"/>
    <n v="0"/>
    <n v="81"/>
    <n v="6.75"/>
    <n v="0"/>
  </r>
  <r>
    <s v="Ганлобер Тинра"/>
    <s v="Н"/>
    <s v="ЦН"/>
    <s v="ОФ"/>
    <m/>
    <m/>
    <s v="Биссий"/>
    <s v="Биссий"/>
    <x v="82"/>
    <x v="0"/>
    <m/>
    <n v="51.857142857142854"/>
    <n v="18"/>
    <n v="65"/>
    <n v="57"/>
    <n v="59"/>
    <n v="61"/>
    <n v="63"/>
    <n v="40"/>
    <n v="0"/>
    <n v="140633"/>
    <n v="11719.416666666666"/>
    <n v="0"/>
  </r>
  <r>
    <s v="Моритезу Фар"/>
    <s v="Н"/>
    <s v="ОФ"/>
    <s v="ЦН"/>
    <m/>
    <m/>
    <s v="Биссий"/>
    <s v="Биссий"/>
    <x v="82"/>
    <x v="0"/>
    <m/>
    <n v="32.571428571428569"/>
    <n v="10"/>
    <n v="41"/>
    <n v="33"/>
    <n v="39"/>
    <n v="41"/>
    <n v="43"/>
    <n v="21"/>
    <n v="0"/>
    <n v="1344"/>
    <n v="112"/>
    <n v="0"/>
  </r>
  <r>
    <s v="Балсунток Ба"/>
    <s v="П"/>
    <s v="ЦПЗ"/>
    <s v="ЛПЗ"/>
    <m/>
    <m/>
    <s v="Биссий"/>
    <s v="Биссий"/>
    <x v="82"/>
    <x v="0"/>
    <m/>
    <n v="33"/>
    <n v="10"/>
    <n v="43"/>
    <n v="33"/>
    <n v="39"/>
    <n v="41"/>
    <n v="43"/>
    <n v="22"/>
    <n v="0"/>
    <n v="1532"/>
    <n v="127.66666666666667"/>
    <n v="0"/>
  </r>
  <r>
    <s v="Домизалу Песа"/>
    <s v="П"/>
    <s v="АПЗ"/>
    <s v="ППЗ"/>
    <m/>
    <m/>
    <s v="Биссий"/>
    <s v="Биссий"/>
    <x v="82"/>
    <x v="0"/>
    <m/>
    <n v="34.714285714285715"/>
    <n v="11"/>
    <n v="45"/>
    <n v="35"/>
    <n v="41"/>
    <n v="43"/>
    <n v="45"/>
    <n v="23"/>
    <n v="0"/>
    <n v="2542"/>
    <n v="211.83333333333334"/>
    <n v="0"/>
  </r>
  <r>
    <s v="Донмаспир Голрун"/>
    <s v="П"/>
    <s v="ОПЗ"/>
    <s v="ЦПЗ"/>
    <m/>
    <m/>
    <s v="Биссий"/>
    <s v="Биссий"/>
    <x v="82"/>
    <x v="0"/>
    <m/>
    <n v="30.857142857142858"/>
    <n v="9"/>
    <n v="39"/>
    <n v="31"/>
    <n v="37"/>
    <n v="39"/>
    <n v="41"/>
    <n v="20"/>
    <n v="0"/>
    <n v="783"/>
    <n v="65.25"/>
    <n v="0"/>
  </r>
  <r>
    <s v="Зулкандер Мин"/>
    <s v="П"/>
    <s v="ППЗ"/>
    <s v="АПЗ"/>
    <m/>
    <m/>
    <s v="Биссий"/>
    <s v="Биссий"/>
    <x v="82"/>
    <x v="0"/>
    <m/>
    <n v="48.571428571428569"/>
    <n v="15"/>
    <n v="59"/>
    <n v="53"/>
    <n v="57"/>
    <n v="59"/>
    <n v="61"/>
    <n v="36"/>
    <n v="0"/>
    <n v="73082"/>
    <n v="6090.166666666667"/>
    <n v="0"/>
  </r>
  <r>
    <s v="Разулти Кандер"/>
    <s v="П"/>
    <s v="ОПЗ"/>
    <s v="ЦПЗ"/>
    <m/>
    <m/>
    <s v="Биссий"/>
    <s v="Биссий"/>
    <x v="82"/>
    <x v="0"/>
    <m/>
    <n v="28.285714285714285"/>
    <n v="8"/>
    <n v="37"/>
    <n v="29"/>
    <n v="33"/>
    <n v="35"/>
    <n v="37"/>
    <n v="19"/>
    <n v="0"/>
    <n v="328"/>
    <n v="27.333333333333332"/>
    <n v="0"/>
  </r>
  <r>
    <s v="Ринелти Кару"/>
    <s v="П"/>
    <s v="АПЗ"/>
    <s v="ЦПЗ"/>
    <m/>
    <m/>
    <s v="Биссий"/>
    <s v="Биссий"/>
    <x v="82"/>
    <x v="0"/>
    <m/>
    <n v="26.285714285714285"/>
    <n v="7"/>
    <n v="33"/>
    <n v="27"/>
    <n v="31"/>
    <n v="33"/>
    <n v="35"/>
    <n v="18"/>
    <n v="0"/>
    <n v="158"/>
    <n v="13.166666666666666"/>
    <n v="0"/>
  </r>
  <r>
    <s v="Сантаркел Бон"/>
    <s v="П"/>
    <s v="ОПЗ"/>
    <s v="ЦЗ"/>
    <m/>
    <m/>
    <s v="Биссий"/>
    <s v="Биссий"/>
    <x v="82"/>
    <x v="0"/>
    <m/>
    <n v="37.285714285714285"/>
    <n v="13"/>
    <n v="49"/>
    <n v="39"/>
    <n v="43"/>
    <n v="45"/>
    <n v="47"/>
    <n v="25"/>
    <n v="0"/>
    <n v="5194"/>
    <n v="432.83333333333331"/>
    <n v="0"/>
  </r>
  <r>
    <s v="Тувиноми Кела"/>
    <s v="П"/>
    <s v="ЛПЗ"/>
    <s v="ОПЗ"/>
    <m/>
    <m/>
    <s v="Биссий"/>
    <s v="Биссий"/>
    <x v="82"/>
    <x v="0"/>
    <m/>
    <n v="39"/>
    <n v="14"/>
    <n v="51"/>
    <n v="41"/>
    <n v="45"/>
    <n v="47"/>
    <n v="49"/>
    <n v="26"/>
    <n v="0"/>
    <n v="8141"/>
    <n v="678.41666666666663"/>
    <n v="0"/>
  </r>
  <r>
    <s v="Фирландос Гетрин"/>
    <s v="П"/>
    <s v="ЦПЗ"/>
    <s v="ОПЗ"/>
    <m/>
    <m/>
    <s v="Биссий"/>
    <s v="Биссий"/>
    <x v="82"/>
    <x v="0"/>
    <m/>
    <n v="24.428571428571427"/>
    <n v="6"/>
    <n v="31"/>
    <n v="25"/>
    <n v="29"/>
    <n v="31"/>
    <n v="33"/>
    <n v="16"/>
    <n v="0"/>
    <n v="76"/>
    <n v="6.333333333333333"/>
    <n v="0"/>
  </r>
  <r>
    <s v="Росатуми Вино"/>
    <s v="Т"/>
    <s v="Т"/>
    <m/>
    <m/>
    <m/>
    <s v="Биссий"/>
    <s v="Биссий"/>
    <x v="82"/>
    <x v="0"/>
    <m/>
    <n v="30"/>
    <n v="9"/>
    <n v="39"/>
    <n v="31"/>
    <n v="35"/>
    <n v="37"/>
    <n v="39"/>
    <n v="20"/>
    <n v="0"/>
    <n v="591"/>
    <n v="49.25"/>
    <n v="0"/>
  </r>
  <r>
    <s v="Варгас Диего"/>
    <s v="В"/>
    <s v="В"/>
    <m/>
    <m/>
    <m/>
    <s v="В.И."/>
    <s v="В.И."/>
    <x v="83"/>
    <x v="0"/>
    <m/>
    <n v="74.428571428571431"/>
    <n v="68"/>
    <n v="72"/>
    <n v="75"/>
    <n v="78"/>
    <n v="82"/>
    <n v="76"/>
    <n v="70"/>
    <n v="0"/>
    <n v="5216712"/>
    <n v="434726"/>
    <n v="0"/>
  </r>
  <r>
    <s v="Майконе"/>
    <s v="В"/>
    <s v="В"/>
    <m/>
    <m/>
    <s v="Сув"/>
    <s v="В.И."/>
    <s v="В.И."/>
    <x v="83"/>
    <x v="0"/>
    <m/>
    <n v="91.714285714285708"/>
    <n v="92"/>
    <n v="98"/>
    <n v="90"/>
    <n v="94"/>
    <n v="92"/>
    <n v="91"/>
    <n v="85"/>
    <n v="30"/>
    <n v="63162766"/>
    <n v="5263563.833333333"/>
    <n v="0"/>
  </r>
  <r>
    <s v="Ави (З)"/>
    <s v="З"/>
    <s v="ЦЗ"/>
    <s v="ПЗ"/>
    <m/>
    <s v="Нумб"/>
    <s v="Мель"/>
    <s v="Мель"/>
    <x v="83"/>
    <x v="0"/>
    <m/>
    <n v="83.285714285714292"/>
    <n v="82"/>
    <n v="81"/>
    <n v="82"/>
    <n v="85"/>
    <n v="88"/>
    <n v="84"/>
    <n v="81"/>
    <n v="26"/>
    <n v="24087760"/>
    <n v="2007313.3333333333"/>
    <n v="0"/>
  </r>
  <r>
    <s v="Альмаш (З)"/>
    <s v="З"/>
    <s v="ЦЗ"/>
    <s v="ОПЗ"/>
    <m/>
    <s v="Сув"/>
    <s v="В.И."/>
    <s v="В.И."/>
    <x v="83"/>
    <x v="0"/>
    <m/>
    <n v="84.142857142857139"/>
    <n v="70"/>
    <n v="80"/>
    <n v="90"/>
    <n v="87"/>
    <n v="93"/>
    <n v="98"/>
    <n v="71"/>
    <n v="28"/>
    <n v="26684792"/>
    <n v="2223732.6666666665"/>
    <n v="0"/>
  </r>
  <r>
    <s v="Д. Зуев (З)"/>
    <s v="З"/>
    <s v="ЛЗ"/>
    <s v="ПЗ"/>
    <s v="ОПЗ"/>
    <s v="Сув"/>
    <s v="В.И."/>
    <s v="В.И."/>
    <x v="83"/>
    <x v="0"/>
    <m/>
    <n v="84.571428571428569"/>
    <n v="85"/>
    <n v="90"/>
    <n v="85"/>
    <n v="88"/>
    <n v="80"/>
    <n v="84"/>
    <n v="80"/>
    <n v="28"/>
    <n v="28075528"/>
    <n v="2339627.3333333335"/>
    <n v="0"/>
  </r>
  <r>
    <s v="Закин (З)"/>
    <s v="З"/>
    <s v="ЦЗ"/>
    <s v="ЛЗ"/>
    <m/>
    <s v="Вод"/>
    <s v="Вод"/>
    <s v="Вод"/>
    <x v="83"/>
    <x v="0"/>
    <m/>
    <n v="83.428571428571431"/>
    <n v="71"/>
    <n v="80"/>
    <n v="90"/>
    <n v="85"/>
    <n v="80"/>
    <n v="98"/>
    <n v="80"/>
    <n v="0"/>
    <n v="16336089"/>
    <n v="1361340.75"/>
    <n v="0"/>
  </r>
  <r>
    <s v="Кротс Томаш"/>
    <s v="З"/>
    <s v="ПЗ"/>
    <s v="ЦЗ"/>
    <m/>
    <m/>
    <s v="В.И."/>
    <s v="В.И."/>
    <x v="83"/>
    <x v="0"/>
    <m/>
    <n v="74.857142857142861"/>
    <n v="70"/>
    <n v="74"/>
    <n v="79"/>
    <n v="76"/>
    <n v="75"/>
    <n v="78"/>
    <n v="72"/>
    <n v="0"/>
    <n v="5525003"/>
    <n v="460416.91666666669"/>
    <n v="0"/>
  </r>
  <r>
    <s v="Орондов (З)"/>
    <s v="З"/>
    <s v="ЦЗ"/>
    <s v="ЛЗ"/>
    <m/>
    <s v="Орл"/>
    <s v="Орл"/>
    <s v="Орл"/>
    <x v="83"/>
    <x v="0"/>
    <m/>
    <n v="78.571428571428569"/>
    <n v="70"/>
    <n v="78"/>
    <n v="80"/>
    <n v="81"/>
    <n v="80"/>
    <n v="86"/>
    <n v="75"/>
    <n v="0"/>
    <n v="8966987"/>
    <n v="747248.91666666663"/>
    <n v="0"/>
  </r>
  <r>
    <s v="Фернандес Луис"/>
    <s v="З"/>
    <s v="ЛЗ"/>
    <s v="ЦЗ"/>
    <m/>
    <m/>
    <s v="В.И."/>
    <s v="В.И."/>
    <x v="83"/>
    <x v="0"/>
    <m/>
    <n v="74.285714285714292"/>
    <n v="66"/>
    <n v="76"/>
    <n v="77"/>
    <n v="79"/>
    <n v="74"/>
    <n v="80"/>
    <n v="68"/>
    <n v="0"/>
    <n v="5117444"/>
    <n v="426453.66666666669"/>
    <n v="0"/>
  </r>
  <r>
    <s v="Аджаи Кевин"/>
    <s v="Н"/>
    <s v="ЦН"/>
    <s v="ОФ"/>
    <m/>
    <m/>
    <s v="В.И."/>
    <s v="В.И."/>
    <x v="83"/>
    <x v="0"/>
    <m/>
    <n v="74.714285714285708"/>
    <n v="73"/>
    <n v="74"/>
    <n v="78"/>
    <n v="77"/>
    <n v="80"/>
    <n v="73"/>
    <n v="68"/>
    <n v="0"/>
    <n v="5420465"/>
    <n v="451705.41666666669"/>
    <n v="0"/>
  </r>
  <r>
    <s v="Ллида"/>
    <s v="Н"/>
    <s v="ОФ"/>
    <m/>
    <m/>
    <s v="Нумб"/>
    <s v="В.И."/>
    <s v="В.И."/>
    <x v="83"/>
    <x v="0"/>
    <m/>
    <n v="81"/>
    <n v="75"/>
    <n v="96"/>
    <n v="80"/>
    <n v="84"/>
    <n v="76"/>
    <n v="76"/>
    <n v="80"/>
    <n v="3"/>
    <n v="18236499"/>
    <n v="1519708.25"/>
    <n v="0"/>
  </r>
  <r>
    <s v="Петролл (Н)"/>
    <s v="Н"/>
    <s v="ЦН"/>
    <s v="АПЗ"/>
    <s v="ОФ"/>
    <s v="Сув"/>
    <s v="В.И."/>
    <s v="В.И."/>
    <x v="83"/>
    <x v="0"/>
    <m/>
    <n v="81.714285714285708"/>
    <n v="72"/>
    <n v="81"/>
    <n v="86"/>
    <n v="80"/>
    <n v="88"/>
    <n v="94"/>
    <n v="71"/>
    <n v="6"/>
    <n v="19909995"/>
    <n v="1659166.25"/>
    <n v="0"/>
  </r>
  <r>
    <s v="Ракитов (Н)"/>
    <s v="Н"/>
    <s v="ЦН"/>
    <s v="АПЗ"/>
    <m/>
    <s v="Зем"/>
    <s v="Зем"/>
    <s v="Зем"/>
    <x v="83"/>
    <x v="0"/>
    <m/>
    <n v="87.714285714285708"/>
    <n v="84"/>
    <n v="88"/>
    <n v="92"/>
    <n v="86"/>
    <n v="90"/>
    <n v="84"/>
    <n v="90"/>
    <n v="5"/>
    <n v="40438457"/>
    <n v="3369871.4166666665"/>
    <n v="0"/>
  </r>
  <r>
    <s v="Саирэс (Н)"/>
    <s v="Н"/>
    <s v="ОФ"/>
    <s v="ППЗ"/>
    <m/>
    <s v="Сув"/>
    <s v="В.И."/>
    <s v="В.И."/>
    <x v="83"/>
    <x v="0"/>
    <m/>
    <n v="80.428571428571431"/>
    <n v="70"/>
    <n v="90"/>
    <n v="77"/>
    <n v="83"/>
    <n v="85"/>
    <n v="80"/>
    <n v="78"/>
    <n v="3"/>
    <n v="16990056"/>
    <n v="1415838"/>
    <n v="0"/>
  </r>
  <r>
    <s v="Скайрим (Н)"/>
    <s v="Н"/>
    <s v="ОФ"/>
    <s v="ЛПЗ"/>
    <m/>
    <s v="Вал"/>
    <s v="Вал"/>
    <s v="Вал"/>
    <x v="83"/>
    <x v="0"/>
    <m/>
    <n v="81.142857142857139"/>
    <n v="75"/>
    <n v="96"/>
    <n v="83"/>
    <n v="84"/>
    <n v="75"/>
    <n v="75"/>
    <n v="80"/>
    <n v="19"/>
    <n v="18560695"/>
    <n v="1546724.5833333333"/>
    <n v="0"/>
  </r>
  <r>
    <s v="Альзирос (П)"/>
    <s v="П"/>
    <s v="ОПЗ"/>
    <s v="ЦЗ"/>
    <m/>
    <s v="Мал"/>
    <s v="В.И."/>
    <s v="В.И."/>
    <x v="83"/>
    <x v="0"/>
    <m/>
    <n v="75.571428571428569"/>
    <n v="51"/>
    <n v="85"/>
    <n v="77"/>
    <n v="81"/>
    <n v="77"/>
    <n v="90"/>
    <n v="68"/>
    <n v="0"/>
    <n v="6075421"/>
    <n v="506285.08333333331"/>
    <n v="0"/>
  </r>
  <r>
    <s v="Браньер (П)"/>
    <s v="П"/>
    <s v="ЦПЗ"/>
    <s v="ППЗ"/>
    <m/>
    <s v="Нумб"/>
    <s v="Нумб"/>
    <s v="Нумб"/>
    <x v="83"/>
    <x v="0"/>
    <m/>
    <n v="73.857142857142861"/>
    <n v="67"/>
    <n v="75"/>
    <n v="83"/>
    <n v="84"/>
    <n v="73"/>
    <n v="79"/>
    <n v="56"/>
    <n v="0"/>
    <n v="4829755"/>
    <n v="402479.58333333331"/>
    <n v="0"/>
  </r>
  <r>
    <s v="Инсуньер (П)"/>
    <s v="П"/>
    <s v="АПЗ"/>
    <s v="ЦПЗ"/>
    <s v="ППЗ"/>
    <s v="Генуа"/>
    <s v="Генуа"/>
    <s v="Генуа"/>
    <x v="83"/>
    <x v="0"/>
    <m/>
    <n v="82.857142857142861"/>
    <n v="80"/>
    <n v="84"/>
    <n v="88"/>
    <n v="84"/>
    <n v="85"/>
    <n v="84"/>
    <n v="75"/>
    <n v="12"/>
    <n v="22876564"/>
    <n v="1906380.3333333333"/>
    <n v="0"/>
  </r>
  <r>
    <s v="Окафор Дэвид"/>
    <s v="П"/>
    <s v="ОПЗ"/>
    <s v="ЦПЗ"/>
    <m/>
    <m/>
    <s v="В.И."/>
    <s v="В.И."/>
    <x v="83"/>
    <x v="0"/>
    <m/>
    <n v="76.428571428571431"/>
    <n v="69"/>
    <n v="78"/>
    <n v="82"/>
    <n v="80"/>
    <n v="79"/>
    <n v="77"/>
    <n v="70"/>
    <n v="0"/>
    <n v="6800760"/>
    <n v="566730"/>
    <n v="0"/>
  </r>
  <r>
    <s v="Р.Чарнинг (П)"/>
    <s v="П"/>
    <s v="ЦПЗ"/>
    <s v="ОПЗ"/>
    <s v="АПЗ"/>
    <s v="С.К."/>
    <s v="С.К."/>
    <s v="С.К."/>
    <x v="83"/>
    <x v="0"/>
    <m/>
    <n v="93.714285714285708"/>
    <n v="95"/>
    <n v="94"/>
    <n v="94"/>
    <n v="97"/>
    <n v="91"/>
    <n v="90"/>
    <n v="95"/>
    <n v="10"/>
    <n v="78369893"/>
    <n v="6530824.416666667"/>
    <n v="0"/>
  </r>
  <r>
    <s v="Саирс (П)"/>
    <s v="П"/>
    <s v="ППЗ"/>
    <s v="АПЗ"/>
    <s v="ЦПЗ"/>
    <s v="Мал"/>
    <s v="В.И."/>
    <s v="В.И."/>
    <x v="83"/>
    <x v="0"/>
    <m/>
    <n v="74.142857142857139"/>
    <n v="52"/>
    <n v="83"/>
    <n v="78"/>
    <n v="80"/>
    <n v="78"/>
    <n v="78"/>
    <n v="70"/>
    <n v="0"/>
    <n v="5019879"/>
    <n v="418323.25"/>
    <n v="0"/>
  </r>
  <r>
    <s v="Сантос Рафаэль"/>
    <s v="П"/>
    <s v="ППЗ"/>
    <s v="АПЗ"/>
    <m/>
    <m/>
    <s v="В.И."/>
    <s v="В.И."/>
    <x v="83"/>
    <x v="0"/>
    <m/>
    <n v="72.857142857142861"/>
    <n v="68"/>
    <n v="77"/>
    <n v="74"/>
    <n v="79"/>
    <n v="72"/>
    <n v="76"/>
    <n v="64"/>
    <n v="0"/>
    <n v="4214261"/>
    <n v="351188.41666666669"/>
    <n v="0"/>
  </r>
  <r>
    <s v="Шнайдер Марк"/>
    <s v="П"/>
    <s v="ЦПЗ"/>
    <s v="АПЗ"/>
    <m/>
    <m/>
    <s v="В.И."/>
    <s v="В.И."/>
    <x v="83"/>
    <x v="0"/>
    <m/>
    <n v="74.285714285714292"/>
    <n v="72"/>
    <n v="80"/>
    <n v="76"/>
    <n v="78"/>
    <n v="73"/>
    <n v="75"/>
    <n v="66"/>
    <n v="0"/>
    <n v="5117444"/>
    <n v="426453.66666666669"/>
    <n v="0"/>
  </r>
  <r>
    <s v="Филл Яргус"/>
    <s v="Т"/>
    <s v="Т"/>
    <m/>
    <m/>
    <m/>
    <s v="В.И."/>
    <s v="В.И."/>
    <x v="83"/>
    <x v="0"/>
    <m/>
    <n v="82.714285714285708"/>
    <n v="63"/>
    <n v="98"/>
    <n v="86"/>
    <n v="88"/>
    <n v="81"/>
    <n v="85"/>
    <n v="78"/>
    <n v="0"/>
    <n v="14990125"/>
    <n v="1249177.0833333333"/>
    <n v="0"/>
  </r>
  <r>
    <s v="Гронлунд Эрик"/>
    <s v="В"/>
    <s v="В"/>
    <m/>
    <m/>
    <m/>
    <s v="Снег"/>
    <s v="Снег"/>
    <x v="84"/>
    <x v="0"/>
    <m/>
    <n v="62"/>
    <n v="16"/>
    <n v="62"/>
    <n v="68"/>
    <n v="72"/>
    <n v="80"/>
    <n v="87"/>
    <n v="49"/>
    <n v="0"/>
    <n v="839300"/>
    <n v="69941.666666666672"/>
    <n v="0"/>
  </r>
  <r>
    <s v="Косулин"/>
    <s v="В"/>
    <s v="В"/>
    <m/>
    <m/>
    <s v="Снег"/>
    <s v="Снег"/>
    <s v="Снег"/>
    <x v="84"/>
    <x v="0"/>
    <m/>
    <n v="63.142857142857146"/>
    <n v="15"/>
    <n v="60"/>
    <n v="70"/>
    <n v="74"/>
    <n v="83"/>
    <n v="90"/>
    <n v="50"/>
    <n v="0"/>
    <n v="1007494"/>
    <n v="83957.833333333328"/>
    <n v="0"/>
  </r>
  <r>
    <s v="Хавка"/>
    <s v="В"/>
    <s v="В"/>
    <m/>
    <m/>
    <s v="Снег"/>
    <s v="Снег"/>
    <s v="Снег"/>
    <x v="84"/>
    <x v="0"/>
    <m/>
    <n v="63.285714285714285"/>
    <n v="18"/>
    <n v="71"/>
    <n v="67"/>
    <n v="70"/>
    <n v="74"/>
    <n v="91"/>
    <n v="52"/>
    <n v="0"/>
    <n v="1030522"/>
    <n v="85876.833333333328"/>
    <n v="0"/>
  </r>
  <r>
    <s v="Винтер Клаус"/>
    <s v="З"/>
    <s v="ЦЗ"/>
    <s v="ЛЗ"/>
    <m/>
    <m/>
    <s v="Снег"/>
    <s v="Снег"/>
    <x v="84"/>
    <x v="0"/>
    <m/>
    <n v="63.285714285714285"/>
    <n v="27"/>
    <n v="78"/>
    <n v="55"/>
    <n v="74"/>
    <n v="76"/>
    <n v="79"/>
    <n v="54"/>
    <n v="0"/>
    <n v="1030522"/>
    <n v="85876.833333333328"/>
    <n v="0"/>
  </r>
  <r>
    <s v="Гранквист (З)"/>
    <s v="З"/>
    <s v="ЦЗ"/>
    <s v="ОПЗ"/>
    <m/>
    <s v="Снег"/>
    <s v="Дант"/>
    <s v="Дант"/>
    <x v="84"/>
    <x v="0"/>
    <m/>
    <n v="84.142857142857139"/>
    <n v="80"/>
    <n v="80"/>
    <n v="87"/>
    <n v="84"/>
    <n v="89"/>
    <n v="88"/>
    <n v="81"/>
    <n v="26"/>
    <n v="26684792"/>
    <n v="2223732.6666666665"/>
    <n v="0"/>
  </r>
  <r>
    <s v="Имминур"/>
    <s v="З"/>
    <s v="ЛЗ"/>
    <s v="ОПЗ"/>
    <m/>
    <s v="Снег"/>
    <s v="Снег"/>
    <s v="Снег"/>
    <x v="84"/>
    <x v="0"/>
    <m/>
    <n v="69.571428571428569"/>
    <n v="40"/>
    <n v="92"/>
    <n v="65"/>
    <n v="74"/>
    <n v="73"/>
    <n v="75"/>
    <n v="68"/>
    <n v="0"/>
    <n v="2656497"/>
    <n v="221374.75"/>
    <n v="0"/>
  </r>
  <r>
    <s v="Клоза (З)"/>
    <s v="З"/>
    <s v="ЦЗ"/>
    <m/>
    <m/>
    <s v="Снег"/>
    <s v="Снег"/>
    <s v="Снег"/>
    <x v="84"/>
    <x v="0"/>
    <m/>
    <n v="76"/>
    <n v="60"/>
    <n v="76"/>
    <n v="78"/>
    <n v="78"/>
    <n v="81"/>
    <n v="84"/>
    <n v="75"/>
    <n v="0"/>
    <n v="6428889"/>
    <n v="535740.75"/>
    <n v="0"/>
  </r>
  <r>
    <s v="Клозен Матс"/>
    <s v="З"/>
    <s v="ЛЗ"/>
    <s v="ОПЗ"/>
    <m/>
    <m/>
    <s v="Снег"/>
    <s v="Снег"/>
    <x v="84"/>
    <x v="0"/>
    <m/>
    <n v="59.285714285714285"/>
    <n v="21"/>
    <n v="83"/>
    <n v="48"/>
    <n v="68"/>
    <n v="71"/>
    <n v="73"/>
    <n v="51"/>
    <n v="0"/>
    <n v="536415"/>
    <n v="44701.25"/>
    <n v="0"/>
  </r>
  <r>
    <s v="Рубийс"/>
    <s v="З"/>
    <s v="ЦЗ"/>
    <m/>
    <m/>
    <s v="Снег"/>
    <s v="Снег"/>
    <s v="Снег"/>
    <x v="84"/>
    <x v="0"/>
    <m/>
    <n v="76.285714285714292"/>
    <n v="60"/>
    <n v="74"/>
    <n v="80"/>
    <n v="77"/>
    <n v="82"/>
    <n v="88"/>
    <n v="73"/>
    <n v="0"/>
    <n v="6674707"/>
    <n v="556225.58333333337"/>
    <n v="0"/>
  </r>
  <r>
    <s v="Соль Баллир"/>
    <s v="З"/>
    <s v="ЦЗ"/>
    <s v="ОПЗ"/>
    <m/>
    <m/>
    <s v="Снег"/>
    <s v="Снег"/>
    <x v="84"/>
    <x v="0"/>
    <m/>
    <n v="66.714285714285708"/>
    <n v="34"/>
    <n v="71"/>
    <n v="63"/>
    <n v="79"/>
    <n v="80"/>
    <n v="82"/>
    <n v="58"/>
    <n v="0"/>
    <n v="1746580"/>
    <n v="145548.33333333334"/>
    <n v="0"/>
  </r>
  <r>
    <s v="Турвалд Нильс"/>
    <s v="З"/>
    <s v="ЦЗ"/>
    <m/>
    <m/>
    <m/>
    <s v="Снег"/>
    <s v="Снег"/>
    <x v="84"/>
    <x v="0"/>
    <m/>
    <n v="65.857142857142861"/>
    <n v="40"/>
    <n v="64"/>
    <n v="66"/>
    <n v="73"/>
    <n v="82"/>
    <n v="77"/>
    <n v="59"/>
    <n v="0"/>
    <n v="1534719"/>
    <n v="127893.25"/>
    <n v="0"/>
  </r>
  <r>
    <s v="Белли Астор"/>
    <s v="Н"/>
    <s v="ЦН"/>
    <m/>
    <m/>
    <s v="Биссий"/>
    <s v="Биссий"/>
    <s v="Биссий"/>
    <x v="84"/>
    <x v="0"/>
    <m/>
    <n v="60.428571428571431"/>
    <n v="40"/>
    <n v="91"/>
    <n v="80"/>
    <n v="70"/>
    <n v="50"/>
    <n v="52"/>
    <n v="40"/>
    <n v="0"/>
    <n v="649267"/>
    <n v="54105.583333333336"/>
    <n v="0"/>
  </r>
  <r>
    <s v="Дайволов"/>
    <s v="Н"/>
    <s v="ЦН"/>
    <m/>
    <m/>
    <s v="Генуа"/>
    <s v="Генуа"/>
    <s v="Генуа"/>
    <x v="84"/>
    <x v="0"/>
    <m/>
    <n v="71.857142857142861"/>
    <n v="40"/>
    <n v="76"/>
    <n v="83"/>
    <n v="75"/>
    <n v="80"/>
    <n v="84"/>
    <n v="65"/>
    <n v="0"/>
    <n v="3670283"/>
    <n v="305856.91666666669"/>
    <n v="0"/>
  </r>
  <r>
    <s v="Фрост Кай"/>
    <s v="Н"/>
    <s v="ЦН"/>
    <s v="ОФ"/>
    <m/>
    <m/>
    <s v="Снег"/>
    <s v="Снег"/>
    <x v="84"/>
    <x v="0"/>
    <m/>
    <n v="62.857142857142854"/>
    <n v="29"/>
    <n v="75"/>
    <n v="61"/>
    <n v="70"/>
    <n v="79"/>
    <n v="74"/>
    <n v="52"/>
    <n v="0"/>
    <n v="962823"/>
    <n v="80235.25"/>
    <n v="0"/>
  </r>
  <r>
    <s v="Эсвандель"/>
    <s v="Н"/>
    <s v="ЦН"/>
    <s v="ОФ"/>
    <m/>
    <s v="Снег"/>
    <s v="Снег"/>
    <s v="Снег"/>
    <x v="84"/>
    <x v="0"/>
    <m/>
    <n v="68.142857142857139"/>
    <n v="50"/>
    <n v="80"/>
    <n v="81"/>
    <n v="68"/>
    <n v="70"/>
    <n v="78"/>
    <n v="50"/>
    <n v="0"/>
    <n v="2158756"/>
    <n v="179896.33333333334"/>
    <n v="0"/>
  </r>
  <r>
    <s v="Бекман"/>
    <s v="П"/>
    <s v="ОПЗ"/>
    <m/>
    <m/>
    <s v="Снег"/>
    <s v="Снег"/>
    <s v="Снег"/>
    <x v="84"/>
    <x v="0"/>
    <m/>
    <n v="60.571428571428569"/>
    <n v="47"/>
    <n v="61"/>
    <n v="64"/>
    <n v="65"/>
    <n v="72"/>
    <n v="72"/>
    <n v="43"/>
    <n v="0"/>
    <n v="664781"/>
    <n v="55398.416666666664"/>
    <n v="0"/>
  </r>
  <r>
    <s v="Берглин Ола"/>
    <s v="П"/>
    <s v="ОПЗ"/>
    <s v="ЦПЗ"/>
    <m/>
    <m/>
    <s v="Снег"/>
    <s v="Снег"/>
    <x v="84"/>
    <x v="0"/>
    <m/>
    <n v="65.857142857142861"/>
    <n v="40"/>
    <n v="64"/>
    <n v="66"/>
    <n v="73"/>
    <n v="82"/>
    <n v="77"/>
    <n v="59"/>
    <n v="0"/>
    <n v="1534719"/>
    <n v="127893.25"/>
    <n v="0"/>
  </r>
  <r>
    <s v="Гармунд Ларс"/>
    <s v="П"/>
    <s v="ППЗ"/>
    <s v="АПЗ"/>
    <m/>
    <m/>
    <s v="Снег"/>
    <s v="Снег"/>
    <x v="84"/>
    <x v="0"/>
    <m/>
    <n v="58.428571428571431"/>
    <n v="24"/>
    <n v="77"/>
    <n v="52"/>
    <n v="66"/>
    <n v="70"/>
    <n v="70"/>
    <n v="50"/>
    <n v="0"/>
    <n v="463717"/>
    <n v="38643.083333333336"/>
    <n v="0"/>
  </r>
  <r>
    <s v="Дальвин Свен"/>
    <s v="П"/>
    <s v="ЛПЗ"/>
    <s v="ЦПЗ"/>
    <m/>
    <m/>
    <s v="Снег"/>
    <s v="Снег"/>
    <x v="84"/>
    <x v="0"/>
    <m/>
    <n v="62.142857142857146"/>
    <n v="36"/>
    <n v="73"/>
    <n v="58"/>
    <n v="71"/>
    <n v="73"/>
    <n v="69"/>
    <n v="55"/>
    <n v="0"/>
    <n v="858840"/>
    <n v="71570"/>
    <n v="0"/>
  </r>
  <r>
    <s v="Карми"/>
    <s v="П"/>
    <s v="ППЗ"/>
    <s v="ЦПЗ"/>
    <m/>
    <s v="Снег"/>
    <s v="Снег"/>
    <s v="Снег"/>
    <x v="84"/>
    <x v="0"/>
    <m/>
    <n v="61.857142857142854"/>
    <n v="36"/>
    <n v="75"/>
    <n v="60"/>
    <n v="65"/>
    <n v="72"/>
    <n v="70"/>
    <n v="55"/>
    <n v="0"/>
    <n v="820160"/>
    <n v="68346.666666666672"/>
    <n v="0"/>
  </r>
  <r>
    <s v="Косерия (П)"/>
    <s v="П"/>
    <s v="ОПЗ"/>
    <s v="ЦПЗ"/>
    <m/>
    <s v="Тури"/>
    <s v="Тури"/>
    <s v="Тури"/>
    <x v="84"/>
    <x v="0"/>
    <m/>
    <n v="57.428571428571431"/>
    <n v="34"/>
    <n v="55"/>
    <n v="67"/>
    <n v="62"/>
    <n v="67"/>
    <n v="73"/>
    <n v="44"/>
    <n v="0"/>
    <n v="390194"/>
    <n v="32516.166666666668"/>
    <n v="0"/>
  </r>
  <r>
    <s v="Титан (П)"/>
    <s v="П"/>
    <s v="ОПЗ"/>
    <m/>
    <m/>
    <s v="Снег"/>
    <s v="Эстон"/>
    <s v="Эстон"/>
    <x v="84"/>
    <x v="0"/>
    <m/>
    <n v="70"/>
    <n v="64"/>
    <n v="75"/>
    <n v="62"/>
    <n v="70"/>
    <n v="74"/>
    <n v="90"/>
    <n v="55"/>
    <n v="0"/>
    <n v="2824753"/>
    <n v="80235.25"/>
    <n v="0"/>
  </r>
  <r>
    <s v="Поготта"/>
    <s v="П"/>
    <s v="ППЗ"/>
    <s v="ОПЗ"/>
    <m/>
    <s v="Снег"/>
    <s v="Снег"/>
    <s v="Снег"/>
    <x v="84"/>
    <x v="0"/>
    <m/>
    <n v="64"/>
    <n v="54"/>
    <n v="76"/>
    <n v="69"/>
    <n v="74"/>
    <n v="66"/>
    <n v="70"/>
    <n v="39"/>
    <n v="0"/>
    <n v="1152922"/>
    <n v="96076.833333333328"/>
    <n v="0"/>
  </r>
  <r>
    <s v="Полментравр"/>
    <s v="П"/>
    <s v="ЦПЗ"/>
    <s v="АПЗ"/>
    <m/>
    <s v="Снег"/>
    <s v="Снег"/>
    <s v="Снег"/>
    <x v="84"/>
    <x v="0"/>
    <m/>
    <n v="59.142857142857146"/>
    <n v="49"/>
    <n v="66"/>
    <n v="55"/>
    <n v="63"/>
    <n v="69"/>
    <n v="80"/>
    <n v="32"/>
    <n v="0"/>
    <n v="523629"/>
    <n v="43635.75"/>
    <n v="0"/>
  </r>
  <r>
    <s v="Снелль Пьер"/>
    <s v="П"/>
    <s v="ЦПЗ"/>
    <s v="АПЗ"/>
    <m/>
    <m/>
    <s v="Снег"/>
    <s v="Снег"/>
    <x v="84"/>
    <x v="0"/>
    <m/>
    <n v="60.714285714285715"/>
    <n v="31"/>
    <n v="70"/>
    <n v="56"/>
    <n v="75"/>
    <n v="68"/>
    <n v="72"/>
    <n v="53"/>
    <n v="0"/>
    <n v="680627"/>
    <n v="56718.916666666664"/>
    <n v="0"/>
  </r>
  <r>
    <s v="Тусье"/>
    <s v="П"/>
    <s v="ЦПЗ"/>
    <s v="ППЗ"/>
    <m/>
    <s v="Снег"/>
    <s v="Снег"/>
    <s v="Снег"/>
    <x v="84"/>
    <x v="0"/>
    <m/>
    <n v="59.714285714285715"/>
    <n v="47"/>
    <n v="57"/>
    <n v="57"/>
    <n v="76"/>
    <n v="76"/>
    <n v="74"/>
    <n v="31"/>
    <n v="0"/>
    <n v="576478"/>
    <n v="48039.833333333336"/>
    <n v="0"/>
  </r>
  <r>
    <s v="Апачиков"/>
    <s v="В"/>
    <s v="В"/>
    <m/>
    <m/>
    <s v="Заг"/>
    <s v="Заг"/>
    <s v="Заг"/>
    <x v="85"/>
    <x v="0"/>
    <m/>
    <n v="59.714285714285715"/>
    <n v="33"/>
    <n v="62"/>
    <n v="87"/>
    <n v="26"/>
    <n v="75"/>
    <n v="80"/>
    <n v="55"/>
    <n v="0"/>
    <n v="576478"/>
    <n v="48039.833333333336"/>
    <n v="0"/>
  </r>
  <r>
    <s v="Чербис"/>
    <s v="В"/>
    <s v="В"/>
    <m/>
    <m/>
    <s v="Перс"/>
    <s v="Перс"/>
    <s v="Перс"/>
    <x v="85"/>
    <x v="0"/>
    <m/>
    <n v="65.714285714285708"/>
    <n v="38"/>
    <n v="65"/>
    <n v="86"/>
    <n v="54"/>
    <n v="74"/>
    <n v="84"/>
    <n v="59"/>
    <n v="0"/>
    <n v="1501751"/>
    <n v="125145.91666666667"/>
    <n v="0"/>
  </r>
  <r>
    <s v="Агамис"/>
    <s v="З"/>
    <s v="ЦЗ"/>
    <m/>
    <m/>
    <s v="Перс"/>
    <s v="Перс"/>
    <s v="Перс"/>
    <x v="85"/>
    <x v="0"/>
    <m/>
    <n v="65.714285714285708"/>
    <n v="42"/>
    <n v="59"/>
    <n v="69"/>
    <n v="80"/>
    <n v="82"/>
    <n v="88"/>
    <n v="40"/>
    <n v="0"/>
    <n v="1501751"/>
    <n v="125145.91666666667"/>
    <n v="0"/>
  </r>
  <r>
    <s v="Гардук"/>
    <s v="З"/>
    <s v="ЦЗ"/>
    <m/>
    <m/>
    <s v="Перс"/>
    <s v="Перс"/>
    <s v="Перс"/>
    <x v="85"/>
    <x v="0"/>
    <m/>
    <n v="63.285714285714285"/>
    <n v="37"/>
    <n v="71"/>
    <n v="65"/>
    <n v="74"/>
    <n v="74"/>
    <n v="89"/>
    <n v="33"/>
    <n v="0"/>
    <n v="1030522"/>
    <n v="85876.833333333328"/>
    <n v="0"/>
  </r>
  <r>
    <s v="Тавильд"/>
    <s v="З"/>
    <s v="ЦЗ"/>
    <m/>
    <m/>
    <s v="Перс"/>
    <s v="Перс"/>
    <s v="Перс"/>
    <x v="85"/>
    <x v="0"/>
    <m/>
    <n v="63.428571428571431"/>
    <n v="38"/>
    <n v="62"/>
    <n v="76"/>
    <n v="71"/>
    <n v="77"/>
    <n v="78"/>
    <n v="42"/>
    <n v="0"/>
    <n v="1054022"/>
    <n v="87835.166666666672"/>
    <n v="0"/>
  </r>
  <r>
    <s v="Чахти"/>
    <s v="З"/>
    <s v="ЦЗ"/>
    <m/>
    <m/>
    <s v="Перс"/>
    <s v="Перс"/>
    <s v="Перс"/>
    <x v="85"/>
    <x v="0"/>
    <m/>
    <n v="62.857142857142854"/>
    <n v="30"/>
    <n v="61"/>
    <n v="59"/>
    <n v="81"/>
    <n v="82"/>
    <n v="83"/>
    <n v="44"/>
    <n v="0"/>
    <n v="962823"/>
    <n v="80235.25"/>
    <n v="0"/>
  </r>
  <r>
    <s v="Югус"/>
    <s v="З"/>
    <s v="ЦЗ"/>
    <s v="ЛЗ"/>
    <m/>
    <s v="Перс"/>
    <s v="Перс"/>
    <s v="Перс"/>
    <x v="85"/>
    <x v="0"/>
    <m/>
    <n v="64.142857142857139"/>
    <n v="41"/>
    <n v="66"/>
    <n v="68"/>
    <n v="72"/>
    <n v="81"/>
    <n v="81"/>
    <n v="40"/>
    <n v="0"/>
    <n v="1178917"/>
    <n v="98243.083333333328"/>
    <n v="0"/>
  </r>
  <r>
    <s v="Вэлли"/>
    <s v="Н"/>
    <s v="ЦН"/>
    <s v="ОФ"/>
    <m/>
    <s v="Вал"/>
    <s v="Вал"/>
    <s v="Вал"/>
    <x v="85"/>
    <x v="0"/>
    <m/>
    <n v="73.714285714285708"/>
    <n v="60"/>
    <n v="94"/>
    <n v="79"/>
    <n v="73"/>
    <n v="71"/>
    <n v="70"/>
    <n v="69"/>
    <n v="0"/>
    <n v="4737145"/>
    <n v="394762.08333333331"/>
    <n v="0"/>
  </r>
  <r>
    <s v="Ивергон"/>
    <s v="Н"/>
    <s v="ЦН"/>
    <m/>
    <m/>
    <s v="Перс"/>
    <s v="Перс"/>
    <s v="Перс"/>
    <x v="85"/>
    <x v="0"/>
    <m/>
    <n v="66.857142857142861"/>
    <n v="31"/>
    <n v="77"/>
    <n v="83"/>
    <n v="76"/>
    <n v="77"/>
    <n v="80"/>
    <n v="44"/>
    <n v="0"/>
    <n v="1784343"/>
    <n v="148695.25"/>
    <n v="0"/>
  </r>
  <r>
    <s v="Фургат"/>
    <s v="Н"/>
    <s v="ЦН"/>
    <m/>
    <m/>
    <s v="Перс"/>
    <s v="Перс"/>
    <s v="Перс"/>
    <x v="85"/>
    <x v="0"/>
    <m/>
    <n v="64.428571428571431"/>
    <n v="26"/>
    <n v="70"/>
    <n v="81"/>
    <n v="70"/>
    <n v="78"/>
    <n v="85"/>
    <n v="41"/>
    <n v="0"/>
    <n v="1232495"/>
    <n v="102707.91666666667"/>
    <n v="0"/>
  </r>
  <r>
    <s v="Брангульдин"/>
    <s v="П"/>
    <s v="ППЗ"/>
    <s v="АПЗ"/>
    <m/>
    <s v="Перс"/>
    <s v="Перс"/>
    <s v="Перс"/>
    <x v="85"/>
    <x v="0"/>
    <m/>
    <n v="68"/>
    <n v="46"/>
    <n v="80"/>
    <n v="79"/>
    <n v="74"/>
    <n v="72"/>
    <n v="73"/>
    <n v="52"/>
    <n v="0"/>
    <n v="2113923"/>
    <n v="176160.25"/>
    <n v="0"/>
  </r>
  <r>
    <s v="Бьегон"/>
    <s v="П"/>
    <s v="ЦПЗ"/>
    <m/>
    <m/>
    <s v="Перс"/>
    <s v="Перс"/>
    <s v="Перс"/>
    <x v="85"/>
    <x v="0"/>
    <m/>
    <n v="62.428571428571431"/>
    <n v="60"/>
    <n v="67"/>
    <n v="66"/>
    <n v="73"/>
    <n v="65"/>
    <n v="62"/>
    <n v="44"/>
    <n v="0"/>
    <n v="899154"/>
    <n v="74929.5"/>
    <n v="0"/>
  </r>
  <r>
    <s v="Макси"/>
    <s v="П"/>
    <s v="ЦПЗ"/>
    <m/>
    <m/>
    <s v="Своб"/>
    <s v="Своб"/>
    <s v="Своб"/>
    <x v="85"/>
    <x v="0"/>
    <m/>
    <n v="61.142857142857146"/>
    <n v="41"/>
    <n v="61"/>
    <n v="79"/>
    <n v="72"/>
    <n v="72"/>
    <n v="65"/>
    <n v="38"/>
    <n v="0"/>
    <n v="730226"/>
    <n v="60852.166666666664"/>
    <n v="0"/>
  </r>
  <r>
    <s v="Назурбук (П)"/>
    <s v="П"/>
    <s v="ОПЗ"/>
    <s v="ЦПЗ"/>
    <m/>
    <s v="Перс"/>
    <s v="Перс"/>
    <s v="Перс"/>
    <x v="85"/>
    <x v="0"/>
    <m/>
    <n v="78.857142857142861"/>
    <n v="65"/>
    <n v="75"/>
    <n v="80"/>
    <n v="81"/>
    <n v="85"/>
    <n v="86"/>
    <n v="80"/>
    <n v="17"/>
    <n v="13947670"/>
    <n v="1162305.8333333333"/>
    <n v="0"/>
  </r>
  <r>
    <s v="Сэмульер"/>
    <s v="П"/>
    <s v="ЦПЗ"/>
    <s v="ЛПЗ"/>
    <m/>
    <s v="Перс"/>
    <s v="Перс"/>
    <s v="Перс"/>
    <x v="85"/>
    <x v="0"/>
    <m/>
    <n v="67.142857142857139"/>
    <n v="56"/>
    <n v="65"/>
    <n v="76"/>
    <n v="78"/>
    <n v="66"/>
    <n v="69"/>
    <n v="60"/>
    <n v="0"/>
    <n v="1862080"/>
    <n v="155173.33333333334"/>
    <n v="0"/>
  </r>
  <r>
    <s v="Цурмиатор"/>
    <s v="П"/>
    <s v="ЦПЗ"/>
    <s v="АПЗ"/>
    <s v="ОПЗ"/>
    <s v="С.К."/>
    <s v="С.К."/>
    <s v="С.К."/>
    <x v="85"/>
    <x v="0"/>
    <m/>
    <n v="83.428571428571431"/>
    <n v="70"/>
    <n v="85"/>
    <n v="88"/>
    <n v="85"/>
    <n v="90"/>
    <n v="96"/>
    <n v="70"/>
    <n v="26"/>
    <n v="24504133"/>
    <n v="2042011.0833333333"/>
    <n v="0"/>
  </r>
  <r>
    <s v="Шех"/>
    <s v="П"/>
    <s v="ЦПЗ"/>
    <m/>
    <m/>
    <s v="К.С."/>
    <s v="К.С."/>
    <s v="К.С."/>
    <x v="85"/>
    <x v="0"/>
    <m/>
    <n v="71.142857142857139"/>
    <n v="45"/>
    <n v="82"/>
    <n v="78"/>
    <n v="76"/>
    <n v="72"/>
    <n v="83"/>
    <n v="62"/>
    <n v="0"/>
    <n v="3321338"/>
    <n v="276778.16666666669"/>
    <n v="0"/>
  </r>
  <r>
    <s v="Яомов"/>
    <s v="П"/>
    <s v="ЛПЗ"/>
    <m/>
    <m/>
    <s v="Перс"/>
    <s v="Перс"/>
    <s v="Перс"/>
    <x v="85"/>
    <x v="0"/>
    <m/>
    <n v="61"/>
    <n v="31"/>
    <n v="79"/>
    <n v="72"/>
    <n v="75"/>
    <n v="64"/>
    <n v="67"/>
    <n v="39"/>
    <n v="0"/>
    <n v="713343"/>
    <n v="59445.25"/>
    <n v="0"/>
  </r>
  <r>
    <s v="Беггус"/>
    <s v="Т"/>
    <s v="Т"/>
    <m/>
    <m/>
    <m/>
    <s v="Перс"/>
    <s v="Перс"/>
    <x v="85"/>
    <x v="0"/>
    <m/>
    <n v="71.714285714285708"/>
    <n v="61"/>
    <n v="66"/>
    <n v="81"/>
    <n v="67"/>
    <n v="80"/>
    <n v="82"/>
    <n v="65"/>
    <n v="0"/>
    <n v="3597964"/>
    <n v="299830.33333333331"/>
    <n v="0"/>
  </r>
  <r>
    <s v="Скиндерс (В)"/>
    <s v="В"/>
    <s v="В"/>
    <m/>
    <m/>
    <s v="Сул"/>
    <s v="Сул"/>
    <s v="Сул"/>
    <x v="86"/>
    <x v="0"/>
    <m/>
    <n v="95"/>
    <n v="95"/>
    <n v="96"/>
    <n v="94"/>
    <n v="92"/>
    <n v="95"/>
    <n v="100"/>
    <n v="93"/>
    <n v="29"/>
    <n v="89810541"/>
    <n v="7484211.75"/>
    <n v="0"/>
  </r>
  <r>
    <s v="Болонье"/>
    <s v="З"/>
    <s v="ЛЗ"/>
    <m/>
    <m/>
    <s v="Сул"/>
    <s v="Сул"/>
    <s v="Сул"/>
    <x v="86"/>
    <x v="0"/>
    <m/>
    <n v="76"/>
    <n v="40"/>
    <n v="78"/>
    <n v="78"/>
    <n v="82"/>
    <n v="82"/>
    <n v="92"/>
    <n v="80"/>
    <n v="0"/>
    <n v="6428889"/>
    <n v="535740.75"/>
    <n v="0"/>
  </r>
  <r>
    <s v="Глоншер Толли"/>
    <s v="З"/>
    <s v="ЛЗ"/>
    <s v="ЦЗ"/>
    <m/>
    <m/>
    <s v="Сул"/>
    <s v="Сул"/>
    <x v="86"/>
    <x v="0"/>
    <m/>
    <n v="74.857142857142861"/>
    <n v="43"/>
    <n v="80"/>
    <n v="78"/>
    <n v="81"/>
    <n v="85"/>
    <n v="85"/>
    <n v="72"/>
    <n v="0"/>
    <n v="5525003"/>
    <n v="460416.91666666669"/>
    <n v="0"/>
  </r>
  <r>
    <s v="Кешкер (З)"/>
    <s v="З"/>
    <s v="ЦЗ"/>
    <s v="ОПЗ"/>
    <s v="ЛЗ"/>
    <s v="Сул"/>
    <s v="Сул"/>
    <s v="Сул"/>
    <x v="86"/>
    <x v="0"/>
    <m/>
    <n v="90.714285714285708"/>
    <n v="80"/>
    <n v="85"/>
    <n v="91"/>
    <n v="94"/>
    <n v="92"/>
    <n v="99"/>
    <n v="94"/>
    <n v="27"/>
    <n v="56604129"/>
    <n v="4717010.75"/>
    <n v="0"/>
  </r>
  <r>
    <s v="Лацио"/>
    <s v="З"/>
    <s v="ЦЗ"/>
    <s v="ПЗ"/>
    <m/>
    <s v="Сул"/>
    <s v="Лион"/>
    <s v="Лион"/>
    <x v="86"/>
    <x v="0"/>
    <m/>
    <n v="92.714285714285708"/>
    <n v="90"/>
    <n v="88"/>
    <n v="94"/>
    <n v="95"/>
    <n v="91"/>
    <n v="94"/>
    <n v="97"/>
    <n v="26"/>
    <n v="70397596"/>
    <n v="5866466.333333333"/>
    <n v="0"/>
  </r>
  <r>
    <s v="Ноиз (З)"/>
    <s v="З"/>
    <s v="ЦЗ"/>
    <s v="ОПЗ"/>
    <m/>
    <s v="Сул"/>
    <s v="Сул"/>
    <s v="Сул"/>
    <x v="86"/>
    <x v="0"/>
    <m/>
    <n v="92.571428571428569"/>
    <n v="86"/>
    <n v="83"/>
    <n v="94"/>
    <n v="98"/>
    <n v="93"/>
    <n v="99"/>
    <n v="95"/>
    <n v="28"/>
    <n v="69320378"/>
    <n v="5776698.166666667"/>
    <n v="0"/>
  </r>
  <r>
    <s v="Торкан"/>
    <s v="З"/>
    <s v="ЦЗ"/>
    <m/>
    <m/>
    <s v="Сул"/>
    <s v="Сул"/>
    <s v="Сул"/>
    <x v="86"/>
    <x v="0"/>
    <m/>
    <n v="75.714285714285708"/>
    <n v="40"/>
    <n v="75"/>
    <n v="80"/>
    <n v="81"/>
    <n v="84"/>
    <n v="95"/>
    <n v="75"/>
    <n v="0"/>
    <n v="6191250"/>
    <n v="515937.5"/>
    <n v="0"/>
  </r>
  <r>
    <s v="Уксуль"/>
    <s v="З"/>
    <s v="ПЗ"/>
    <m/>
    <m/>
    <s v="Сул"/>
    <s v="Сул"/>
    <s v="Сул"/>
    <x v="86"/>
    <x v="0"/>
    <m/>
    <n v="73.285714285714292"/>
    <n v="35"/>
    <n v="79"/>
    <n v="78"/>
    <n v="80"/>
    <n v="80"/>
    <n v="90"/>
    <n v="71"/>
    <n v="0"/>
    <n v="4468825"/>
    <n v="372402.08333333331"/>
    <n v="0"/>
  </r>
  <r>
    <s v="Хазилли Тус"/>
    <s v="З"/>
    <s v="ПЗ"/>
    <s v="ЦЗ"/>
    <m/>
    <m/>
    <s v="Сул"/>
    <s v="Сул"/>
    <x v="86"/>
    <x v="0"/>
    <m/>
    <n v="73.857142857142861"/>
    <n v="34"/>
    <n v="78"/>
    <n v="84"/>
    <n v="80"/>
    <n v="84"/>
    <n v="86"/>
    <n v="71"/>
    <n v="0"/>
    <n v="4829755"/>
    <n v="402479.58333333331"/>
    <n v="0"/>
  </r>
  <r>
    <s v="Аронда (Н)"/>
    <s v="Н"/>
    <s v="ОФ"/>
    <s v="ЦН"/>
    <s v="ЛПЗ"/>
    <s v="Сул"/>
    <s v="Сул"/>
    <s v="Сул"/>
    <x v="86"/>
    <x v="0"/>
    <m/>
    <n v="94.428571428571431"/>
    <n v="95"/>
    <n v="96"/>
    <n v="96"/>
    <n v="99"/>
    <n v="90"/>
    <n v="86"/>
    <n v="99"/>
    <n v="10"/>
    <n v="84552306"/>
    <n v="7046025.5"/>
    <n v="0"/>
  </r>
  <r>
    <s v="Грецан"/>
    <s v="Н"/>
    <s v="ЦН"/>
    <m/>
    <m/>
    <s v="Сар"/>
    <s v="Сар"/>
    <s v="Сар"/>
    <x v="86"/>
    <x v="0"/>
    <m/>
    <n v="76.428571428571431"/>
    <n v="45"/>
    <n v="78"/>
    <n v="85"/>
    <n v="78"/>
    <n v="85"/>
    <n v="94"/>
    <n v="70"/>
    <n v="6"/>
    <n v="10201140"/>
    <n v="850095"/>
    <n v="0"/>
  </r>
  <r>
    <s v="Инфинер (Н)"/>
    <s v="Н"/>
    <s v="ЦН"/>
    <s v="АПЗ"/>
    <m/>
    <s v="Сул"/>
    <s v="Сул"/>
    <s v="Сул"/>
    <x v="86"/>
    <x v="0"/>
    <m/>
    <n v="91.857142857142861"/>
    <n v="85"/>
    <n v="97"/>
    <n v="93"/>
    <n v="93"/>
    <n v="88"/>
    <n v="92"/>
    <n v="95"/>
    <n v="17"/>
    <n v="64153535"/>
    <n v="5346127.916666667"/>
    <n v="0"/>
  </r>
  <r>
    <s v="Хидейна"/>
    <s v="Н"/>
    <s v="ЦН"/>
    <s v="ОФ"/>
    <m/>
    <s v="Сул"/>
    <s v="Сул"/>
    <s v="Сул"/>
    <x v="86"/>
    <x v="0"/>
    <m/>
    <n v="91.714285714285708"/>
    <n v="85"/>
    <n v="95"/>
    <n v="94"/>
    <n v="94"/>
    <n v="89"/>
    <n v="91"/>
    <n v="94"/>
    <n v="19"/>
    <n v="63162766"/>
    <n v="5263563.833333333"/>
    <n v="0"/>
  </r>
  <r>
    <s v="Аксоль Рикардо"/>
    <s v="П"/>
    <s v="ЛПЗ"/>
    <s v="АПЗ"/>
    <m/>
    <s v="Сул"/>
    <s v="Сул"/>
    <s v="Сул"/>
    <x v="86"/>
    <x v="0"/>
    <m/>
    <n v="76.857142857142861"/>
    <n v="50"/>
    <n v="82"/>
    <n v="80"/>
    <n v="85"/>
    <n v="76"/>
    <n v="80"/>
    <n v="85"/>
    <n v="17"/>
    <n v="10787819"/>
    <n v="898984.91666666663"/>
    <n v="0"/>
  </r>
  <r>
    <s v="Аптье Жод"/>
    <s v="П"/>
    <s v="ЛПЗ"/>
    <s v="АПЗ"/>
    <m/>
    <m/>
    <s v="Сул"/>
    <s v="Сул"/>
    <x v="86"/>
    <x v="0"/>
    <m/>
    <n v="73.857142857142861"/>
    <n v="44"/>
    <n v="85"/>
    <n v="85"/>
    <n v="78"/>
    <n v="81"/>
    <n v="76"/>
    <n v="68"/>
    <n v="0"/>
    <n v="4829755"/>
    <n v="402479.58333333331"/>
    <n v="0"/>
  </r>
  <r>
    <s v="Баситон (П)"/>
    <s v="П"/>
    <s v="ОПЗ"/>
    <s v="ЦПЗ"/>
    <m/>
    <s v="Сул"/>
    <s v="Лив"/>
    <s v="Лив"/>
    <x v="86"/>
    <x v="0"/>
    <m/>
    <n v="88.285714285714292"/>
    <n v="83"/>
    <n v="84"/>
    <n v="90"/>
    <n v="87"/>
    <n v="95"/>
    <n v="97"/>
    <n v="82"/>
    <n v="18"/>
    <n v="43151472"/>
    <n v="3595956"/>
    <n v="0"/>
  </r>
  <r>
    <s v="Злаксем (П)"/>
    <s v="П"/>
    <s v="ОПЗ"/>
    <s v="ЦПЗ"/>
    <m/>
    <s v="Сул"/>
    <s v="Сул"/>
    <s v="Сул"/>
    <x v="86"/>
    <x v="0"/>
    <m/>
    <n v="85.428571428571431"/>
    <n v="80"/>
    <n v="85"/>
    <n v="88"/>
    <n v="86"/>
    <n v="89"/>
    <n v="90"/>
    <n v="80"/>
    <n v="22"/>
    <n v="31054369"/>
    <n v="2587864.0833333335"/>
    <n v="0"/>
  </r>
  <r>
    <s v="Ромьера"/>
    <s v="П"/>
    <s v="ППЗ"/>
    <s v="ЦПЗ"/>
    <m/>
    <s v="Сул"/>
    <s v="Сул"/>
    <s v="Сул"/>
    <x v="86"/>
    <x v="0"/>
    <m/>
    <n v="76.857142857142861"/>
    <n v="50"/>
    <n v="81"/>
    <n v="81"/>
    <n v="86"/>
    <n v="75"/>
    <n v="80"/>
    <n v="85"/>
    <n v="17"/>
    <n v="10787819"/>
    <n v="898984.91666666663"/>
    <n v="0"/>
  </r>
  <r>
    <s v="Саикар (П)"/>
    <s v="П"/>
    <s v="ЦПЗ"/>
    <s v="ОПЗ"/>
    <m/>
    <s v="Сул"/>
    <s v="Сул"/>
    <s v="Сул"/>
    <x v="86"/>
    <x v="0"/>
    <m/>
    <n v="80.285714285714292"/>
    <n v="78"/>
    <n v="82"/>
    <n v="80"/>
    <n v="78"/>
    <n v="84"/>
    <n v="94"/>
    <n v="66"/>
    <n v="0"/>
    <n v="11127120"/>
    <n v="927260"/>
    <n v="0"/>
  </r>
  <r>
    <s v="Хварси Анлисер"/>
    <s v="П"/>
    <s v="ППЗ"/>
    <s v="ЦПЗ"/>
    <m/>
    <m/>
    <s v="Сул"/>
    <s v="Сул"/>
    <x v="86"/>
    <x v="0"/>
    <m/>
    <n v="71.857142857142861"/>
    <n v="34"/>
    <n v="83"/>
    <n v="80"/>
    <n v="82"/>
    <n v="80"/>
    <n v="78"/>
    <n v="66"/>
    <n v="0"/>
    <n v="3670283"/>
    <n v="305856.91666666669"/>
    <n v="0"/>
  </r>
  <r>
    <s v="Хемельди Сальдо"/>
    <s v="Т"/>
    <m/>
    <m/>
    <m/>
    <s v="Сул"/>
    <s v="Сул"/>
    <s v="Сул"/>
    <x v="86"/>
    <x v="0"/>
    <m/>
    <n v="80.428571428571431"/>
    <n v="63"/>
    <n v="85"/>
    <n v="80"/>
    <n v="80"/>
    <n v="85"/>
    <n v="85"/>
    <n v="85"/>
    <n v="0"/>
    <n v="11326704"/>
    <n v="943892"/>
    <n v="0"/>
  </r>
  <r>
    <s v="Д.Макраер"/>
    <s v="Н"/>
    <s v="ОФ"/>
    <s v="ППЗ"/>
    <m/>
    <s v="В.И."/>
    <s v="В.И."/>
    <s v="В.И."/>
    <x v="87"/>
    <x v="5"/>
    <m/>
    <n v="92.857142857142861"/>
    <n v="93"/>
    <n v="95"/>
    <n v="93"/>
    <n v="98"/>
    <n v="87"/>
    <n v="86"/>
    <n v="98"/>
    <n v="14"/>
    <n v="71489857"/>
    <n v="5957488.083333333"/>
    <n v="0"/>
  </r>
  <r>
    <s v="Крамрук"/>
    <s v="П"/>
    <s v="ЦПЗ"/>
    <s v="АПЗ"/>
    <s v="ОПЗ"/>
    <s v="Заг"/>
    <s v="Лищ"/>
    <s v="Лищ"/>
    <x v="87"/>
    <x v="5"/>
    <m/>
    <n v="89.428571428571431"/>
    <n v="88"/>
    <n v="84"/>
    <n v="89"/>
    <n v="98"/>
    <n v="85"/>
    <n v="89"/>
    <n v="93"/>
    <n v="24"/>
    <n v="49074309"/>
    <n v="4089525.75"/>
    <n v="0"/>
  </r>
  <r>
    <s v="Власов Олег"/>
    <s v="В"/>
    <s v="В"/>
    <m/>
    <m/>
    <m/>
    <s v="Зел.Хол"/>
    <s v="Зел.Хол"/>
    <x v="88"/>
    <x v="0"/>
    <m/>
    <n v="31.857142857142858"/>
    <n v="10"/>
    <n v="41"/>
    <n v="33"/>
    <n v="37"/>
    <n v="39"/>
    <n v="41"/>
    <n v="22"/>
    <n v="0"/>
    <n v="1077"/>
    <n v="89.75"/>
    <n v="0"/>
  </r>
  <r>
    <s v="Кузнецов Артём"/>
    <s v="В"/>
    <s v="В"/>
    <m/>
    <m/>
    <m/>
    <s v="Зел.Хол"/>
    <s v="Зел.Хол"/>
    <x v="88"/>
    <x v="0"/>
    <m/>
    <n v="28"/>
    <n v="8"/>
    <n v="35"/>
    <n v="29"/>
    <n v="33"/>
    <n v="35"/>
    <n v="37"/>
    <n v="19"/>
    <n v="0"/>
    <n v="297"/>
    <n v="24.75"/>
    <n v="0"/>
  </r>
  <r>
    <s v="Шмидт Дитер"/>
    <s v="В"/>
    <s v="В"/>
    <m/>
    <m/>
    <m/>
    <s v="Зел.Хол"/>
    <s v="Зел.Хол"/>
    <x v="88"/>
    <x v="0"/>
    <m/>
    <n v="28.285714285714285"/>
    <n v="8"/>
    <n v="37"/>
    <n v="29"/>
    <n v="33"/>
    <n v="35"/>
    <n v="37"/>
    <n v="19"/>
    <n v="0"/>
    <n v="328"/>
    <n v="27.333333333333332"/>
    <n v="0"/>
  </r>
  <r>
    <s v="КСоколов Сергей"/>
    <s v="З"/>
    <s v="ПЗ"/>
    <s v="ЛЗ"/>
    <m/>
    <m/>
    <s v="Зел.Хол"/>
    <s v="Зел.Хол"/>
    <x v="88"/>
    <x v="0"/>
    <m/>
    <n v="27.714285714285715"/>
    <n v="7"/>
    <n v="35"/>
    <n v="29"/>
    <n v="33"/>
    <n v="35"/>
    <n v="37"/>
    <n v="18"/>
    <n v="0"/>
    <n v="268"/>
    <n v="22.333333333333332"/>
    <n v="0"/>
  </r>
  <r>
    <s v="Морозов Павел"/>
    <s v="З"/>
    <s v="ПЗ"/>
    <s v="ЦЗ"/>
    <m/>
    <m/>
    <s v="Зел.Хол"/>
    <s v="Зел.Хол"/>
    <x v="88"/>
    <x v="0"/>
    <m/>
    <n v="31.571428571428573"/>
    <n v="9"/>
    <n v="41"/>
    <n v="33"/>
    <n v="37"/>
    <n v="39"/>
    <n v="41"/>
    <n v="21"/>
    <n v="0"/>
    <n v="984"/>
    <n v="82"/>
    <n v="0"/>
  </r>
  <r>
    <s v="Попов Денис"/>
    <s v="З"/>
    <s v="ЦЗ"/>
    <s v="ОПЗ"/>
    <m/>
    <m/>
    <s v="Зел.Хол"/>
    <s v="Зел.Хол"/>
    <x v="88"/>
    <x v="0"/>
    <m/>
    <n v="24.571428571428573"/>
    <n v="6"/>
    <n v="31"/>
    <n v="25"/>
    <n v="29"/>
    <n v="31"/>
    <n v="33"/>
    <n v="17"/>
    <n v="0"/>
    <n v="81"/>
    <n v="6.75"/>
    <n v="0"/>
  </r>
  <r>
    <s v="Соколов Максим"/>
    <s v="З"/>
    <s v="ЦЗ"/>
    <s v="ЛЗ"/>
    <m/>
    <m/>
    <s v="Зел.Хол"/>
    <s v="Зел.Хол"/>
    <x v="88"/>
    <x v="0"/>
    <m/>
    <n v="35.571428571428569"/>
    <n v="12"/>
    <n v="47"/>
    <n v="37"/>
    <n v="41"/>
    <n v="43"/>
    <n v="45"/>
    <n v="24"/>
    <n v="0"/>
    <n v="3244"/>
    <n v="270.33333333333331"/>
    <n v="0"/>
  </r>
  <r>
    <s v="Хватов Олег"/>
    <s v="З"/>
    <s v="ЛЗ"/>
    <s v="ЛПЗ"/>
    <m/>
    <m/>
    <s v="Зел.Хол"/>
    <s v="Зел.Хол"/>
    <x v="88"/>
    <x v="0"/>
    <m/>
    <n v="39.142857142857146"/>
    <n v="22"/>
    <n v="63"/>
    <n v="35"/>
    <n v="37"/>
    <n v="51"/>
    <n v="46"/>
    <n v="20"/>
    <n v="0"/>
    <n v="8444"/>
    <n v="703.66666666666663"/>
    <n v="0"/>
  </r>
  <r>
    <s v="Белов Аркадий"/>
    <s v="Н"/>
    <s v="ОФ"/>
    <s v="ЦН"/>
    <m/>
    <s v="Зел.Хол"/>
    <s v="Зел.Хол"/>
    <s v="Зел.Хол"/>
    <x v="88"/>
    <x v="0"/>
    <m/>
    <n v="51.857142857142854"/>
    <n v="18"/>
    <n v="65"/>
    <n v="57"/>
    <n v="59"/>
    <n v="61"/>
    <n v="63"/>
    <n v="40"/>
    <n v="0"/>
    <n v="140633"/>
    <n v="11719.416666666666"/>
    <n v="0"/>
  </r>
  <r>
    <s v="Ковальский Ян"/>
    <s v="Н"/>
    <s v="ЦН"/>
    <s v="ОФ"/>
    <m/>
    <s v="Зел.Хол"/>
    <s v="Зел.Хол"/>
    <s v="Зел.Хол"/>
    <x v="88"/>
    <x v="0"/>
    <m/>
    <n v="48.571428571428569"/>
    <n v="15"/>
    <n v="59"/>
    <n v="53"/>
    <n v="57"/>
    <n v="59"/>
    <n v="61"/>
    <n v="36"/>
    <n v="0"/>
    <n v="73082"/>
    <n v="6090.166666666667"/>
    <n v="0"/>
  </r>
  <r>
    <s v="Тарасов Егор"/>
    <s v="Н"/>
    <s v="ОФ"/>
    <s v="ЦН"/>
    <m/>
    <m/>
    <s v="Зел.Хол"/>
    <s v="Зел.Хол"/>
    <x v="88"/>
    <x v="0"/>
    <m/>
    <n v="32.571428571428569"/>
    <n v="10"/>
    <n v="41"/>
    <n v="33"/>
    <n v="39"/>
    <n v="41"/>
    <n v="43"/>
    <n v="21"/>
    <n v="0"/>
    <n v="1344"/>
    <n v="112"/>
    <n v="0"/>
  </r>
  <r>
    <s v="Воробьёв Лев"/>
    <s v="П"/>
    <s v="АПЗ"/>
    <s v="ППЗ"/>
    <m/>
    <m/>
    <s v="Зел.Хол"/>
    <s v="Зел.Хол"/>
    <x v="88"/>
    <x v="0"/>
    <m/>
    <n v="47.428571428571431"/>
    <n v="40"/>
    <n v="50"/>
    <n v="52"/>
    <n v="50"/>
    <n v="50"/>
    <n v="50"/>
    <n v="40"/>
    <n v="0"/>
    <n v="57598"/>
    <n v="13.166666666666666"/>
    <n v="0"/>
  </r>
  <r>
    <s v="Голубев Тимур"/>
    <s v="П"/>
    <s v="АПЗ"/>
    <s v="ЦПЗ"/>
    <m/>
    <m/>
    <s v="Зел.Хол"/>
    <s v="Зел.Хол"/>
    <x v="88"/>
    <x v="0"/>
    <m/>
    <n v="33"/>
    <n v="10"/>
    <n v="43"/>
    <n v="33"/>
    <n v="39"/>
    <n v="41"/>
    <n v="43"/>
    <n v="22"/>
    <n v="0"/>
    <n v="1532"/>
    <n v="127.66666666666667"/>
    <n v="0"/>
  </r>
  <r>
    <s v="Егоров Никита"/>
    <s v="П"/>
    <s v="ОПЗ"/>
    <s v="ЦЗ"/>
    <m/>
    <m/>
    <s v="Зел.Хол"/>
    <s v="Зел.Хол"/>
    <x v="88"/>
    <x v="0"/>
    <m/>
    <n v="30.857142857142858"/>
    <n v="9"/>
    <n v="39"/>
    <n v="31"/>
    <n v="37"/>
    <n v="39"/>
    <n v="41"/>
    <n v="20"/>
    <n v="0"/>
    <n v="783"/>
    <n v="65.25"/>
    <n v="0"/>
  </r>
  <r>
    <s v="Михайлов Савва"/>
    <s v="П"/>
    <s v="ППЗ"/>
    <s v="АПЗ"/>
    <m/>
    <m/>
    <s v="Зел.Хол"/>
    <s v="Зел.Хол"/>
    <x v="88"/>
    <x v="0"/>
    <m/>
    <n v="39"/>
    <n v="14"/>
    <n v="51"/>
    <n v="41"/>
    <n v="45"/>
    <n v="47"/>
    <n v="49"/>
    <n v="26"/>
    <n v="0"/>
    <n v="8141"/>
    <n v="678.41666666666663"/>
    <n v="0"/>
  </r>
  <r>
    <s v="Новиков Андрей"/>
    <s v="П"/>
    <s v="ОПЗ"/>
    <s v="ЦПЗ"/>
    <m/>
    <m/>
    <s v="Зел.Хол"/>
    <s v="Зел.Хол"/>
    <x v="88"/>
    <x v="0"/>
    <m/>
    <n v="33.857142857142854"/>
    <n v="11"/>
    <n v="45"/>
    <n v="35"/>
    <n v="39"/>
    <n v="41"/>
    <n v="43"/>
    <n v="23"/>
    <n v="0"/>
    <n v="1980"/>
    <n v="165"/>
    <n v="0"/>
  </r>
  <r>
    <s v="Павлов Роман"/>
    <s v="П"/>
    <s v="ЦПЗ"/>
    <s v="ОПЗ"/>
    <m/>
    <m/>
    <s v="Зел.Хол"/>
    <s v="Зел.Хол"/>
    <x v="88"/>
    <x v="0"/>
    <m/>
    <n v="37.285714285714285"/>
    <n v="13"/>
    <n v="49"/>
    <n v="39"/>
    <n v="43"/>
    <n v="45"/>
    <n v="47"/>
    <n v="25"/>
    <n v="0"/>
    <n v="5194"/>
    <n v="432.83333333333331"/>
    <n v="0"/>
  </r>
  <r>
    <s v="Семёнов Виктор"/>
    <s v="П"/>
    <s v="ЦПЗ"/>
    <s v="ЛПЗ"/>
    <m/>
    <m/>
    <s v="Зел.Хол"/>
    <s v="Зел.Хол"/>
    <x v="88"/>
    <x v="0"/>
    <m/>
    <n v="24.428571428571427"/>
    <n v="6"/>
    <n v="31"/>
    <n v="25"/>
    <n v="29"/>
    <n v="31"/>
    <n v="33"/>
    <n v="16"/>
    <n v="0"/>
    <n v="76"/>
    <n v="6.333333333333333"/>
    <n v="0"/>
  </r>
  <r>
    <s v="Фёдоров Глеб"/>
    <s v="П"/>
    <s v="ЛПЗ"/>
    <s v="ОПЗ"/>
    <m/>
    <m/>
    <s v="Зел.Хол"/>
    <s v="Зел.Хол"/>
    <x v="88"/>
    <x v="0"/>
    <m/>
    <n v="34.714285714285715"/>
    <n v="11"/>
    <n v="45"/>
    <n v="35"/>
    <n v="41"/>
    <n v="43"/>
    <n v="45"/>
    <n v="23"/>
    <n v="0"/>
    <n v="2542"/>
    <n v="211.83333333333334"/>
    <n v="0"/>
  </r>
  <r>
    <s v="Смирнов Игорь"/>
    <s v="Т"/>
    <s v="Т"/>
    <m/>
    <m/>
    <m/>
    <s v="Зел.Хол"/>
    <s v="Зел.Хол"/>
    <x v="88"/>
    <x v="0"/>
    <m/>
    <n v="30"/>
    <n v="9"/>
    <n v="39"/>
    <n v="31"/>
    <n v="35"/>
    <n v="37"/>
    <n v="39"/>
    <n v="20"/>
    <n v="0"/>
    <n v="591"/>
    <n v="49.25"/>
    <n v="0"/>
  </r>
  <r>
    <s v="Кентуков"/>
    <s v="В"/>
    <s v="В"/>
    <m/>
    <m/>
    <s v="Кедр"/>
    <s v="Кедр"/>
    <s v="Кедр"/>
    <x v="89"/>
    <x v="0"/>
    <m/>
    <n v="63.285714285714285"/>
    <n v="41"/>
    <n v="65"/>
    <n v="66"/>
    <n v="65"/>
    <n v="65"/>
    <n v="65"/>
    <n v="76"/>
    <n v="0"/>
    <n v="1030522"/>
    <n v="85876.833333333328"/>
    <n v="0"/>
  </r>
  <r>
    <s v="Буггута Хога"/>
    <s v="З"/>
    <s v="ЦЗ"/>
    <s v="ПЗ"/>
    <m/>
    <s v="Кедр"/>
    <s v="Кедр"/>
    <s v="Кедр"/>
    <x v="89"/>
    <x v="0"/>
    <m/>
    <n v="53.285714285714285"/>
    <n v="21"/>
    <n v="39"/>
    <n v="41"/>
    <n v="56"/>
    <n v="70"/>
    <n v="75"/>
    <n v="71"/>
    <n v="0"/>
    <n v="184548"/>
    <n v="15379"/>
    <n v="0"/>
  </r>
  <r>
    <s v="Гаруа Номба"/>
    <s v="З"/>
    <s v="ПЗ"/>
    <s v="ЦЗ"/>
    <m/>
    <s v="Кедр"/>
    <s v="Кедр"/>
    <s v="Кедр"/>
    <x v="89"/>
    <x v="0"/>
    <m/>
    <n v="63"/>
    <n v="40"/>
    <n v="70"/>
    <n v="70"/>
    <n v="70"/>
    <n v="69"/>
    <n v="72"/>
    <n v="50"/>
    <n v="0"/>
    <n v="984931"/>
    <n v="13437.5"/>
    <n v="0"/>
  </r>
  <r>
    <s v="Ерепин"/>
    <s v="З"/>
    <s v="ЦЗ"/>
    <m/>
    <m/>
    <s v="Кедр"/>
    <s v="Кедр"/>
    <s v="Кедр"/>
    <x v="89"/>
    <x v="0"/>
    <m/>
    <n v="69.857142857142861"/>
    <n v="52"/>
    <n v="65"/>
    <n v="60"/>
    <n v="65"/>
    <n v="80"/>
    <n v="89"/>
    <n v="78"/>
    <n v="26"/>
    <n v="4151447"/>
    <n v="345953.91666666669"/>
    <n v="0"/>
  </r>
  <r>
    <s v="Зонский"/>
    <s v="З"/>
    <s v="ЦЗ"/>
    <m/>
    <m/>
    <s v="Кедр"/>
    <s v="Кедр"/>
    <s v="Кедр"/>
    <x v="89"/>
    <x v="0"/>
    <m/>
    <n v="53.285714285714285"/>
    <n v="41"/>
    <n v="40"/>
    <n v="77"/>
    <n v="25"/>
    <n v="73"/>
    <n v="95"/>
    <n v="22"/>
    <n v="0"/>
    <n v="184548"/>
    <n v="15379"/>
    <n v="0"/>
  </r>
  <r>
    <s v="Орокаи Вани"/>
    <s v="З"/>
    <s v="ЛЗ"/>
    <s v="ЦЗ"/>
    <m/>
    <s v="Кедр"/>
    <s v="Кедр"/>
    <s v="Кедр"/>
    <x v="89"/>
    <x v="0"/>
    <m/>
    <n v="55.285714285714285"/>
    <n v="16"/>
    <n v="61"/>
    <n v="57"/>
    <n v="69"/>
    <n v="75"/>
    <n v="77"/>
    <n v="32"/>
    <n v="0"/>
    <n v="266766"/>
    <n v="22230.5"/>
    <n v="0"/>
  </r>
  <r>
    <s v="Рубинштерн"/>
    <s v="З"/>
    <s v="ЦЗ"/>
    <s v="ПЗ"/>
    <s v="ОПЗ"/>
    <s v="Кедр"/>
    <s v="Кедр"/>
    <s v="Кедр"/>
    <x v="89"/>
    <x v="0"/>
    <m/>
    <n v="76.857142857142861"/>
    <n v="70"/>
    <n v="65"/>
    <n v="68"/>
    <n v="75"/>
    <n v="83"/>
    <n v="87"/>
    <n v="90"/>
    <n v="6"/>
    <n v="10787819"/>
    <n v="898984.91666666663"/>
    <n v="0"/>
  </r>
  <r>
    <s v="Тувара Матаи"/>
    <s v="З"/>
    <s v="ЦЗ"/>
    <s v="ОПЗ"/>
    <m/>
    <s v="Кедр"/>
    <s v="Кедр"/>
    <s v="Кедр"/>
    <x v="89"/>
    <x v="0"/>
    <m/>
    <n v="62.714285714285715"/>
    <n v="23"/>
    <n v="71"/>
    <n v="65"/>
    <n v="77"/>
    <n v="79"/>
    <n v="81"/>
    <n v="43"/>
    <n v="0"/>
    <n v="941163"/>
    <n v="78430.25"/>
    <n v="0"/>
  </r>
  <r>
    <s v="Вот Атта"/>
    <s v="Н"/>
    <s v="ЦН"/>
    <m/>
    <m/>
    <s v="Кедр"/>
    <s v="Кедр"/>
    <s v="Кедр"/>
    <x v="89"/>
    <x v="0"/>
    <m/>
    <n v="57.714285714285715"/>
    <n v="35"/>
    <n v="72"/>
    <n v="65"/>
    <n v="65"/>
    <n v="67"/>
    <n v="60"/>
    <n v="40"/>
    <n v="0"/>
    <n v="410047"/>
    <n v="34170.583333333336"/>
    <n v="0"/>
  </r>
  <r>
    <s v="Жуппленг"/>
    <s v="Н"/>
    <s v="ОФ"/>
    <m/>
    <m/>
    <s v="Кедр"/>
    <s v="Кедр"/>
    <s v="Кедр"/>
    <x v="89"/>
    <x v="0"/>
    <m/>
    <n v="55.285714285714285"/>
    <n v="20"/>
    <n v="75"/>
    <n v="63"/>
    <n v="67"/>
    <n v="63"/>
    <n v="58"/>
    <n v="41"/>
    <n v="0"/>
    <n v="266766"/>
    <n v="22230.5"/>
    <n v="0"/>
  </r>
  <r>
    <s v="Науаи Купу"/>
    <s v="Н"/>
    <s v="ЦН"/>
    <s v="ОФ"/>
    <m/>
    <s v="Кедр"/>
    <s v="Кедр"/>
    <s v="Кедр"/>
    <x v="89"/>
    <x v="0"/>
    <m/>
    <n v="64.428571428571431"/>
    <n v="24"/>
    <n v="75"/>
    <n v="75"/>
    <n v="76"/>
    <n v="77"/>
    <n v="80"/>
    <n v="44"/>
    <n v="0"/>
    <n v="1232495"/>
    <n v="102707.91666666667"/>
    <n v="0"/>
  </r>
  <r>
    <s v="Ванимо Аруа"/>
    <s v="П"/>
    <s v="ЛПЗ"/>
    <s v="ОПЗ"/>
    <m/>
    <s v="Кедр"/>
    <s v="Кедр"/>
    <s v="Кедр"/>
    <x v="89"/>
    <x v="0"/>
    <m/>
    <n v="53.571428571428569"/>
    <n v="18"/>
    <n v="59"/>
    <n v="61"/>
    <n v="69"/>
    <n v="67"/>
    <n v="70"/>
    <n v="31"/>
    <n v="0"/>
    <n v="194685"/>
    <n v="16223.75"/>
    <n v="0"/>
  </r>
  <r>
    <s v="Кураи Тио"/>
    <s v="П"/>
    <s v="АПЗ"/>
    <s v="ЦПЗ"/>
    <m/>
    <s v="Кедр"/>
    <s v="Кедр"/>
    <s v="Кедр"/>
    <x v="89"/>
    <x v="0"/>
    <m/>
    <n v="69.571428571428569"/>
    <n v="40"/>
    <n v="83"/>
    <n v="75"/>
    <n v="75"/>
    <n v="71"/>
    <n v="73"/>
    <n v="70"/>
    <n v="17"/>
    <n v="3984745"/>
    <n v="332062.08333333331"/>
    <n v="0"/>
  </r>
  <r>
    <s v="Лаунаи Пои"/>
    <s v="П"/>
    <s v="ОПЗ"/>
    <s v="ЦПЗ"/>
    <m/>
    <s v="Кедр"/>
    <s v="Кедр"/>
    <s v="Кедр"/>
    <x v="89"/>
    <x v="0"/>
    <m/>
    <n v="62"/>
    <n v="24"/>
    <n v="73"/>
    <n v="69"/>
    <n v="79"/>
    <n v="73"/>
    <n v="75"/>
    <n v="41"/>
    <n v="0"/>
    <n v="839300"/>
    <n v="69941.666666666672"/>
    <n v="0"/>
  </r>
  <r>
    <s v="Мандаке Аи"/>
    <s v="П"/>
    <s v="ЦПЗ"/>
    <s v="ОПЗ"/>
    <m/>
    <s v="Кедр"/>
    <s v="Кедр"/>
    <s v="Кедр"/>
    <x v="89"/>
    <x v="0"/>
    <m/>
    <n v="51.142857142857146"/>
    <n v="16"/>
    <n v="55"/>
    <n v="59"/>
    <n v="67"/>
    <n v="65"/>
    <n v="68"/>
    <n v="28"/>
    <n v="0"/>
    <n v="122420"/>
    <n v="10201.666666666666"/>
    <n v="0"/>
  </r>
  <r>
    <s v="Сурнен"/>
    <s v="П"/>
    <s v="ОПЗ"/>
    <m/>
    <m/>
    <s v="Кедр"/>
    <s v="Кедр"/>
    <s v="Кедр"/>
    <x v="89"/>
    <x v="0"/>
    <m/>
    <n v="46.857142857142854"/>
    <n v="21"/>
    <n v="56"/>
    <n v="59"/>
    <n v="56"/>
    <n v="60"/>
    <n v="56"/>
    <n v="20"/>
    <n v="0"/>
    <n v="51023"/>
    <n v="4251.916666666667"/>
    <n v="0"/>
  </r>
  <r>
    <s v="Тарума Оро"/>
    <s v="П"/>
    <s v="ППЗ"/>
    <s v="ЛПЗ"/>
    <m/>
    <s v="Кедр"/>
    <s v="Кедр"/>
    <s v="Кедр"/>
    <x v="89"/>
    <x v="0"/>
    <m/>
    <n v="55.857142857142854"/>
    <n v="19"/>
    <n v="65"/>
    <n v="63"/>
    <n v="71"/>
    <n v="69"/>
    <n v="71"/>
    <n v="33"/>
    <n v="0"/>
    <n v="295657"/>
    <n v="24638.083333333332"/>
    <n v="0"/>
  </r>
  <r>
    <s v="Цырмаш"/>
    <s v="П"/>
    <s v="ЦПЗ"/>
    <m/>
    <m/>
    <s v="Кедр"/>
    <s v="Кедр"/>
    <s v="Кедр"/>
    <x v="89"/>
    <x v="0"/>
    <m/>
    <n v="58"/>
    <n v="41"/>
    <n v="58"/>
    <n v="64"/>
    <n v="63"/>
    <n v="66"/>
    <n v="73"/>
    <n v="41"/>
    <n v="0"/>
    <n v="430805"/>
    <n v="35900.416666666664"/>
    <n v="0"/>
  </r>
  <r>
    <s v="Щок"/>
    <s v="П"/>
    <s v="ЦПЗ"/>
    <s v="АПЗ"/>
    <m/>
    <s v="Кедр"/>
    <s v="Кедр"/>
    <s v="Кедр"/>
    <x v="89"/>
    <x v="0"/>
    <m/>
    <n v="55.285714285714285"/>
    <n v="39"/>
    <n v="59"/>
    <n v="65"/>
    <n v="60"/>
    <n v="60"/>
    <n v="66"/>
    <n v="38"/>
    <n v="0"/>
    <n v="266766"/>
    <n v="22230.5"/>
    <n v="0"/>
  </r>
  <r>
    <s v="Югга Т"/>
    <s v="П"/>
    <s v="ЛПЗ"/>
    <s v="ППЗ"/>
    <m/>
    <s v="Кедр"/>
    <s v="Кедр"/>
    <s v="Кедр"/>
    <x v="89"/>
    <x v="0"/>
    <m/>
    <n v="54.714285714285715"/>
    <n v="40"/>
    <n v="67"/>
    <n v="58"/>
    <n v="60"/>
    <n v="57"/>
    <n v="65"/>
    <n v="36"/>
    <n v="0"/>
    <n v="240441"/>
    <n v="20036.75"/>
    <n v="0"/>
  </r>
  <r>
    <s v="Куапу Малаки"/>
    <s v="Т"/>
    <s v="Т"/>
    <m/>
    <m/>
    <m/>
    <s v="Кедр"/>
    <s v="Кедр"/>
    <x v="89"/>
    <x v="0"/>
    <m/>
    <n v="58.285714285714285"/>
    <n v="21"/>
    <n v="67"/>
    <n v="61"/>
    <n v="71"/>
    <n v="73"/>
    <n v="75"/>
    <n v="40"/>
    <n v="0"/>
    <n v="452503"/>
    <n v="37708.583333333336"/>
    <n v="0"/>
  </r>
  <r>
    <s v="Винтергейт Остин"/>
    <s v="В"/>
    <s v="В"/>
    <m/>
    <m/>
    <m/>
    <s v="Бел"/>
    <s v="Бел"/>
    <x v="90"/>
    <x v="0"/>
    <m/>
    <n v="65.142857142857139"/>
    <n v="16"/>
    <n v="82"/>
    <n v="76"/>
    <n v="80"/>
    <n v="82"/>
    <n v="84"/>
    <n v="36"/>
    <n v="0"/>
    <n v="1376158"/>
    <n v="114679.83333333333"/>
    <n v="0"/>
  </r>
  <r>
    <s v="Кросс Остин"/>
    <s v="В"/>
    <s v="В"/>
    <m/>
    <m/>
    <m/>
    <s v="Бел"/>
    <s v="Бел"/>
    <x v="90"/>
    <x v="0"/>
    <m/>
    <n v="64"/>
    <n v="15"/>
    <n v="81"/>
    <n v="75"/>
    <n v="79"/>
    <n v="81"/>
    <n v="83"/>
    <n v="34"/>
    <n v="0"/>
    <n v="1152922"/>
    <n v="96076.833333333328"/>
    <n v="0"/>
  </r>
  <r>
    <s v="Хартнелл Рэй"/>
    <s v="В"/>
    <s v="В"/>
    <m/>
    <m/>
    <m/>
    <s v="Бел"/>
    <s v="Бел"/>
    <x v="90"/>
    <x v="0"/>
    <m/>
    <n v="63"/>
    <n v="14"/>
    <n v="80"/>
    <n v="74"/>
    <n v="78"/>
    <n v="80"/>
    <n v="82"/>
    <n v="33"/>
    <n v="0"/>
    <n v="984931"/>
    <n v="82077.583333333328"/>
    <n v="0"/>
  </r>
  <r>
    <s v="Блэксмит Люк"/>
    <s v="З"/>
    <s v="ЦЗ"/>
    <s v="ОПЗ"/>
    <m/>
    <m/>
    <s v="Бел"/>
    <s v="Бел"/>
    <x v="90"/>
    <x v="0"/>
    <m/>
    <n v="61.571428571428569"/>
    <n v="14"/>
    <n v="80"/>
    <n v="72"/>
    <n v="76"/>
    <n v="78"/>
    <n v="80"/>
    <n v="31"/>
    <n v="0"/>
    <n v="783056"/>
    <n v="65254.666666666664"/>
    <n v="0"/>
  </r>
  <r>
    <s v="Гольерди Востин"/>
    <s v="З"/>
    <s v="ЦЗ"/>
    <s v="ЛЗ"/>
    <m/>
    <m/>
    <s v="Бел"/>
    <s v="Бел"/>
    <x v="90"/>
    <x v="0"/>
    <m/>
    <n v="69.285714285714292"/>
    <n v="19"/>
    <n v="88"/>
    <n v="80"/>
    <n v="84"/>
    <n v="86"/>
    <n v="88"/>
    <n v="40"/>
    <n v="0"/>
    <n v="2549395"/>
    <n v="212449.58333333334"/>
    <n v="0"/>
  </r>
  <r>
    <s v="Стокман Кир"/>
    <s v="З"/>
    <s v="ЛЗ"/>
    <s v="ЦЗ"/>
    <m/>
    <m/>
    <s v="Бел"/>
    <s v="Бел"/>
    <x v="90"/>
    <x v="0"/>
    <m/>
    <n v="67.714285714285708"/>
    <n v="18"/>
    <n v="86"/>
    <n v="80"/>
    <n v="82"/>
    <n v="84"/>
    <n v="86"/>
    <n v="38"/>
    <n v="0"/>
    <n v="2026764"/>
    <n v="168897"/>
    <n v="0"/>
  </r>
  <r>
    <s v="Уэстли Ян"/>
    <s v="З"/>
    <s v="ПЗ"/>
    <s v="ЛЗ"/>
    <m/>
    <m/>
    <s v="Бел"/>
    <s v="Бел"/>
    <x v="90"/>
    <x v="0"/>
    <m/>
    <n v="61.428571428571431"/>
    <n v="14"/>
    <n v="80"/>
    <n v="72"/>
    <n v="76"/>
    <n v="78"/>
    <n v="80"/>
    <n v="30"/>
    <n v="0"/>
    <n v="765076"/>
    <n v="63756.333333333336"/>
    <n v="0"/>
  </r>
  <r>
    <s v="Эшдаун Тим"/>
    <s v="З"/>
    <s v="ПЗ"/>
    <s v="ЦЗ"/>
    <m/>
    <m/>
    <s v="Бел"/>
    <s v="Бел"/>
    <x v="90"/>
    <x v="0"/>
    <m/>
    <n v="66.714285714285708"/>
    <n v="17"/>
    <n v="84"/>
    <n v="78"/>
    <n v="82"/>
    <n v="84"/>
    <n v="86"/>
    <n v="36"/>
    <n v="0"/>
    <n v="1746580"/>
    <n v="145548.33333333334"/>
    <n v="0"/>
  </r>
  <r>
    <s v="Брэдсток Эрл"/>
    <s v="Н"/>
    <s v="ОФ"/>
    <s v="ЦН"/>
    <m/>
    <m/>
    <s v="Бел"/>
    <s v="Бел"/>
    <x v="90"/>
    <x v="0"/>
    <m/>
    <n v="63.857142857142854"/>
    <n v="15"/>
    <n v="81"/>
    <n v="75"/>
    <n v="79"/>
    <n v="81"/>
    <n v="83"/>
    <n v="33"/>
    <n v="0"/>
    <n v="1127444"/>
    <n v="93953.666666666672"/>
    <n v="0"/>
  </r>
  <r>
    <s v="Годленд Торвальд"/>
    <s v="Н"/>
    <s v="ЦН"/>
    <s v="ОФ"/>
    <m/>
    <m/>
    <s v="Бел"/>
    <s v="Бел"/>
    <x v="90"/>
    <x v="0"/>
    <m/>
    <n v="75.428571428571431"/>
    <n v="24"/>
    <n v="90"/>
    <n v="88"/>
    <n v="90"/>
    <n v="92"/>
    <n v="94"/>
    <n v="50"/>
    <n v="0"/>
    <n v="5961545"/>
    <n v="496795.41666666669"/>
    <n v="0"/>
  </r>
  <r>
    <s v="Пэнли Дан"/>
    <s v="Н"/>
    <s v="ОФ"/>
    <s v="ЦН"/>
    <m/>
    <m/>
    <s v="Бел"/>
    <s v="Бел"/>
    <x v="90"/>
    <x v="0"/>
    <m/>
    <n v="66.714285714285708"/>
    <n v="17"/>
    <n v="84"/>
    <n v="78"/>
    <n v="82"/>
    <n v="84"/>
    <n v="86"/>
    <n v="36"/>
    <n v="0"/>
    <n v="1746580"/>
    <n v="145548.33333333334"/>
    <n v="0"/>
  </r>
  <r>
    <s v="Дэшли Кайус"/>
    <s v="П"/>
    <s v="АПЗ"/>
    <s v="ЦПЗ"/>
    <m/>
    <m/>
    <s v="Бел"/>
    <s v="Бел"/>
    <x v="90"/>
    <x v="0"/>
    <m/>
    <n v="62.571428571428569"/>
    <n v="15"/>
    <n v="81"/>
    <n v="73"/>
    <n v="77"/>
    <n v="79"/>
    <n v="81"/>
    <n v="32"/>
    <n v="0"/>
    <n v="919943"/>
    <n v="76661.916666666672"/>
    <n v="0"/>
  </r>
  <r>
    <s v="Дэштон Кс"/>
    <s v="П"/>
    <s v="ППЗ"/>
    <s v="АПЗ"/>
    <m/>
    <m/>
    <s v="Бел"/>
    <s v="Бел"/>
    <x v="90"/>
    <x v="0"/>
    <m/>
    <n v="72.142857142857139"/>
    <n v="23"/>
    <n v="88"/>
    <n v="84"/>
    <n v="86"/>
    <n v="88"/>
    <n v="90"/>
    <n v="46"/>
    <n v="0"/>
    <n v="3818857"/>
    <n v="318238.08333333331"/>
    <n v="0"/>
  </r>
  <r>
    <s v="Кросспорт Дар"/>
    <s v="П"/>
    <s v="ОПЗ"/>
    <s v="ЦПЗ"/>
    <m/>
    <m/>
    <s v="Бел"/>
    <s v="Бел"/>
    <x v="90"/>
    <x v="0"/>
    <m/>
    <n v="64.857142857142861"/>
    <n v="16"/>
    <n v="82"/>
    <n v="76"/>
    <n v="80"/>
    <n v="82"/>
    <n v="84"/>
    <n v="34"/>
    <n v="0"/>
    <n v="1316977"/>
    <n v="109748.08333333333"/>
    <n v="0"/>
  </r>
  <r>
    <s v="Мэйбери Мэйс"/>
    <s v="П"/>
    <s v="ЦПЗ"/>
    <s v="ОПЗ"/>
    <m/>
    <m/>
    <s v="Бел"/>
    <s v="Бел"/>
    <x v="90"/>
    <x v="0"/>
    <m/>
    <n v="73.285714285714292"/>
    <n v="21"/>
    <n v="92"/>
    <n v="86"/>
    <n v="88"/>
    <n v="90"/>
    <n v="92"/>
    <n v="44"/>
    <n v="0"/>
    <n v="4468825"/>
    <n v="372402.08333333331"/>
    <n v="0"/>
  </r>
  <r>
    <s v="Рэдвуд Кэс"/>
    <s v="П"/>
    <s v="ЛПЗ"/>
    <s v="ОПЗ"/>
    <m/>
    <m/>
    <s v="Бел"/>
    <s v="Бел"/>
    <x v="90"/>
    <x v="0"/>
    <m/>
    <n v="59.714285714285715"/>
    <n v="13"/>
    <n v="79"/>
    <n v="70"/>
    <n v="74"/>
    <n v="76"/>
    <n v="78"/>
    <n v="28"/>
    <n v="0"/>
    <n v="576478"/>
    <n v="48039.833333333336"/>
    <n v="0"/>
  </r>
  <r>
    <s v="Сальвич (П)"/>
    <s v="П"/>
    <s v="ОПЗ"/>
    <s v="ЦПЗ"/>
    <s v="ЦЗ"/>
    <s v="Вар"/>
    <s v="Вар"/>
    <s v="Вар"/>
    <x v="90"/>
    <x v="0"/>
    <m/>
    <n v="82.142857142857139"/>
    <n v="75"/>
    <n v="80"/>
    <n v="83"/>
    <n v="83"/>
    <n v="89"/>
    <n v="89"/>
    <n v="76"/>
    <n v="18"/>
    <n v="20979219"/>
    <n v="1748268.25"/>
    <n v="0"/>
  </r>
  <r>
    <s v="Уинтерсол Ирж"/>
    <s v="П"/>
    <s v="ППЗ"/>
    <s v="АПЗ"/>
    <m/>
    <m/>
    <s v="Бел"/>
    <s v="Бел"/>
    <x v="90"/>
    <x v="0"/>
    <m/>
    <n v="65.857142857142861"/>
    <n v="17"/>
    <n v="83"/>
    <n v="77"/>
    <n v="81"/>
    <n v="83"/>
    <n v="85"/>
    <n v="35"/>
    <n v="0"/>
    <n v="1534719"/>
    <n v="127893.25"/>
    <n v="0"/>
  </r>
  <r>
    <s v="Холтгейт Пол"/>
    <s v="П"/>
    <s v="АПЗ"/>
    <s v="ППЗ"/>
    <m/>
    <m/>
    <s v="Бел"/>
    <s v="Бел"/>
    <x v="90"/>
    <x v="0"/>
    <m/>
    <n v="69.142857142857139"/>
    <n v="18"/>
    <n v="87"/>
    <n v="82"/>
    <n v="84"/>
    <n v="86"/>
    <n v="88"/>
    <n v="39"/>
    <n v="0"/>
    <n v="2497315"/>
    <n v="208109.58333333334"/>
    <n v="0"/>
  </r>
  <r>
    <s v="Грейсфорд Элд"/>
    <s v="Т"/>
    <s v="Т"/>
    <m/>
    <m/>
    <m/>
    <s v="Бел"/>
    <s v="Бел"/>
    <x v="90"/>
    <x v="0"/>
    <m/>
    <n v="64"/>
    <n v="15"/>
    <n v="81"/>
    <n v="75"/>
    <n v="79"/>
    <n v="81"/>
    <n v="83"/>
    <n v="34"/>
    <n v="0"/>
    <n v="1152922"/>
    <n v="96076.833333333328"/>
    <n v="0"/>
  </r>
  <r>
    <s v="Вокса"/>
    <s v="В"/>
    <s v="В"/>
    <m/>
    <m/>
    <s v="Киш"/>
    <s v="Киш"/>
    <s v="Киш"/>
    <x v="91"/>
    <x v="0"/>
    <m/>
    <n v="69.428571428571431"/>
    <n v="51"/>
    <n v="84"/>
    <n v="64"/>
    <n v="84"/>
    <n v="76"/>
    <n v="77"/>
    <n v="50"/>
    <n v="0"/>
    <n v="2602450"/>
    <n v="216870.83333333334"/>
    <n v="0"/>
  </r>
  <r>
    <s v="Торри"/>
    <s v="В"/>
    <s v="В"/>
    <m/>
    <m/>
    <s v="Киш"/>
    <s v="Киш"/>
    <s v="Киш"/>
    <x v="91"/>
    <x v="0"/>
    <m/>
    <n v="76.857142857142861"/>
    <n v="62"/>
    <n v="95"/>
    <n v="92"/>
    <n v="66"/>
    <n v="88"/>
    <n v="79"/>
    <n v="56"/>
    <n v="29"/>
    <n v="10787819"/>
    <n v="898984.91666666663"/>
    <n v="0"/>
  </r>
  <r>
    <s v="Миколенко (З)"/>
    <s v="З"/>
    <s v="ЦЗ"/>
    <s v="ЛЗ"/>
    <m/>
    <s v="Киш"/>
    <s v="Тевт"/>
    <s v="Тевт"/>
    <x v="91"/>
    <x v="0"/>
    <m/>
    <n v="77.142857142857139"/>
    <n v="70"/>
    <n v="73"/>
    <n v="75"/>
    <n v="80"/>
    <n v="81"/>
    <n v="88"/>
    <n v="73"/>
    <n v="0"/>
    <n v="7463752"/>
    <n v="621979.33333333337"/>
    <n v="0"/>
  </r>
  <r>
    <s v="Париат"/>
    <s v="З"/>
    <s v="ЦЗ"/>
    <m/>
    <m/>
    <s v="Киш"/>
    <s v="Киш"/>
    <s v="Киш"/>
    <x v="91"/>
    <x v="0"/>
    <m/>
    <n v="72.714285714285708"/>
    <n v="41"/>
    <n v="65"/>
    <n v="70"/>
    <n v="85"/>
    <n v="85"/>
    <n v="83"/>
    <n v="80"/>
    <n v="0"/>
    <n v="4132354"/>
    <n v="344362.83333333331"/>
    <n v="0"/>
  </r>
  <r>
    <s v="Тар Карлон"/>
    <s v="З"/>
    <s v="ПЗ"/>
    <s v="ОПЗ"/>
    <m/>
    <s v="Киш"/>
    <s v="Киш"/>
    <s v="Киш"/>
    <x v="91"/>
    <x v="0"/>
    <m/>
    <n v="73"/>
    <n v="51"/>
    <n v="76"/>
    <n v="77"/>
    <n v="83"/>
    <n v="75"/>
    <n v="74"/>
    <n v="75"/>
    <n v="0"/>
    <n v="4297626"/>
    <n v="358135.5"/>
    <n v="0"/>
  </r>
  <r>
    <s v="Тунди"/>
    <s v="З"/>
    <s v="ЦЗ"/>
    <s v="ОПЗ"/>
    <m/>
    <s v="Киш"/>
    <s v="Киш"/>
    <s v="Киш"/>
    <x v="91"/>
    <x v="0"/>
    <m/>
    <n v="68.714285714285708"/>
    <n v="35"/>
    <n v="61"/>
    <n v="72"/>
    <n v="74"/>
    <n v="80"/>
    <n v="86"/>
    <n v="73"/>
    <n v="0"/>
    <n v="2346770"/>
    <n v="195564.16666666666"/>
    <n v="0"/>
  </r>
  <r>
    <s v="Хэжей"/>
    <s v="З"/>
    <s v="ЦЗ"/>
    <s v="ПЗ"/>
    <m/>
    <s v="Кедр"/>
    <s v="Кедр"/>
    <s v="Кедр"/>
    <x v="91"/>
    <x v="0"/>
    <m/>
    <n v="52.285714285714285"/>
    <n v="33"/>
    <n v="51"/>
    <n v="60"/>
    <n v="55"/>
    <n v="61"/>
    <n v="65"/>
    <n v="41"/>
    <n v="0"/>
    <n v="152697"/>
    <n v="12724.75"/>
    <n v="0"/>
  </r>
  <r>
    <s v="Джази (Н)"/>
    <s v="Н"/>
    <s v="ЦН"/>
    <m/>
    <m/>
    <s v="Киш"/>
    <s v="Киш"/>
    <s v="Киш"/>
    <x v="91"/>
    <x v="0"/>
    <m/>
    <n v="71"/>
    <n v="45"/>
    <n v="85"/>
    <n v="79"/>
    <n v="77"/>
    <n v="73"/>
    <n v="76"/>
    <n v="62"/>
    <n v="3"/>
    <n v="4882866"/>
    <n v="406905.5"/>
    <n v="0"/>
  </r>
  <r>
    <s v="Триад (Н)"/>
    <s v="Н"/>
    <s v="ЦН"/>
    <m/>
    <m/>
    <s v="Киш"/>
    <s v="Дант"/>
    <s v="Дант"/>
    <x v="91"/>
    <x v="0"/>
    <m/>
    <n v="67.571428571428569"/>
    <n v="40"/>
    <n v="73"/>
    <n v="78"/>
    <n v="72"/>
    <n v="78"/>
    <n v="81"/>
    <n v="51"/>
    <n v="6"/>
    <n v="2976613"/>
    <n v="248051.08333333334"/>
    <n v="0"/>
  </r>
  <r>
    <s v="Хаеминг"/>
    <s v="Н"/>
    <s v="ЦН"/>
    <s v="АПЗ"/>
    <m/>
    <s v="Киш"/>
    <s v="Киш"/>
    <s v="Киш"/>
    <x v="91"/>
    <x v="0"/>
    <m/>
    <n v="62.285714285714285"/>
    <n v="30"/>
    <n v="70"/>
    <n v="73"/>
    <n v="70"/>
    <n v="74"/>
    <n v="79"/>
    <n v="40"/>
    <n v="0"/>
    <n v="878789"/>
    <n v="73232.416666666672"/>
    <n v="0"/>
  </r>
  <r>
    <s v="Кикорико (П)"/>
    <s v="П"/>
    <s v="АПЗ"/>
    <s v="ЛПЗ"/>
    <m/>
    <s v="Киш"/>
    <s v="Киш"/>
    <s v="Киш"/>
    <x v="91"/>
    <x v="0"/>
    <m/>
    <n v="79.571428571428569"/>
    <n v="75"/>
    <n v="85"/>
    <n v="87"/>
    <n v="81"/>
    <n v="78"/>
    <n v="81"/>
    <n v="70"/>
    <n v="12"/>
    <n v="15263806"/>
    <n v="1271983.8333333333"/>
    <n v="0"/>
  </r>
  <r>
    <s v="Клайстер"/>
    <s v="П"/>
    <s v="ЦПЗ"/>
    <m/>
    <m/>
    <s v="Крыж"/>
    <s v="Крыж"/>
    <s v="Крыж"/>
    <x v="91"/>
    <x v="0"/>
    <m/>
    <n v="57.857142857142854"/>
    <n v="21"/>
    <n v="69"/>
    <n v="72"/>
    <n v="63"/>
    <n v="63"/>
    <n v="74"/>
    <n v="43"/>
    <n v="0"/>
    <n v="420311"/>
    <n v="35025.916666666664"/>
    <n v="0"/>
  </r>
  <r>
    <s v="Лорсент"/>
    <s v="П"/>
    <s v="ППЗ"/>
    <s v="АПЗ"/>
    <m/>
    <s v="Киш"/>
    <s v="Киш"/>
    <s v="Киш"/>
    <x v="91"/>
    <x v="0"/>
    <m/>
    <n v="71.285714285714292"/>
    <n v="61"/>
    <n v="88"/>
    <n v="75"/>
    <n v="73"/>
    <n v="70"/>
    <n v="77"/>
    <n v="55"/>
    <n v="23"/>
    <n v="5082956"/>
    <n v="423579.66666666669"/>
    <n v="0"/>
  </r>
  <r>
    <s v="Мохкилек (П)"/>
    <s v="П"/>
    <s v="ЦПЗ"/>
    <s v="ОПЗ"/>
    <m/>
    <s v="Тел"/>
    <s v="Тел"/>
    <s v="Тел"/>
    <x v="91"/>
    <x v="0"/>
    <m/>
    <n v="52.571428571428569"/>
    <n v="47"/>
    <n v="56"/>
    <n v="57"/>
    <n v="54"/>
    <n v="58"/>
    <n v="70"/>
    <n v="26"/>
    <n v="0"/>
    <n v="161250"/>
    <n v="13437.5"/>
    <n v="0"/>
  </r>
  <r>
    <s v="Моших (П)"/>
    <s v="П"/>
    <s v="ЦПЗ"/>
    <m/>
    <m/>
    <s v="Киш"/>
    <s v="Киш"/>
    <s v="Киш"/>
    <x v="91"/>
    <x v="0"/>
    <m/>
    <n v="79.285714285714292"/>
    <n v="72"/>
    <n v="80"/>
    <n v="89"/>
    <n v="83"/>
    <n v="80"/>
    <n v="83"/>
    <n v="68"/>
    <n v="21"/>
    <n v="14724505"/>
    <n v="1227042.0833333333"/>
    <n v="0"/>
  </r>
  <r>
    <s v="Остапин (П)"/>
    <s v="П"/>
    <s v="ЦПЗ"/>
    <s v="ЛПЗ"/>
    <m/>
    <s v="Киш"/>
    <s v="Киш"/>
    <s v="Киш"/>
    <x v="91"/>
    <x v="0"/>
    <m/>
    <n v="74.857142857142861"/>
    <n v="65"/>
    <n v="78"/>
    <n v="85"/>
    <n v="78"/>
    <n v="83"/>
    <n v="85"/>
    <n v="50"/>
    <n v="18"/>
    <n v="8287504"/>
    <n v="690625.33333333337"/>
    <n v="0"/>
  </r>
  <r>
    <s v="Феалка"/>
    <s v="П"/>
    <s v="ОПЗ"/>
    <s v="ЦЗ"/>
    <m/>
    <s v="Кедр"/>
    <s v="Кедр"/>
    <s v="Кедр"/>
    <x v="91"/>
    <x v="0"/>
    <m/>
    <n v="64.857142857142861"/>
    <n v="45"/>
    <n v="70"/>
    <n v="71"/>
    <n v="72"/>
    <n v="70"/>
    <n v="75"/>
    <n v="51"/>
    <n v="0"/>
    <n v="1316977"/>
    <n v="109748.08333333333"/>
    <n v="0"/>
  </r>
  <r>
    <s v="Фунгент"/>
    <s v="П"/>
    <s v="ЦПЗ"/>
    <m/>
    <m/>
    <s v="Переп"/>
    <s v="Переп"/>
    <s v="Переп"/>
    <x v="91"/>
    <x v="0"/>
    <m/>
    <n v="45.428571428571431"/>
    <n v="49"/>
    <n v="42"/>
    <n v="50"/>
    <n v="67"/>
    <n v="41"/>
    <n v="55"/>
    <n v="14"/>
    <n v="0"/>
    <n v="37437"/>
    <n v="3119.75"/>
    <n v="0"/>
  </r>
  <r>
    <s v="Эзель"/>
    <s v="П"/>
    <s v="ЛПЗ"/>
    <m/>
    <m/>
    <s v="Киш"/>
    <s v="Киш"/>
    <s v="Киш"/>
    <x v="91"/>
    <x v="0"/>
    <m/>
    <n v="70.142857142857139"/>
    <n v="60"/>
    <n v="90"/>
    <n v="72"/>
    <n v="72"/>
    <n v="71"/>
    <n v="73"/>
    <n v="53"/>
    <n v="3"/>
    <n v="4324400"/>
    <n v="360366.66666666669"/>
    <n v="0"/>
  </r>
  <r>
    <s v="Стейт Расс"/>
    <s v="В"/>
    <s v="В"/>
    <m/>
    <m/>
    <s v="Рекс"/>
    <s v="Рекс"/>
    <s v="Рекс"/>
    <x v="92"/>
    <x v="0"/>
    <m/>
    <n v="82.857142857142861"/>
    <n v="60"/>
    <n v="90"/>
    <n v="97"/>
    <n v="80"/>
    <n v="82"/>
    <n v="91"/>
    <n v="80"/>
    <n v="31"/>
    <n v="22876564"/>
    <n v="1906380.3333333333"/>
    <n v="0"/>
  </r>
  <r>
    <s v="Утрерх Вай"/>
    <s v="В"/>
    <s v="В"/>
    <m/>
    <m/>
    <m/>
    <s v="Рекс"/>
    <s v="Рекс"/>
    <x v="92"/>
    <x v="0"/>
    <m/>
    <n v="78.714285714285708"/>
    <n v="45"/>
    <n v="80"/>
    <n v="88"/>
    <n v="84"/>
    <n v="90"/>
    <n v="94"/>
    <n v="70"/>
    <n v="29"/>
    <n v="13697044"/>
    <n v="1141420.3333333333"/>
    <n v="0"/>
  </r>
  <r>
    <s v="Волкхейм Тор"/>
    <s v="З"/>
    <s v="ПЗ"/>
    <s v="ЦЗ"/>
    <m/>
    <m/>
    <s v="Рекс"/>
    <s v="Рекс"/>
    <x v="92"/>
    <x v="0"/>
    <m/>
    <n v="62"/>
    <n v="18"/>
    <n v="78"/>
    <n v="71"/>
    <n v="75"/>
    <n v="77"/>
    <n v="80"/>
    <n v="35"/>
    <n v="0"/>
    <n v="839300"/>
    <n v="69941.666666666672"/>
    <n v="0"/>
  </r>
  <r>
    <s v="Дубхальд Гунн"/>
    <s v="З"/>
    <s v="ЛЗ"/>
    <s v="ЦЗ"/>
    <m/>
    <m/>
    <s v="Рекс"/>
    <s v="Рекс"/>
    <x v="92"/>
    <x v="0"/>
    <m/>
    <n v="60.714285714285715"/>
    <n v="22"/>
    <n v="73"/>
    <n v="69"/>
    <n v="73"/>
    <n v="75"/>
    <n v="77"/>
    <n v="36"/>
    <n v="0"/>
    <n v="680627"/>
    <n v="56718.916666666664"/>
    <n v="0"/>
  </r>
  <r>
    <s v="Снегфьелл Кнут"/>
    <s v="З"/>
    <s v="ПЗ"/>
    <s v="ЦЗ"/>
    <m/>
    <m/>
    <s v="Рекс"/>
    <s v="Рекс"/>
    <x v="92"/>
    <x v="0"/>
    <m/>
    <n v="62.714285714285715"/>
    <n v="24"/>
    <n v="75"/>
    <n v="71"/>
    <n v="75"/>
    <n v="77"/>
    <n v="79"/>
    <n v="38"/>
    <n v="0"/>
    <n v="941163"/>
    <n v="78430.25"/>
    <n v="0"/>
  </r>
  <r>
    <s v="Хекси"/>
    <s v="З"/>
    <s v="ЦЗ"/>
    <s v="ЛЗ"/>
    <m/>
    <s v="Рекс"/>
    <s v="Рекс"/>
    <s v="Рекс"/>
    <x v="92"/>
    <x v="0"/>
    <m/>
    <n v="85.142857142857139"/>
    <n v="80"/>
    <n v="85"/>
    <n v="85"/>
    <n v="87"/>
    <n v="89"/>
    <n v="87"/>
    <n v="83"/>
    <n v="26"/>
    <n v="30031254"/>
    <n v="2502604.5"/>
    <n v="0"/>
  </r>
  <r>
    <s v="Хемдель"/>
    <s v="З"/>
    <s v="ЦЗ"/>
    <s v="ОПЗ"/>
    <m/>
    <s v="Рекс"/>
    <s v="Рекс"/>
    <s v="Рекс"/>
    <x v="92"/>
    <x v="0"/>
    <m/>
    <n v="89.714285714285708"/>
    <n v="84"/>
    <n v="82"/>
    <n v="90"/>
    <n v="91"/>
    <n v="93"/>
    <n v="98"/>
    <n v="90"/>
    <n v="26"/>
    <n v="50664913"/>
    <n v="4222076.083333333"/>
    <n v="0"/>
  </r>
  <r>
    <s v="Уткфьелл Бьор"/>
    <s v="Н"/>
    <s v="ЦН"/>
    <s v="ОФ"/>
    <m/>
    <m/>
    <s v="Рекс"/>
    <s v="Рекс"/>
    <x v="92"/>
    <x v="0"/>
    <m/>
    <n v="63.571428571428569"/>
    <n v="13"/>
    <n v="87"/>
    <n v="71"/>
    <n v="79"/>
    <n v="81"/>
    <n v="83"/>
    <n v="31"/>
    <n v="0"/>
    <n v="1078003"/>
    <n v="89833.583333333328"/>
    <n v="0"/>
  </r>
  <r>
    <s v="Элвенстад Ян"/>
    <s v="Н"/>
    <s v="ОФ"/>
    <s v="ЦН"/>
    <m/>
    <m/>
    <s v="Рекс"/>
    <s v="Рекс"/>
    <x v="92"/>
    <x v="0"/>
    <m/>
    <n v="64.714285714285708"/>
    <n v="20"/>
    <n v="76"/>
    <n v="73"/>
    <n v="81"/>
    <n v="83"/>
    <n v="85"/>
    <n v="35"/>
    <n v="0"/>
    <n v="1288255"/>
    <n v="107354.58333333333"/>
    <n v="0"/>
  </r>
  <r>
    <s v="Гаханхальд Торсен"/>
    <s v="П"/>
    <s v="ЛПЗ"/>
    <s v="ОПЗ"/>
    <m/>
    <m/>
    <s v="Рекс"/>
    <s v="Рекс"/>
    <x v="92"/>
    <x v="0"/>
    <m/>
    <n v="70.714285714285708"/>
    <n v="23"/>
    <n v="82"/>
    <n v="81"/>
    <n v="87"/>
    <n v="89"/>
    <n v="91"/>
    <n v="42"/>
    <n v="0"/>
    <n v="3126595"/>
    <n v="260549.58333333334"/>
    <n v="0"/>
  </r>
  <r>
    <s v="Вертельм Кай"/>
    <s v="П"/>
    <s v="АПЗ"/>
    <s v="ППЗ"/>
    <m/>
    <m/>
    <s v="Рекс"/>
    <s v="Рекс"/>
    <x v="92"/>
    <x v="0"/>
    <m/>
    <n v="65.857142857142861"/>
    <n v="19"/>
    <n v="76"/>
    <n v="75"/>
    <n v="83"/>
    <n v="85"/>
    <n v="87"/>
    <n v="36"/>
    <n v="0"/>
    <n v="1534719"/>
    <n v="127893.25"/>
    <n v="0"/>
  </r>
  <r>
    <s v="Вуатсон"/>
    <s v="П"/>
    <s v="ОПЗ"/>
    <s v="ЦЗ"/>
    <m/>
    <s v="Рекс"/>
    <s v="Рекс"/>
    <s v="Рекс"/>
    <x v="92"/>
    <x v="0"/>
    <m/>
    <n v="83.142857142857139"/>
    <n v="75"/>
    <n v="84"/>
    <n v="84"/>
    <n v="83"/>
    <n v="86"/>
    <n v="90"/>
    <n v="80"/>
    <n v="0"/>
    <n v="15785177"/>
    <n v="1315431.4166666667"/>
    <n v="0"/>
  </r>
  <r>
    <s v="Кальдм Халв"/>
    <s v="П"/>
    <s v="ППЗ"/>
    <s v="АПЗ"/>
    <m/>
    <m/>
    <s v="Рекс"/>
    <s v="Рекс"/>
    <x v="92"/>
    <x v="0"/>
    <m/>
    <n v="64.571428571428569"/>
    <n v="21"/>
    <n v="73"/>
    <n v="74"/>
    <n v="80"/>
    <n v="82"/>
    <n v="84"/>
    <n v="38"/>
    <n v="0"/>
    <n v="1260097"/>
    <n v="105008.08333333333"/>
    <n v="0"/>
  </r>
  <r>
    <s v="Моргрим Халв"/>
    <s v="П"/>
    <s v="ОПЗ"/>
    <s v="ЦПЗ"/>
    <m/>
    <m/>
    <s v="Рекс"/>
    <s v="Рекс"/>
    <x v="92"/>
    <x v="0"/>
    <m/>
    <n v="61"/>
    <n v="19"/>
    <n v="70"/>
    <n v="67"/>
    <n v="77"/>
    <n v="79"/>
    <n v="81"/>
    <n v="34"/>
    <n v="0"/>
    <n v="713343"/>
    <n v="59445.25"/>
    <n v="0"/>
  </r>
  <r>
    <s v="Стурлуг Кнут"/>
    <s v="П"/>
    <s v="ЛПЗ"/>
    <s v="ЦПЗ"/>
    <m/>
    <m/>
    <s v="Рекс"/>
    <s v="Рекс"/>
    <x v="92"/>
    <x v="0"/>
    <m/>
    <n v="62.285714285714285"/>
    <n v="18"/>
    <n v="72"/>
    <n v="71"/>
    <n v="79"/>
    <n v="81"/>
    <n v="83"/>
    <n v="32"/>
    <n v="0"/>
    <n v="878789"/>
    <n v="73232.416666666672"/>
    <n v="0"/>
  </r>
  <r>
    <s v="Тролльбак Снор"/>
    <s v="П"/>
    <s v="ЦПЗ"/>
    <s v="ОПЗ"/>
    <m/>
    <m/>
    <s v="Рекс"/>
    <s v="Рекс"/>
    <x v="92"/>
    <x v="0"/>
    <m/>
    <n v="63.428571428571431"/>
    <n v="18"/>
    <n v="73"/>
    <n v="71"/>
    <n v="81"/>
    <n v="83"/>
    <n v="85"/>
    <n v="33"/>
    <n v="0"/>
    <n v="1054022"/>
    <n v="87835.166666666672"/>
    <n v="0"/>
  </r>
  <r>
    <s v="Утквельд Бран"/>
    <s v="П"/>
    <s v="ЦПЗ"/>
    <s v="ОПЗ"/>
    <m/>
    <m/>
    <s v="Рекс"/>
    <s v="Рекс"/>
    <x v="92"/>
    <x v="0"/>
    <m/>
    <n v="72.714285714285708"/>
    <n v="26"/>
    <n v="84"/>
    <n v="84"/>
    <n v="88"/>
    <n v="90"/>
    <n v="92"/>
    <n v="45"/>
    <n v="0"/>
    <n v="4132354"/>
    <n v="344362.83333333331"/>
    <n v="0"/>
  </r>
  <r>
    <s v="Фьялл Бьерн"/>
    <s v="П"/>
    <s v="АПЗ"/>
    <s v="ЦПЗ"/>
    <m/>
    <m/>
    <s v="Рекс"/>
    <s v="Рекс"/>
    <x v="92"/>
    <x v="0"/>
    <m/>
    <n v="68.428571428571431"/>
    <n v="22"/>
    <n v="80"/>
    <n v="79"/>
    <n v="87"/>
    <n v="85"/>
    <n v="87"/>
    <n v="39"/>
    <n v="0"/>
    <n v="2250997"/>
    <n v="187583.08333333334"/>
    <n v="0"/>
  </r>
  <r>
    <s v="Хавнбак Пол"/>
    <s v="П"/>
    <s v="ППЗ"/>
    <s v="ЛПЗ"/>
    <m/>
    <m/>
    <s v="Рекс"/>
    <s v="Рекс"/>
    <x v="92"/>
    <x v="0"/>
    <m/>
    <n v="77.571428571428569"/>
    <n v="29"/>
    <n v="88"/>
    <n v="92"/>
    <n v="92"/>
    <n v="94"/>
    <n v="96"/>
    <n v="52"/>
    <n v="0"/>
    <n v="7888927"/>
    <n v="657410.58333333337"/>
    <n v="0"/>
  </r>
  <r>
    <s v="Камнельд Бьор"/>
    <s v="Т"/>
    <s v="Т"/>
    <m/>
    <m/>
    <m/>
    <s v="Рекс"/>
    <s v="Рекс"/>
    <x v="92"/>
    <x v="0"/>
    <m/>
    <n v="61.285714285714285"/>
    <n v="20"/>
    <n v="69"/>
    <n v="66"/>
    <n v="76"/>
    <n v="78"/>
    <n v="80"/>
    <n v="40"/>
    <n v="0"/>
    <n v="747468"/>
    <n v="62289"/>
    <n v="0"/>
  </r>
  <r>
    <s v="Ментер"/>
    <s v="В"/>
    <s v="В"/>
    <m/>
    <m/>
    <s v="Крыж"/>
    <s v="Крыж"/>
    <s v="Крыж"/>
    <x v="93"/>
    <x v="0"/>
    <m/>
    <n v="55.571428571428569"/>
    <n v="33"/>
    <n v="55"/>
    <n v="64"/>
    <n v="56"/>
    <n v="59"/>
    <n v="62"/>
    <n v="60"/>
    <n v="0"/>
    <n v="280877"/>
    <n v="3535.0833333333335"/>
    <n v="0"/>
  </r>
  <r>
    <s v="Атерта"/>
    <s v="З"/>
    <s v="ЦЗ"/>
    <s v="ПЗ"/>
    <m/>
    <s v="Крыж"/>
    <s v="Крыж"/>
    <s v="Крыж"/>
    <x v="93"/>
    <x v="0"/>
    <m/>
    <n v="59.285714285714285"/>
    <n v="41"/>
    <n v="51"/>
    <n v="60"/>
    <n v="65"/>
    <n v="75"/>
    <n v="78"/>
    <n v="45"/>
    <n v="0"/>
    <n v="536415"/>
    <n v="4383.333333333333"/>
    <n v="0"/>
  </r>
  <r>
    <s v="Горси"/>
    <s v="З"/>
    <s v="ЦЗ"/>
    <s v="ОПЗ"/>
    <m/>
    <s v="Крыж"/>
    <s v="Крыж"/>
    <s v="Крыж"/>
    <x v="93"/>
    <x v="0"/>
    <m/>
    <n v="47.571428571428569"/>
    <n v="14"/>
    <n v="33"/>
    <n v="58"/>
    <n v="51"/>
    <n v="63"/>
    <n v="80"/>
    <n v="34"/>
    <n v="0"/>
    <n v="59356"/>
    <n v="4946.333333333333"/>
    <n v="0"/>
  </r>
  <r>
    <s v="Гуншент"/>
    <s v="З"/>
    <s v="ЦЗ"/>
    <m/>
    <m/>
    <s v="Крыж"/>
    <s v="Крыж"/>
    <s v="Крыж"/>
    <x v="93"/>
    <x v="0"/>
    <m/>
    <n v="57.285714285714285"/>
    <n v="19"/>
    <n v="51"/>
    <n v="66"/>
    <n v="56"/>
    <n v="69"/>
    <n v="78"/>
    <n v="62"/>
    <n v="0"/>
    <n v="380596"/>
    <n v="31716.333333333332"/>
    <n v="0"/>
  </r>
  <r>
    <s v="Димитриу Костас"/>
    <s v="З"/>
    <s v="ПЗ"/>
    <s v="ЦЗ"/>
    <m/>
    <m/>
    <s v="Крыж"/>
    <s v="Крыж"/>
    <x v="93"/>
    <x v="0"/>
    <m/>
    <n v="39"/>
    <n v="10"/>
    <n v="42"/>
    <n v="42"/>
    <n v="50"/>
    <n v="54"/>
    <n v="57"/>
    <n v="18"/>
    <n v="0"/>
    <n v="8141"/>
    <n v="678.41666666666663"/>
    <n v="0"/>
  </r>
  <r>
    <s v="Монси"/>
    <s v="З"/>
    <s v="ЦЗ"/>
    <m/>
    <m/>
    <s v="Крыж"/>
    <s v="Крыж"/>
    <s v="Крыж"/>
    <x v="93"/>
    <x v="0"/>
    <m/>
    <n v="58"/>
    <n v="35"/>
    <n v="61"/>
    <n v="67"/>
    <n v="63"/>
    <n v="66"/>
    <n v="74"/>
    <n v="40"/>
    <n v="0"/>
    <n v="430805"/>
    <n v="27976.333333333332"/>
    <n v="0"/>
  </r>
  <r>
    <s v="Петерсон Шарс"/>
    <s v="З"/>
    <s v="ЦЗ"/>
    <s v="ОПЗ"/>
    <m/>
    <m/>
    <s v="Крыж"/>
    <s v="Крыж"/>
    <x v="93"/>
    <x v="0"/>
    <m/>
    <n v="48.285714285714285"/>
    <n v="12"/>
    <n v="56"/>
    <n v="50"/>
    <n v="62"/>
    <n v="64"/>
    <n v="66"/>
    <n v="28"/>
    <n v="0"/>
    <n v="68895"/>
    <n v="5741.25"/>
    <n v="0"/>
  </r>
  <r>
    <s v="Фернандес Пабло"/>
    <s v="З"/>
    <s v="ЛЗ"/>
    <s v="ЦЗ"/>
    <m/>
    <m/>
    <s v="Крыж"/>
    <s v="Крыж"/>
    <x v="93"/>
    <x v="0"/>
    <m/>
    <n v="39.714285714285715"/>
    <n v="10"/>
    <n v="43"/>
    <n v="42"/>
    <n v="50"/>
    <n v="54"/>
    <n v="57"/>
    <n v="22"/>
    <n v="0"/>
    <n v="9761"/>
    <n v="813.41666666666663"/>
    <n v="0"/>
  </r>
  <r>
    <s v="Дашид Галид"/>
    <s v="Н"/>
    <s v="ЦН"/>
    <s v="ОФ"/>
    <m/>
    <m/>
    <s v="Ард"/>
    <s v="Ард"/>
    <x v="93"/>
    <x v="0"/>
    <m/>
    <n v="47.285714285714285"/>
    <n v="14"/>
    <n v="60"/>
    <n v="54"/>
    <n v="58"/>
    <n v="60"/>
    <n v="62"/>
    <n v="23"/>
    <n v="0"/>
    <n v="55886"/>
    <n v="4657.166666666667"/>
    <n v="0"/>
  </r>
  <r>
    <s v="Палчинский"/>
    <s v="Н"/>
    <s v="ОФ"/>
    <m/>
    <m/>
    <s v="Крыж"/>
    <s v="Крыж"/>
    <s v="Крыж"/>
    <x v="93"/>
    <x v="0"/>
    <m/>
    <n v="52.142857142857146"/>
    <n v="22"/>
    <n v="57"/>
    <n v="59"/>
    <n v="60"/>
    <n v="59"/>
    <n v="67"/>
    <n v="41"/>
    <n v="0"/>
    <n v="148576"/>
    <n v="12381.333333333334"/>
    <n v="0"/>
  </r>
  <r>
    <s v="Фикт"/>
    <s v="Н"/>
    <s v="ОФ"/>
    <m/>
    <m/>
    <s v="Крыж"/>
    <s v="Крыж"/>
    <s v="Крыж"/>
    <x v="93"/>
    <x v="0"/>
    <m/>
    <n v="57.857142857142854"/>
    <n v="40"/>
    <n v="60"/>
    <n v="60"/>
    <n v="65"/>
    <n v="66"/>
    <n v="70"/>
    <n v="44"/>
    <n v="0"/>
    <n v="420311"/>
    <n v="2837.5833333333335"/>
    <n v="0"/>
  </r>
  <r>
    <s v="Вайсберг Отто"/>
    <s v="П"/>
    <s v="ОПЗ"/>
    <s v="ЦПЗ"/>
    <m/>
    <m/>
    <s v="Крыж"/>
    <s v="Крыж"/>
    <x v="93"/>
    <x v="0"/>
    <m/>
    <n v="48.428571428571431"/>
    <n v="13"/>
    <n v="58"/>
    <n v="52"/>
    <n v="62"/>
    <n v="64"/>
    <n v="66"/>
    <n v="24"/>
    <n v="0"/>
    <n v="70961"/>
    <n v="5913.416666666667"/>
    <n v="0"/>
  </r>
  <r>
    <s v="Войски"/>
    <s v="П"/>
    <s v="ОПЗ"/>
    <m/>
    <m/>
    <s v="Крыж"/>
    <s v="Крыж"/>
    <s v="Крыж"/>
    <x v="93"/>
    <x v="0"/>
    <m/>
    <n v="64.857142857142861"/>
    <n v="50"/>
    <n v="70"/>
    <n v="65"/>
    <n v="64"/>
    <n v="62"/>
    <n v="70"/>
    <n v="73"/>
    <n v="0"/>
    <n v="1316977"/>
    <n v="22230.5"/>
    <n v="0"/>
  </r>
  <r>
    <s v="Коралесандрес"/>
    <s v="П"/>
    <s v="АПЗ"/>
    <s v="ЛПЗ"/>
    <m/>
    <s v="Крыж"/>
    <s v="Крыж"/>
    <s v="Крыж"/>
    <x v="93"/>
    <x v="0"/>
    <m/>
    <n v="53.428571428571431"/>
    <n v="36"/>
    <n v="63"/>
    <n v="60"/>
    <n v="50"/>
    <n v="45"/>
    <n v="50"/>
    <n v="70"/>
    <n v="0"/>
    <n v="189556"/>
    <n v="15796.333333333334"/>
    <n v="0"/>
  </r>
  <r>
    <s v="Монтичелли Паоло"/>
    <s v="П"/>
    <s v="ЦПЗ"/>
    <s v="ОПЗ"/>
    <m/>
    <m/>
    <s v="Крыж"/>
    <s v="Крыж"/>
    <x v="93"/>
    <x v="0"/>
    <m/>
    <n v="38.571428571428569"/>
    <n v="10"/>
    <n v="40"/>
    <n v="44"/>
    <n v="52"/>
    <n v="50"/>
    <n v="53"/>
    <n v="21"/>
    <n v="0"/>
    <n v="7289"/>
    <n v="607.41666666666663"/>
    <n v="0"/>
  </r>
  <r>
    <s v="Нгуен Ван"/>
    <s v="П"/>
    <s v="ЛПЗ"/>
    <s v="ОПЗ"/>
    <m/>
    <m/>
    <s v="Крыж"/>
    <s v="Крыж"/>
    <x v="93"/>
    <x v="0"/>
    <m/>
    <n v="40.142857142857146"/>
    <n v="10"/>
    <n v="48"/>
    <n v="46"/>
    <n v="50"/>
    <n v="52"/>
    <n v="55"/>
    <n v="20"/>
    <n v="0"/>
    <n v="10867"/>
    <n v="905.58333333333337"/>
    <n v="0"/>
  </r>
  <r>
    <s v="Полипен"/>
    <s v="П"/>
    <s v="АПЗ"/>
    <s v="ППЗ"/>
    <m/>
    <s v="Крыж"/>
    <s v="Крыж"/>
    <s v="Крыж"/>
    <x v="93"/>
    <x v="0"/>
    <m/>
    <n v="50"/>
    <n v="30"/>
    <n v="58"/>
    <n v="68"/>
    <n v="60"/>
    <n v="50"/>
    <n v="63"/>
    <n v="21"/>
    <n v="0"/>
    <n v="97657"/>
    <n v="8138.083333333333"/>
    <n v="0"/>
  </r>
  <r>
    <s v="Танака Хиро"/>
    <s v="П"/>
    <s v="ППЗ"/>
    <s v="АПЗ"/>
    <m/>
    <m/>
    <s v="Крыж"/>
    <s v="Крыж"/>
    <x v="93"/>
    <x v="0"/>
    <m/>
    <n v="42.142857142857146"/>
    <n v="10"/>
    <n v="56"/>
    <n v="44"/>
    <n v="56"/>
    <n v="54"/>
    <n v="56"/>
    <n v="19"/>
    <n v="0"/>
    <n v="17671"/>
    <n v="1472.5833333333333"/>
    <n v="0"/>
  </r>
  <r>
    <s v="Фошент"/>
    <s v="П"/>
    <s v="ОПЗ"/>
    <m/>
    <m/>
    <s v="Крыж"/>
    <s v="Крыж"/>
    <s v="Крыж"/>
    <x v="93"/>
    <x v="0"/>
    <m/>
    <n v="47.142857142857146"/>
    <n v="27"/>
    <n v="55"/>
    <n v="46"/>
    <n v="55"/>
    <n v="46"/>
    <n v="67"/>
    <n v="34"/>
    <n v="0"/>
    <n v="54220"/>
    <n v="4518.333333333333"/>
    <n v="0"/>
  </r>
  <r>
    <s v="Хаген Фридрих"/>
    <s v="П"/>
    <s v="АПЗ"/>
    <s v="ЦПЗ"/>
    <m/>
    <m/>
    <s v="Крыж"/>
    <s v="Крыж"/>
    <x v="93"/>
    <x v="0"/>
    <m/>
    <n v="43.714285714285715"/>
    <n v="11"/>
    <n v="54"/>
    <n v="48"/>
    <n v="58"/>
    <n v="56"/>
    <n v="58"/>
    <n v="21"/>
    <n v="0"/>
    <n v="25483"/>
    <n v="2123.5833333333335"/>
    <n v="0"/>
  </r>
  <r>
    <s v="Беляев Тарас"/>
    <s v="Т"/>
    <s v="Т"/>
    <m/>
    <m/>
    <m/>
    <s v="Крыж"/>
    <s v="Крыж"/>
    <x v="93"/>
    <x v="0"/>
    <m/>
    <n v="43.857142857142854"/>
    <n v="10"/>
    <n v="52"/>
    <n v="46"/>
    <n v="56"/>
    <n v="58"/>
    <n v="60"/>
    <n v="25"/>
    <n v="0"/>
    <n v="26328"/>
    <n v="2194"/>
    <n v="0"/>
  </r>
  <r>
    <s v="Вукович Зоран"/>
    <s v="В"/>
    <s v="В"/>
    <m/>
    <m/>
    <m/>
    <s v="А.Н."/>
    <s v="А.Н."/>
    <x v="94"/>
    <x v="0"/>
    <m/>
    <n v="64"/>
    <n v="25"/>
    <n v="73"/>
    <n v="69"/>
    <n v="77"/>
    <n v="80"/>
    <n v="81"/>
    <n v="43"/>
    <n v="0"/>
    <n v="1152922"/>
    <n v="96076.833333333328"/>
    <n v="0"/>
  </r>
  <r>
    <s v="Корсалес (В)"/>
    <s v="В"/>
    <s v="В"/>
    <m/>
    <m/>
    <s v="А.Н."/>
    <s v="А.Н."/>
    <s v="А.Н."/>
    <x v="94"/>
    <x v="0"/>
    <m/>
    <n v="72.714285714285708"/>
    <n v="50"/>
    <n v="74"/>
    <n v="70"/>
    <n v="70"/>
    <n v="85"/>
    <n v="90"/>
    <n v="70"/>
    <n v="0"/>
    <n v="4132354"/>
    <n v="344362.83333333331"/>
    <n v="0"/>
  </r>
  <r>
    <s v="Алькаров (З)"/>
    <s v="З"/>
    <s v="ЦЗ"/>
    <s v="ОПЗ"/>
    <m/>
    <s v="А.Н."/>
    <s v="А.Н."/>
    <s v="А.Н."/>
    <x v="94"/>
    <x v="0"/>
    <m/>
    <n v="75.714285714285708"/>
    <n v="48"/>
    <n v="74"/>
    <n v="80"/>
    <n v="91"/>
    <n v="80"/>
    <n v="87"/>
    <n v="70"/>
    <n v="0"/>
    <n v="6191250"/>
    <n v="515937.5"/>
    <n v="0"/>
  </r>
  <r>
    <s v="Блеков (З)"/>
    <s v="З"/>
    <s v="ЦЗ"/>
    <s v="ОПЗ"/>
    <m/>
    <s v="А.Н."/>
    <s v="А.Н."/>
    <s v="А.Н."/>
    <x v="94"/>
    <x v="0"/>
    <m/>
    <n v="74.142857142857139"/>
    <n v="51"/>
    <n v="73"/>
    <n v="75"/>
    <n v="79"/>
    <n v="83"/>
    <n v="88"/>
    <n v="70"/>
    <n v="28"/>
    <n v="7529818"/>
    <n v="627484.83333333337"/>
    <n v="0"/>
  </r>
  <r>
    <s v="Брандт Торинс"/>
    <s v="З"/>
    <s v="ЦЗ"/>
    <m/>
    <m/>
    <m/>
    <s v="А.Н."/>
    <s v="А.Н."/>
    <x v="94"/>
    <x v="0"/>
    <m/>
    <n v="66.714285714285708"/>
    <n v="29"/>
    <n v="76"/>
    <n v="68"/>
    <n v="81"/>
    <n v="83"/>
    <n v="84"/>
    <n v="46"/>
    <n v="0"/>
    <n v="1746580"/>
    <n v="145548.33333333334"/>
    <n v="0"/>
  </r>
  <r>
    <s v="Гуськов"/>
    <s v="З"/>
    <s v="ЛЗ"/>
    <m/>
    <m/>
    <s v="Зем"/>
    <s v="Зем"/>
    <s v="Зем"/>
    <x v="94"/>
    <x v="0"/>
    <m/>
    <n v="76.571428571428569"/>
    <n v="51"/>
    <n v="93"/>
    <n v="93"/>
    <n v="76"/>
    <n v="80"/>
    <n v="82"/>
    <n v="61"/>
    <n v="0"/>
    <n v="6928952"/>
    <n v="577412.66666666663"/>
    <n v="0"/>
  </r>
  <r>
    <s v="Забров Кума"/>
    <s v="З"/>
    <s v="ЦЗ"/>
    <s v="ЛЗ"/>
    <m/>
    <m/>
    <s v="А.Н."/>
    <s v="А.Н."/>
    <x v="94"/>
    <x v="0"/>
    <m/>
    <n v="66.714285714285708"/>
    <n v="29"/>
    <n v="76"/>
    <n v="68"/>
    <n v="81"/>
    <n v="83"/>
    <n v="84"/>
    <n v="46"/>
    <n v="0"/>
    <n v="1746580"/>
    <n v="145548.33333333334"/>
    <n v="0"/>
  </r>
  <r>
    <s v="Гарвенни Мил"/>
    <s v="З"/>
    <s v="ЦЗ"/>
    <s v="ПЗ"/>
    <m/>
    <m/>
    <s v="А.Н."/>
    <s v="А.Н."/>
    <x v="94"/>
    <x v="0"/>
    <m/>
    <n v="62"/>
    <n v="25"/>
    <n v="71"/>
    <n v="63"/>
    <n v="75"/>
    <n v="79"/>
    <n v="82"/>
    <n v="39"/>
    <n v="0"/>
    <n v="839300"/>
    <n v="69941.666666666672"/>
    <n v="0"/>
  </r>
  <r>
    <s v="Убойнов"/>
    <s v="З"/>
    <s v="ЦЗ"/>
    <s v="ОПЗ"/>
    <m/>
    <s v="Крыж"/>
    <s v="Крыж"/>
    <s v="Крыж"/>
    <x v="94"/>
    <x v="0"/>
    <m/>
    <n v="74.571428571428569"/>
    <n v="51"/>
    <n v="70"/>
    <n v="85"/>
    <n v="80"/>
    <n v="80"/>
    <n v="85"/>
    <n v="71"/>
    <n v="0"/>
    <n v="5317710"/>
    <n v="443142.5"/>
    <n v="0"/>
  </r>
  <r>
    <s v="Хлопов"/>
    <s v="З"/>
    <s v="ЦЗ"/>
    <s v="ПЗ"/>
    <m/>
    <s v="Крыж"/>
    <s v="Крыж"/>
    <s v="Крыж"/>
    <x v="94"/>
    <x v="0"/>
    <m/>
    <n v="67.142857142857139"/>
    <n v="44"/>
    <n v="61"/>
    <n v="68"/>
    <n v="73"/>
    <n v="71"/>
    <n v="88"/>
    <n v="65"/>
    <n v="0"/>
    <n v="1862080"/>
    <n v="155173.33333333334"/>
    <n v="0"/>
  </r>
  <r>
    <s v="Шнайдер Курт"/>
    <s v="З"/>
    <s v="ЦЗ"/>
    <s v="ОПЗ"/>
    <m/>
    <m/>
    <s v="А.Н."/>
    <s v="А.Н."/>
    <x v="94"/>
    <x v="0"/>
    <m/>
    <n v="58.285714285714285"/>
    <n v="21"/>
    <n v="65"/>
    <n v="61"/>
    <n v="72"/>
    <n v="76"/>
    <n v="80"/>
    <n v="33"/>
    <n v="0"/>
    <n v="452503"/>
    <n v="37708.583333333336"/>
    <n v="0"/>
  </r>
  <r>
    <s v="Крипта (Н)"/>
    <s v="Н"/>
    <s v="ЦН"/>
    <m/>
    <m/>
    <s v="А.Н."/>
    <s v="А.Н."/>
    <s v="А.Н."/>
    <x v="94"/>
    <x v="0"/>
    <m/>
    <n v="75.857142857142861"/>
    <n v="60"/>
    <n v="82"/>
    <n v="85"/>
    <n v="78"/>
    <n v="76"/>
    <n v="90"/>
    <n v="60"/>
    <n v="0"/>
    <n v="6309063"/>
    <n v="525755.25"/>
    <n v="0"/>
  </r>
  <r>
    <s v="МакКалистер"/>
    <s v="Н"/>
    <s v="ЦН"/>
    <s v="АПЗ"/>
    <s v="ОФ"/>
    <s v="А.Н."/>
    <s v="А.Н."/>
    <s v="А.Н."/>
    <x v="94"/>
    <x v="0"/>
    <m/>
    <n v="80.571428571428569"/>
    <n v="70"/>
    <n v="85"/>
    <n v="91"/>
    <n v="83"/>
    <n v="79"/>
    <n v="86"/>
    <n v="70"/>
    <n v="19"/>
    <n v="17294257"/>
    <n v="1441188.0833333333"/>
    <n v="0"/>
  </r>
  <r>
    <s v="Мюллер Фриц"/>
    <s v="Н"/>
    <s v="ЦН"/>
    <m/>
    <m/>
    <m/>
    <s v="А.Н."/>
    <s v="А.Н."/>
    <x v="94"/>
    <x v="0"/>
    <m/>
    <n v="67.857142857142861"/>
    <n v="28"/>
    <n v="79"/>
    <n v="77"/>
    <n v="78"/>
    <n v="82"/>
    <n v="86"/>
    <n v="45"/>
    <n v="0"/>
    <n v="2069931"/>
    <n v="172494.25"/>
    <n v="0"/>
  </r>
  <r>
    <s v="Новак Антон"/>
    <s v="Н"/>
    <s v="ЦН"/>
    <m/>
    <m/>
    <m/>
    <s v="А.Н."/>
    <s v="А.Н."/>
    <x v="94"/>
    <x v="0"/>
    <m/>
    <n v="67.857142857142861"/>
    <n v="28"/>
    <n v="79"/>
    <n v="77"/>
    <n v="78"/>
    <n v="82"/>
    <n v="86"/>
    <n v="45"/>
    <n v="0"/>
    <n v="2069931"/>
    <n v="172494.25"/>
    <n v="0"/>
  </r>
  <r>
    <s v="Роффманн Стонли"/>
    <s v="Н"/>
    <s v="ЦН"/>
    <s v="ОФ"/>
    <m/>
    <m/>
    <s v="А.Н."/>
    <s v="А.Н."/>
    <x v="94"/>
    <x v="0"/>
    <m/>
    <n v="67.857142857142861"/>
    <n v="28"/>
    <n v="79"/>
    <n v="77"/>
    <n v="78"/>
    <n v="82"/>
    <n v="86"/>
    <n v="45"/>
    <n v="0"/>
    <n v="2069931"/>
    <n v="172494.25"/>
    <n v="0"/>
  </r>
  <r>
    <s v="Акима"/>
    <s v="П"/>
    <s v="ЦПЗ"/>
    <s v="АПЗ"/>
    <s v="ППЗ"/>
    <s v="А.Н."/>
    <s v="А.Н."/>
    <s v="А.Н."/>
    <x v="94"/>
    <x v="0"/>
    <m/>
    <n v="88.714285714285708"/>
    <n v="83"/>
    <n v="84"/>
    <n v="90"/>
    <n v="93"/>
    <n v="92"/>
    <n v="96"/>
    <n v="83"/>
    <n v="19"/>
    <n v="45292560"/>
    <n v="3774380"/>
    <n v="0"/>
  </r>
  <r>
    <s v="Далис Тэлли "/>
    <s v="П"/>
    <s v="ППЗ"/>
    <s v="ОПЗ"/>
    <m/>
    <m/>
    <s v="А.Н."/>
    <s v="А.Н."/>
    <x v="94"/>
    <x v="0"/>
    <m/>
    <n v="54.714285714285715"/>
    <n v="20"/>
    <n v="64"/>
    <n v="57"/>
    <n v="71"/>
    <n v="68"/>
    <n v="73"/>
    <n v="30"/>
    <n v="0"/>
    <n v="240441"/>
    <n v="20036.75"/>
    <n v="0"/>
  </r>
  <r>
    <s v="Горобец"/>
    <s v="П"/>
    <s v="АПЗ"/>
    <s v="ППЗ"/>
    <m/>
    <s v="А.Н."/>
    <s v="А.Н."/>
    <s v="А.Н."/>
    <x v="94"/>
    <x v="0"/>
    <m/>
    <n v="87.285714285714292"/>
    <n v="75"/>
    <n v="80"/>
    <n v="96"/>
    <n v="91"/>
    <n v="95"/>
    <n v="90"/>
    <n v="84"/>
    <n v="18"/>
    <n v="38505518"/>
    <n v="3208793.1666666665"/>
    <n v="0"/>
  </r>
  <r>
    <s v="Грушин (П)"/>
    <s v="П"/>
    <s v="ОПЗ"/>
    <s v="ЦПЗ"/>
    <s v="ЦЗ"/>
    <s v="А.Н."/>
    <s v="А.Н."/>
    <s v="А.Н."/>
    <x v="94"/>
    <x v="0"/>
    <m/>
    <n v="86.714285714285708"/>
    <n v="76"/>
    <n v="83"/>
    <n v="90"/>
    <n v="88"/>
    <n v="94"/>
    <n v="94"/>
    <n v="82"/>
    <n v="18"/>
    <n v="36057680"/>
    <n v="3004806.6666666665"/>
    <n v="0"/>
  </r>
  <r>
    <s v="Петрович Дарко"/>
    <s v="П"/>
    <s v="ЦПЗ"/>
    <s v="АПЗ"/>
    <m/>
    <m/>
    <s v="А.Н."/>
    <s v="А.Н."/>
    <x v="94"/>
    <x v="0"/>
    <m/>
    <n v="65"/>
    <n v="26"/>
    <n v="77"/>
    <n v="69"/>
    <n v="82"/>
    <n v="78"/>
    <n v="80"/>
    <n v="43"/>
    <n v="0"/>
    <n v="1346275"/>
    <n v="112189.58333333333"/>
    <n v="0"/>
  </r>
  <r>
    <s v="Полов"/>
    <s v="П"/>
    <s v="ЛПЗ"/>
    <s v="АПЗ"/>
    <m/>
    <s v="А.Н."/>
    <s v="А.Н."/>
    <s v="А.Н."/>
    <x v="94"/>
    <x v="0"/>
    <m/>
    <n v="84.428571428571431"/>
    <n v="70"/>
    <n v="94"/>
    <n v="87"/>
    <n v="87"/>
    <n v="90"/>
    <n v="83"/>
    <n v="80"/>
    <n v="23"/>
    <n v="27604868"/>
    <n v="2300405.6666666665"/>
    <n v="0"/>
  </r>
  <r>
    <s v="Стивич"/>
    <s v="Т"/>
    <s v="Т"/>
    <m/>
    <m/>
    <m/>
    <s v="Зар"/>
    <s v="Зар"/>
    <x v="94"/>
    <x v="0"/>
    <m/>
    <n v="71.285714285714292"/>
    <n v="56"/>
    <n v="76"/>
    <n v="71"/>
    <n v="85"/>
    <n v="74"/>
    <n v="85"/>
    <n v="52"/>
    <n v="0"/>
    <n v="3388638"/>
    <n v="282386.5"/>
    <n v="0"/>
  </r>
  <r>
    <s v="Кранджевич Лука"/>
    <s v="В"/>
    <s v="В"/>
    <m/>
    <m/>
    <m/>
    <s v="Зар"/>
    <s v="Зар"/>
    <x v="95"/>
    <x v="0"/>
    <m/>
    <n v="51.714285714285715"/>
    <n v="12"/>
    <n v="62"/>
    <n v="56"/>
    <n v="66"/>
    <n v="68"/>
    <n v="70"/>
    <n v="28"/>
    <n v="0"/>
    <n v="136807"/>
    <n v="11400.583333333334"/>
    <n v="0"/>
  </r>
  <r>
    <s v="Мольсич (В)"/>
    <s v="В"/>
    <s v="В"/>
    <m/>
    <m/>
    <s v="Зар"/>
    <s v="Зар"/>
    <s v="Зар"/>
    <x v="95"/>
    <x v="0"/>
    <m/>
    <n v="72.857142857142861"/>
    <n v="60"/>
    <n v="75"/>
    <n v="70"/>
    <n v="70"/>
    <n v="76"/>
    <n v="96"/>
    <n v="63"/>
    <n v="0"/>
    <n v="4214261"/>
    <n v="351188.41666666669"/>
    <n v="0"/>
  </r>
  <r>
    <s v="Бервич Станко"/>
    <s v="З"/>
    <s v="ПЗ"/>
    <s v="ЦЗ"/>
    <m/>
    <m/>
    <s v="Зар"/>
    <s v="Зар"/>
    <x v="95"/>
    <x v="0"/>
    <m/>
    <n v="52"/>
    <n v="13"/>
    <n v="63"/>
    <n v="57"/>
    <n v="67"/>
    <n v="69"/>
    <n v="71"/>
    <n v="24"/>
    <n v="0"/>
    <n v="144556"/>
    <n v="12046.333333333334"/>
    <n v="0"/>
  </r>
  <r>
    <s v="Лопатин Олег"/>
    <s v="З"/>
    <s v="ЛЗ"/>
    <s v="ЦЗ"/>
    <m/>
    <m/>
    <s v="Зар"/>
    <s v="Зар"/>
    <x v="95"/>
    <x v="0"/>
    <m/>
    <n v="43.714285714285715"/>
    <n v="10"/>
    <n v="53"/>
    <n v="51"/>
    <n v="55"/>
    <n v="57"/>
    <n v="60"/>
    <n v="20"/>
    <n v="0"/>
    <n v="25483"/>
    <n v="2123.5833333333335"/>
    <n v="0"/>
  </r>
  <r>
    <s v="Мельниченко Тарас"/>
    <s v="З"/>
    <s v="ЦЗ"/>
    <s v="ОПЗ"/>
    <m/>
    <m/>
    <s v="Зар"/>
    <s v="Зар"/>
    <x v="95"/>
    <x v="0"/>
    <m/>
    <n v="64.857142857142861"/>
    <n v="18"/>
    <n v="78"/>
    <n v="70"/>
    <n v="82"/>
    <n v="85"/>
    <n v="87"/>
    <n v="34"/>
    <n v="0"/>
    <n v="1316977"/>
    <n v="109748.08333333333"/>
    <n v="0"/>
  </r>
  <r>
    <s v="Ольсич (З)"/>
    <s v="З"/>
    <s v="ЦЗ"/>
    <s v="ПЗ"/>
    <s v="ОПЗ"/>
    <s v="Зар"/>
    <s v="Зар"/>
    <s v="Зар"/>
    <x v="95"/>
    <x v="0"/>
    <m/>
    <n v="82.142857142857139"/>
    <n v="70"/>
    <n v="83"/>
    <n v="90"/>
    <n v="80"/>
    <n v="88"/>
    <n v="84"/>
    <n v="80"/>
    <n v="26"/>
    <n v="20979219"/>
    <n v="1748268.25"/>
    <n v="0"/>
  </r>
  <r>
    <s v="Хенгент"/>
    <s v="З"/>
    <s v="ЦЗ"/>
    <m/>
    <m/>
    <s v="Переп"/>
    <s v="Переп"/>
    <s v="Переп"/>
    <x v="95"/>
    <x v="0"/>
    <m/>
    <n v="46.857142857142854"/>
    <n v="20"/>
    <n v="46"/>
    <n v="50"/>
    <n v="54"/>
    <n v="64"/>
    <n v="68"/>
    <n v="26"/>
    <n v="0"/>
    <n v="51023"/>
    <n v="4251.916666666667"/>
    <n v="0"/>
  </r>
  <r>
    <s v="Эллот"/>
    <s v="З"/>
    <s v="ЦЗ"/>
    <m/>
    <m/>
    <s v="Кол"/>
    <s v="Кол"/>
    <s v="Кол"/>
    <x v="95"/>
    <x v="0"/>
    <m/>
    <n v="66.714285714285708"/>
    <n v="42"/>
    <n v="70"/>
    <n v="70"/>
    <n v="72"/>
    <n v="71"/>
    <n v="72"/>
    <n v="70"/>
    <n v="0"/>
    <n v="1746580"/>
    <n v="136464.08333333334"/>
    <n v="0"/>
  </r>
  <r>
    <s v="Войцеховский Павел"/>
    <s v="Н"/>
    <s v="ЦН"/>
    <s v="ОФ"/>
    <m/>
    <m/>
    <s v="Мох"/>
    <s v="Мох"/>
    <x v="95"/>
    <x v="0"/>
    <m/>
    <n v="60.285714285714285"/>
    <n v="17"/>
    <n v="75"/>
    <n v="69"/>
    <n v="73"/>
    <n v="77"/>
    <n v="80"/>
    <n v="31"/>
    <n v="0"/>
    <n v="634081"/>
    <n v="52840.083333333336"/>
    <n v="0"/>
  </r>
  <r>
    <s v="Добряковский"/>
    <s v="Н"/>
    <s v="ЦН"/>
    <s v="ОФ"/>
    <m/>
    <s v="Зар"/>
    <s v="Зар"/>
    <s v="Зар"/>
    <x v="95"/>
    <x v="0"/>
    <m/>
    <n v="74.857142857142861"/>
    <n v="53"/>
    <n v="70"/>
    <n v="90"/>
    <n v="80"/>
    <n v="83"/>
    <n v="98"/>
    <n v="50"/>
    <n v="6"/>
    <n v="8287504"/>
    <n v="690625.33333333337"/>
    <n v="0"/>
  </r>
  <r>
    <s v="Дорнвальд Эрик"/>
    <s v="Н"/>
    <s v="ОФ"/>
    <s v="ЦН"/>
    <m/>
    <m/>
    <s v="Зар"/>
    <s v="Зар"/>
    <x v="95"/>
    <x v="0"/>
    <m/>
    <n v="59.571428571428569"/>
    <n v="16"/>
    <n v="75"/>
    <n v="69"/>
    <n v="73"/>
    <n v="75"/>
    <n v="77"/>
    <n v="32"/>
    <n v="0"/>
    <n v="562834"/>
    <n v="46902.833333333336"/>
    <n v="0"/>
  </r>
  <r>
    <s v="Верхов (П)"/>
    <s v="П"/>
    <s v="ЦПЗ"/>
    <s v="ЛПЗ"/>
    <s v="ППЗ"/>
    <s v="Зар"/>
    <s v="Зар"/>
    <s v="Зар"/>
    <x v="95"/>
    <x v="0"/>
    <m/>
    <n v="81.428571428571431"/>
    <n v="80"/>
    <n v="80"/>
    <n v="85"/>
    <n v="82"/>
    <n v="81"/>
    <n v="84"/>
    <n v="78"/>
    <n v="22"/>
    <n v="19224694"/>
    <n v="1602057.8333333333"/>
    <n v="0"/>
  </r>
  <r>
    <s v="Гарбаревич Ян"/>
    <s v="П"/>
    <s v="АПЗ"/>
    <s v="ЦПЗ"/>
    <m/>
    <m/>
    <s v="Зар"/>
    <s v="Зар"/>
    <x v="95"/>
    <x v="0"/>
    <m/>
    <n v="50.857142857142854"/>
    <n v="14"/>
    <n v="65"/>
    <n v="59"/>
    <n v="63"/>
    <n v="65"/>
    <n v="67"/>
    <n v="23"/>
    <n v="0"/>
    <n v="115750"/>
    <n v="9645.8333333333339"/>
    <n v="0"/>
  </r>
  <r>
    <s v="Голембовский Иржи"/>
    <s v="П"/>
    <s v="ЦПЗ"/>
    <s v="ОПЗ"/>
    <m/>
    <m/>
    <s v="Зар"/>
    <s v="Зар"/>
    <x v="95"/>
    <x v="0"/>
    <m/>
    <n v="55.428571428571431"/>
    <n v="11"/>
    <n v="68"/>
    <n v="62"/>
    <n v="72"/>
    <n v="74"/>
    <n v="76"/>
    <n v="25"/>
    <n v="0"/>
    <n v="273740"/>
    <n v="22811.666666666668"/>
    <n v="0"/>
  </r>
  <r>
    <s v="Морвич Драго"/>
    <s v="П"/>
    <s v="ОПЗ"/>
    <s v="ЦПЗ"/>
    <m/>
    <m/>
    <s v="Зар"/>
    <s v="Зар"/>
    <x v="95"/>
    <x v="0"/>
    <m/>
    <n v="45.714285714285715"/>
    <n v="10"/>
    <n v="61"/>
    <n v="49"/>
    <n v="61"/>
    <n v="59"/>
    <n v="61"/>
    <n v="19"/>
    <n v="0"/>
    <n v="39859"/>
    <n v="3321.5833333333335"/>
    <n v="0"/>
  </r>
  <r>
    <s v="Пельвич Кай"/>
    <s v="П"/>
    <s v="ППЗ"/>
    <s v="ЛПЗ"/>
    <m/>
    <m/>
    <s v="Зар"/>
    <s v="Зар"/>
    <x v="95"/>
    <x v="0"/>
    <m/>
    <n v="42.571428571428569"/>
    <n v="10"/>
    <n v="47"/>
    <n v="47"/>
    <n v="55"/>
    <n v="59"/>
    <n v="62"/>
    <n v="18"/>
    <n v="0"/>
    <n v="19552"/>
    <n v="1629.3333333333333"/>
    <n v="0"/>
  </r>
  <r>
    <s v="Сковронский Ян"/>
    <s v="П"/>
    <s v="ЛПЗ"/>
    <s v="ОПЗ"/>
    <m/>
    <m/>
    <s v="Зар"/>
    <s v="Зар"/>
    <x v="95"/>
    <x v="0"/>
    <m/>
    <n v="53.857142857142854"/>
    <n v="11"/>
    <n v="66"/>
    <n v="60"/>
    <n v="70"/>
    <n v="72"/>
    <n v="74"/>
    <n v="24"/>
    <n v="0"/>
    <n v="205321"/>
    <n v="17110.083333333332"/>
    <n v="0"/>
  </r>
  <r>
    <s v="Ценки"/>
    <s v="П"/>
    <s v="ЦПЗ"/>
    <s v="ЛПЗ"/>
    <m/>
    <s v="Кол"/>
    <s v="Кол"/>
    <s v="Кол"/>
    <x v="95"/>
    <x v="0"/>
    <m/>
    <n v="60"/>
    <n v="40"/>
    <n v="70"/>
    <n v="62"/>
    <n v="68"/>
    <n v="60"/>
    <n v="70"/>
    <n v="50"/>
    <n v="0"/>
    <n v="604662"/>
    <n v="4657.166666666667"/>
    <n v="0"/>
  </r>
  <r>
    <s v="Яш Рен"/>
    <s v="П"/>
    <s v="ОПЗ"/>
    <s v="ЦПЗ"/>
    <m/>
    <s v="Переп"/>
    <s v="Переп"/>
    <s v="Переп"/>
    <x v="95"/>
    <x v="0"/>
    <m/>
    <n v="48"/>
    <n v="38"/>
    <n v="46"/>
    <n v="57"/>
    <n v="41"/>
    <n v="59"/>
    <n v="49"/>
    <n v="46"/>
    <n v="0"/>
    <n v="64926"/>
    <n v="5410.5"/>
    <n v="0"/>
  </r>
  <r>
    <s v="Стругачев Милош"/>
    <s v="Т"/>
    <s v="Т"/>
    <m/>
    <m/>
    <m/>
    <s v="Зар"/>
    <s v="Зар"/>
    <x v="95"/>
    <x v="0"/>
    <m/>
    <n v="47.428571428571431"/>
    <n v="10"/>
    <n v="57"/>
    <n v="51"/>
    <n v="61"/>
    <n v="63"/>
    <n v="65"/>
    <n v="25"/>
    <n v="0"/>
    <n v="57598"/>
    <n v="4799.833333333333"/>
    <n v="0"/>
  </r>
  <r>
    <s v="Полька"/>
    <s v="В"/>
    <s v="В"/>
    <m/>
    <m/>
    <s v="Р.Тесно"/>
    <s v="Р.Тесно"/>
    <s v="Р.Тесно"/>
    <x v="96"/>
    <x v="0"/>
    <m/>
    <n v="60"/>
    <n v="26"/>
    <n v="71"/>
    <n v="66"/>
    <n v="56"/>
    <n v="65"/>
    <n v="66"/>
    <n v="70"/>
    <n v="0"/>
    <n v="604662"/>
    <n v="50388.5"/>
    <n v="0"/>
  </r>
  <r>
    <s v="Щукий"/>
    <s v="В"/>
    <s v="В"/>
    <m/>
    <m/>
    <s v="Р.Тесно"/>
    <s v="Р.Тесно"/>
    <s v="Р.Тесно"/>
    <x v="96"/>
    <x v="0"/>
    <m/>
    <n v="71.428571428571431"/>
    <n v="41"/>
    <n v="72"/>
    <n v="90"/>
    <n v="71"/>
    <n v="77"/>
    <n v="84"/>
    <n v="65"/>
    <n v="0"/>
    <n v="3457162"/>
    <n v="288096.83333333331"/>
    <n v="0"/>
  </r>
  <r>
    <s v="Йетин"/>
    <s v="З"/>
    <s v="ЦЗ"/>
    <s v="ПЗ"/>
    <m/>
    <s v="Р.Тесно"/>
    <s v="Р.Тесно"/>
    <s v="Р.Тесно"/>
    <x v="96"/>
    <x v="0"/>
    <m/>
    <n v="69"/>
    <n v="50"/>
    <n v="68"/>
    <n v="75"/>
    <n v="73"/>
    <n v="79"/>
    <n v="78"/>
    <n v="60"/>
    <n v="0"/>
    <n v="2446195"/>
    <n v="203849.58333333334"/>
    <n v="0"/>
  </r>
  <r>
    <s v="Кебра"/>
    <s v="З"/>
    <s v="ПЗ"/>
    <m/>
    <m/>
    <s v="Турк"/>
    <s v="Турк"/>
    <s v="Турк"/>
    <x v="96"/>
    <x v="0"/>
    <m/>
    <n v="73.714285714285708"/>
    <n v="45"/>
    <n v="91"/>
    <n v="84"/>
    <n v="76"/>
    <n v="76"/>
    <n v="74"/>
    <n v="70"/>
    <n v="0"/>
    <n v="4737145"/>
    <n v="394762.08333333331"/>
    <n v="0"/>
  </r>
  <r>
    <s v="Нарсек"/>
    <s v="З"/>
    <s v="ЦЗ"/>
    <m/>
    <m/>
    <s v="Туркан"/>
    <s v="Туркан"/>
    <s v="Туркан"/>
    <x v="96"/>
    <x v="0"/>
    <m/>
    <n v="63.571428571428569"/>
    <n v="30"/>
    <n v="62"/>
    <n v="62"/>
    <n v="65"/>
    <n v="75"/>
    <n v="88"/>
    <n v="63"/>
    <n v="0"/>
    <n v="1078003"/>
    <n v="89833.583333333328"/>
    <n v="0"/>
  </r>
  <r>
    <s v="Половский"/>
    <s v="З"/>
    <s v="ЦЗ"/>
    <s v="ЛЗ"/>
    <m/>
    <s v="Переп"/>
    <s v="Переп"/>
    <s v="Переп"/>
    <x v="96"/>
    <x v="0"/>
    <m/>
    <n v="65.571428571428569"/>
    <n v="40"/>
    <n v="70"/>
    <n v="72"/>
    <n v="71"/>
    <n v="72"/>
    <n v="83"/>
    <n v="51"/>
    <n v="0"/>
    <n v="1469422"/>
    <n v="122451.83333333333"/>
    <n v="0"/>
  </r>
  <r>
    <s v="Ухинов"/>
    <s v="З"/>
    <s v="ЦЗ"/>
    <m/>
    <m/>
    <s v="Р.Тесно"/>
    <s v="Р.Тесно"/>
    <s v="Р.Тесно"/>
    <x v="96"/>
    <x v="0"/>
    <m/>
    <n v="58.142857142857146"/>
    <n v="30"/>
    <n v="77"/>
    <n v="30"/>
    <n v="71"/>
    <n v="81"/>
    <n v="78"/>
    <n v="40"/>
    <n v="0"/>
    <n v="441534"/>
    <n v="36794.5"/>
    <n v="0"/>
  </r>
  <r>
    <s v="Хэбют"/>
    <s v="З"/>
    <s v="ЦЗ"/>
    <m/>
    <m/>
    <s v="Р.Тесно"/>
    <s v="Р.Тесно"/>
    <s v="Р.Тесно"/>
    <x v="96"/>
    <x v="0"/>
    <m/>
    <n v="61"/>
    <n v="25"/>
    <n v="59"/>
    <n v="55"/>
    <n v="70"/>
    <n v="82"/>
    <n v="81"/>
    <n v="55"/>
    <n v="0"/>
    <n v="713343"/>
    <n v="59445.25"/>
    <n v="0"/>
  </r>
  <r>
    <s v="Цермион"/>
    <s v="З"/>
    <s v="ЦЗ"/>
    <s v="ЛЗ"/>
    <m/>
    <s v="Р.Тесно"/>
    <s v="Р.Тесно"/>
    <s v="Р.Тесно"/>
    <x v="96"/>
    <x v="0"/>
    <m/>
    <n v="71"/>
    <n v="51"/>
    <n v="63"/>
    <n v="77"/>
    <n v="75"/>
    <n v="90"/>
    <n v="81"/>
    <n v="60"/>
    <n v="0"/>
    <n v="3255244"/>
    <n v="271270.33333333331"/>
    <n v="0"/>
  </r>
  <r>
    <s v="Гуштер"/>
    <s v="Н"/>
    <s v="ЦН"/>
    <s v="АПЗ"/>
    <m/>
    <s v="Р.Тесно"/>
    <s v="Р.Тесно"/>
    <s v="Р.Тесно"/>
    <x v="96"/>
    <x v="0"/>
    <m/>
    <n v="53"/>
    <n v="11"/>
    <n v="60"/>
    <n v="65"/>
    <n v="63"/>
    <n v="67"/>
    <n v="74"/>
    <n v="31"/>
    <n v="0"/>
    <n v="174888"/>
    <n v="14574"/>
    <n v="0"/>
  </r>
  <r>
    <s v="Оргус"/>
    <s v="Н"/>
    <s v="ОФ"/>
    <m/>
    <m/>
    <s v="Переп"/>
    <s v="Переп"/>
    <s v="Переп"/>
    <x v="96"/>
    <x v="0"/>
    <m/>
    <n v="46.428571428571431"/>
    <n v="10"/>
    <n v="51"/>
    <n v="59"/>
    <n v="60"/>
    <n v="55"/>
    <n v="68"/>
    <n v="22"/>
    <n v="0"/>
    <n v="46543"/>
    <n v="3878.5833333333335"/>
    <n v="0"/>
  </r>
  <r>
    <s v="Ык Сайми"/>
    <s v="Н"/>
    <s v="ОФ"/>
    <s v="ППЗ"/>
    <m/>
    <s v="Кол"/>
    <s v="Кол"/>
    <s v="Кол"/>
    <x v="96"/>
    <x v="0"/>
    <m/>
    <n v="54.714285714285715"/>
    <n v="23"/>
    <n v="62"/>
    <n v="58"/>
    <n v="63"/>
    <n v="68"/>
    <n v="76"/>
    <n v="33"/>
    <n v="0"/>
    <n v="240441"/>
    <n v="20036.75"/>
    <n v="0"/>
  </r>
  <r>
    <s v="Бэнди"/>
    <s v="П"/>
    <s v="АПЗ"/>
    <s v="ЦН"/>
    <m/>
    <s v="Р.Тесно"/>
    <s v="Р.Тесно"/>
    <s v="Р.Тесно"/>
    <x v="96"/>
    <x v="0"/>
    <m/>
    <n v="52.285714285714285"/>
    <n v="29"/>
    <n v="44"/>
    <n v="73"/>
    <n v="50"/>
    <n v="73"/>
    <n v="50"/>
    <n v="47"/>
    <n v="0"/>
    <n v="152697"/>
    <n v="12724.75"/>
    <n v="0"/>
  </r>
  <r>
    <s v="Винно (П)"/>
    <s v="П"/>
    <s v="ЦПЗ"/>
    <m/>
    <m/>
    <s v="Р.Тесно"/>
    <s v="Р.Тесно"/>
    <s v="Р.Тесно"/>
    <x v="96"/>
    <x v="0"/>
    <m/>
    <n v="54.571428571428569"/>
    <n v="36"/>
    <n v="61"/>
    <n v="42"/>
    <n v="74"/>
    <n v="68"/>
    <n v="55"/>
    <n v="46"/>
    <n v="0"/>
    <n v="234236"/>
    <n v="19519.666666666668"/>
    <n v="0"/>
  </r>
  <r>
    <s v="Егоров"/>
    <s v="П"/>
    <s v="ЦПЗ"/>
    <m/>
    <m/>
    <s v="Р.Тесно"/>
    <s v="Нест"/>
    <s v="Нест"/>
    <x v="96"/>
    <x v="0"/>
    <m/>
    <n v="52.857142857142854"/>
    <n v="23"/>
    <n v="63"/>
    <n v="41"/>
    <n v="73"/>
    <n v="71"/>
    <n v="55"/>
    <n v="44"/>
    <n v="0"/>
    <n v="170231"/>
    <n v="14185.916666666666"/>
    <n v="0"/>
  </r>
  <r>
    <s v="Карсьяга"/>
    <s v="П"/>
    <s v="ППЗ"/>
    <m/>
    <m/>
    <s v="Переп"/>
    <s v="Переп"/>
    <s v="Переп"/>
    <x v="96"/>
    <x v="0"/>
    <m/>
    <n v="51.571428571428569"/>
    <n v="23"/>
    <n v="66"/>
    <n v="64"/>
    <n v="58"/>
    <n v="52"/>
    <n v="60"/>
    <n v="38"/>
    <n v="0"/>
    <n v="133074"/>
    <n v="11089.5"/>
    <n v="0"/>
  </r>
  <r>
    <s v="Фагаров"/>
    <s v="П"/>
    <s v="ЦПЗ"/>
    <m/>
    <m/>
    <s v="Р.Тесно"/>
    <s v="Р.Тесно"/>
    <s v="Р.Тесно"/>
    <x v="96"/>
    <x v="0"/>
    <m/>
    <n v="56"/>
    <n v="43"/>
    <n v="58"/>
    <n v="59"/>
    <n v="72"/>
    <n v="71"/>
    <n v="56"/>
    <n v="33"/>
    <n v="0"/>
    <n v="303306"/>
    <n v="25275.5"/>
    <n v="0"/>
  </r>
  <r>
    <s v="Шахинов"/>
    <s v="П"/>
    <s v="ЛПЗ"/>
    <s v="ЦПЗ"/>
    <m/>
    <s v="Р.Тесно"/>
    <s v="Р.Тесно"/>
    <s v="Р.Тесно"/>
    <x v="96"/>
    <x v="0"/>
    <m/>
    <n v="55.428571428571431"/>
    <n v="29"/>
    <n v="74"/>
    <n v="68"/>
    <n v="47"/>
    <n v="68"/>
    <n v="74"/>
    <n v="28"/>
    <n v="0"/>
    <n v="273740"/>
    <n v="22811.666666666668"/>
    <n v="0"/>
  </r>
  <r>
    <s v="Клестер"/>
    <s v="Т"/>
    <s v="Т"/>
    <m/>
    <m/>
    <m/>
    <s v="Р.Тесно"/>
    <s v="Р.Тесно"/>
    <x v="96"/>
    <x v="0"/>
    <m/>
    <n v="69.857142857142861"/>
    <n v="63"/>
    <n v="75"/>
    <n v="77"/>
    <n v="81"/>
    <n v="67"/>
    <n v="69"/>
    <n v="57"/>
    <n v="0"/>
    <n v="2767632"/>
    <n v="230636"/>
    <n v="0"/>
  </r>
  <r>
    <s v="Вальдмун Остак"/>
    <s v="В"/>
    <s v="В"/>
    <m/>
    <m/>
    <m/>
    <s v="В.И."/>
    <s v="В.И."/>
    <x v="97"/>
    <x v="0"/>
    <m/>
    <n v="49.142857142857146"/>
    <n v="10"/>
    <n v="62"/>
    <n v="54"/>
    <n v="60"/>
    <n v="62"/>
    <n v="64"/>
    <n v="32"/>
    <n v="0"/>
    <n v="82150"/>
    <n v="6845.833333333333"/>
    <n v="0"/>
  </r>
  <r>
    <s v="Качуан Рэйм"/>
    <s v="В"/>
    <s v="В"/>
    <m/>
    <m/>
    <m/>
    <s v="В.И."/>
    <s v="В.И."/>
    <x v="97"/>
    <x v="0"/>
    <m/>
    <n v="46.714285714285715"/>
    <n v="8"/>
    <n v="59"/>
    <n v="51"/>
    <n v="58"/>
    <n v="60"/>
    <n v="62"/>
    <n v="29"/>
    <n v="0"/>
    <n v="49488"/>
    <n v="4124"/>
    <n v="0"/>
  </r>
  <r>
    <s v="Тодо Остин"/>
    <s v="В"/>
    <s v="В"/>
    <m/>
    <m/>
    <m/>
    <s v="В.И."/>
    <s v="В.И."/>
    <x v="97"/>
    <x v="0"/>
    <m/>
    <n v="47.285714285714285"/>
    <n v="8"/>
    <n v="60"/>
    <n v="53"/>
    <n v="58"/>
    <n v="60"/>
    <n v="62"/>
    <n v="30"/>
    <n v="0"/>
    <n v="55886"/>
    <n v="4657.166666666667"/>
    <n v="0"/>
  </r>
  <r>
    <s v="Залу Ян"/>
    <s v="З"/>
    <s v="ПЗ"/>
    <s v="ЛЗ"/>
    <m/>
    <m/>
    <s v="В.И."/>
    <s v="В.И."/>
    <x v="97"/>
    <x v="0"/>
    <m/>
    <n v="46.857142857142854"/>
    <n v="7"/>
    <n v="60"/>
    <n v="53"/>
    <n v="58"/>
    <n v="60"/>
    <n v="62"/>
    <n v="28"/>
    <n v="0"/>
    <n v="51023"/>
    <n v="4251.916666666667"/>
    <n v="0"/>
  </r>
  <r>
    <s v="Ким Джун"/>
    <s v="З"/>
    <s v="ЦЗ"/>
    <s v="ОПЗ"/>
    <m/>
    <m/>
    <s v="В.И."/>
    <s v="В.И."/>
    <x v="97"/>
    <x v="0"/>
    <m/>
    <n v="43.857142857142854"/>
    <n v="6"/>
    <n v="56"/>
    <n v="49"/>
    <n v="55"/>
    <n v="57"/>
    <n v="59"/>
    <n v="25"/>
    <n v="0"/>
    <n v="26328"/>
    <n v="2194"/>
    <n v="0"/>
  </r>
  <r>
    <s v="Костер Динео"/>
    <s v="З"/>
    <s v="ЦЗ"/>
    <s v="ОПЗ"/>
    <m/>
    <m/>
    <s v="В.И."/>
    <s v="В.И."/>
    <x v="97"/>
    <x v="0"/>
    <m/>
    <n v="36.857142857142854"/>
    <n v="20"/>
    <n v="20"/>
    <n v="24"/>
    <n v="50"/>
    <n v="60"/>
    <n v="64"/>
    <n v="20"/>
    <n v="0"/>
    <n v="4627"/>
    <n v="385.58333333333331"/>
    <n v="0"/>
  </r>
  <r>
    <s v="Маури Кир"/>
    <s v="З"/>
    <s v="ЛЗ"/>
    <s v="ЦЗ"/>
    <m/>
    <m/>
    <s v="В.И."/>
    <s v="В.И."/>
    <x v="97"/>
    <x v="0"/>
    <m/>
    <n v="50.857142857142854"/>
    <n v="11"/>
    <n v="65"/>
    <n v="57"/>
    <n v="61"/>
    <n v="63"/>
    <n v="65"/>
    <n v="34"/>
    <n v="0"/>
    <n v="115750"/>
    <n v="9645.8333333333339"/>
    <n v="0"/>
  </r>
  <r>
    <s v="Нувахо Тим"/>
    <s v="З"/>
    <s v="ПЗ"/>
    <s v="ЦЗ"/>
    <m/>
    <m/>
    <s v="В.И."/>
    <s v="В.И."/>
    <x v="97"/>
    <x v="0"/>
    <m/>
    <n v="49.285714285714285"/>
    <n v="9"/>
    <n v="64"/>
    <n v="55"/>
    <n v="60"/>
    <n v="62"/>
    <n v="64"/>
    <n v="31"/>
    <n v="0"/>
    <n v="84569"/>
    <n v="7047.416666666667"/>
    <n v="0"/>
  </r>
  <r>
    <s v="Чжэн Вэй"/>
    <s v="З"/>
    <s v="ЦЗ"/>
    <s v="ЛЗ"/>
    <m/>
    <m/>
    <s v="В.И."/>
    <s v="В.И."/>
    <x v="97"/>
    <x v="0"/>
    <m/>
    <n v="63.571428571428569"/>
    <n v="40"/>
    <n v="70"/>
    <n v="90"/>
    <n v="70"/>
    <n v="64"/>
    <n v="66"/>
    <n v="45"/>
    <n v="1"/>
    <n v="1617004"/>
    <n v="11719.416666666666"/>
    <n v="0"/>
  </r>
  <r>
    <s v="Куряк Эрл"/>
    <s v="Н"/>
    <s v="ОФ"/>
    <s v="ЦН"/>
    <m/>
    <m/>
    <s v="В.И."/>
    <s v="В.И."/>
    <x v="97"/>
    <x v="0"/>
    <m/>
    <n v="51.428571428571431"/>
    <n v="10"/>
    <n v="65"/>
    <n v="58"/>
    <n v="63"/>
    <n v="65"/>
    <n v="67"/>
    <n v="32"/>
    <n v="0"/>
    <n v="129433"/>
    <n v="10786.083333333334"/>
    <n v="0"/>
  </r>
  <r>
    <s v="Олеут Торвальд"/>
    <s v="Н"/>
    <s v="ЦН"/>
    <s v="ОФ"/>
    <m/>
    <m/>
    <s v="В.И."/>
    <s v="В.И."/>
    <x v="97"/>
    <x v="0"/>
    <m/>
    <n v="60.285714285714285"/>
    <n v="15"/>
    <n v="70"/>
    <n v="75"/>
    <n v="70"/>
    <n v="72"/>
    <n v="75"/>
    <n v="45"/>
    <n v="0"/>
    <n v="634081"/>
    <n v="52840.083333333336"/>
    <n v="0"/>
  </r>
  <r>
    <s v="Чукчо Дан"/>
    <s v="Н"/>
    <s v="ОФ"/>
    <s v="ЦН"/>
    <m/>
    <m/>
    <s v="В.И."/>
    <s v="В.И."/>
    <x v="97"/>
    <x v="0"/>
    <m/>
    <n v="56.428571428571431"/>
    <n v="14"/>
    <n v="70"/>
    <n v="63"/>
    <n v="68"/>
    <n v="70"/>
    <n v="72"/>
    <n v="38"/>
    <n v="0"/>
    <n v="327334"/>
    <n v="27277.833333333332"/>
    <n v="0"/>
  </r>
  <r>
    <s v="Инуот Кс"/>
    <s v="П"/>
    <s v="ППЗ"/>
    <s v="АПЗ"/>
    <m/>
    <m/>
    <s v="В.И."/>
    <s v="В.И."/>
    <x v="97"/>
    <x v="0"/>
    <m/>
    <n v="59"/>
    <n v="14"/>
    <n v="68"/>
    <n v="72"/>
    <n v="70"/>
    <n v="72"/>
    <n v="74"/>
    <n v="43"/>
    <n v="0"/>
    <n v="511117"/>
    <n v="42593.083333333336"/>
    <n v="0"/>
  </r>
  <r>
    <s v="Нонц Стан"/>
    <s v="П"/>
    <s v="ППЗ"/>
    <s v="АПЗ"/>
    <m/>
    <m/>
    <s v="В.И."/>
    <s v="В.И."/>
    <x v="97"/>
    <x v="0"/>
    <m/>
    <n v="46.285714285714285"/>
    <n v="7"/>
    <n v="59"/>
    <n v="52"/>
    <n v="58"/>
    <n v="60"/>
    <n v="62"/>
    <n v="26"/>
    <n v="0"/>
    <n v="45131"/>
    <n v="3760.9166666666665"/>
    <n v="0"/>
  </r>
  <r>
    <s v="Ойну Мэйс"/>
    <s v="П"/>
    <s v="ЦПЗ"/>
    <s v="ОПЗ"/>
    <m/>
    <m/>
    <s v="В.И."/>
    <s v="В.И."/>
    <x v="97"/>
    <x v="0"/>
    <m/>
    <n v="54.714285714285715"/>
    <n v="13"/>
    <n v="68"/>
    <n v="61"/>
    <n v="66"/>
    <n v="68"/>
    <n v="70"/>
    <n v="37"/>
    <n v="0"/>
    <n v="240441"/>
    <n v="20036.75"/>
    <n v="0"/>
  </r>
  <r>
    <s v="Попуас Кайус"/>
    <s v="П"/>
    <s v="АПЗ"/>
    <s v="ЦПЗ"/>
    <m/>
    <m/>
    <s v="В.И."/>
    <s v="В.И."/>
    <x v="97"/>
    <x v="0"/>
    <m/>
    <n v="44.428571428571431"/>
    <n v="6"/>
    <n v="55"/>
    <n v="49"/>
    <n v="57"/>
    <n v="59"/>
    <n v="61"/>
    <n v="24"/>
    <n v="0"/>
    <n v="29966"/>
    <n v="2497.1666666666665"/>
    <n v="0"/>
  </r>
  <r>
    <s v="Соами Пол"/>
    <s v="П"/>
    <s v="ЛПЗ"/>
    <s v="ОПЗ"/>
    <m/>
    <m/>
    <s v="В.И."/>
    <s v="В.И."/>
    <x v="97"/>
    <x v="0"/>
    <m/>
    <n v="50.857142857142854"/>
    <n v="10"/>
    <n v="64"/>
    <n v="57"/>
    <n v="62"/>
    <n v="64"/>
    <n v="66"/>
    <n v="33"/>
    <n v="0"/>
    <n v="115750"/>
    <n v="9645.8333333333339"/>
    <n v="0"/>
  </r>
  <r>
    <s v="Суахилу Дар"/>
    <s v="П"/>
    <s v="ОПЗ"/>
    <s v="ЦПЗ"/>
    <m/>
    <m/>
    <s v="В.И."/>
    <s v="В.И."/>
    <x v="97"/>
    <x v="0"/>
    <m/>
    <n v="49.857142857142854"/>
    <n v="9"/>
    <n v="63"/>
    <n v="55"/>
    <n v="62"/>
    <n v="64"/>
    <n v="66"/>
    <n v="30"/>
    <n v="0"/>
    <n v="94902"/>
    <n v="7908.5"/>
    <n v="0"/>
  </r>
  <r>
    <s v="Эвонк Ирж"/>
    <s v="П"/>
    <s v="ППЗ"/>
    <s v="ЛПЗ"/>
    <m/>
    <m/>
    <s v="В.И."/>
    <s v="В.И."/>
    <x v="97"/>
    <x v="0"/>
    <m/>
    <n v="52.571428571428569"/>
    <n v="11"/>
    <n v="66"/>
    <n v="59"/>
    <n v="64"/>
    <n v="66"/>
    <n v="68"/>
    <n v="34"/>
    <n v="0"/>
    <n v="161250"/>
    <n v="13437.5"/>
    <n v="0"/>
  </r>
  <r>
    <s v="Ямомото Элдок"/>
    <s v="Т"/>
    <s v="Т"/>
    <m/>
    <m/>
    <m/>
    <s v="В.И."/>
    <s v="В.И."/>
    <x v="97"/>
    <x v="0"/>
    <m/>
    <n v="47.714285714285715"/>
    <n v="9"/>
    <n v="60"/>
    <n v="52"/>
    <n v="59"/>
    <n v="61"/>
    <n v="63"/>
    <n v="30"/>
    <n v="0"/>
    <n v="61163"/>
    <n v="5096.916666666667"/>
    <n v="0"/>
  </r>
  <r>
    <s v="Гончий Ярослав"/>
    <s v="В"/>
    <s v="В"/>
    <m/>
    <m/>
    <m/>
    <s v="Тури"/>
    <s v="Тури"/>
    <x v="98"/>
    <x v="0"/>
    <m/>
    <n v="64.142857142857139"/>
    <n v="26"/>
    <n v="74"/>
    <n v="70"/>
    <n v="76"/>
    <n v="79"/>
    <n v="80"/>
    <n v="44"/>
    <n v="0"/>
    <n v="1178917"/>
    <n v="98243.083333333328"/>
    <n v="0"/>
  </r>
  <r>
    <s v="Ловчий"/>
    <s v="В"/>
    <s v="В"/>
    <m/>
    <m/>
    <s v="Тури"/>
    <s v="Тури"/>
    <s v="Тури"/>
    <x v="98"/>
    <x v="0"/>
    <m/>
    <n v="73.285714285714292"/>
    <n v="60"/>
    <n v="71"/>
    <n v="72"/>
    <n v="80"/>
    <n v="75"/>
    <n v="80"/>
    <n v="75"/>
    <n v="31"/>
    <n v="6703237"/>
    <n v="558603.08333333337"/>
    <n v="0"/>
  </r>
  <r>
    <s v="Авроров"/>
    <s v="З"/>
    <s v="ЦЗ"/>
    <s v="ОПЗ"/>
    <m/>
    <s v="Тури"/>
    <s v="Тури"/>
    <s v="Тури"/>
    <x v="98"/>
    <x v="0"/>
    <m/>
    <n v="66"/>
    <n v="36"/>
    <n v="70"/>
    <n v="70"/>
    <n v="72"/>
    <n v="80"/>
    <n v="83"/>
    <n v="51"/>
    <n v="0"/>
    <n v="1568337"/>
    <n v="130694.75"/>
    <n v="0"/>
  </r>
  <r>
    <s v="Глубиц"/>
    <s v="З"/>
    <s v="ЦЗ"/>
    <s v="ПЗ"/>
    <m/>
    <s v="Тури"/>
    <s v="Тури"/>
    <s v="Тури"/>
    <x v="98"/>
    <x v="0"/>
    <m/>
    <n v="64.428571428571431"/>
    <n v="28"/>
    <n v="65"/>
    <n v="71"/>
    <n v="76"/>
    <n v="82"/>
    <n v="88"/>
    <n v="41"/>
    <n v="0"/>
    <n v="1232495"/>
    <n v="102707.91666666667"/>
    <n v="0"/>
  </r>
  <r>
    <s v="Дубровин Мош"/>
    <s v="З"/>
    <s v="ЦЗ"/>
    <m/>
    <m/>
    <m/>
    <s v="Тури"/>
    <s v="Тури"/>
    <x v="98"/>
    <x v="0"/>
    <m/>
    <n v="54.142857142857146"/>
    <n v="20"/>
    <n v="59"/>
    <n v="54"/>
    <n v="66"/>
    <n v="71"/>
    <n v="78"/>
    <n v="31"/>
    <n v="0"/>
    <n v="216477"/>
    <n v="18039.75"/>
    <n v="0"/>
  </r>
  <r>
    <s v="Каменец Иржи"/>
    <s v="З"/>
    <s v="ЦЗ"/>
    <s v="ПЗ"/>
    <m/>
    <m/>
    <s v="Тури"/>
    <s v="Тури"/>
    <x v="98"/>
    <x v="0"/>
    <m/>
    <n v="66.714285714285708"/>
    <n v="29"/>
    <n v="76"/>
    <n v="68"/>
    <n v="81"/>
    <n v="83"/>
    <n v="84"/>
    <n v="46"/>
    <n v="0"/>
    <n v="1746580"/>
    <n v="145548.33333333334"/>
    <n v="0"/>
  </r>
  <r>
    <s v="Коршун"/>
    <s v="З"/>
    <s v="ЦЗ"/>
    <m/>
    <m/>
    <s v="Тури"/>
    <s v="Тури"/>
    <s v="Тури"/>
    <x v="98"/>
    <x v="0"/>
    <m/>
    <n v="64.142857142857139"/>
    <n v="31"/>
    <n v="63"/>
    <n v="70"/>
    <n v="77"/>
    <n v="78"/>
    <n v="90"/>
    <n v="40"/>
    <n v="0"/>
    <n v="1178917"/>
    <n v="98243.083333333328"/>
    <n v="0"/>
  </r>
  <r>
    <s v="Кравец Тадеуш"/>
    <s v="З"/>
    <s v="ЦЗ"/>
    <s v="ОПЗ"/>
    <m/>
    <m/>
    <s v="Тури"/>
    <s v="Тури"/>
    <x v="98"/>
    <x v="0"/>
    <m/>
    <n v="62"/>
    <n v="25"/>
    <n v="71"/>
    <n v="63"/>
    <n v="75"/>
    <n v="79"/>
    <n v="82"/>
    <n v="39"/>
    <n v="0"/>
    <n v="839300"/>
    <n v="69941.666666666672"/>
    <n v="0"/>
  </r>
  <r>
    <s v="Стрижун Влас"/>
    <s v="З"/>
    <s v="ЦЗ"/>
    <s v="ОПЗ"/>
    <m/>
    <m/>
    <s v="Тури"/>
    <s v="Тури"/>
    <x v="98"/>
    <x v="0"/>
    <m/>
    <n v="58.285714285714285"/>
    <n v="21"/>
    <n v="66"/>
    <n v="60"/>
    <n v="72"/>
    <n v="77"/>
    <n v="79"/>
    <n v="33"/>
    <n v="0"/>
    <n v="452503"/>
    <n v="37708.583333333336"/>
    <n v="0"/>
  </r>
  <r>
    <s v="Матросов"/>
    <s v="Н"/>
    <s v="ЦН"/>
    <s v="АПЗ"/>
    <m/>
    <s v="Тури"/>
    <s v="Тури"/>
    <s v="Тури"/>
    <x v="98"/>
    <x v="0"/>
    <m/>
    <n v="65.285714285714292"/>
    <n v="40"/>
    <n v="65"/>
    <n v="83"/>
    <n v="70"/>
    <n v="67"/>
    <n v="82"/>
    <n v="50"/>
    <n v="0"/>
    <n v="1406636"/>
    <n v="117219.66666666667"/>
    <n v="0"/>
  </r>
  <r>
    <s v="Окта"/>
    <s v="Н"/>
    <s v="ЦН"/>
    <s v="АПЗ"/>
    <m/>
    <s v="Мох"/>
    <s v="Мох"/>
    <s v="Мох"/>
    <x v="98"/>
    <x v="0"/>
    <m/>
    <n v="65.142857142857139"/>
    <n v="40"/>
    <n v="82"/>
    <n v="71"/>
    <n v="70"/>
    <n v="71"/>
    <n v="70"/>
    <n v="52"/>
    <n v="0"/>
    <n v="1376158"/>
    <n v="114679.83333333333"/>
    <n v="0"/>
  </r>
  <r>
    <s v="Смелянский Рауль"/>
    <s v="Н"/>
    <s v="ЦН"/>
    <s v="АПЗ"/>
    <m/>
    <m/>
    <s v="Тури"/>
    <s v="Тури"/>
    <x v="98"/>
    <x v="0"/>
    <m/>
    <n v="67.857142857142861"/>
    <n v="28"/>
    <n v="79"/>
    <n v="77"/>
    <n v="78"/>
    <n v="82"/>
    <n v="86"/>
    <n v="45"/>
    <n v="0"/>
    <n v="2069931"/>
    <n v="172494.25"/>
    <n v="0"/>
  </r>
  <r>
    <s v="Грайманхол"/>
    <s v="П"/>
    <s v="ОПЗ"/>
    <s v="ЦЗ"/>
    <m/>
    <s v="Тури"/>
    <s v="Тури"/>
    <s v="Тури"/>
    <x v="98"/>
    <x v="0"/>
    <m/>
    <n v="59.142857142857146"/>
    <n v="35"/>
    <n v="61"/>
    <n v="68"/>
    <n v="66"/>
    <n v="75"/>
    <n v="72"/>
    <n v="37"/>
    <n v="0"/>
    <n v="523629"/>
    <n v="43635.75"/>
    <n v="0"/>
  </r>
  <r>
    <s v="Загребный Олег"/>
    <s v="П"/>
    <s v="ППЗ"/>
    <s v="АПЗ"/>
    <m/>
    <m/>
    <s v="Тури"/>
    <s v="Тури"/>
    <x v="98"/>
    <x v="0"/>
    <m/>
    <n v="61.857142857142854"/>
    <n v="24"/>
    <n v="78"/>
    <n v="66"/>
    <n v="73"/>
    <n v="76"/>
    <n v="75"/>
    <n v="41"/>
    <n v="0"/>
    <n v="820160"/>
    <n v="68346.666666666672"/>
    <n v="0"/>
  </r>
  <r>
    <s v="Мильбрат Ханс"/>
    <s v="П"/>
    <s v="ЦПЗ"/>
    <s v="ОПЗ"/>
    <m/>
    <m/>
    <s v="Тури"/>
    <s v="Тури"/>
    <x v="98"/>
    <x v="0"/>
    <m/>
    <n v="54.714285714285715"/>
    <n v="20"/>
    <n v="64"/>
    <n v="57"/>
    <n v="71"/>
    <n v="68"/>
    <n v="73"/>
    <n v="30"/>
    <n v="0"/>
    <n v="240441"/>
    <n v="20036.75"/>
    <n v="0"/>
  </r>
  <r>
    <s v="Мильтер"/>
    <s v="П"/>
    <s v="ЦПЗ"/>
    <m/>
    <m/>
    <s v="Тури"/>
    <s v="Тури"/>
    <s v="Тури"/>
    <x v="98"/>
    <x v="0"/>
    <m/>
    <n v="50.285714285714285"/>
    <n v="25"/>
    <n v="50"/>
    <n v="53"/>
    <n v="68"/>
    <n v="50"/>
    <n v="59"/>
    <n v="47"/>
    <n v="0"/>
    <n v="103383"/>
    <n v="8615.25"/>
    <n v="0"/>
  </r>
  <r>
    <s v="Паймар"/>
    <s v="П"/>
    <s v="ЦПЗ"/>
    <s v="ОПЗ"/>
    <m/>
    <s v="Тури"/>
    <s v="Тури"/>
    <s v="Тури"/>
    <x v="98"/>
    <x v="0"/>
    <m/>
    <n v="58.285714285714285"/>
    <n v="65"/>
    <n v="60"/>
    <n v="50"/>
    <n v="58"/>
    <n v="61"/>
    <n v="74"/>
    <n v="40"/>
    <n v="0"/>
    <n v="452503"/>
    <n v="37708.583333333336"/>
    <n v="0"/>
  </r>
  <r>
    <s v="Пандурин (П)"/>
    <s v="П"/>
    <s v="ОПЗ"/>
    <s v="ЦЗ"/>
    <m/>
    <s v="Мох"/>
    <s v="Мох"/>
    <s v="Мох"/>
    <x v="98"/>
    <x v="0"/>
    <m/>
    <n v="79.857142857142861"/>
    <n v="80"/>
    <n v="79"/>
    <n v="83"/>
    <n v="81"/>
    <n v="80"/>
    <n v="86"/>
    <n v="70"/>
    <n v="26"/>
    <n v="15820819"/>
    <n v="1318401.5833333333"/>
    <n v="0"/>
  </r>
  <r>
    <s v="Пандуров Люк"/>
    <s v="П"/>
    <s v="ОПЗ"/>
    <s v="ЦЗ"/>
    <m/>
    <m/>
    <s v="Тури"/>
    <s v="Тури"/>
    <x v="98"/>
    <x v="0"/>
    <m/>
    <n v="65"/>
    <n v="26"/>
    <n v="77"/>
    <n v="69"/>
    <n v="82"/>
    <n v="78"/>
    <n v="80"/>
    <n v="43"/>
    <n v="0"/>
    <n v="1346275"/>
    <n v="112189.58333333333"/>
    <n v="0"/>
  </r>
  <r>
    <s v="Смелый"/>
    <s v="П"/>
    <s v="ППЗ"/>
    <s v="ОПЗ"/>
    <m/>
    <s v="Нест"/>
    <s v="Нест"/>
    <s v="Нест"/>
    <x v="98"/>
    <x v="0"/>
    <m/>
    <n v="81.714285714285708"/>
    <n v="76"/>
    <n v="93"/>
    <n v="82"/>
    <n v="88"/>
    <n v="87"/>
    <n v="82"/>
    <n v="64"/>
    <n v="23"/>
    <n v="19909995"/>
    <n v="1659166.25"/>
    <n v="0"/>
  </r>
  <r>
    <s v="Ханойников"/>
    <s v="П"/>
    <s v="ОПЗ"/>
    <m/>
    <m/>
    <s v="Тури"/>
    <s v="Тури"/>
    <s v="Тури"/>
    <x v="98"/>
    <x v="0"/>
    <m/>
    <n v="55"/>
    <n v="48"/>
    <n v="52"/>
    <n v="64"/>
    <n v="64"/>
    <n v="68"/>
    <n v="57"/>
    <n v="32"/>
    <n v="0"/>
    <n v="253296"/>
    <n v="21108"/>
    <n v="0"/>
  </r>
  <r>
    <s v="Хорватин Марек"/>
    <s v="П"/>
    <s v="ЛПЗ"/>
    <s v="ОПЗ"/>
    <m/>
    <m/>
    <s v="Тури"/>
    <s v="Тури"/>
    <x v="98"/>
    <x v="0"/>
    <m/>
    <n v="57.714285714285715"/>
    <n v="22"/>
    <n v="70"/>
    <n v="61"/>
    <n v="72"/>
    <n v="69"/>
    <n v="74"/>
    <n v="36"/>
    <n v="0"/>
    <n v="410047"/>
    <n v="34170.583333333336"/>
    <n v="0"/>
  </r>
  <r>
    <s v="Тизель"/>
    <s v="Т"/>
    <s v="Т"/>
    <m/>
    <m/>
    <m/>
    <s v="А.Н."/>
    <s v="А.Н."/>
    <x v="98"/>
    <x v="0"/>
    <m/>
    <n v="73.428571428571431"/>
    <n v="56"/>
    <n v="78"/>
    <n v="78"/>
    <n v="74"/>
    <n v="77"/>
    <n v="85"/>
    <n v="66"/>
    <n v="0"/>
    <n v="4556704"/>
    <n v="379725.33333333331"/>
    <n v="0"/>
  </r>
  <r>
    <s v="Гракх Люций"/>
    <s v="В"/>
    <s v="В"/>
    <m/>
    <m/>
    <m/>
    <s v="Юл"/>
    <s v="Юл"/>
    <x v="99"/>
    <x v="0"/>
    <m/>
    <n v="67.857142857142861"/>
    <n v="28"/>
    <n v="84"/>
    <n v="76"/>
    <n v="80"/>
    <n v="75"/>
    <n v="79"/>
    <n v="53"/>
    <n v="0"/>
    <n v="2069931"/>
    <n v="172494.25"/>
    <n v="0"/>
  </r>
  <r>
    <s v="Цезарр (В)"/>
    <s v="В"/>
    <s v="В"/>
    <m/>
    <m/>
    <s v="Юл"/>
    <s v="Юл"/>
    <s v="Юл"/>
    <x v="99"/>
    <x v="0"/>
    <m/>
    <n v="72.571428571428569"/>
    <n v="65"/>
    <n v="92"/>
    <n v="85"/>
    <n v="78"/>
    <n v="79"/>
    <n v="75"/>
    <n v="34"/>
    <n v="29"/>
    <n v="6077823"/>
    <n v="506485.25"/>
    <n v="0"/>
  </r>
  <r>
    <s v="Валерий Гай"/>
    <s v="З"/>
    <s v="ЦЗ"/>
    <m/>
    <m/>
    <s v="Юл"/>
    <s v="Юл"/>
    <s v="Юл"/>
    <x v="99"/>
    <x v="0"/>
    <m/>
    <n v="70.285714285714292"/>
    <n v="25"/>
    <n v="88"/>
    <n v="66"/>
    <n v="82"/>
    <n v="89"/>
    <n v="87"/>
    <n v="55"/>
    <n v="0"/>
    <n v="2942190"/>
    <n v="245182.5"/>
    <n v="0"/>
  </r>
  <r>
    <s v="Валлес"/>
    <s v="З"/>
    <s v="ЦЗ"/>
    <m/>
    <m/>
    <s v="Юл"/>
    <s v="Юл"/>
    <s v="Юл"/>
    <x v="99"/>
    <x v="0"/>
    <m/>
    <n v="77.857142857142861"/>
    <n v="65"/>
    <n v="85"/>
    <n v="76"/>
    <n v="84"/>
    <n v="78"/>
    <n v="83"/>
    <n v="74"/>
    <n v="0"/>
    <n v="8184359"/>
    <n v="621979.33333333337"/>
    <n v="0"/>
  </r>
  <r>
    <s v="Дециллий Алес"/>
    <s v="З"/>
    <s v="ЦЗ"/>
    <s v="ПЗ"/>
    <m/>
    <m/>
    <s v="Юл"/>
    <s v="Юл"/>
    <x v="99"/>
    <x v="0"/>
    <m/>
    <n v="70.285714285714292"/>
    <n v="25"/>
    <n v="88"/>
    <n v="66"/>
    <n v="82"/>
    <n v="89"/>
    <n v="87"/>
    <n v="55"/>
    <n v="0"/>
    <n v="2942190"/>
    <n v="245182.5"/>
    <n v="0"/>
  </r>
  <r>
    <s v="Кит Охреба"/>
    <s v="З"/>
    <s v="ЦЗ"/>
    <s v="ОПЗ"/>
    <m/>
    <m/>
    <s v="Юл"/>
    <s v="Юл"/>
    <x v="99"/>
    <x v="0"/>
    <m/>
    <n v="71.142857142857139"/>
    <n v="40"/>
    <n v="83"/>
    <n v="75"/>
    <n v="80"/>
    <n v="84"/>
    <n v="85"/>
    <n v="51"/>
    <n v="12"/>
    <n v="4982007"/>
    <n v="145548.33333333334"/>
    <n v="0"/>
  </r>
  <r>
    <s v="Келли"/>
    <s v="З"/>
    <s v="ЦЗ"/>
    <m/>
    <m/>
    <s v="Юл"/>
    <s v="Юл"/>
    <s v="Юл"/>
    <x v="99"/>
    <x v="0"/>
    <m/>
    <n v="77.142857142857139"/>
    <n v="70"/>
    <n v="75"/>
    <n v="77"/>
    <n v="82"/>
    <n v="80"/>
    <n v="83"/>
    <n v="73"/>
    <n v="0"/>
    <n v="7463752"/>
    <n v="621979.33333333337"/>
    <n v="0"/>
  </r>
  <r>
    <s v="Маус (З)"/>
    <s v="З"/>
    <s v="ЦЗ"/>
    <m/>
    <m/>
    <s v="Юл"/>
    <s v="Юл"/>
    <s v="Юл"/>
    <x v="99"/>
    <x v="0"/>
    <m/>
    <n v="75.428571428571431"/>
    <n v="60"/>
    <n v="72"/>
    <n v="75"/>
    <n v="80"/>
    <n v="82"/>
    <n v="89"/>
    <n v="70"/>
    <n v="0"/>
    <n v="5961545"/>
    <n v="496795.41666666669"/>
    <n v="0"/>
  </r>
  <r>
    <s v="Октавьер"/>
    <s v="З"/>
    <s v="ЦЗ"/>
    <s v="ПЗ"/>
    <m/>
    <s v="Юл"/>
    <s v="Юл"/>
    <s v="Юл"/>
    <x v="99"/>
    <x v="0"/>
    <m/>
    <n v="83.857142857142861"/>
    <n v="74"/>
    <n v="78"/>
    <n v="85"/>
    <n v="85"/>
    <n v="85"/>
    <n v="94"/>
    <n v="86"/>
    <n v="18"/>
    <n v="25792407"/>
    <n v="2149367.25"/>
    <n v="0"/>
  </r>
  <r>
    <s v="Флавиан Марк"/>
    <s v="З"/>
    <s v="ЦЗ"/>
    <s v="ПЗ"/>
    <m/>
    <m/>
    <s v="Юл"/>
    <s v="Юл"/>
    <x v="99"/>
    <x v="0"/>
    <m/>
    <n v="72.428571428571431"/>
    <n v="34"/>
    <n v="86"/>
    <n v="70"/>
    <n v="84"/>
    <n v="88"/>
    <n v="88"/>
    <n v="57"/>
    <n v="0"/>
    <n v="3972823"/>
    <n v="331068.58333333331"/>
    <n v="0"/>
  </r>
  <r>
    <s v="Кайн (Н)"/>
    <s v="Н"/>
    <s v="ЦН"/>
    <s v="АПЗ"/>
    <m/>
    <s v="Юл"/>
    <s v="Юл"/>
    <s v="Юл"/>
    <x v="99"/>
    <x v="0"/>
    <m/>
    <n v="87"/>
    <n v="80"/>
    <n v="89"/>
    <n v="92"/>
    <n v="86"/>
    <n v="84"/>
    <n v="90"/>
    <n v="88"/>
    <n v="7"/>
    <n v="37263513"/>
    <n v="3105292.75"/>
    <n v="0"/>
  </r>
  <r>
    <s v="М. Калиптер (Н)"/>
    <s v="Н"/>
    <s v="ОФ"/>
    <s v="ППЗ"/>
    <m/>
    <s v="Юл"/>
    <s v="Юл"/>
    <s v="Юл"/>
    <x v="99"/>
    <x v="0"/>
    <m/>
    <n v="86.285714285714292"/>
    <n v="75"/>
    <n v="86"/>
    <n v="86"/>
    <n v="88"/>
    <n v="89"/>
    <n v="91"/>
    <n v="89"/>
    <n v="19"/>
    <n v="34314704"/>
    <n v="2859558.6666666665"/>
    <n v="0"/>
  </r>
  <r>
    <s v="М. Кинли (Н)"/>
    <s v="Н"/>
    <s v="ЦН"/>
    <s v="ОФ"/>
    <m/>
    <s v="Зол.Хол"/>
    <s v="Зол.Хол"/>
    <s v="Зол.Хол"/>
    <x v="99"/>
    <x v="0"/>
    <m/>
    <n v="83.142857142857139"/>
    <n v="78"/>
    <n v="86"/>
    <n v="88"/>
    <n v="85"/>
    <n v="83"/>
    <n v="76"/>
    <n v="86"/>
    <n v="5"/>
    <n v="23677765"/>
    <n v="1973147.0833333333"/>
    <n v="0"/>
  </r>
  <r>
    <s v="Публий Авл"/>
    <s v="Н"/>
    <s v="ЦН"/>
    <s v="ОФ"/>
    <m/>
    <s v="Юл"/>
    <s v="Юл"/>
    <s v="Юл"/>
    <x v="99"/>
    <x v="0"/>
    <m/>
    <n v="71.142857142857139"/>
    <n v="39"/>
    <n v="82"/>
    <n v="84"/>
    <n v="80"/>
    <n v="79"/>
    <n v="76"/>
    <n v="58"/>
    <n v="0"/>
    <n v="3321338"/>
    <n v="276778.16666666669"/>
    <n v="0"/>
  </r>
  <r>
    <s v="Тиб Алистер"/>
    <s v="Н"/>
    <s v="ЦН"/>
    <s v="АПЗ"/>
    <m/>
    <m/>
    <s v="Юл"/>
    <s v="Юл"/>
    <x v="99"/>
    <x v="0"/>
    <m/>
    <n v="68.142857142857139"/>
    <n v="24"/>
    <n v="85"/>
    <n v="70"/>
    <n v="82"/>
    <n v="78"/>
    <n v="84"/>
    <n v="54"/>
    <n v="0"/>
    <n v="2158756"/>
    <n v="179896.33333333334"/>
    <n v="0"/>
  </r>
  <r>
    <s v="Фабий Луций"/>
    <s v="Н"/>
    <s v="ОФ"/>
    <s v="ППЗ"/>
    <m/>
    <s v="Юл"/>
    <s v="Юл"/>
    <s v="Юл"/>
    <x v="99"/>
    <x v="0"/>
    <m/>
    <n v="72.714285714285708"/>
    <n v="32"/>
    <n v="79"/>
    <n v="86"/>
    <n v="84"/>
    <n v="84"/>
    <n v="88"/>
    <n v="56"/>
    <n v="0"/>
    <n v="4132354"/>
    <n v="344362.83333333331"/>
    <n v="0"/>
  </r>
  <r>
    <s v="Асин (П)"/>
    <s v="П"/>
    <s v="ОПЗ"/>
    <s v="ЦЗ"/>
    <m/>
    <s v="Юл"/>
    <s v="Тевт"/>
    <s v="Тевт"/>
    <x v="99"/>
    <x v="0"/>
    <m/>
    <n v="79.285714285714292"/>
    <n v="70"/>
    <n v="83"/>
    <n v="85"/>
    <n v="78"/>
    <n v="84"/>
    <n v="90"/>
    <n v="65"/>
    <n v="26"/>
    <n v="14724505"/>
    <n v="1227042.0833333333"/>
    <n v="0"/>
  </r>
  <r>
    <s v="Клавдий Деций"/>
    <s v="П"/>
    <s v="ОПЗ"/>
    <s v="ЦЗ"/>
    <m/>
    <m/>
    <s v="Юл"/>
    <s v="Юл"/>
    <x v="99"/>
    <x v="0"/>
    <m/>
    <n v="67.285714285714292"/>
    <n v="21"/>
    <n v="84"/>
    <n v="59"/>
    <n v="78"/>
    <n v="90"/>
    <n v="87"/>
    <n v="52"/>
    <n v="0"/>
    <n v="1902080"/>
    <n v="158506.66666666666"/>
    <n v="0"/>
  </r>
  <r>
    <s v="М. Август (П)"/>
    <s v="П"/>
    <s v="ЛПЗ"/>
    <s v="ППЗ"/>
    <s v="ЦПЗ"/>
    <s v="Юл"/>
    <s v="Юл"/>
    <s v="Юл"/>
    <x v="99"/>
    <x v="0"/>
    <m/>
    <n v="83.857142857142861"/>
    <n v="81"/>
    <n v="88"/>
    <n v="84"/>
    <n v="84"/>
    <n v="84"/>
    <n v="83"/>
    <n v="83"/>
    <n v="23"/>
    <n v="25792407"/>
    <n v="2149367.25"/>
    <n v="0"/>
  </r>
  <r>
    <s v="Оганов (П)"/>
    <s v="П"/>
    <s v="ОПЗ"/>
    <s v="ЦЗ"/>
    <s v="ЦПЗ"/>
    <s v="Юл"/>
    <s v="Юл"/>
    <s v="Юл"/>
    <x v="99"/>
    <x v="0"/>
    <m/>
    <n v="86.571428571428569"/>
    <n v="80"/>
    <n v="84"/>
    <n v="90"/>
    <n v="82"/>
    <n v="90"/>
    <n v="95"/>
    <n v="85"/>
    <n v="18"/>
    <n v="35468033"/>
    <n v="2955669.4166666665"/>
    <n v="0"/>
  </r>
  <r>
    <s v="Мервилаос Аппи"/>
    <s v="П"/>
    <s v="ЛПЗ"/>
    <s v="ППЗ"/>
    <m/>
    <m/>
    <s v="Юл"/>
    <s v="Юл"/>
    <x v="99"/>
    <x v="0"/>
    <m/>
    <n v="70.714285714285708"/>
    <n v="27"/>
    <n v="90"/>
    <n v="72"/>
    <n v="83"/>
    <n v="83"/>
    <n v="84"/>
    <n v="56"/>
    <n v="0"/>
    <n v="3126595"/>
    <n v="260549.58333333334"/>
    <n v="0"/>
  </r>
  <r>
    <s v="Цезди (П)"/>
    <s v="П"/>
    <s v="ЦПЗ"/>
    <s v="ОПЗ"/>
    <m/>
    <s v="Юл"/>
    <s v="Юл"/>
    <s v="Юл"/>
    <x v="99"/>
    <x v="0"/>
    <m/>
    <n v="89.428571428571431"/>
    <n v="90"/>
    <n v="91"/>
    <n v="92"/>
    <n v="88"/>
    <n v="85"/>
    <n v="86"/>
    <n v="94"/>
    <n v="17"/>
    <n v="49074309"/>
    <n v="4089525.75"/>
    <n v="0"/>
  </r>
  <r>
    <s v="Сенека Квинт"/>
    <s v="Т"/>
    <s v="Т"/>
    <m/>
    <m/>
    <m/>
    <s v="Юл"/>
    <s v="Юл"/>
    <x v="99"/>
    <x v="0"/>
    <m/>
    <n v="65.285714285714292"/>
    <n v="27"/>
    <n v="72"/>
    <n v="70"/>
    <n v="78"/>
    <n v="76"/>
    <n v="80"/>
    <n v="54"/>
    <n v="0"/>
    <n v="1406636"/>
    <n v="117219.66666666667"/>
    <n v="0"/>
  </r>
  <r>
    <s v="Зуль-Аж"/>
    <s v="В"/>
    <s v="В"/>
    <m/>
    <m/>
    <s v="С.С."/>
    <s v="Лес"/>
    <s v="Лес"/>
    <x v="100"/>
    <x v="0"/>
    <m/>
    <n v="69.142857142857139"/>
    <n v="65"/>
    <n v="70"/>
    <n v="95"/>
    <n v="23"/>
    <n v="86"/>
    <n v="77"/>
    <n v="68"/>
    <n v="0"/>
    <n v="2497315"/>
    <n v="208109.58333333334"/>
    <n v="0"/>
  </r>
  <r>
    <s v="Моргуша (В)"/>
    <s v="В"/>
    <s v="В"/>
    <m/>
    <m/>
    <s v="Б.Л."/>
    <s v="Б.Л."/>
    <s v="Б.Л."/>
    <x v="100"/>
    <x v="0"/>
    <m/>
    <n v="79.571428571428569"/>
    <n v="65"/>
    <n v="85"/>
    <n v="72"/>
    <n v="75"/>
    <n v="94"/>
    <n v="94"/>
    <n v="72"/>
    <n v="29"/>
    <n v="15263806"/>
    <n v="1271983.8333333333"/>
    <n v="0"/>
  </r>
  <r>
    <s v="Гравцув"/>
    <s v="З"/>
    <s v="ЦЗ"/>
    <m/>
    <m/>
    <s v="Ч.Л."/>
    <s v="Ч.Л."/>
    <s v="Ч.Л."/>
    <x v="100"/>
    <x v="0"/>
    <m/>
    <n v="76.714285714285708"/>
    <n v="54"/>
    <n v="75"/>
    <n v="77"/>
    <n v="85"/>
    <n v="84"/>
    <n v="84"/>
    <n v="78"/>
    <n v="0"/>
    <n v="7059314"/>
    <n v="588276.16666666663"/>
    <n v="0"/>
  </r>
  <r>
    <s v="Зонтер (З)"/>
    <s v="З"/>
    <s v="ЦЗ"/>
    <s v="ЛЗ"/>
    <m/>
    <s v="Ч.Л."/>
    <s v="Ч.Л."/>
    <s v="Ч.Л."/>
    <x v="100"/>
    <x v="0"/>
    <m/>
    <n v="68.714285714285708"/>
    <n v="45"/>
    <n v="68"/>
    <n v="73"/>
    <n v="70"/>
    <n v="82"/>
    <n v="88"/>
    <n v="55"/>
    <n v="0"/>
    <n v="2346770"/>
    <n v="195564.16666666666"/>
    <n v="0"/>
  </r>
  <r>
    <s v="Коршита (З)"/>
    <s v="З"/>
    <s v="ЦЗ"/>
    <m/>
    <m/>
    <s v="Ч.Л."/>
    <s v="Ч.Л."/>
    <s v="Ч.Л."/>
    <x v="100"/>
    <x v="0"/>
    <m/>
    <n v="72"/>
    <n v="52"/>
    <n v="70"/>
    <n v="71"/>
    <n v="78"/>
    <n v="81"/>
    <n v="92"/>
    <n v="60"/>
    <n v="0"/>
    <n v="3743907"/>
    <n v="311992.25"/>
    <n v="0"/>
  </r>
  <r>
    <s v="Мивани (З)"/>
    <s v="З"/>
    <s v="ЦЗ"/>
    <m/>
    <m/>
    <s v="Ч.Л."/>
    <s v="Ч.Л."/>
    <s v="Ч.Л."/>
    <x v="100"/>
    <x v="0"/>
    <m/>
    <n v="68.285714285714292"/>
    <n v="48"/>
    <n v="69"/>
    <n v="74"/>
    <n v="71"/>
    <n v="78"/>
    <n v="87"/>
    <n v="51"/>
    <n v="0"/>
    <n v="2204442"/>
    <n v="183703.5"/>
    <n v="0"/>
  </r>
  <r>
    <s v="Нойз (З)"/>
    <s v="З"/>
    <s v="ЦЗ"/>
    <m/>
    <m/>
    <s v="Ч.Л."/>
    <s v="Ч.Л."/>
    <s v="Ч.Л."/>
    <x v="100"/>
    <x v="0"/>
    <m/>
    <n v="73.571428571428569"/>
    <n v="51"/>
    <n v="71"/>
    <n v="75"/>
    <n v="80"/>
    <n v="84"/>
    <n v="89"/>
    <n v="65"/>
    <n v="0"/>
    <n v="4646136"/>
    <n v="387178"/>
    <n v="0"/>
  </r>
  <r>
    <s v="Плизель"/>
    <s v="З"/>
    <s v="ПЗ"/>
    <s v="ЦЗ"/>
    <m/>
    <s v="Ч.Л."/>
    <s v="Ч.Л."/>
    <s v="Ч.Л."/>
    <x v="100"/>
    <x v="0"/>
    <m/>
    <n v="73.428571428571431"/>
    <n v="51"/>
    <n v="77"/>
    <n v="74"/>
    <n v="78"/>
    <n v="79"/>
    <n v="75"/>
    <n v="80"/>
    <n v="0"/>
    <n v="4556704"/>
    <n v="379725.33333333331"/>
    <n v="0"/>
  </r>
  <r>
    <s v="Цувель"/>
    <s v="З"/>
    <s v="ЦЗ"/>
    <m/>
    <m/>
    <s v="Орех"/>
    <s v="Орех"/>
    <s v="Орех"/>
    <x v="100"/>
    <x v="0"/>
    <m/>
    <n v="67"/>
    <n v="62"/>
    <n v="71"/>
    <n v="75"/>
    <n v="69"/>
    <n v="74"/>
    <n v="78"/>
    <n v="40"/>
    <n v="0"/>
    <n v="1822838"/>
    <n v="151903.16666666666"/>
    <n v="0"/>
  </r>
  <r>
    <s v="Брещан"/>
    <s v="Н"/>
    <s v="ЦН"/>
    <s v="ОФ"/>
    <m/>
    <s v="Ч.Л."/>
    <s v="Ч.Л."/>
    <s v="Ч.Л."/>
    <x v="100"/>
    <x v="0"/>
    <m/>
    <n v="74.285714285714292"/>
    <n v="46"/>
    <n v="80"/>
    <n v="85"/>
    <n v="75"/>
    <n v="80"/>
    <n v="91"/>
    <n v="63"/>
    <n v="7"/>
    <n v="7676165"/>
    <n v="387178"/>
    <n v="0"/>
  </r>
  <r>
    <s v="Лоргунс"/>
    <s v="Н"/>
    <s v="ОФ"/>
    <s v="ЦН"/>
    <m/>
    <s v="Лес"/>
    <s v="Лес"/>
    <s v="Лес"/>
    <x v="100"/>
    <x v="0"/>
    <m/>
    <n v="69.857142857142861"/>
    <n v="46"/>
    <n v="80"/>
    <n v="70"/>
    <n v="75"/>
    <n v="73"/>
    <n v="79"/>
    <n v="66"/>
    <n v="0"/>
    <n v="2767632"/>
    <n v="230636"/>
    <n v="0"/>
  </r>
  <r>
    <s v="Барханов"/>
    <s v="П"/>
    <s v="ЦПЗ"/>
    <s v="ППЗ"/>
    <m/>
    <s v="Ч.Л."/>
    <s v="Ч.Л."/>
    <s v="Ч.Л."/>
    <x v="100"/>
    <x v="0"/>
    <m/>
    <n v="53.428571428571431"/>
    <n v="27"/>
    <n v="61"/>
    <n v="65"/>
    <n v="54"/>
    <n v="50"/>
    <n v="62"/>
    <n v="55"/>
    <n v="0"/>
    <n v="189556"/>
    <n v="15796.333333333334"/>
    <n v="0"/>
  </r>
  <r>
    <s v="Гуль (П)"/>
    <s v="П"/>
    <s v="АПЗ"/>
    <s v="ЦПЗ"/>
    <m/>
    <s v="Ч.Л."/>
    <s v="Ч.Л."/>
    <s v="Ч.Л."/>
    <x v="100"/>
    <x v="0"/>
    <m/>
    <n v="83.428571428571431"/>
    <n v="75"/>
    <n v="83"/>
    <n v="93"/>
    <n v="82"/>
    <n v="80"/>
    <n v="83"/>
    <n v="88"/>
    <n v="21"/>
    <n v="24504133"/>
    <n v="2042011.0833333333"/>
    <n v="0"/>
  </r>
  <r>
    <s v="Остро-Вико"/>
    <s v="П"/>
    <s v="ППЗ"/>
    <s v="АПЗ"/>
    <m/>
    <s v="Ч.Л."/>
    <s v="Ч.Л."/>
    <s v="Ч.Л."/>
    <x v="100"/>
    <x v="0"/>
    <m/>
    <n v="72.285714285714292"/>
    <n v="50"/>
    <n v="90"/>
    <n v="73"/>
    <n v="80"/>
    <n v="73"/>
    <n v="70"/>
    <n v="70"/>
    <n v="22"/>
    <n v="5842733"/>
    <n v="486894.41666666669"/>
    <n v="0"/>
  </r>
  <r>
    <s v="Паолит"/>
    <s v="П"/>
    <s v="ЛПЗ"/>
    <s v="ЦПЗ"/>
    <m/>
    <s v="Ч.Л."/>
    <s v="Орех"/>
    <s v="Орех"/>
    <x v="100"/>
    <x v="0"/>
    <m/>
    <n v="52.714285714285715"/>
    <n v="27"/>
    <n v="74"/>
    <n v="55"/>
    <n v="60"/>
    <n v="50"/>
    <n v="50"/>
    <n v="53"/>
    <n v="0"/>
    <n v="165686"/>
    <n v="13807.166666666666"/>
    <n v="0"/>
  </r>
  <r>
    <s v="Филин (П)"/>
    <s v="П"/>
    <s v="ЦПЗ"/>
    <s v="ППЗ"/>
    <m/>
    <s v="Б.Л."/>
    <s v="Б.Л."/>
    <s v="Б.Л."/>
    <x v="100"/>
    <x v="0"/>
    <m/>
    <n v="81.285714285714292"/>
    <n v="53"/>
    <n v="80"/>
    <n v="90"/>
    <n v="83"/>
    <n v="90"/>
    <n v="93"/>
    <n v="80"/>
    <n v="18"/>
    <n v="18890069"/>
    <n v="1574172.4166666667"/>
    <n v="0"/>
  </r>
  <r>
    <s v="Ювь Юа"/>
    <s v="П"/>
    <s v="ЛПЗ"/>
    <s v="ОПЗ"/>
    <m/>
    <s v="С.С."/>
    <s v="Ч.Л."/>
    <s v="Ч.Л."/>
    <x v="100"/>
    <x v="0"/>
    <m/>
    <n v="73.142857142857139"/>
    <n v="60"/>
    <n v="85"/>
    <n v="80"/>
    <n v="79"/>
    <n v="85"/>
    <n v="73"/>
    <n v="50"/>
    <n v="0"/>
    <n v="4382473"/>
    <n v="365206.08333333331"/>
    <n v="0"/>
  </r>
  <r>
    <s v="Зорчий"/>
    <s v="Т"/>
    <s v="Т"/>
    <m/>
    <m/>
    <m/>
    <s v="Лищ"/>
    <s v="Лищ"/>
    <x v="100"/>
    <x v="0"/>
    <m/>
    <n v="88.857142857142861"/>
    <n v="85"/>
    <n v="80"/>
    <n v="94"/>
    <n v="96"/>
    <n v="95"/>
    <n v="89"/>
    <n v="83"/>
    <n v="0"/>
    <n v="30684811"/>
    <n v="2557067.5833333335"/>
    <n v="0"/>
  </r>
  <r>
    <s v="Тьорнвикс Торстейн"/>
    <s v="В"/>
    <s v="В"/>
    <m/>
    <m/>
    <m/>
    <s v="Кирп"/>
    <s v="Кирп"/>
    <x v="101"/>
    <x v="0"/>
    <m/>
    <n v="61.142857142857146"/>
    <n v="12"/>
    <n v="78"/>
    <n v="70"/>
    <n v="76"/>
    <n v="78"/>
    <n v="80"/>
    <n v="34"/>
    <n v="0"/>
    <n v="730226"/>
    <n v="60852.166666666664"/>
    <n v="0"/>
  </r>
  <r>
    <s v="Стикинбург (В)"/>
    <s v="В"/>
    <s v="В"/>
    <m/>
    <m/>
    <s v="Кирп"/>
    <s v="Кирп"/>
    <s v="Кирп"/>
    <x v="101"/>
    <x v="0"/>
    <m/>
    <n v="74.142857142857139"/>
    <n v="56"/>
    <n v="80"/>
    <n v="67"/>
    <n v="79"/>
    <n v="78"/>
    <n v="90"/>
    <n v="69"/>
    <n v="29"/>
    <n v="7529818"/>
    <n v="627484.83333333337"/>
    <n v="0"/>
  </r>
  <r>
    <s v="Кетиль Гуннар"/>
    <s v="З"/>
    <s v="ПЗ"/>
    <s v="ЦЗ"/>
    <m/>
    <m/>
    <s v="Кирп"/>
    <s v="Кирп"/>
    <x v="101"/>
    <x v="0"/>
    <m/>
    <n v="68"/>
    <n v="38"/>
    <n v="80"/>
    <n v="66"/>
    <n v="72"/>
    <n v="85"/>
    <n v="84"/>
    <n v="51"/>
    <n v="0"/>
    <n v="2113923"/>
    <n v="176160.25"/>
    <n v="0"/>
  </r>
  <r>
    <s v="Бьёстгор Харди"/>
    <s v="З"/>
    <s v="ЦЗ"/>
    <s v="ОПЗ"/>
    <m/>
    <m/>
    <s v="Кирп"/>
    <s v="Кирп"/>
    <x v="101"/>
    <x v="0"/>
    <m/>
    <n v="55.571428571428569"/>
    <n v="8"/>
    <n v="72"/>
    <n v="65"/>
    <n v="70"/>
    <n v="72"/>
    <n v="74"/>
    <n v="28"/>
    <n v="0"/>
    <n v="280877"/>
    <n v="23406.416666666668"/>
    <n v="0"/>
  </r>
  <r>
    <s v="Трюггви Свейн"/>
    <s v="З"/>
    <s v="ЛЗ"/>
    <s v="ЦЗ"/>
    <m/>
    <m/>
    <s v="Кирп"/>
    <s v="Кирп"/>
    <x v="101"/>
    <x v="0"/>
    <m/>
    <n v="59.428571428571431"/>
    <n v="11"/>
    <n v="76"/>
    <n v="68"/>
    <n v="74"/>
    <n v="76"/>
    <n v="78"/>
    <n v="33"/>
    <n v="0"/>
    <n v="549482"/>
    <n v="45790.166666666664"/>
    <n v="0"/>
  </r>
  <r>
    <s v="Параль Орис"/>
    <s v="З"/>
    <s v="ЦЗ"/>
    <s v="ЛЗ"/>
    <m/>
    <m/>
    <s v="Кирп"/>
    <s v="Кирп"/>
    <x v="101"/>
    <x v="0"/>
    <m/>
    <n v="63.714285714285715"/>
    <n v="14"/>
    <n v="82"/>
    <n v="74"/>
    <n v="78"/>
    <n v="80"/>
    <n v="82"/>
    <n v="36"/>
    <n v="0"/>
    <n v="1102474"/>
    <n v="91872.833333333328"/>
    <n v="0"/>
  </r>
  <r>
    <s v="Хрольф Эйнар"/>
    <s v="З"/>
    <s v="ПЗ"/>
    <s v="ЛЗ"/>
    <m/>
    <m/>
    <s v="Кирп"/>
    <s v="Кирп"/>
    <x v="101"/>
    <x v="0"/>
    <m/>
    <n v="52.142857142857146"/>
    <n v="7"/>
    <n v="68"/>
    <n v="60"/>
    <n v="66"/>
    <n v="68"/>
    <n v="70"/>
    <n v="26"/>
    <n v="0"/>
    <n v="148576"/>
    <n v="12381.333333333334"/>
    <n v="0"/>
  </r>
  <r>
    <s v="Маг Фиорт"/>
    <s v="Н"/>
    <s v="ЦН"/>
    <s v="ОФ"/>
    <m/>
    <m/>
    <s v="Кирп"/>
    <s v="Кирп"/>
    <x v="101"/>
    <x v="0"/>
    <m/>
    <n v="69"/>
    <n v="17"/>
    <n v="86"/>
    <n v="84"/>
    <n v="82"/>
    <n v="84"/>
    <n v="86"/>
    <n v="44"/>
    <n v="0"/>
    <n v="2446195"/>
    <n v="203849.58333333334"/>
    <n v="0"/>
  </r>
  <r>
    <s v="Вей Хакхог"/>
    <s v="Н"/>
    <s v="ОФ"/>
    <s v="ЦН"/>
    <m/>
    <m/>
    <s v="Кирп"/>
    <s v="Кирп"/>
    <x v="101"/>
    <x v="0"/>
    <m/>
    <n v="64.285714285714292"/>
    <n v="14"/>
    <n v="82"/>
    <n v="76"/>
    <n v="78"/>
    <n v="80"/>
    <n v="82"/>
    <n v="38"/>
    <n v="0"/>
    <n v="1205438"/>
    <n v="100453.16666666667"/>
    <n v="0"/>
  </r>
  <r>
    <s v="Лаксон Тюгвирт"/>
    <s v="П"/>
    <s v="ЛПЗ"/>
    <s v="ЦПЗ"/>
    <m/>
    <m/>
    <s v="Кирп"/>
    <s v="Кирп"/>
    <x v="101"/>
    <x v="0"/>
    <m/>
    <n v="60.857142857142854"/>
    <n v="33"/>
    <n v="75"/>
    <n v="70"/>
    <n v="70"/>
    <n v="70"/>
    <n v="68"/>
    <n v="40"/>
    <n v="0"/>
    <n v="696812"/>
    <n v="58067.666666666664"/>
    <n v="0"/>
  </r>
  <r>
    <s v="Вигго Алан"/>
    <s v="П"/>
    <s v="ЦПЗ"/>
    <s v="ОПЗ"/>
    <m/>
    <m/>
    <s v="Кирп"/>
    <s v="Кирп"/>
    <x v="101"/>
    <x v="0"/>
    <m/>
    <n v="73"/>
    <n v="30"/>
    <n v="83"/>
    <n v="80"/>
    <n v="86"/>
    <n v="75"/>
    <n v="77"/>
    <n v="80"/>
    <n v="0"/>
    <n v="4297626"/>
    <n v="358135.5"/>
    <n v="0"/>
  </r>
  <r>
    <s v="Ингвар Кетиль"/>
    <s v="П"/>
    <s v="АПЗ"/>
    <s v="ППЗ"/>
    <m/>
    <m/>
    <s v="Кирп"/>
    <s v="Кирп"/>
    <x v="101"/>
    <x v="0"/>
    <m/>
    <n v="56.571428571428569"/>
    <n v="9"/>
    <n v="73"/>
    <n v="65"/>
    <n v="71"/>
    <n v="73"/>
    <n v="75"/>
    <n v="30"/>
    <n v="0"/>
    <n v="335716"/>
    <n v="27976.333333333332"/>
    <n v="0"/>
  </r>
  <r>
    <s v="Сигвальд Хрольф"/>
    <s v="П"/>
    <s v="ЦПЗ"/>
    <s v="ЛПЗ"/>
    <m/>
    <m/>
    <s v="Кирп"/>
    <s v="Кирп"/>
    <x v="101"/>
    <x v="0"/>
    <m/>
    <n v="53"/>
    <n v="7"/>
    <n v="69"/>
    <n v="61"/>
    <n v="67"/>
    <n v="69"/>
    <n v="71"/>
    <n v="27"/>
    <n v="0"/>
    <n v="174888"/>
    <n v="14574"/>
    <n v="0"/>
  </r>
  <r>
    <s v="Снорри Хальвар"/>
    <s v="П"/>
    <s v="ЛПЗ"/>
    <s v="ОПЗ"/>
    <m/>
    <m/>
    <s v="Кирп"/>
    <s v="Кирп"/>
    <x v="101"/>
    <x v="0"/>
    <m/>
    <n v="59.285714285714285"/>
    <n v="10"/>
    <n v="76"/>
    <n v="68"/>
    <n v="74"/>
    <n v="76"/>
    <n v="78"/>
    <n v="33"/>
    <n v="0"/>
    <n v="536415"/>
    <n v="44701.25"/>
    <n v="0"/>
  </r>
  <r>
    <s v="Торлейф Бьорн"/>
    <s v="П"/>
    <s v="АПЗ"/>
    <s v="ЦПЗ"/>
    <m/>
    <m/>
    <s v="Кирп"/>
    <s v="Кирп"/>
    <x v="101"/>
    <x v="0"/>
    <m/>
    <n v="62.714285714285715"/>
    <n v="12"/>
    <n v="80"/>
    <n v="72"/>
    <n v="78"/>
    <n v="80"/>
    <n v="82"/>
    <n v="35"/>
    <n v="0"/>
    <n v="941163"/>
    <n v="78430.25"/>
    <n v="0"/>
  </r>
  <r>
    <s v="Фритьоф Хермод"/>
    <s v="П"/>
    <s v="ОПЗ"/>
    <s v="ЦЗ"/>
    <m/>
    <m/>
    <s v="Кирп"/>
    <s v="Кирп"/>
    <x v="101"/>
    <x v="0"/>
    <m/>
    <n v="65.571428571428569"/>
    <n v="15"/>
    <n v="84"/>
    <n v="76"/>
    <n v="80"/>
    <n v="82"/>
    <n v="84"/>
    <n v="38"/>
    <n v="0"/>
    <n v="1469422"/>
    <n v="122451.83333333333"/>
    <n v="0"/>
  </r>
  <r>
    <s v="Хакон Магнус"/>
    <s v="П"/>
    <s v="ОПЗ"/>
    <s v="ЦПЗ"/>
    <m/>
    <m/>
    <s v="Кирп"/>
    <s v="Кирп"/>
    <x v="101"/>
    <x v="0"/>
    <m/>
    <n v="55.142857142857146"/>
    <n v="8"/>
    <n v="70"/>
    <n v="63"/>
    <n v="70"/>
    <n v="72"/>
    <n v="74"/>
    <n v="29"/>
    <n v="0"/>
    <n v="259952"/>
    <n v="21662.666666666668"/>
    <n v="0"/>
  </r>
  <r>
    <s v="Хермод Вигго"/>
    <s v="П"/>
    <s v="ППЗ"/>
    <s v="АПЗ"/>
    <m/>
    <m/>
    <s v="Кирп"/>
    <s v="Кирп"/>
    <x v="101"/>
    <x v="0"/>
    <m/>
    <n v="70.857142857142861"/>
    <n v="18"/>
    <n v="88"/>
    <n v="86"/>
    <n v="84"/>
    <n v="86"/>
    <n v="88"/>
    <n v="46"/>
    <n v="0"/>
    <n v="3190336"/>
    <n v="265861.33333333331"/>
    <n v="0"/>
  </r>
  <r>
    <s v="Эйнар Сигурд"/>
    <s v="П"/>
    <s v="ППЗ"/>
    <s v="ЛПЗ"/>
    <m/>
    <m/>
    <s v="Кирп"/>
    <s v="Кирп"/>
    <x v="101"/>
    <x v="0"/>
    <m/>
    <n v="67.714285714285708"/>
    <n v="28"/>
    <n v="88"/>
    <n v="78"/>
    <n v="80"/>
    <n v="72"/>
    <n v="74"/>
    <n v="54"/>
    <n v="23"/>
    <n v="3040145"/>
    <n v="253345.41666666666"/>
    <n v="0"/>
  </r>
  <r>
    <s v="Хальвард Сигурд"/>
    <s v="Т"/>
    <s v="Т"/>
    <m/>
    <m/>
    <m/>
    <s v="Кирп"/>
    <s v="Кирп"/>
    <x v="101"/>
    <x v="0"/>
    <m/>
    <n v="58.285714285714285"/>
    <n v="10"/>
    <n v="75"/>
    <n v="67"/>
    <n v="73"/>
    <n v="75"/>
    <n v="77"/>
    <n v="31"/>
    <n v="0"/>
    <n v="452503"/>
    <n v="37708.583333333336"/>
    <n v="0"/>
  </r>
  <r>
    <s v="МакЭнджел"/>
    <s v="В"/>
    <s v="В"/>
    <m/>
    <m/>
    <s v="В.И."/>
    <s v="В.И."/>
    <s v="В.И."/>
    <x v="102"/>
    <x v="0"/>
    <m/>
    <n v="96.285714285714292"/>
    <n v="95"/>
    <n v="95"/>
    <n v="95"/>
    <n v="98"/>
    <n v="97"/>
    <n v="98"/>
    <n v="96"/>
    <n v="30"/>
    <n v="102732966"/>
    <n v="8561080.5"/>
    <n v="0"/>
  </r>
  <r>
    <s v="Джикиджи"/>
    <s v="З"/>
    <s v="ПЗ"/>
    <s v="ЦЗ"/>
    <m/>
    <s v="В.И."/>
    <s v="В.И."/>
    <s v="В.И."/>
    <x v="102"/>
    <x v="0"/>
    <m/>
    <n v="93.714285714285708"/>
    <n v="93"/>
    <n v="98"/>
    <n v="90"/>
    <n v="95"/>
    <n v="90"/>
    <n v="94"/>
    <n v="96"/>
    <n v="23"/>
    <n v="78369893"/>
    <n v="6530824.416666667"/>
    <n v="0"/>
  </r>
  <r>
    <s v="Железняк"/>
    <s v="З"/>
    <s v="ЦЗ"/>
    <s v="ПЗ"/>
    <m/>
    <s v="В.И."/>
    <s v="В.И."/>
    <s v="В.И."/>
    <x v="102"/>
    <x v="0"/>
    <m/>
    <n v="94.857142857142861"/>
    <n v="91"/>
    <n v="85"/>
    <n v="95"/>
    <n v="98"/>
    <n v="99"/>
    <n v="99"/>
    <n v="97"/>
    <n v="26"/>
    <n v="88469109"/>
    <n v="7372425.75"/>
    <n v="0"/>
  </r>
  <r>
    <s v="Йозып"/>
    <s v="З"/>
    <s v="ЦЗ"/>
    <s v="ЛЗ"/>
    <m/>
    <s v="Лищ"/>
    <s v="Лищ"/>
    <s v="Лищ"/>
    <x v="102"/>
    <x v="0"/>
    <m/>
    <n v="91.428571428571431"/>
    <n v="90"/>
    <n v="85"/>
    <n v="92"/>
    <n v="96"/>
    <n v="95"/>
    <n v="92"/>
    <n v="90"/>
    <n v="27"/>
    <n v="61222435"/>
    <n v="5101869.583333333"/>
    <n v="0"/>
  </r>
  <r>
    <s v="Квашников"/>
    <s v="З"/>
    <s v="ПЗ"/>
    <s v="ЦЗ"/>
    <m/>
    <m/>
    <s v="В.И."/>
    <s v="В.И."/>
    <x v="102"/>
    <x v="0"/>
    <m/>
    <n v="72.571428571428569"/>
    <n v="35"/>
    <n v="74"/>
    <n v="70"/>
    <n v="80"/>
    <n v="90"/>
    <n v="88"/>
    <n v="71"/>
    <n v="0"/>
    <n v="4051882"/>
    <n v="337656.83333333331"/>
    <n v="0"/>
  </r>
  <r>
    <s v="Маршев Виктор"/>
    <s v="З"/>
    <s v="ЛЗ"/>
    <s v="ЛПЗ"/>
    <s v="ЦЗ"/>
    <m/>
    <s v="В.И."/>
    <s v="В.И."/>
    <x v="102"/>
    <x v="0"/>
    <m/>
    <n v="75.285714285714292"/>
    <n v="45"/>
    <n v="88"/>
    <n v="75"/>
    <n v="83"/>
    <n v="78"/>
    <n v="87"/>
    <n v="71"/>
    <n v="23"/>
    <n v="8774392"/>
    <n v="731199.33333333337"/>
    <n v="0"/>
  </r>
  <r>
    <s v="Маршев Игнат"/>
    <s v="З"/>
    <s v="ПЗ"/>
    <s v="ППЗ"/>
    <s v="ЦЗ"/>
    <m/>
    <s v="В.И."/>
    <s v="В.И."/>
    <x v="102"/>
    <x v="0"/>
    <m/>
    <n v="75.285714285714292"/>
    <n v="45"/>
    <n v="90"/>
    <n v="74"/>
    <n v="86"/>
    <n v="74"/>
    <n v="87"/>
    <n v="71"/>
    <n v="23"/>
    <n v="8774392"/>
    <n v="731199.33333333337"/>
    <n v="0"/>
  </r>
  <r>
    <s v="Толреда"/>
    <s v="З"/>
    <s v="ЦЗ"/>
    <s v="ЛЗ"/>
    <m/>
    <m/>
    <s v="В.И."/>
    <s v="В.И."/>
    <x v="102"/>
    <x v="0"/>
    <m/>
    <n v="73.142857142857139"/>
    <n v="40"/>
    <n v="82"/>
    <n v="70"/>
    <n v="81"/>
    <n v="83"/>
    <n v="86"/>
    <n v="70"/>
    <n v="0"/>
    <n v="4382473"/>
    <n v="365206.08333333331"/>
    <n v="0"/>
  </r>
  <r>
    <s v="Фифер"/>
    <s v="З"/>
    <s v="ЦЗ"/>
    <s v="ПЗ"/>
    <s v="ОПЗ"/>
    <s v="Мох"/>
    <s v="Мох"/>
    <s v="В.И."/>
    <x v="102"/>
    <x v="0"/>
    <m/>
    <n v="91.857142857142861"/>
    <n v="90"/>
    <n v="85"/>
    <n v="89"/>
    <n v="96"/>
    <n v="97"/>
    <n v="91"/>
    <n v="95"/>
    <n v="18"/>
    <n v="64153535"/>
    <n v="5346127.916666667"/>
    <n v="0"/>
  </r>
  <r>
    <s v="Загребов (Н)"/>
    <s v="Н"/>
    <s v="ОФ"/>
    <s v="АПЗ"/>
    <m/>
    <s v="Зар"/>
    <s v="Зар"/>
    <s v="Зар"/>
    <x v="102"/>
    <x v="0"/>
    <m/>
    <n v="89.571428571428569"/>
    <n v="90"/>
    <n v="95"/>
    <n v="88"/>
    <n v="94"/>
    <n v="86"/>
    <n v="80"/>
    <n v="94"/>
    <n v="4"/>
    <n v="49863903"/>
    <n v="4155325.25"/>
    <n v="0"/>
  </r>
  <r>
    <s v="Клостор"/>
    <s v="Н"/>
    <s v="ОФ"/>
    <s v="ЦН"/>
    <m/>
    <m/>
    <s v="В.И."/>
    <s v="В.И."/>
    <x v="102"/>
    <x v="0"/>
    <m/>
    <n v="75.142857142857139"/>
    <n v="35"/>
    <n v="84"/>
    <n v="81"/>
    <n v="84"/>
    <n v="75"/>
    <n v="89"/>
    <n v="78"/>
    <n v="0"/>
    <n v="5739540"/>
    <n v="478295"/>
    <n v="0"/>
  </r>
  <r>
    <s v="Оливер"/>
    <s v="Н"/>
    <s v="ОФ"/>
    <m/>
    <m/>
    <s v="В.И."/>
    <s v="Лион"/>
    <s v="В.И."/>
    <x v="102"/>
    <x v="0"/>
    <m/>
    <n v="92"/>
    <n v="95"/>
    <n v="89"/>
    <n v="94"/>
    <n v="95"/>
    <n v="86"/>
    <n v="87"/>
    <n v="98"/>
    <n v="10"/>
    <n v="65158269"/>
    <n v="5429855.75"/>
    <n v="0"/>
  </r>
  <r>
    <s v="Шок Владимир"/>
    <s v="Н"/>
    <s v="ЦН"/>
    <m/>
    <m/>
    <m/>
    <s v="В.И."/>
    <s v="В.И."/>
    <x v="102"/>
    <x v="0"/>
    <m/>
    <n v="76.857142857142861"/>
    <n v="42"/>
    <n v="75"/>
    <n v="88"/>
    <n v="85"/>
    <n v="80"/>
    <n v="96"/>
    <n v="72"/>
    <n v="6"/>
    <n v="10787819"/>
    <n v="898984.91666666663"/>
    <n v="0"/>
  </r>
  <r>
    <s v="Броштр"/>
    <s v="П"/>
    <s v="АПЗ"/>
    <s v="ППЗ"/>
    <s v="ЦПЗ"/>
    <s v="Мал"/>
    <s v="В.И."/>
    <s v="В.И."/>
    <x v="102"/>
    <x v="0"/>
    <m/>
    <n v="88.714285714285708"/>
    <n v="85"/>
    <n v="85"/>
    <n v="100"/>
    <n v="88"/>
    <n v="92"/>
    <n v="89"/>
    <n v="82"/>
    <n v="1"/>
    <n v="45292560"/>
    <n v="3774380"/>
    <n v="0"/>
  </r>
  <r>
    <s v="Демонстрайт (П)"/>
    <s v="П"/>
    <s v="АПЗ"/>
    <s v="ППЗ"/>
    <s v="ЛПЗ"/>
    <s v="Д.С."/>
    <s v="Д.С."/>
    <s v="Д.С."/>
    <x v="102"/>
    <x v="0"/>
    <m/>
    <n v="92"/>
    <n v="93"/>
    <n v="85"/>
    <n v="99"/>
    <n v="92"/>
    <n v="92"/>
    <n v="95"/>
    <n v="88"/>
    <n v="1"/>
    <n v="65158269"/>
    <n v="5429855.75"/>
    <n v="0"/>
  </r>
  <r>
    <s v="Ерохин"/>
    <s v="П"/>
    <s v="АПЗ"/>
    <s v="ЛПЗ"/>
    <s v="ЦН"/>
    <s v="В.И."/>
    <s v="В.И."/>
    <s v="В.И."/>
    <x v="102"/>
    <x v="0"/>
    <m/>
    <n v="91.857142857142861"/>
    <n v="88"/>
    <n v="89"/>
    <n v="95"/>
    <n v="95"/>
    <n v="89"/>
    <n v="92"/>
    <n v="95"/>
    <n v="25"/>
    <n v="64153535"/>
    <n v="5346127.916666667"/>
    <n v="0"/>
  </r>
  <r>
    <s v="Кожевани (П)"/>
    <s v="П"/>
    <s v="ЦПЗ"/>
    <s v="ЛПЗ"/>
    <s v="АПЗ"/>
    <s v="Бел"/>
    <s v="Бел"/>
    <s v="Бел"/>
    <x v="102"/>
    <x v="0"/>
    <m/>
    <n v="92.857142857142861"/>
    <n v="91"/>
    <n v="90"/>
    <n v="96"/>
    <n v="98"/>
    <n v="93"/>
    <n v="89"/>
    <n v="93"/>
    <n v="24"/>
    <n v="71489857"/>
    <n v="5957488.083333333"/>
    <n v="0"/>
  </r>
  <r>
    <s v="Колонеза"/>
    <s v="П"/>
    <s v="ОПЗ"/>
    <s v="ЦЗ"/>
    <m/>
    <s v="Черлесск"/>
    <s v="В.И."/>
    <s v="В.И."/>
    <x v="102"/>
    <x v="0"/>
    <m/>
    <n v="87.571428571428569"/>
    <n v="80"/>
    <n v="85"/>
    <n v="90"/>
    <n v="89"/>
    <n v="90"/>
    <n v="91"/>
    <n v="88"/>
    <n v="18"/>
    <n v="39784656"/>
    <n v="3315388"/>
    <n v="0"/>
  </r>
  <r>
    <s v="Максимов (П)"/>
    <s v="П"/>
    <s v="АПЗ"/>
    <s v="ППЗ"/>
    <m/>
    <s v="Щеб"/>
    <s v="Щеб"/>
    <s v="Щеб"/>
    <x v="102"/>
    <x v="0"/>
    <m/>
    <n v="85.428571428571431"/>
    <n v="80"/>
    <n v="84"/>
    <n v="93"/>
    <n v="85"/>
    <n v="83"/>
    <n v="89"/>
    <n v="84"/>
    <n v="12"/>
    <n v="31054369"/>
    <n v="2587864.0833333335"/>
    <n v="0"/>
  </r>
  <r>
    <s v="Нилмар"/>
    <s v="П"/>
    <s v="ЛПЗ"/>
    <s v="ЦПЗ"/>
    <m/>
    <s v="Сув"/>
    <s v="В.И."/>
    <s v="В.И."/>
    <x v="102"/>
    <x v="0"/>
    <m/>
    <n v="90.428571428571431"/>
    <n v="90"/>
    <n v="95"/>
    <n v="90"/>
    <n v="93"/>
    <n v="88"/>
    <n v="84"/>
    <n v="93"/>
    <n v="3"/>
    <n v="54846379"/>
    <n v="4570531.583333333"/>
    <n v="0"/>
  </r>
  <r>
    <s v="Пастар (П)"/>
    <s v="П"/>
    <s v="ЦПЗ"/>
    <s v="ОПЗ"/>
    <m/>
    <s v="Павс"/>
    <s v="Павс"/>
    <s v="Павс"/>
    <x v="102"/>
    <x v="0"/>
    <m/>
    <n v="91.857142857142861"/>
    <n v="91"/>
    <n v="89"/>
    <n v="93"/>
    <n v="99"/>
    <n v="83"/>
    <n v="90"/>
    <n v="98"/>
    <n v="24"/>
    <n v="64153535"/>
    <n v="5346127.916666667"/>
    <n v="0"/>
  </r>
  <r>
    <s v="Рейчал"/>
    <s v="П"/>
    <s v="ППЗ"/>
    <s v="АПЗ"/>
    <s v="ЦПЗ"/>
    <s v="Рекс"/>
    <s v="Рекс"/>
    <s v="Рекс"/>
    <x v="102"/>
    <x v="0"/>
    <m/>
    <n v="92.142857142857139"/>
    <n v="92"/>
    <n v="95"/>
    <n v="93"/>
    <n v="94"/>
    <n v="91"/>
    <n v="86"/>
    <n v="94"/>
    <n v="10"/>
    <n v="66177142"/>
    <n v="5514761.833333333"/>
    <n v="0"/>
  </r>
  <r>
    <s v="Хат"/>
    <s v="П"/>
    <s v="ППЗ"/>
    <s v="ОПЗ"/>
    <m/>
    <s v="Бел"/>
    <s v="Бел"/>
    <s v="Бел"/>
    <x v="102"/>
    <x v="0"/>
    <m/>
    <n v="95.857142857142861"/>
    <n v="100"/>
    <n v="100"/>
    <n v="100"/>
    <n v="95"/>
    <n v="95"/>
    <n v="86"/>
    <n v="95"/>
    <n v="13"/>
    <n v="98250793"/>
    <n v="8187566.083333333"/>
    <n v="0"/>
  </r>
  <r>
    <s v="Д.Суарес"/>
    <s v="Т"/>
    <s v="Т"/>
    <m/>
    <m/>
    <m/>
    <s v="В.И."/>
    <s v="В.И."/>
    <x v="102"/>
    <x v="0"/>
    <m/>
    <n v="89.714285714285708"/>
    <n v="70"/>
    <n v="95"/>
    <n v="90"/>
    <n v="96"/>
    <n v="92"/>
    <n v="90"/>
    <n v="95"/>
    <n v="0"/>
    <n v="33776609"/>
    <n v="2814717.4166666665"/>
    <n v="0"/>
  </r>
  <r>
    <s v="Гримур Ларс"/>
    <s v="В"/>
    <s v="В"/>
    <m/>
    <m/>
    <m/>
    <s v="Орех"/>
    <s v="Орех"/>
    <x v="103"/>
    <x v="0"/>
    <m/>
    <n v="64"/>
    <n v="24"/>
    <n v="65"/>
    <n v="69"/>
    <n v="74"/>
    <n v="82"/>
    <n v="79"/>
    <n v="55"/>
    <n v="0"/>
    <n v="1152922"/>
    <n v="96076.833333333328"/>
    <n v="0"/>
  </r>
  <r>
    <s v="Рейн Муди"/>
    <s v="В"/>
    <s v="В"/>
    <m/>
    <m/>
    <s v="Орех"/>
    <s v="Орех"/>
    <s v="Орех"/>
    <x v="103"/>
    <x v="0"/>
    <m/>
    <n v="73.714285714285708"/>
    <n v="64"/>
    <n v="60"/>
    <n v="70"/>
    <n v="75"/>
    <n v="81"/>
    <n v="80"/>
    <n v="86"/>
    <n v="31"/>
    <n v="7105717"/>
    <n v="592143.08333333337"/>
    <n v="0"/>
  </r>
  <r>
    <s v="Штор (В)"/>
    <s v="В"/>
    <s v="В"/>
    <m/>
    <m/>
    <s v="Турн"/>
    <s v="Турн"/>
    <s v="Турн"/>
    <x v="103"/>
    <x v="0"/>
    <m/>
    <n v="72.428571428571431"/>
    <n v="49"/>
    <n v="89"/>
    <n v="77"/>
    <n v="70"/>
    <n v="93"/>
    <n v="80"/>
    <n v="49"/>
    <n v="0"/>
    <n v="3972823"/>
    <n v="331068.58333333331"/>
    <n v="0"/>
  </r>
  <r>
    <s v="Акамин (З)"/>
    <s v="З"/>
    <s v="ЦЗ"/>
    <s v="ОПЗ"/>
    <m/>
    <s v="Орех"/>
    <s v="Орех"/>
    <s v="Орех"/>
    <x v="103"/>
    <x v="0"/>
    <m/>
    <n v="69"/>
    <n v="56"/>
    <n v="70"/>
    <n v="73"/>
    <n v="70"/>
    <n v="76"/>
    <n v="88"/>
    <n v="50"/>
    <n v="0"/>
    <n v="2446195"/>
    <n v="203849.58333333334"/>
    <n v="0"/>
  </r>
  <r>
    <s v="Берглунд Ханс"/>
    <s v="З"/>
    <s v="ЦЗ"/>
    <s v="ОПЗ"/>
    <m/>
    <m/>
    <s v="Орех"/>
    <s v="Орех"/>
    <x v="103"/>
    <x v="0"/>
    <m/>
    <n v="65.857142857142861"/>
    <n v="37"/>
    <n v="63"/>
    <n v="61"/>
    <n v="83"/>
    <n v="79"/>
    <n v="81"/>
    <n v="57"/>
    <n v="0"/>
    <n v="1534719"/>
    <n v="127893.25"/>
    <n v="0"/>
  </r>
  <r>
    <s v="Берхман (З)"/>
    <s v="З"/>
    <s v="ЦЗ"/>
    <s v="ПЗ"/>
    <m/>
    <s v="Орех"/>
    <s v="Орех"/>
    <s v="Орех"/>
    <x v="103"/>
    <x v="0"/>
    <m/>
    <n v="79.714285714285708"/>
    <n v="70"/>
    <n v="78"/>
    <n v="80"/>
    <n v="78"/>
    <n v="82"/>
    <n v="90"/>
    <n v="80"/>
    <n v="28"/>
    <n v="15540066"/>
    <n v="1295005.5"/>
    <n v="0"/>
  </r>
  <r>
    <s v="Мальгрен Ола"/>
    <s v="З"/>
    <s v="ЦЗ"/>
    <s v="ЛЗ"/>
    <m/>
    <m/>
    <s v="Орех"/>
    <s v="Орех"/>
    <x v="103"/>
    <x v="0"/>
    <m/>
    <n v="68.571428571428569"/>
    <n v="36"/>
    <n v="72"/>
    <n v="66"/>
    <n v="80"/>
    <n v="83"/>
    <n v="84"/>
    <n v="59"/>
    <n v="0"/>
    <n v="2298434"/>
    <n v="191536.16666666666"/>
    <n v="0"/>
  </r>
  <r>
    <s v="Пефер (З)"/>
    <s v="З"/>
    <s v="ЦЗ"/>
    <m/>
    <m/>
    <s v="Орех"/>
    <s v="Орех"/>
    <s v="Орех"/>
    <x v="103"/>
    <x v="0"/>
    <m/>
    <n v="79.571428571428569"/>
    <n v="69"/>
    <n v="77"/>
    <n v="82"/>
    <n v="83"/>
    <n v="80"/>
    <n v="85"/>
    <n v="81"/>
    <n v="28"/>
    <n v="15263806"/>
    <n v="1271983.8333333333"/>
    <n v="0"/>
  </r>
  <r>
    <s v="Стурман Эрик"/>
    <s v="З"/>
    <s v="ПЗ"/>
    <s v="ЦЗ"/>
    <m/>
    <m/>
    <s v="Орех"/>
    <s v="Орех"/>
    <x v="103"/>
    <x v="0"/>
    <m/>
    <n v="62.857142857142854"/>
    <n v="28"/>
    <n v="81"/>
    <n v="52"/>
    <n v="72"/>
    <n v="75"/>
    <n v="78"/>
    <n v="54"/>
    <n v="0"/>
    <n v="962823"/>
    <n v="80235.25"/>
    <n v="0"/>
  </r>
  <r>
    <s v="Халлстен Нильс"/>
    <s v="З"/>
    <s v="ПЗ"/>
    <s v="ЛЗ"/>
    <m/>
    <m/>
    <s v="Орех"/>
    <s v="Орех"/>
    <x v="103"/>
    <x v="0"/>
    <m/>
    <n v="60"/>
    <n v="22"/>
    <n v="78"/>
    <n v="49"/>
    <n v="70"/>
    <n v="76"/>
    <n v="74"/>
    <n v="51"/>
    <n v="0"/>
    <n v="604662"/>
    <n v="50388.5"/>
    <n v="0"/>
  </r>
  <r>
    <s v="МакАргус"/>
    <s v="Н"/>
    <s v="ЦН"/>
    <m/>
    <m/>
    <s v="Орех"/>
    <s v="Орех"/>
    <s v="Орех"/>
    <x v="103"/>
    <x v="0"/>
    <m/>
    <n v="64.571428571428569"/>
    <n v="35"/>
    <n v="70"/>
    <n v="72"/>
    <n v="72"/>
    <n v="70"/>
    <n v="82"/>
    <n v="51"/>
    <n v="0"/>
    <n v="1260097"/>
    <n v="105008.08333333333"/>
    <n v="0"/>
  </r>
  <r>
    <s v="Фалькенберг Кай"/>
    <s v="Н"/>
    <s v="ЦН"/>
    <s v="ОФ"/>
    <m/>
    <m/>
    <s v="Орех"/>
    <s v="Орех"/>
    <x v="103"/>
    <x v="0"/>
    <m/>
    <n v="65.285714285714292"/>
    <n v="32"/>
    <n v="77"/>
    <n v="65"/>
    <n v="73"/>
    <n v="81"/>
    <n v="76"/>
    <n v="53"/>
    <n v="0"/>
    <n v="1406636"/>
    <n v="117219.66666666667"/>
    <n v="0"/>
  </r>
  <r>
    <s v="Цубиа (Н)"/>
    <s v="Н"/>
    <s v="ЦН"/>
    <s v="ОФ"/>
    <s v="АПЗ"/>
    <s v="Орех"/>
    <s v="Орех"/>
    <s v="Орех"/>
    <x v="103"/>
    <x v="0"/>
    <m/>
    <n v="82.571428571428569"/>
    <n v="80"/>
    <n v="83"/>
    <n v="86"/>
    <n v="85"/>
    <n v="83"/>
    <n v="85"/>
    <n v="76"/>
    <n v="7"/>
    <n v="22099846"/>
    <n v="1841653.8333333333"/>
    <n v="0"/>
  </r>
  <r>
    <s v="Аналог (П)"/>
    <s v="П"/>
    <s v="АПЗ"/>
    <s v="ЦПЗ"/>
    <s v="ЦН"/>
    <s v="Д.С."/>
    <s v="Д.С."/>
    <s v="Д.С."/>
    <x v="103"/>
    <x v="0"/>
    <m/>
    <n v="85.142857142857139"/>
    <n v="83"/>
    <n v="86"/>
    <n v="91"/>
    <n v="83"/>
    <n v="82"/>
    <n v="88"/>
    <n v="83"/>
    <n v="21"/>
    <n v="30031254"/>
    <n v="2502604.5"/>
    <n v="0"/>
  </r>
  <r>
    <s v="Винге Хальвар"/>
    <s v="П"/>
    <s v="ЛПЗ"/>
    <s v="ЦПЗ"/>
    <m/>
    <m/>
    <s v="Орех"/>
    <s v="Орех"/>
    <x v="103"/>
    <x v="0"/>
    <m/>
    <n v="63.714285714285715"/>
    <n v="35"/>
    <n v="69"/>
    <n v="62"/>
    <n v="74"/>
    <n v="77"/>
    <n v="75"/>
    <n v="54"/>
    <n v="0"/>
    <n v="1102474"/>
    <n v="91872.833333333328"/>
    <n v="0"/>
  </r>
  <r>
    <s v="Демо (П)"/>
    <s v="П"/>
    <s v="ЛПЗ"/>
    <s v="ЦПЗ"/>
    <m/>
    <s v="Д.С."/>
    <s v="Д.С."/>
    <s v="Д.С."/>
    <x v="103"/>
    <x v="0"/>
    <m/>
    <n v="80"/>
    <n v="78"/>
    <n v="91"/>
    <n v="85"/>
    <n v="78"/>
    <n v="78"/>
    <n v="80"/>
    <n v="70"/>
    <n v="22"/>
    <n v="16106128"/>
    <n v="1342177.3333333333"/>
    <n v="0"/>
  </r>
  <r>
    <s v="М. Коулли (П)"/>
    <s v="П"/>
    <s v="ЛПЗ"/>
    <s v="ОПЗ"/>
    <m/>
    <s v="Орех"/>
    <s v="Орех"/>
    <s v="Орех"/>
    <x v="103"/>
    <x v="0"/>
    <m/>
    <n v="81.714285714285708"/>
    <n v="70"/>
    <n v="91"/>
    <n v="84"/>
    <n v="86"/>
    <n v="82"/>
    <n v="84"/>
    <n v="75"/>
    <n v="17"/>
    <n v="19909995"/>
    <n v="1659166.25"/>
    <n v="0"/>
  </r>
  <r>
    <s v="Ормсон Хенрик"/>
    <s v="П"/>
    <s v="ОПЗ"/>
    <s v="ЦПЗ"/>
    <m/>
    <m/>
    <s v="Орех"/>
    <s v="Орех"/>
    <x v="103"/>
    <x v="0"/>
    <m/>
    <n v="68.428571428571431"/>
    <n v="39"/>
    <n v="71"/>
    <n v="67"/>
    <n v="81"/>
    <n v="84"/>
    <n v="79"/>
    <n v="58"/>
    <n v="0"/>
    <n v="2250997"/>
    <n v="187583.08333333334"/>
    <n v="0"/>
  </r>
  <r>
    <s v="Свердруп Магнус"/>
    <s v="П"/>
    <s v="ЦПЗ"/>
    <s v="АПЗ"/>
    <m/>
    <m/>
    <s v="Орех"/>
    <s v="Орех"/>
    <x v="103"/>
    <x v="0"/>
    <m/>
    <n v="62.857142857142854"/>
    <n v="31"/>
    <n v="75"/>
    <n v="58"/>
    <n v="77"/>
    <n v="70"/>
    <n v="73"/>
    <n v="56"/>
    <n v="0"/>
    <n v="962823"/>
    <n v="80235.25"/>
    <n v="0"/>
  </r>
  <r>
    <s v="Торкельсон Аксель"/>
    <s v="П"/>
    <s v="ППЗ"/>
    <s v="АПЗ"/>
    <m/>
    <m/>
    <s v="Орех"/>
    <s v="Орех"/>
    <x v="103"/>
    <x v="0"/>
    <m/>
    <n v="60.285714285714285"/>
    <n v="26"/>
    <n v="82"/>
    <n v="53"/>
    <n v="68"/>
    <n v="72"/>
    <n v="71"/>
    <n v="50"/>
    <n v="0"/>
    <n v="634081"/>
    <n v="52840.083333333336"/>
    <n v="0"/>
  </r>
  <r>
    <s v="Туриа (П)"/>
    <s v="П"/>
    <s v="ЦПЗ"/>
    <s v="ЛПЗ"/>
    <s v="ОПЗ"/>
    <s v="Орех"/>
    <s v="Орех"/>
    <s v="Орех"/>
    <x v="103"/>
    <x v="0"/>
    <m/>
    <n v="86.571428571428569"/>
    <n v="80"/>
    <n v="85"/>
    <n v="91"/>
    <n v="92"/>
    <n v="84"/>
    <n v="89"/>
    <n v="85"/>
    <n v="8"/>
    <n v="35468033"/>
    <n v="2955669.4166666665"/>
    <n v="0"/>
  </r>
  <r>
    <s v="Харти"/>
    <s v="П"/>
    <s v="ОПЗ"/>
    <m/>
    <m/>
    <s v="Орех"/>
    <s v="Орех"/>
    <s v="Орех"/>
    <x v="103"/>
    <x v="0"/>
    <m/>
    <n v="64.428571428571431"/>
    <n v="47"/>
    <n v="75"/>
    <n v="70"/>
    <n v="68"/>
    <n v="66"/>
    <n v="85"/>
    <n v="40"/>
    <n v="0"/>
    <n v="1232495"/>
    <n v="102707.91666666667"/>
    <n v="0"/>
  </r>
  <r>
    <s v="Хеннон"/>
    <s v="П"/>
    <s v="ЦПЗ"/>
    <m/>
    <m/>
    <s v="Орех"/>
    <s v="Орех"/>
    <s v="Орех"/>
    <x v="103"/>
    <x v="0"/>
    <m/>
    <n v="64.142857142857139"/>
    <n v="39"/>
    <n v="70"/>
    <n v="78"/>
    <n v="71"/>
    <n v="68"/>
    <n v="82"/>
    <n v="41"/>
    <n v="0"/>
    <n v="1178917"/>
    <n v="98243.083333333328"/>
    <n v="0"/>
  </r>
  <r>
    <s v="Ювиавинг"/>
    <s v="П"/>
    <s v="ЛПЗ"/>
    <s v="ППЗ"/>
    <m/>
    <s v="Орех"/>
    <s v="Орех"/>
    <s v="Орех"/>
    <x v="103"/>
    <x v="0"/>
    <m/>
    <n v="73.142857142857139"/>
    <n v="40"/>
    <n v="92"/>
    <n v="80"/>
    <n v="84"/>
    <n v="78"/>
    <n v="78"/>
    <n v="60"/>
    <n v="23"/>
    <n v="6573709"/>
    <n v="547809.08333333337"/>
    <n v="0"/>
  </r>
  <r>
    <s v="Гошта"/>
    <s v="В"/>
    <s v="В"/>
    <m/>
    <m/>
    <s v="Ч.Л."/>
    <s v="Ч.Л."/>
    <s v="Ч.Л."/>
    <x v="104"/>
    <x v="0"/>
    <m/>
    <n v="66"/>
    <n v="35"/>
    <n v="54"/>
    <n v="73"/>
    <n v="81"/>
    <n v="81"/>
    <n v="82"/>
    <n v="56"/>
    <n v="0"/>
    <n v="1568337"/>
    <n v="130694.75"/>
    <n v="0"/>
  </r>
  <r>
    <s v="Хоншей"/>
    <s v="В"/>
    <s v="В"/>
    <m/>
    <m/>
    <s v="Туркан"/>
    <s v="Туркан"/>
    <s v="Туркан"/>
    <x v="104"/>
    <x v="0"/>
    <m/>
    <n v="54.714285714285715"/>
    <n v="22"/>
    <n v="60"/>
    <n v="65"/>
    <n v="61"/>
    <n v="64"/>
    <n v="70"/>
    <n v="41"/>
    <n v="0"/>
    <n v="240441"/>
    <n v="20036.75"/>
    <n v="0"/>
  </r>
  <r>
    <s v="Бриндор Аэлин"/>
    <s v="З"/>
    <s v="ЦЗ"/>
    <s v="ОПЗ"/>
    <m/>
    <m/>
    <s v="В.И."/>
    <s v="В.И."/>
    <x v="104"/>
    <x v="0"/>
    <m/>
    <n v="76.285714285714292"/>
    <n v="33"/>
    <n v="86"/>
    <n v="80"/>
    <n v="92"/>
    <n v="94"/>
    <n v="96"/>
    <n v="53"/>
    <n v="0"/>
    <n v="6674707"/>
    <n v="556225.58333333337"/>
    <n v="0"/>
  </r>
  <r>
    <s v="Габс"/>
    <s v="З"/>
    <s v="ЦЗ"/>
    <m/>
    <m/>
    <s v="Туркан"/>
    <s v="Туркан"/>
    <s v="Туркан"/>
    <x v="104"/>
    <x v="0"/>
    <m/>
    <n v="70"/>
    <n v="40"/>
    <n v="67"/>
    <n v="70"/>
    <n v="74"/>
    <n v="84"/>
    <n v="90"/>
    <n v="65"/>
    <n v="0"/>
    <n v="2824753"/>
    <n v="235396.08333333334"/>
    <n v="0"/>
  </r>
  <r>
    <s v="Ксерабби"/>
    <s v="З"/>
    <s v="ПЗ"/>
    <m/>
    <m/>
    <s v="Биссий"/>
    <s v="Биссий"/>
    <s v="Биссий"/>
    <x v="104"/>
    <x v="0"/>
    <m/>
    <n v="79.428571428571431"/>
    <n v="70"/>
    <n v="93"/>
    <n v="81"/>
    <n v="82"/>
    <n v="81"/>
    <n v="79"/>
    <n v="70"/>
    <n v="23"/>
    <n v="14991973"/>
    <n v="1249331.0833333333"/>
    <n v="0"/>
  </r>
  <r>
    <s v="Риндель Лорас"/>
    <s v="З"/>
    <s v="ПЗ"/>
    <s v="ППЗ"/>
    <m/>
    <m/>
    <s v="В.И."/>
    <s v="В.И."/>
    <x v="104"/>
    <x v="0"/>
    <m/>
    <n v="71"/>
    <n v="28"/>
    <n v="80"/>
    <n v="72"/>
    <n v="80"/>
    <n v="84"/>
    <n v="87"/>
    <n v="66"/>
    <n v="23"/>
    <n v="4882866"/>
    <n v="406905.5"/>
    <n v="0"/>
  </r>
  <r>
    <s v="Талион Сильвана"/>
    <s v="З"/>
    <s v="ЛЗ"/>
    <s v="ЦЗ"/>
    <m/>
    <m/>
    <s v="В.И."/>
    <s v="В.И."/>
    <x v="104"/>
    <x v="0"/>
    <m/>
    <n v="68.857142857142861"/>
    <n v="26"/>
    <n v="76"/>
    <n v="72"/>
    <n v="84"/>
    <n v="90"/>
    <n v="92"/>
    <n v="42"/>
    <n v="0"/>
    <n v="2396018"/>
    <n v="199668.16666666666"/>
    <n v="0"/>
  </r>
  <r>
    <s v="Шекер"/>
    <s v="З"/>
    <s v="ЦЗ"/>
    <s v="ПЗ"/>
    <m/>
    <s v="Генуа"/>
    <s v="Генуа"/>
    <s v="Генуа"/>
    <x v="104"/>
    <x v="0"/>
    <m/>
    <n v="73.714285714285708"/>
    <n v="62"/>
    <n v="88"/>
    <n v="41"/>
    <n v="71"/>
    <n v="79"/>
    <n v="95"/>
    <n v="80"/>
    <n v="0"/>
    <n v="4737145"/>
    <n v="394762.08333333331"/>
    <n v="0"/>
  </r>
  <r>
    <s v="Аланти Нимо"/>
    <s v="Н"/>
    <s v="ЦН"/>
    <s v="ОФ"/>
    <m/>
    <m/>
    <s v="В.И."/>
    <s v="В.И."/>
    <x v="104"/>
    <x v="0"/>
    <m/>
    <n v="79.428571428571431"/>
    <n v="44"/>
    <n v="90"/>
    <n v="90"/>
    <n v="91"/>
    <n v="92"/>
    <n v="95"/>
    <n v="54"/>
    <n v="7"/>
    <n v="14991973"/>
    <n v="1249331.0833333333"/>
    <n v="0"/>
  </r>
  <r>
    <s v="Консилиас"/>
    <s v="Н"/>
    <s v="ЦН"/>
    <m/>
    <m/>
    <s v="Черлесск"/>
    <s v="Черлесск"/>
    <s v="Черлесск"/>
    <x v="104"/>
    <x v="0"/>
    <m/>
    <n v="58.428571428571431"/>
    <n v="32"/>
    <n v="70"/>
    <n v="68"/>
    <n v="57"/>
    <n v="68"/>
    <n v="70"/>
    <n v="44"/>
    <n v="0"/>
    <n v="463717"/>
    <n v="38643.083333333336"/>
    <n v="0"/>
  </r>
  <r>
    <s v="Фолки"/>
    <s v="Н"/>
    <s v="ОФ"/>
    <m/>
    <m/>
    <s v="Туркан"/>
    <s v="Туркан"/>
    <s v="Туркан"/>
    <x v="104"/>
    <x v="0"/>
    <m/>
    <n v="73.714285714285708"/>
    <n v="60"/>
    <n v="80"/>
    <n v="80"/>
    <n v="76"/>
    <n v="75"/>
    <n v="75"/>
    <n v="70"/>
    <n v="19"/>
    <n v="7105717"/>
    <n v="145548.33333333334"/>
    <n v="0"/>
  </r>
  <r>
    <s v="Лавочников"/>
    <s v="П"/>
    <s v="ЦПЗ"/>
    <s v="ОПЗ"/>
    <m/>
    <s v="Черлесск"/>
    <s v="В.И."/>
    <s v="В.И."/>
    <x v="104"/>
    <x v="0"/>
    <m/>
    <n v="72.142857142857139"/>
    <n v="55"/>
    <n v="75"/>
    <n v="77"/>
    <n v="73"/>
    <n v="74"/>
    <n v="80"/>
    <n v="71"/>
    <n v="0"/>
    <n v="3818857"/>
    <n v="318238.08333333331"/>
    <n v="0"/>
  </r>
  <r>
    <s v="Лоратил Вэлин"/>
    <s v="П"/>
    <s v="АПЗ"/>
    <s v="ЦПЗ"/>
    <m/>
    <m/>
    <s v="В.И."/>
    <s v="В.И."/>
    <x v="104"/>
    <x v="0"/>
    <m/>
    <n v="71.571428571428569"/>
    <n v="31"/>
    <n v="82"/>
    <n v="78"/>
    <n v="90"/>
    <n v="86"/>
    <n v="88"/>
    <n v="46"/>
    <n v="0"/>
    <n v="3526931"/>
    <n v="293910.91666666669"/>
    <n v="0"/>
  </r>
  <r>
    <s v="Мириэн Аэлорн"/>
    <s v="П"/>
    <s v="ЛПЗ"/>
    <s v="ОПЗ"/>
    <m/>
    <m/>
    <s v="В.И."/>
    <s v="В.И."/>
    <x v="104"/>
    <x v="0"/>
    <m/>
    <n v="69.428571428571431"/>
    <n v="28"/>
    <n v="90"/>
    <n v="76"/>
    <n v="84"/>
    <n v="82"/>
    <n v="85"/>
    <n v="41"/>
    <n v="0"/>
    <n v="2602450"/>
    <n v="216870.83333333334"/>
    <n v="0"/>
  </r>
  <r>
    <s v="Силь Итиль"/>
    <s v="П"/>
    <s v="ЦПЗ"/>
    <s v="ОПЗ"/>
    <m/>
    <m/>
    <s v="В.И."/>
    <s v="В.И."/>
    <x v="104"/>
    <x v="0"/>
    <m/>
    <n v="64.714285714285708"/>
    <n v="26"/>
    <n v="70"/>
    <n v="74"/>
    <n v="82"/>
    <n v="80"/>
    <n v="83"/>
    <n v="38"/>
    <n v="0"/>
    <n v="1288255"/>
    <n v="107354.58333333333"/>
    <n v="0"/>
  </r>
  <r>
    <s v="Тенри"/>
    <s v="П"/>
    <s v="ЦПЗ"/>
    <s v="ППЗ"/>
    <m/>
    <s v="Биссий"/>
    <s v="Биссий"/>
    <s v="Биссий"/>
    <x v="104"/>
    <x v="0"/>
    <m/>
    <n v="59.285714285714285"/>
    <n v="22"/>
    <n v="57"/>
    <n v="71"/>
    <n v="68"/>
    <n v="78"/>
    <n v="88"/>
    <n v="31"/>
    <n v="0"/>
    <n v="536415"/>
    <n v="44701.25"/>
    <n v="0"/>
  </r>
  <r>
    <s v="Тинну Карантир"/>
    <s v="П"/>
    <s v="ППЗ"/>
    <s v="ЛПЗ"/>
    <m/>
    <m/>
    <s v="В.И."/>
    <s v="В.И."/>
    <x v="104"/>
    <x v="0"/>
    <m/>
    <n v="69.428571428571431"/>
    <n v="29"/>
    <n v="80"/>
    <n v="78"/>
    <n v="86"/>
    <n v="84"/>
    <n v="86"/>
    <n v="43"/>
    <n v="0"/>
    <n v="2602450"/>
    <n v="216870.83333333334"/>
    <n v="0"/>
  </r>
  <r>
    <s v="Фин Рион"/>
    <s v="П"/>
    <s v="ОПЗ"/>
    <s v="ЦПЗ"/>
    <m/>
    <m/>
    <s v="В.И."/>
    <s v="В.И."/>
    <x v="104"/>
    <x v="0"/>
    <m/>
    <n v="75.571428571428569"/>
    <n v="34"/>
    <n v="88"/>
    <n v="84"/>
    <n v="94"/>
    <n v="88"/>
    <n v="90"/>
    <n v="51"/>
    <n v="0"/>
    <n v="6075421"/>
    <n v="506285.08333333331"/>
    <n v="0"/>
  </r>
  <r>
    <s v="Цурмек"/>
    <s v="П"/>
    <s v="АПЗ"/>
    <m/>
    <m/>
    <s v="Туркан"/>
    <s v="Туркан"/>
    <s v="Туркан"/>
    <x v="104"/>
    <x v="0"/>
    <m/>
    <n v="53.571428571428569"/>
    <n v="53"/>
    <n v="58"/>
    <n v="74"/>
    <n v="55"/>
    <n v="56"/>
    <n v="50"/>
    <n v="29"/>
    <n v="0"/>
    <n v="194685"/>
    <n v="16223.75"/>
    <n v="0"/>
  </r>
  <r>
    <s v="Эланир Мири"/>
    <s v="Т"/>
    <s v="Т"/>
    <m/>
    <m/>
    <m/>
    <s v="В.И."/>
    <s v="В.И."/>
    <x v="104"/>
    <x v="0"/>
    <m/>
    <n v="71.857142857142861"/>
    <n v="31"/>
    <n v="82"/>
    <n v="76"/>
    <n v="86"/>
    <n v="88"/>
    <n v="90"/>
    <n v="50"/>
    <n v="0"/>
    <n v="3670283"/>
    <n v="305856.91666666669"/>
    <n v="0"/>
  </r>
  <r>
    <s v="А.Зуев"/>
    <s v="В"/>
    <s v="В"/>
    <m/>
    <m/>
    <s v="Сув"/>
    <s v="В.И."/>
    <s v="В.И."/>
    <x v="105"/>
    <x v="0"/>
    <m/>
    <n v="95.571428571428569"/>
    <n v="95"/>
    <n v="80"/>
    <n v="95"/>
    <n v="99"/>
    <n v="100"/>
    <n v="100"/>
    <n v="100"/>
    <n v="29"/>
    <n v="95361273"/>
    <n v="7946772.75"/>
    <n v="0"/>
  </r>
  <r>
    <s v="Айфуллин Гербс"/>
    <s v="З"/>
    <s v="ЛЗ"/>
    <m/>
    <m/>
    <m/>
    <s v="В.И."/>
    <s v="В.И."/>
    <x v="105"/>
    <x v="0"/>
    <m/>
    <n v="74.428571428571431"/>
    <n v="40"/>
    <n v="83"/>
    <n v="90"/>
    <n v="89"/>
    <n v="84"/>
    <n v="70"/>
    <n v="65"/>
    <n v="0"/>
    <n v="5216712"/>
    <n v="434726"/>
    <n v="0"/>
  </r>
  <r>
    <s v="Бариносов"/>
    <s v="З"/>
    <s v="ЦЗ"/>
    <s v="ПЗ"/>
    <m/>
    <s v="Б.Л."/>
    <s v="Б.Л."/>
    <s v="Б.Л."/>
    <x v="105"/>
    <x v="0"/>
    <m/>
    <n v="80.428571428571431"/>
    <n v="68"/>
    <n v="77"/>
    <n v="79"/>
    <n v="80"/>
    <n v="90"/>
    <n v="89"/>
    <n v="80"/>
    <n v="28"/>
    <n v="16990056"/>
    <n v="1415838"/>
    <n v="0"/>
  </r>
  <r>
    <s v="В.Зуев"/>
    <s v="З"/>
    <s v="ЛЗ"/>
    <s v="ПЗ"/>
    <s v="ЦЗ"/>
    <s v="Сув"/>
    <s v="В.И."/>
    <s v="В.И."/>
    <x v="105"/>
    <x v="0"/>
    <m/>
    <n v="91.857142857142861"/>
    <n v="92"/>
    <n v="88"/>
    <n v="92"/>
    <n v="90"/>
    <n v="91"/>
    <n v="96"/>
    <n v="94"/>
    <n v="26"/>
    <n v="64153535"/>
    <n v="5346127.916666667"/>
    <n v="0"/>
  </r>
  <r>
    <s v="Гэллис Аанне"/>
    <s v="З"/>
    <s v="ЛЗ"/>
    <s v="ЛПЗ"/>
    <m/>
    <m/>
    <s v="В.И."/>
    <s v="В.И."/>
    <x v="105"/>
    <x v="0"/>
    <m/>
    <n v="76"/>
    <n v="42"/>
    <n v="92"/>
    <n v="86"/>
    <n v="82"/>
    <n v="80"/>
    <n v="80"/>
    <n v="70"/>
    <n v="23"/>
    <n v="9643334"/>
    <n v="803611.16666666663"/>
    <n v="0"/>
  </r>
  <r>
    <s v="Грач"/>
    <s v="З"/>
    <s v="ПЗ"/>
    <s v="ЦЗ"/>
    <s v="ОПЗ"/>
    <s v="В.И."/>
    <s v="В.И."/>
    <s v="В.И."/>
    <x v="105"/>
    <x v="0"/>
    <m/>
    <n v="89.285714285714292"/>
    <n v="83"/>
    <n v="85"/>
    <n v="88"/>
    <n v="94"/>
    <n v="90"/>
    <n v="98"/>
    <n v="87"/>
    <n v="28"/>
    <n v="48295986"/>
    <n v="4024665.5"/>
    <n v="0"/>
  </r>
  <r>
    <s v="Дрозд"/>
    <s v="З"/>
    <s v="ЦЗ"/>
    <s v="ЛЗ"/>
    <s v="ПЗ"/>
    <s v="Зар"/>
    <s v="Зар"/>
    <s v="Зар"/>
    <x v="105"/>
    <x v="0"/>
    <m/>
    <n v="85.857142857142861"/>
    <n v="80"/>
    <n v="75"/>
    <n v="92"/>
    <n v="84"/>
    <n v="90"/>
    <n v="93"/>
    <n v="87"/>
    <n v="26"/>
    <n v="32647925"/>
    <n v="2720660.4166666665"/>
    <n v="0"/>
  </r>
  <r>
    <s v="Кроха Тон"/>
    <s v="З"/>
    <s v="ПЗ"/>
    <m/>
    <m/>
    <m/>
    <s v="В.И."/>
    <s v="В.И."/>
    <x v="105"/>
    <x v="0"/>
    <m/>
    <n v="71.714285714285708"/>
    <n v="44"/>
    <n v="84"/>
    <n v="75"/>
    <n v="72"/>
    <n v="84"/>
    <n v="80"/>
    <n v="63"/>
    <n v="0"/>
    <n v="3597964"/>
    <n v="299830.33333333331"/>
    <n v="0"/>
  </r>
  <r>
    <s v="Рубиус"/>
    <s v="З"/>
    <s v="ЦЗ"/>
    <s v="ОПЗ"/>
    <s v="ЛЗ"/>
    <s v="В.И."/>
    <s v="В.И."/>
    <s v="В.И."/>
    <x v="105"/>
    <x v="0"/>
    <m/>
    <n v="89.714285714285708"/>
    <n v="85"/>
    <n v="82"/>
    <n v="90"/>
    <n v="91"/>
    <n v="93"/>
    <n v="97"/>
    <n v="90"/>
    <n v="27"/>
    <n v="50664913"/>
    <n v="4222076.083333333"/>
    <n v="0"/>
  </r>
  <r>
    <s v="Демитра"/>
    <s v="Н"/>
    <s v="ЦН"/>
    <s v="АПЗ"/>
    <s v="ОФ"/>
    <s v="В.И."/>
    <s v="Лив"/>
    <s v="Лив"/>
    <x v="105"/>
    <x v="0"/>
    <m/>
    <n v="94"/>
    <n v="96"/>
    <n v="90"/>
    <n v="96"/>
    <n v="96"/>
    <n v="92"/>
    <n v="93"/>
    <n v="95"/>
    <n v="7"/>
    <n v="80792268"/>
    <n v="6732689"/>
    <n v="0"/>
  </r>
  <r>
    <s v="М.Суарес"/>
    <s v="Н"/>
    <s v="ЦН"/>
    <s v="АПЗ"/>
    <m/>
    <s v="Черлесск"/>
    <s v="В.И."/>
    <s v="В.И."/>
    <x v="105"/>
    <x v="0"/>
    <m/>
    <n v="91.142857142857139"/>
    <n v="89"/>
    <n v="86"/>
    <n v="95"/>
    <n v="93"/>
    <n v="89"/>
    <n v="92"/>
    <n v="94"/>
    <n v="7"/>
    <n v="59335916"/>
    <n v="4944659.666666667"/>
    <n v="0"/>
  </r>
  <r>
    <s v="Себрин (Н)"/>
    <s v="Н"/>
    <s v="ОФ"/>
    <s v="ЛПЗ"/>
    <m/>
    <s v="К.С."/>
    <s v="К.С."/>
    <s v="К.С."/>
    <x v="105"/>
    <x v="0"/>
    <m/>
    <n v="87.428571428571431"/>
    <n v="86"/>
    <n v="93"/>
    <n v="86"/>
    <n v="94"/>
    <n v="84"/>
    <n v="80"/>
    <n v="89"/>
    <n v="5"/>
    <n v="39140384"/>
    <n v="3261698.6666666665"/>
    <n v="0"/>
  </r>
  <r>
    <s v="Язоннен Лапти"/>
    <s v="Н"/>
    <s v="ЦН"/>
    <m/>
    <m/>
    <m/>
    <s v="В.И."/>
    <s v="В.И."/>
    <x v="105"/>
    <x v="0"/>
    <m/>
    <n v="77.285714285714292"/>
    <n v="45"/>
    <n v="73"/>
    <n v="88"/>
    <n v="81"/>
    <n v="90"/>
    <n v="91"/>
    <n v="73"/>
    <n v="6"/>
    <n v="11404691"/>
    <n v="950390.91666666663"/>
    <n v="0"/>
  </r>
  <r>
    <s v="Болдарен Т"/>
    <s v="П"/>
    <s v="АПЗ"/>
    <s v="ЦПЗ"/>
    <m/>
    <m/>
    <s v="В.И."/>
    <s v="В.И."/>
    <x v="105"/>
    <x v="0"/>
    <m/>
    <n v="69"/>
    <n v="30"/>
    <n v="80"/>
    <n v="75"/>
    <n v="76"/>
    <n v="71"/>
    <n v="81"/>
    <n v="70"/>
    <n v="0"/>
    <n v="2446195"/>
    <n v="203849.58333333334"/>
    <n v="0"/>
  </r>
  <r>
    <s v="Доиль"/>
    <s v="П"/>
    <s v="ЦПЗ"/>
    <s v="ППЗ"/>
    <s v="АПЗ"/>
    <s v="В.И."/>
    <s v="В.И."/>
    <s v="В.И."/>
    <x v="105"/>
    <x v="0"/>
    <m/>
    <n v="93.857142857142861"/>
    <n v="99"/>
    <n v="98"/>
    <n v="93"/>
    <n v="100"/>
    <n v="86"/>
    <n v="82"/>
    <n v="99"/>
    <n v="8"/>
    <n v="79572785"/>
    <n v="6631065.416666667"/>
    <n v="0"/>
  </r>
  <r>
    <s v="Дорси Лок"/>
    <s v="П"/>
    <s v="ППЗ"/>
    <s v="ЦПЗ"/>
    <m/>
    <m/>
    <s v="В.И."/>
    <s v="В.И."/>
    <x v="105"/>
    <x v="0"/>
    <m/>
    <n v="70.142857142857139"/>
    <n v="30"/>
    <n v="85"/>
    <n v="85"/>
    <n v="76"/>
    <n v="82"/>
    <n v="73"/>
    <n v="60"/>
    <n v="0"/>
    <n v="2882933"/>
    <n v="240244.41666666666"/>
    <n v="0"/>
  </r>
  <r>
    <s v="Екъён Барсет"/>
    <s v="П"/>
    <s v="ОПЗ"/>
    <s v="ЦПЗ"/>
    <m/>
    <m/>
    <s v="В.И."/>
    <s v="В.И."/>
    <x v="105"/>
    <x v="0"/>
    <m/>
    <n v="73.142857142857139"/>
    <n v="48"/>
    <n v="78"/>
    <n v="72"/>
    <n v="70"/>
    <n v="88"/>
    <n v="76"/>
    <n v="80"/>
    <n v="18"/>
    <n v="6573709"/>
    <n v="547809.08333333337"/>
    <n v="0"/>
  </r>
  <r>
    <s v="Каспарайтес"/>
    <s v="П"/>
    <s v="ОПЗ"/>
    <s v="ЦПЗ"/>
    <s v="ЦЗ"/>
    <s v="Сул"/>
    <s v="Сул"/>
    <s v="Сул"/>
    <x v="105"/>
    <x v="0"/>
    <m/>
    <n v="93.285714285714292"/>
    <n v="93"/>
    <n v="95"/>
    <n v="93"/>
    <n v="92"/>
    <n v="97"/>
    <n v="93"/>
    <n v="90"/>
    <n v="23"/>
    <n v="74858768"/>
    <n v="6238230.666666667"/>
    <n v="0"/>
  </r>
  <r>
    <s v="Лесси"/>
    <s v="П"/>
    <s v="ЛПЗ"/>
    <s v="ЦПЗ"/>
    <s v="АПЗ"/>
    <s v="В.И."/>
    <s v="Лив"/>
    <s v="Лив"/>
    <x v="105"/>
    <x v="0"/>
    <m/>
    <n v="88.857142857142861"/>
    <n v="88"/>
    <n v="97"/>
    <n v="85"/>
    <n v="92"/>
    <n v="88"/>
    <n v="81"/>
    <n v="91"/>
    <n v="3"/>
    <n v="46027216"/>
    <n v="3835601.3333333335"/>
    <n v="0"/>
  </r>
  <r>
    <s v="Ливардовский (П)"/>
    <s v="П"/>
    <s v="ЦПЗ"/>
    <s v="ОПЗ"/>
    <s v="АПЗ"/>
    <s v="В.И."/>
    <s v="В.И."/>
    <s v="В.И."/>
    <x v="105"/>
    <x v="0"/>
    <m/>
    <n v="90.714285714285708"/>
    <n v="89"/>
    <n v="87"/>
    <n v="90"/>
    <n v="93"/>
    <n v="93"/>
    <n v="91"/>
    <n v="92"/>
    <n v="22"/>
    <n v="56604129"/>
    <n v="4717010.75"/>
    <n v="0"/>
  </r>
  <r>
    <s v="Т. Аурин (П)"/>
    <s v="П"/>
    <s v="ЦПЗ"/>
    <s v="АПЗ"/>
    <s v="ЛПЗ"/>
    <s v="Вар"/>
    <s v="Вар"/>
    <s v="Вар"/>
    <x v="105"/>
    <x v="0"/>
    <m/>
    <n v="93.142857142857139"/>
    <n v="92"/>
    <n v="92"/>
    <n v="93"/>
    <n v="98"/>
    <n v="89"/>
    <n v="91"/>
    <n v="97"/>
    <n v="22"/>
    <n v="73720253"/>
    <n v="6143354.416666667"/>
    <n v="0"/>
  </r>
  <r>
    <s v="Тошиба"/>
    <s v="П"/>
    <s v="ППЗ"/>
    <s v="ОПЗ"/>
    <s v="ЦПЗ"/>
    <s v="Сар"/>
    <s v="Сар"/>
    <s v="Сар"/>
    <x v="105"/>
    <x v="0"/>
    <m/>
    <n v="92.285714285714292"/>
    <n v="94"/>
    <n v="99"/>
    <n v="89"/>
    <n v="92"/>
    <n v="89"/>
    <n v="87"/>
    <n v="96"/>
    <n v="10"/>
    <n v="67210332"/>
    <n v="5600861"/>
    <n v="0"/>
  </r>
  <r>
    <s v="Цуццарник Д"/>
    <s v="П"/>
    <s v="ЛПЗ"/>
    <s v="АПЗ"/>
    <m/>
    <m/>
    <s v="В.И."/>
    <s v="В.И."/>
    <x v="105"/>
    <x v="0"/>
    <m/>
    <n v="74.571428571428569"/>
    <n v="42"/>
    <n v="84"/>
    <n v="81"/>
    <n v="88"/>
    <n v="82"/>
    <n v="87"/>
    <n v="58"/>
    <n v="0"/>
    <n v="5317710"/>
    <n v="443142.5"/>
    <n v="0"/>
  </r>
  <r>
    <s v="Молуньо"/>
    <s v="Т"/>
    <s v="Т"/>
    <m/>
    <m/>
    <s v="Эвон"/>
    <s v="Гид"/>
    <s v="Гид"/>
    <x v="105"/>
    <x v="0"/>
    <m/>
    <n v="94.571428571428569"/>
    <n v="98"/>
    <n v="91"/>
    <n v="93"/>
    <n v="100"/>
    <n v="90"/>
    <n v="92"/>
    <n v="98"/>
    <n v="0"/>
    <n v="57226805"/>
    <n v="4768900.416666667"/>
    <n v="0"/>
  </r>
  <r>
    <s v="Гуруну (В)"/>
    <s v="В"/>
    <s v="В"/>
    <m/>
    <m/>
    <s v="Лин"/>
    <s v="Лин"/>
    <s v="Лин"/>
    <x v="106"/>
    <x v="0"/>
    <m/>
    <n v="91"/>
    <n v="86"/>
    <n v="88"/>
    <n v="88"/>
    <n v="85"/>
    <n v="99"/>
    <n v="97"/>
    <n v="94"/>
    <n v="29"/>
    <n v="58412418"/>
    <n v="4867701.5"/>
    <n v="0"/>
  </r>
  <r>
    <s v="Хартли Джек"/>
    <s v="В"/>
    <s v="В"/>
    <m/>
    <m/>
    <m/>
    <s v="Лин"/>
    <s v="Лин"/>
    <x v="106"/>
    <x v="0"/>
    <m/>
    <n v="64.142857142857139"/>
    <n v="26"/>
    <n v="74"/>
    <n v="70"/>
    <n v="76"/>
    <n v="79"/>
    <n v="80"/>
    <n v="44"/>
    <n v="0"/>
    <n v="1178917"/>
    <n v="98243.083333333328"/>
    <n v="0"/>
  </r>
  <r>
    <s v="Альзаниз (З)"/>
    <s v="З"/>
    <s v="ЦЗ"/>
    <s v="ПЗ"/>
    <m/>
    <s v="Вор"/>
    <s v="Вор"/>
    <s v="Вор"/>
    <x v="106"/>
    <x v="0"/>
    <m/>
    <n v="75.571428571428569"/>
    <n v="61"/>
    <n v="71"/>
    <n v="77"/>
    <n v="67"/>
    <n v="80"/>
    <n v="87"/>
    <n v="86"/>
    <n v="0"/>
    <n v="6075421"/>
    <n v="506285.08333333331"/>
    <n v="0"/>
  </r>
  <r>
    <s v="Акрос Морти"/>
    <s v="З"/>
    <s v="ЦЗ"/>
    <s v="ПЗ"/>
    <m/>
    <m/>
    <s v="Лин"/>
    <s v="Лин"/>
    <x v="106"/>
    <x v="0"/>
    <m/>
    <n v="62"/>
    <n v="25"/>
    <n v="71"/>
    <n v="63"/>
    <n v="75"/>
    <n v="79"/>
    <n v="82"/>
    <n v="39"/>
    <n v="0"/>
    <n v="839300"/>
    <n v="69941.666666666672"/>
    <n v="0"/>
  </r>
  <r>
    <s v="Горр Отти"/>
    <s v="З"/>
    <s v="ЦЗ"/>
    <s v="ОПЗ"/>
    <m/>
    <s v="Лин"/>
    <s v="Лин"/>
    <s v="Лин"/>
    <x v="106"/>
    <x v="0"/>
    <m/>
    <n v="73.857142857142861"/>
    <n v="60"/>
    <n v="65"/>
    <n v="75"/>
    <n v="80"/>
    <n v="82"/>
    <n v="81"/>
    <n v="74"/>
    <n v="0"/>
    <n v="4829755"/>
    <n v="402479.58333333331"/>
    <n v="0"/>
  </r>
  <r>
    <s v="Грашит"/>
    <s v="З"/>
    <s v="ЦЗ"/>
    <s v="ОПЗ"/>
    <m/>
    <s v="Лин"/>
    <s v="Лин"/>
    <s v="Лин"/>
    <x v="106"/>
    <x v="0"/>
    <m/>
    <n v="75"/>
    <n v="65"/>
    <n v="70"/>
    <n v="80"/>
    <n v="76"/>
    <n v="84"/>
    <n v="80"/>
    <n v="70"/>
    <n v="0"/>
    <n v="5631352"/>
    <n v="469279.33333333331"/>
    <n v="0"/>
  </r>
  <r>
    <s v="Дюпон Пьер"/>
    <s v="З"/>
    <s v="ЦЗ"/>
    <s v="ЛЗ"/>
    <m/>
    <s v="Лин"/>
    <s v="Лин"/>
    <s v="Лин"/>
    <x v="106"/>
    <x v="0"/>
    <m/>
    <n v="66.714285714285708"/>
    <n v="29"/>
    <n v="76"/>
    <n v="68"/>
    <n v="81"/>
    <n v="83"/>
    <n v="84"/>
    <n v="46"/>
    <n v="0"/>
    <n v="1746580"/>
    <n v="145548.33333333334"/>
    <n v="0"/>
  </r>
  <r>
    <s v="Ланге Фиц"/>
    <s v="З"/>
    <s v="ЦЗ"/>
    <s v="ОПЗ"/>
    <m/>
    <m/>
    <s v="Лин"/>
    <s v="Лин"/>
    <x v="106"/>
    <x v="0"/>
    <m/>
    <n v="58.285714285714285"/>
    <n v="21"/>
    <n v="66"/>
    <n v="60"/>
    <n v="72"/>
    <n v="77"/>
    <n v="79"/>
    <n v="33"/>
    <n v="0"/>
    <n v="452503"/>
    <n v="37708.583333333336"/>
    <n v="0"/>
  </r>
  <r>
    <s v="Промисер"/>
    <s v="З"/>
    <s v="ЦЗ"/>
    <m/>
    <m/>
    <s v="Лин"/>
    <s v="Лин"/>
    <s v="Лин"/>
    <x v="106"/>
    <x v="0"/>
    <m/>
    <n v="71.714285714285708"/>
    <n v="62"/>
    <n v="69"/>
    <n v="70"/>
    <n v="77"/>
    <n v="80"/>
    <n v="84"/>
    <n v="60"/>
    <n v="0"/>
    <n v="3597964"/>
    <n v="299830.33333333331"/>
    <n v="0"/>
  </r>
  <r>
    <s v="Сенсор Элин"/>
    <s v="З"/>
    <s v="ЦЗ"/>
    <m/>
    <m/>
    <s v="Лин"/>
    <s v="Лин"/>
    <s v="Лин"/>
    <x v="106"/>
    <x v="0"/>
    <m/>
    <n v="66.714285714285708"/>
    <n v="29"/>
    <n v="76"/>
    <n v="68"/>
    <n v="81"/>
    <n v="83"/>
    <n v="84"/>
    <n v="46"/>
    <n v="0"/>
    <n v="1746580"/>
    <n v="145548.33333333334"/>
    <n v="0"/>
  </r>
  <r>
    <s v="Борольф Тер"/>
    <s v="Н"/>
    <s v="ЦН"/>
    <m/>
    <m/>
    <m/>
    <s v="Лин"/>
    <s v="Лин"/>
    <x v="106"/>
    <x v="0"/>
    <m/>
    <n v="67.857142857142861"/>
    <n v="28"/>
    <n v="79"/>
    <n v="77"/>
    <n v="78"/>
    <n v="82"/>
    <n v="86"/>
    <n v="45"/>
    <n v="0"/>
    <n v="2069931"/>
    <n v="172494.25"/>
    <n v="0"/>
  </r>
  <r>
    <s v="Джастин Бормунд"/>
    <s v="Н"/>
    <s v="ЦН"/>
    <m/>
    <m/>
    <s v="Лин"/>
    <s v="Лин"/>
    <s v="Лин"/>
    <x v="106"/>
    <x v="0"/>
    <m/>
    <n v="89.571428571428569"/>
    <n v="85"/>
    <n v="94"/>
    <n v="91"/>
    <n v="90"/>
    <n v="89"/>
    <n v="88"/>
    <n v="90"/>
    <n v="12"/>
    <n v="49863903"/>
    <n v="1408687.0833333333"/>
    <n v="0"/>
  </r>
  <r>
    <s v="Джей Джейсон"/>
    <s v="Н"/>
    <s v="ОФ"/>
    <s v="ППЗ"/>
    <m/>
    <s v="Лин"/>
    <s v="Лин"/>
    <s v="Лин"/>
    <x v="106"/>
    <x v="0"/>
    <m/>
    <n v="81.428571428571431"/>
    <n v="71"/>
    <n v="92"/>
    <n v="82"/>
    <n v="83"/>
    <n v="80"/>
    <n v="86"/>
    <n v="76"/>
    <n v="0"/>
    <n v="12816463"/>
    <n v="1068038.5833333333"/>
    <n v="0"/>
  </r>
  <r>
    <s v="Митчелл Том"/>
    <s v="Н"/>
    <s v="ЦН"/>
    <s v="ОФ"/>
    <m/>
    <m/>
    <s v="Лин"/>
    <s v="Лин"/>
    <x v="106"/>
    <x v="0"/>
    <m/>
    <n v="73.428571428571431"/>
    <n v="40"/>
    <n v="83"/>
    <n v="85"/>
    <n v="78"/>
    <n v="82"/>
    <n v="86"/>
    <n v="60"/>
    <n v="7"/>
    <n v="6835056"/>
    <n v="569588"/>
    <n v="0"/>
  </r>
  <r>
    <s v="Ритта (Н)"/>
    <s v="Н"/>
    <s v="ОФ"/>
    <s v="ЦН"/>
    <s v="ППЗ"/>
    <s v="Д.С."/>
    <s v="Д.С."/>
    <s v="Д.С."/>
    <x v="106"/>
    <x v="0"/>
    <m/>
    <n v="80.571428571428569"/>
    <n v="77"/>
    <n v="95"/>
    <n v="72"/>
    <n v="85"/>
    <n v="90"/>
    <n v="60"/>
    <n v="85"/>
    <n v="3"/>
    <n v="17294257"/>
    <n v="1441188.0833333333"/>
    <n v="0"/>
  </r>
  <r>
    <s v="Росси Карло"/>
    <s v="Н"/>
    <s v="ЦН"/>
    <m/>
    <m/>
    <m/>
    <s v="Лин"/>
    <s v="Лин"/>
    <x v="106"/>
    <x v="0"/>
    <m/>
    <n v="67.857142857142861"/>
    <n v="28"/>
    <n v="79"/>
    <n v="77"/>
    <n v="78"/>
    <n v="82"/>
    <n v="86"/>
    <n v="45"/>
    <n v="0"/>
    <n v="2069931"/>
    <n v="172494.25"/>
    <n v="0"/>
  </r>
  <r>
    <s v="Байбитер"/>
    <s v="П"/>
    <s v="ЦПЗ"/>
    <s v="АПЗ"/>
    <s v="ЛПЗ"/>
    <s v="Лин"/>
    <s v="Лин"/>
    <s v="Лин"/>
    <x v="106"/>
    <x v="0"/>
    <m/>
    <n v="70.571428571428569"/>
    <n v="44"/>
    <n v="81"/>
    <n v="81"/>
    <n v="71"/>
    <n v="73"/>
    <n v="82"/>
    <n v="62"/>
    <n v="0"/>
    <n v="3064003"/>
    <n v="255333.58333333334"/>
    <n v="0"/>
  </r>
  <r>
    <s v="Бейкер Джон"/>
    <s v="П"/>
    <s v="ЦПЗ"/>
    <s v="АПЗ"/>
    <m/>
    <m/>
    <s v="Лин"/>
    <s v="Лин"/>
    <x v="106"/>
    <x v="0"/>
    <m/>
    <n v="65"/>
    <n v="26"/>
    <n v="77"/>
    <n v="69"/>
    <n v="82"/>
    <n v="78"/>
    <n v="80"/>
    <n v="43"/>
    <n v="0"/>
    <n v="1346275"/>
    <n v="112189.58333333333"/>
    <n v="0"/>
  </r>
  <r>
    <s v="Блюс Стиллер"/>
    <s v="П"/>
    <s v="ОПЗ"/>
    <s v="ЦЗ"/>
    <s v="ЦПЗ"/>
    <s v="Лин"/>
    <s v="Лин"/>
    <s v="Лин"/>
    <x v="106"/>
    <x v="0"/>
    <m/>
    <n v="80.857142857142861"/>
    <n v="53"/>
    <n v="84"/>
    <n v="86"/>
    <n v="84"/>
    <n v="82"/>
    <n v="94"/>
    <n v="83"/>
    <n v="17"/>
    <n v="17917408"/>
    <n v="1493117.3333333333"/>
    <n v="0"/>
  </r>
  <r>
    <s v="Норт"/>
    <s v="П"/>
    <s v="ОПЗ"/>
    <s v="ЦЗ"/>
    <s v="ЦПЗ"/>
    <s v="Лин"/>
    <s v="Лин"/>
    <s v="Лин"/>
    <x v="106"/>
    <x v="0"/>
    <m/>
    <n v="80.857142857142861"/>
    <n v="51"/>
    <n v="83"/>
    <n v="85"/>
    <n v="83"/>
    <n v="86"/>
    <n v="98"/>
    <n v="80"/>
    <n v="18"/>
    <n v="17917408"/>
    <n v="1493117.3333333333"/>
    <n v="0"/>
  </r>
  <r>
    <s v="Дальберг Нильс"/>
    <s v="Т"/>
    <s v="Т"/>
    <m/>
    <m/>
    <m/>
    <s v="Лин"/>
    <s v="Лин"/>
    <x v="106"/>
    <x v="0"/>
    <m/>
    <n v="61"/>
    <n v="24"/>
    <n v="72"/>
    <n v="67"/>
    <n v="76"/>
    <n v="74"/>
    <n v="77"/>
    <n v="37"/>
    <n v="0"/>
    <n v="713343"/>
    <n v="59445.25"/>
    <n v="0"/>
  </r>
  <r>
    <s v="Гавица Люк"/>
    <s v="В"/>
    <s v="В"/>
    <m/>
    <m/>
    <s v="Зем"/>
    <s v="Зем"/>
    <s v="Зем"/>
    <x v="107"/>
    <x v="0"/>
    <m/>
    <n v="62.142857142857146"/>
    <n v="22"/>
    <n v="70"/>
    <n v="74"/>
    <n v="72"/>
    <n v="79"/>
    <n v="78"/>
    <n v="40"/>
    <n v="0"/>
    <n v="858840"/>
    <n v="71570"/>
    <n v="0"/>
  </r>
  <r>
    <s v="Славица"/>
    <s v="В"/>
    <s v="В"/>
    <m/>
    <m/>
    <s v="Зем"/>
    <s v="Зем"/>
    <s v="Зем"/>
    <x v="107"/>
    <x v="0"/>
    <m/>
    <n v="61.142857142857146"/>
    <n v="44"/>
    <n v="61"/>
    <n v="86"/>
    <n v="59"/>
    <n v="70"/>
    <n v="71"/>
    <n v="37"/>
    <n v="0"/>
    <n v="730226"/>
    <n v="60852.166666666664"/>
    <n v="0"/>
  </r>
  <r>
    <s v="Танован"/>
    <s v="В"/>
    <s v="В"/>
    <m/>
    <m/>
    <s v="Зем"/>
    <s v="Зем"/>
    <s v="Зем"/>
    <x v="107"/>
    <x v="0"/>
    <m/>
    <n v="66"/>
    <n v="43"/>
    <n v="73"/>
    <n v="61"/>
    <n v="48"/>
    <n v="81"/>
    <n v="76"/>
    <n v="80"/>
    <n v="0"/>
    <n v="1568337"/>
    <n v="130694.75"/>
    <n v="0"/>
  </r>
  <r>
    <s v="Бректи Иржи"/>
    <s v="З"/>
    <s v="ЦЗ"/>
    <s v="ЛЗ"/>
    <m/>
    <s v="Зем"/>
    <s v="Зем"/>
    <s v="Зем"/>
    <x v="107"/>
    <x v="0"/>
    <m/>
    <n v="67"/>
    <n v="25"/>
    <n v="76"/>
    <n v="72"/>
    <n v="82"/>
    <n v="84"/>
    <n v="86"/>
    <n v="44"/>
    <n v="0"/>
    <n v="1822838"/>
    <n v="151903.16666666666"/>
    <n v="0"/>
  </r>
  <r>
    <s v="Верлитон Тадеуш"/>
    <s v="З"/>
    <s v="ЦЗ"/>
    <m/>
    <m/>
    <s v="Зем"/>
    <s v="Зем"/>
    <s v="Зем"/>
    <x v="107"/>
    <x v="0"/>
    <m/>
    <n v="57"/>
    <n v="18"/>
    <n v="62"/>
    <n v="64"/>
    <n v="71"/>
    <n v="75"/>
    <n v="78"/>
    <n v="31"/>
    <n v="0"/>
    <n v="362034"/>
    <n v="30169.5"/>
    <n v="0"/>
  </r>
  <r>
    <s v="Вокти"/>
    <s v="З"/>
    <s v="ПЗ"/>
    <m/>
    <m/>
    <s v="Зем"/>
    <s v="Зем"/>
    <s v="Зем"/>
    <x v="107"/>
    <x v="0"/>
    <m/>
    <n v="61.428571428571431"/>
    <n v="47"/>
    <n v="79"/>
    <n v="68"/>
    <n v="77"/>
    <n v="67"/>
    <n v="61"/>
    <n v="31"/>
    <n v="0"/>
    <n v="765076"/>
    <n v="63756.333333333336"/>
    <n v="0"/>
  </r>
  <r>
    <s v="Драган Олаф"/>
    <s v="З"/>
    <s v="ЦЗ"/>
    <s v="ОПЗ"/>
    <m/>
    <s v="Зем"/>
    <s v="Зем"/>
    <s v="Зем"/>
    <x v="107"/>
    <x v="0"/>
    <m/>
    <n v="60.571428571428569"/>
    <n v="16"/>
    <n v="68"/>
    <n v="70"/>
    <n v="76"/>
    <n v="80"/>
    <n v="81"/>
    <n v="33"/>
    <n v="0"/>
    <n v="664781"/>
    <n v="55398.416666666664"/>
    <n v="0"/>
  </r>
  <r>
    <s v="Корус Матс"/>
    <s v="З"/>
    <s v="ЦЗ"/>
    <m/>
    <m/>
    <s v="Зем"/>
    <s v="Зем"/>
    <s v="Зем"/>
    <x v="107"/>
    <x v="0"/>
    <m/>
    <n v="52"/>
    <n v="15"/>
    <n v="55"/>
    <n v="60"/>
    <n v="66"/>
    <n v="68"/>
    <n v="72"/>
    <n v="28"/>
    <n v="0"/>
    <n v="144556"/>
    <n v="12046.333333333334"/>
    <n v="0"/>
  </r>
  <r>
    <s v="Палитон"/>
    <s v="З"/>
    <s v="ЦЗ"/>
    <m/>
    <m/>
    <s v="Зем"/>
    <s v="Зем"/>
    <s v="Зем"/>
    <x v="107"/>
    <x v="0"/>
    <m/>
    <n v="57.857142857142854"/>
    <n v="20"/>
    <n v="39"/>
    <n v="48"/>
    <n v="91"/>
    <n v="56"/>
    <n v="90"/>
    <n v="61"/>
    <n v="0"/>
    <n v="420311"/>
    <n v="35025.916666666664"/>
    <n v="0"/>
  </r>
  <r>
    <s v="Порус"/>
    <s v="З"/>
    <s v="ЦЗ"/>
    <m/>
    <m/>
    <s v="Зем"/>
    <s v="Зем"/>
    <s v="Зем"/>
    <x v="107"/>
    <x v="0"/>
    <m/>
    <n v="54.571428571428569"/>
    <n v="26"/>
    <n v="83"/>
    <n v="12"/>
    <n v="96"/>
    <n v="55"/>
    <n v="86"/>
    <n v="24"/>
    <n v="0"/>
    <n v="234236"/>
    <n v="19519.666666666668"/>
    <n v="0"/>
  </r>
  <r>
    <s v="Зебба"/>
    <s v="Н"/>
    <s v="ОФ"/>
    <s v="ППЗ"/>
    <m/>
    <s v="Зем"/>
    <s v="Зем"/>
    <s v="Зем"/>
    <x v="107"/>
    <x v="0"/>
    <m/>
    <n v="63"/>
    <n v="36"/>
    <n v="80"/>
    <n v="68"/>
    <n v="74"/>
    <n v="70"/>
    <n v="68"/>
    <n v="45"/>
    <n v="0"/>
    <n v="984931"/>
    <n v="82077.583333333328"/>
    <n v="0"/>
  </r>
  <r>
    <s v="Сорбба Рауль"/>
    <s v="Н"/>
    <s v="ЦН"/>
    <s v="ОФ"/>
    <m/>
    <s v="Зем"/>
    <s v="Зем"/>
    <s v="Зем"/>
    <x v="107"/>
    <x v="0"/>
    <m/>
    <n v="68.428571428571431"/>
    <n v="26"/>
    <n v="80"/>
    <n v="82"/>
    <n v="79"/>
    <n v="82"/>
    <n v="85"/>
    <n v="45"/>
    <n v="0"/>
    <n v="2250997"/>
    <n v="187583.08333333334"/>
    <n v="0"/>
  </r>
  <r>
    <s v="Цар Ахонти"/>
    <s v="Н"/>
    <s v="ЦН"/>
    <s v="АПЗ"/>
    <m/>
    <s v="Зем"/>
    <s v="Зем"/>
    <s v="Зем"/>
    <x v="107"/>
    <x v="0"/>
    <m/>
    <n v="63.428571428571431"/>
    <n v="35"/>
    <n v="75"/>
    <n v="70"/>
    <n v="70"/>
    <n v="68"/>
    <n v="80"/>
    <n v="46"/>
    <n v="0"/>
    <n v="1054022"/>
    <n v="87835.166666666672"/>
    <n v="0"/>
  </r>
  <r>
    <s v="Горщенников Павел"/>
    <s v="П"/>
    <s v="АПЗ"/>
    <m/>
    <m/>
    <s v="Зем"/>
    <s v="Зем"/>
    <s v="Зем"/>
    <x v="107"/>
    <x v="0"/>
    <m/>
    <n v="68.428571428571431"/>
    <n v="26"/>
    <n v="80"/>
    <n v="82"/>
    <n v="79"/>
    <n v="82"/>
    <n v="85"/>
    <n v="45"/>
    <n v="0"/>
    <n v="2250997"/>
    <n v="187583.08333333334"/>
    <n v="0"/>
  </r>
  <r>
    <s v="Кепрен"/>
    <s v="П"/>
    <s v="ОПЗ"/>
    <s v="ЦПЗ"/>
    <m/>
    <s v="Зем"/>
    <s v="Зем"/>
    <s v="Зем"/>
    <x v="107"/>
    <x v="0"/>
    <m/>
    <n v="65"/>
    <n v="48"/>
    <n v="69"/>
    <n v="70"/>
    <n v="68"/>
    <n v="75"/>
    <n v="72"/>
    <n v="53"/>
    <n v="0"/>
    <n v="1346275"/>
    <n v="112189.58333333333"/>
    <n v="0"/>
  </r>
  <r>
    <s v="Морщенников (П)"/>
    <s v="П"/>
    <s v="АПЗ"/>
    <m/>
    <m/>
    <s v="Зем"/>
    <s v="Зем"/>
    <s v="Зем"/>
    <x v="107"/>
    <x v="0"/>
    <m/>
    <n v="72.571428571428569"/>
    <n v="65"/>
    <n v="71"/>
    <n v="76"/>
    <n v="75"/>
    <n v="72"/>
    <n v="76"/>
    <n v="73"/>
    <n v="12"/>
    <n v="6077823"/>
    <n v="506485.25"/>
    <n v="0"/>
  </r>
  <r>
    <s v="Пшерский Ян"/>
    <s v="П"/>
    <s v="ОПЗ"/>
    <m/>
    <m/>
    <s v="Зем"/>
    <s v="Зем"/>
    <s v="Зем"/>
    <x v="107"/>
    <x v="0"/>
    <m/>
    <n v="60.714285714285715"/>
    <n v="21"/>
    <n v="78"/>
    <n v="68"/>
    <n v="72"/>
    <n v="74"/>
    <n v="76"/>
    <n v="36"/>
    <n v="0"/>
    <n v="680627"/>
    <n v="56718.916666666664"/>
    <n v="0"/>
  </r>
  <r>
    <s v="Сладкий Игорь"/>
    <s v="П"/>
    <s v="ЦПЗ"/>
    <m/>
    <m/>
    <s v="Зем"/>
    <s v="Зем"/>
    <s v="Зем"/>
    <x v="107"/>
    <x v="0"/>
    <m/>
    <n v="53.857142857142854"/>
    <n v="16"/>
    <n v="60"/>
    <n v="62"/>
    <n v="68"/>
    <n v="70"/>
    <n v="73"/>
    <n v="28"/>
    <n v="0"/>
    <n v="205321"/>
    <n v="17110.083333333332"/>
    <n v="0"/>
  </r>
  <r>
    <s v="Старлин (П)"/>
    <s v="П"/>
    <s v="ОПЗ"/>
    <s v="ЦПЗ"/>
    <m/>
    <s v="Кут"/>
    <s v="Кут"/>
    <s v="Кут"/>
    <x v="107"/>
    <x v="0"/>
    <m/>
    <n v="73.285714285714292"/>
    <n v="68"/>
    <n v="71"/>
    <n v="80"/>
    <n v="76"/>
    <n v="80"/>
    <n v="88"/>
    <n v="50"/>
    <n v="0"/>
    <n v="4468825"/>
    <n v="372402.08333333331"/>
    <n v="0"/>
  </r>
  <r>
    <s v="Тонкий"/>
    <s v="П"/>
    <s v="ЦПЗ"/>
    <m/>
    <m/>
    <s v="Зем"/>
    <s v="Зем"/>
    <s v="Зем"/>
    <x v="107"/>
    <x v="0"/>
    <m/>
    <n v="61.428571428571431"/>
    <n v="40"/>
    <n v="65"/>
    <n v="68"/>
    <n v="70"/>
    <n v="65"/>
    <n v="70"/>
    <n v="52"/>
    <n v="0"/>
    <n v="765076"/>
    <n v="63756.333333333336"/>
    <n v="0"/>
  </r>
  <r>
    <s v="Фонбринский Курт"/>
    <s v="П"/>
    <s v="ЦПЗ"/>
    <s v="ППЗ"/>
    <m/>
    <s v="Зем"/>
    <s v="Зем"/>
    <s v="Зем"/>
    <x v="107"/>
    <x v="0"/>
    <m/>
    <n v="58.285714285714285"/>
    <n v="19"/>
    <n v="70"/>
    <n v="66"/>
    <n v="73"/>
    <n v="72"/>
    <n v="74"/>
    <n v="34"/>
    <n v="0"/>
    <n v="452503"/>
    <n v="37708.583333333336"/>
    <n v="0"/>
  </r>
  <r>
    <s v="Фонклинский"/>
    <s v="П"/>
    <s v="ЦПЗ"/>
    <s v="ППЗ"/>
    <m/>
    <s v="Зем"/>
    <s v="Зем"/>
    <s v="Зем"/>
    <x v="107"/>
    <x v="0"/>
    <m/>
    <n v="71.428571428571431"/>
    <n v="60"/>
    <n v="70"/>
    <n v="75"/>
    <n v="77"/>
    <n v="73"/>
    <n v="75"/>
    <n v="70"/>
    <n v="12"/>
    <n v="5185742"/>
    <n v="432145.16666666669"/>
    <n v="0"/>
  </r>
  <r>
    <s v="Щерский"/>
    <s v="П"/>
    <s v="ОПЗ"/>
    <m/>
    <m/>
    <s v="Зем"/>
    <s v="Зем"/>
    <s v="Зем"/>
    <x v="107"/>
    <x v="0"/>
    <m/>
    <n v="61.571428571428569"/>
    <n v="42"/>
    <n v="63"/>
    <n v="66"/>
    <n v="68"/>
    <n v="68"/>
    <n v="71"/>
    <n v="53"/>
    <n v="0"/>
    <n v="783056"/>
    <n v="65254.666666666664"/>
    <n v="0"/>
  </r>
  <r>
    <s v="Кепров Станко"/>
    <s v="Т"/>
    <s v="Т"/>
    <m/>
    <m/>
    <s v="Зем"/>
    <s v="Зем"/>
    <s v="Зем"/>
    <x v="107"/>
    <x v="0"/>
    <m/>
    <n v="61.571428571428569"/>
    <n v="20"/>
    <n v="72"/>
    <n v="70"/>
    <n v="78"/>
    <n v="76"/>
    <n v="77"/>
    <n v="38"/>
    <n v="0"/>
    <n v="783056"/>
    <n v="65254.666666666664"/>
    <n v="0"/>
  </r>
  <r>
    <s v="Шаймайстер"/>
    <s v="В"/>
    <s v="В"/>
    <m/>
    <m/>
    <s v="Мам"/>
    <s v="Мам"/>
    <s v="Мам"/>
    <x v="108"/>
    <x v="0"/>
    <m/>
    <n v="62.714285714285715"/>
    <n v="23"/>
    <n v="67"/>
    <n v="58"/>
    <n v="70"/>
    <n v="80"/>
    <n v="76"/>
    <n v="65"/>
    <n v="0"/>
    <n v="941163"/>
    <n v="78430.25"/>
    <n v="0"/>
  </r>
  <r>
    <s v="Буярган Тэмур"/>
    <s v="З"/>
    <s v="ЛЗ"/>
    <s v="ЦЗ"/>
    <m/>
    <m/>
    <s v="Мам"/>
    <s v="Мам"/>
    <x v="108"/>
    <x v="0"/>
    <m/>
    <n v="43.285714285714285"/>
    <n v="10"/>
    <n v="48"/>
    <n v="47"/>
    <n v="55"/>
    <n v="59"/>
    <n v="62"/>
    <n v="22"/>
    <n v="0"/>
    <n v="23092"/>
    <n v="1924.3333333333333"/>
    <n v="0"/>
  </r>
  <r>
    <s v="Изюха"/>
    <s v="З"/>
    <s v="ЦЗ"/>
    <m/>
    <m/>
    <s v="Мам"/>
    <s v="Мам"/>
    <s v="Мам"/>
    <x v="108"/>
    <x v="0"/>
    <m/>
    <n v="62.285714285714285"/>
    <n v="22"/>
    <n v="65"/>
    <n v="70"/>
    <n v="69"/>
    <n v="74"/>
    <n v="75"/>
    <n v="61"/>
    <n v="0"/>
    <n v="878789"/>
    <n v="73232.416666666672"/>
    <n v="0"/>
  </r>
  <r>
    <s v="Чулунбат Манх"/>
    <s v="З"/>
    <s v="ЦЗ"/>
    <s v="ОПЗ"/>
    <m/>
    <m/>
    <s v="Мам"/>
    <s v="Мам"/>
    <x v="108"/>
    <x v="0"/>
    <m/>
    <n v="51.857142857142854"/>
    <n v="12"/>
    <n v="61"/>
    <n v="55"/>
    <n v="67"/>
    <n v="69"/>
    <n v="71"/>
    <n v="28"/>
    <n v="0"/>
    <n v="140633"/>
    <n v="11719.416666666666"/>
    <n v="0"/>
  </r>
  <r>
    <s v="Ычевый"/>
    <s v="З"/>
    <s v="ЦЗ"/>
    <s v="ПЗ"/>
    <m/>
    <s v="Мам"/>
    <s v="Мам"/>
    <s v="Мам"/>
    <x v="108"/>
    <x v="0"/>
    <m/>
    <n v="74"/>
    <n v="50"/>
    <n v="75"/>
    <n v="73"/>
    <n v="75"/>
    <n v="85"/>
    <n v="90"/>
    <n v="70"/>
    <n v="26"/>
    <n v="7385986"/>
    <n v="230636"/>
    <n v="0"/>
  </r>
  <r>
    <s v="Гунбат Ардано"/>
    <s v="Н"/>
    <s v="ЦН"/>
    <s v="ОФ"/>
    <m/>
    <s v="Мам"/>
    <s v="Мам"/>
    <s v="Мам"/>
    <x v="108"/>
    <x v="0"/>
    <m/>
    <n v="64.714285714285708"/>
    <n v="40"/>
    <n v="75"/>
    <n v="84"/>
    <n v="63"/>
    <n v="80"/>
    <n v="88"/>
    <n v="23"/>
    <n v="6"/>
    <n v="1932382"/>
    <n v="161031.83333333334"/>
    <n v="0"/>
  </r>
  <r>
    <s v="Тэмурган Буяр"/>
    <s v="Н"/>
    <s v="ОФ"/>
    <s v="ППЗ"/>
    <m/>
    <m/>
    <s v="Мам"/>
    <s v="Мам"/>
    <x v="108"/>
    <x v="0"/>
    <m/>
    <n v="45.714285714285715"/>
    <n v="10"/>
    <n v="61"/>
    <n v="49"/>
    <n v="61"/>
    <n v="59"/>
    <n v="61"/>
    <n v="19"/>
    <n v="0"/>
    <n v="39859"/>
    <n v="3321.5833333333335"/>
    <n v="0"/>
  </r>
  <r>
    <s v="Алданбаяр Чулун"/>
    <s v="П"/>
    <s v="ППЗ"/>
    <s v="ЛПЗ"/>
    <m/>
    <m/>
    <s v="Мам"/>
    <s v="Мам"/>
    <x v="108"/>
    <x v="0"/>
    <m/>
    <n v="43.714285714285715"/>
    <n v="10"/>
    <n v="53"/>
    <n v="51"/>
    <n v="55"/>
    <n v="57"/>
    <n v="60"/>
    <n v="20"/>
    <n v="0"/>
    <n v="25483"/>
    <n v="2123.5833333333335"/>
    <n v="0"/>
  </r>
  <r>
    <s v="Даржбат Сурэн"/>
    <s v="П"/>
    <s v="ЦПЗ"/>
    <s v="ОПЗ"/>
    <m/>
    <m/>
    <s v="Мам"/>
    <s v="Мам"/>
    <x v="108"/>
    <x v="0"/>
    <m/>
    <n v="52"/>
    <n v="13"/>
    <n v="63"/>
    <n v="57"/>
    <n v="67"/>
    <n v="69"/>
    <n v="71"/>
    <n v="24"/>
    <n v="0"/>
    <n v="144556"/>
    <n v="12046.333333333334"/>
    <n v="0"/>
  </r>
  <r>
    <s v="Дондент"/>
    <s v="П"/>
    <s v="ОПЗ"/>
    <m/>
    <m/>
    <s v="Мам"/>
    <s v="Мам"/>
    <s v="Мам"/>
    <x v="108"/>
    <x v="0"/>
    <m/>
    <n v="55.428571428571431"/>
    <n v="60"/>
    <n v="58"/>
    <n v="61"/>
    <n v="72"/>
    <n v="58"/>
    <n v="73"/>
    <n v="6"/>
    <n v="0"/>
    <n v="273740"/>
    <n v="22811.666666666668"/>
    <n v="0"/>
  </r>
  <r>
    <s v="Манхбат Тэмур"/>
    <s v="П"/>
    <s v="ЛПЗ"/>
    <s v="ППЗ"/>
    <m/>
    <m/>
    <s v="Мам"/>
    <s v="Мам"/>
    <x v="108"/>
    <x v="0"/>
    <m/>
    <n v="47.285714285714285"/>
    <n v="11"/>
    <n v="59"/>
    <n v="53"/>
    <n v="63"/>
    <n v="61"/>
    <n v="63"/>
    <n v="21"/>
    <n v="0"/>
    <n v="55886"/>
    <n v="4657.166666666667"/>
    <n v="0"/>
  </r>
  <r>
    <s v="Сурэнбаяр Гунбат"/>
    <s v="П"/>
    <s v="АПЗ"/>
    <s v="ЦПЗ"/>
    <m/>
    <m/>
    <s v="Мам"/>
    <s v="Мам"/>
    <x v="108"/>
    <x v="0"/>
    <m/>
    <n v="42.142857142857146"/>
    <n v="10"/>
    <n v="45"/>
    <n v="49"/>
    <n v="57"/>
    <n v="55"/>
    <n v="58"/>
    <n v="21"/>
    <n v="0"/>
    <n v="17671"/>
    <n v="1472.5833333333333"/>
    <n v="0"/>
  </r>
  <r>
    <s v="Трайт"/>
    <s v="П"/>
    <s v="ЦПЗ"/>
    <m/>
    <m/>
    <s v="Мам"/>
    <s v="Мам"/>
    <s v="Мам"/>
    <x v="108"/>
    <x v="0"/>
    <m/>
    <n v="58"/>
    <n v="15"/>
    <n v="66"/>
    <n v="68"/>
    <n v="72"/>
    <n v="53"/>
    <n v="73"/>
    <n v="59"/>
    <n v="0"/>
    <n v="430805"/>
    <n v="35900.416666666664"/>
    <n v="0"/>
  </r>
  <r>
    <s v="Туяган Алдан"/>
    <s v="П"/>
    <s v="ОПЗ"/>
    <s v="ЦПЗ"/>
    <m/>
    <m/>
    <s v="Мам"/>
    <s v="Мам"/>
    <x v="108"/>
    <x v="0"/>
    <m/>
    <n v="42.571428571428569"/>
    <n v="10"/>
    <n v="47"/>
    <n v="47"/>
    <n v="55"/>
    <n v="59"/>
    <n v="62"/>
    <n v="18"/>
    <n v="0"/>
    <n v="19552"/>
    <n v="1629.3333333333333"/>
    <n v="0"/>
  </r>
  <r>
    <s v="Хогстер"/>
    <s v="П"/>
    <s v="ЦПЗ"/>
    <m/>
    <m/>
    <s v="Мам"/>
    <s v="Мам"/>
    <s v="Мам"/>
    <x v="108"/>
    <x v="0"/>
    <m/>
    <n v="53.714285714285715"/>
    <n v="44"/>
    <n v="64"/>
    <n v="59"/>
    <n v="58"/>
    <n v="60"/>
    <n v="73"/>
    <n v="18"/>
    <n v="0"/>
    <n v="199940"/>
    <n v="16661.666666666668"/>
    <n v="0"/>
  </r>
  <r>
    <s v="Хомми"/>
    <s v="П"/>
    <s v="ОПЗ"/>
    <m/>
    <m/>
    <s v="Мам"/>
    <s v="Мам"/>
    <s v="Мам"/>
    <x v="108"/>
    <x v="0"/>
    <m/>
    <n v="59.142857142857146"/>
    <n v="43"/>
    <n v="64"/>
    <n v="60"/>
    <n v="65"/>
    <n v="75"/>
    <n v="58"/>
    <n v="49"/>
    <n v="0"/>
    <n v="523629"/>
    <n v="43635.75"/>
    <n v="0"/>
  </r>
  <r>
    <s v="Чигирулли"/>
    <s v="П"/>
    <s v="АПЗ"/>
    <s v="ЦПЗ"/>
    <m/>
    <s v="Мам"/>
    <s v="Мам"/>
    <s v="Мам"/>
    <x v="108"/>
    <x v="0"/>
    <m/>
    <n v="80.142857142857139"/>
    <n v="80"/>
    <n v="80"/>
    <n v="90"/>
    <n v="82"/>
    <n v="83"/>
    <n v="76"/>
    <n v="70"/>
    <n v="17"/>
    <n v="16396059"/>
    <n v="1366338.25"/>
    <n v="0"/>
  </r>
  <r>
    <s v="Ячунга"/>
    <s v="П"/>
    <s v="ЦПЗ"/>
    <s v="ППЗ"/>
    <m/>
    <s v="Мам"/>
    <s v="Мам"/>
    <s v="Мам"/>
    <x v="108"/>
    <x v="0"/>
    <m/>
    <n v="63.714285714285715"/>
    <n v="59"/>
    <n v="72"/>
    <n v="73"/>
    <n v="61"/>
    <n v="63"/>
    <n v="73"/>
    <n v="45"/>
    <n v="0"/>
    <n v="1102474"/>
    <n v="91872.833333333328"/>
    <n v="0"/>
  </r>
  <r>
    <s v="Арданобат Гунбат"/>
    <s v="Т"/>
    <s v="Т"/>
    <m/>
    <m/>
    <m/>
    <s v="Мам"/>
    <s v="Мам"/>
    <x v="108"/>
    <x v="0"/>
    <m/>
    <n v="47.428571428571431"/>
    <n v="10"/>
    <n v="57"/>
    <n v="51"/>
    <n v="61"/>
    <n v="63"/>
    <n v="65"/>
    <n v="25"/>
    <n v="0"/>
    <n v="57598"/>
    <n v="4799.833333333333"/>
    <n v="0"/>
  </r>
  <r>
    <s v="Греви"/>
    <s v="В"/>
    <s v="В"/>
    <m/>
    <m/>
    <s v="С.С."/>
    <s v="С.С."/>
    <s v="С.С."/>
    <x v="109"/>
    <x v="0"/>
    <m/>
    <n v="72.714285714285708"/>
    <n v="69"/>
    <n v="80"/>
    <n v="64"/>
    <n v="60"/>
    <n v="82"/>
    <n v="84"/>
    <n v="70"/>
    <n v="0"/>
    <n v="4132354"/>
    <n v="344362.83333333331"/>
    <n v="0"/>
  </r>
  <r>
    <s v="Халк (В)"/>
    <s v="В"/>
    <s v="В"/>
    <m/>
    <m/>
    <s v="Своб"/>
    <s v="Своб"/>
    <s v="Своб"/>
    <x v="109"/>
    <x v="0"/>
    <m/>
    <n v="90.142857142857139"/>
    <n v="91"/>
    <n v="97"/>
    <n v="100"/>
    <n v="80"/>
    <n v="92"/>
    <n v="90"/>
    <n v="81"/>
    <n v="1"/>
    <n v="53137908"/>
    <n v="4428159"/>
    <n v="0"/>
  </r>
  <r>
    <s v="Альдом"/>
    <s v="З"/>
    <s v="ЦЗ"/>
    <s v="ПЗ"/>
    <m/>
    <s v="Туркан"/>
    <s v="Туркан"/>
    <s v="Туркан"/>
    <x v="109"/>
    <x v="0"/>
    <m/>
    <n v="79.142857142857139"/>
    <n v="60"/>
    <n v="74"/>
    <n v="80"/>
    <n v="82"/>
    <n v="83"/>
    <n v="93"/>
    <n v="82"/>
    <n v="0"/>
    <n v="9640893"/>
    <n v="803407.75"/>
    <n v="0"/>
  </r>
  <r>
    <s v="Душкан (З)"/>
    <s v="З"/>
    <s v="ЛЗ"/>
    <s v="ЦЗ"/>
    <s v="ПЗ"/>
    <s v="С.С."/>
    <s v="С.С."/>
    <s v="С.С."/>
    <x v="109"/>
    <x v="0"/>
    <m/>
    <n v="79.714285714285708"/>
    <n v="70"/>
    <n v="72"/>
    <n v="86"/>
    <n v="83"/>
    <n v="87"/>
    <n v="96"/>
    <n v="64"/>
    <n v="0"/>
    <n v="10360044"/>
    <n v="863337"/>
    <n v="0"/>
  </r>
  <r>
    <s v="Коути"/>
    <s v="З"/>
    <s v="ПЗ"/>
    <m/>
    <m/>
    <s v="С.С."/>
    <s v="Сул"/>
    <s v="Сул"/>
    <x v="109"/>
    <x v="0"/>
    <m/>
    <n v="78.142857142857139"/>
    <n v="61"/>
    <n v="87"/>
    <n v="76"/>
    <n v="80"/>
    <n v="85"/>
    <n v="81"/>
    <n v="77"/>
    <n v="0"/>
    <n v="8489711"/>
    <n v="707475.91666666663"/>
    <n v="0"/>
  </r>
  <r>
    <s v="Терри"/>
    <s v="З"/>
    <s v="ЦЗ"/>
    <s v="ПЗ"/>
    <m/>
    <s v="Кирп"/>
    <s v="Кирп"/>
    <s v="Кирп"/>
    <x v="109"/>
    <x v="0"/>
    <m/>
    <n v="93"/>
    <n v="90"/>
    <n v="83"/>
    <n v="94"/>
    <n v="90"/>
    <n v="97"/>
    <n v="99"/>
    <n v="98"/>
    <n v="26"/>
    <n v="72597347"/>
    <n v="6049778.916666667"/>
    <n v="0"/>
  </r>
  <r>
    <s v="Тифтия"/>
    <s v="З"/>
    <s v="ЦЗ"/>
    <s v="ОПЗ"/>
    <m/>
    <s v="С.С."/>
    <s v="С.С."/>
    <s v="С.С."/>
    <x v="109"/>
    <x v="0"/>
    <m/>
    <n v="67.714285714285708"/>
    <n v="45"/>
    <n v="65"/>
    <n v="68"/>
    <n v="74"/>
    <n v="77"/>
    <n v="90"/>
    <n v="55"/>
    <n v="0"/>
    <n v="2026764"/>
    <n v="168897"/>
    <n v="0"/>
  </r>
  <r>
    <s v="Цуфти"/>
    <s v="З"/>
    <s v="ЦЗ"/>
    <s v="ПЗ"/>
    <m/>
    <s v="С.С."/>
    <s v="С.С."/>
    <s v="С.С."/>
    <x v="109"/>
    <x v="0"/>
    <m/>
    <n v="68.428571428571431"/>
    <n v="50"/>
    <n v="60"/>
    <n v="70"/>
    <n v="75"/>
    <n v="78"/>
    <n v="94"/>
    <n v="52"/>
    <n v="0"/>
    <n v="2250997"/>
    <n v="187583.08333333334"/>
    <n v="0"/>
  </r>
  <r>
    <s v="Чувитер"/>
    <s v="З"/>
    <s v="ЦЗ"/>
    <s v="ЛЗ"/>
    <m/>
    <s v="С.С."/>
    <s v="С.С."/>
    <s v="С.С."/>
    <x v="109"/>
    <x v="0"/>
    <m/>
    <n v="68.285714285714292"/>
    <n v="46"/>
    <n v="64"/>
    <n v="73"/>
    <n v="73"/>
    <n v="80"/>
    <n v="89"/>
    <n v="53"/>
    <n v="0"/>
    <n v="2204442"/>
    <n v="183703.5"/>
    <n v="0"/>
  </r>
  <r>
    <s v="Белив"/>
    <s v="Н"/>
    <s v="ЦН"/>
    <m/>
    <m/>
    <s v="С.С."/>
    <s v="С.С."/>
    <s v="С.С."/>
    <x v="109"/>
    <x v="0"/>
    <m/>
    <n v="85.714285714285708"/>
    <n v="83"/>
    <n v="91"/>
    <n v="93"/>
    <n v="84"/>
    <n v="81"/>
    <n v="88"/>
    <n v="80"/>
    <n v="12"/>
    <n v="32108748"/>
    <n v="2675729"/>
    <n v="0"/>
  </r>
  <r>
    <s v="Сабзар (Н)"/>
    <s v="Н"/>
    <s v="ЦН"/>
    <s v="АПЗ"/>
    <m/>
    <s v="С.С."/>
    <s v="С.С."/>
    <s v="С.С."/>
    <x v="109"/>
    <x v="0"/>
    <m/>
    <n v="83"/>
    <n v="75"/>
    <n v="95"/>
    <n v="87"/>
    <n v="80"/>
    <n v="85"/>
    <n v="83"/>
    <n v="76"/>
    <n v="14"/>
    <n v="23274062"/>
    <n v="1939505.1666666667"/>
    <n v="0"/>
  </r>
  <r>
    <s v="Тальдор"/>
    <s v="Н"/>
    <s v="ЦН"/>
    <s v="АПЗ"/>
    <m/>
    <s v="Туркан"/>
    <s v="Туркан"/>
    <s v="Туркан"/>
    <x v="109"/>
    <x v="0"/>
    <m/>
    <n v="76.428571428571431"/>
    <n v="50"/>
    <n v="75"/>
    <n v="83"/>
    <n v="82"/>
    <n v="78"/>
    <n v="97"/>
    <n v="70"/>
    <n v="6"/>
    <n v="10201140"/>
    <n v="850095"/>
    <n v="0"/>
  </r>
  <r>
    <s v="Алькар (П)"/>
    <s v="П"/>
    <s v="ОПЗ"/>
    <s v="ЦЗ"/>
    <s v="ЦПЗ"/>
    <s v="Туркан"/>
    <s v="В.И."/>
    <s v="В.И."/>
    <x v="109"/>
    <x v="0"/>
    <m/>
    <n v="71.428571428571431"/>
    <n v="56"/>
    <n v="80"/>
    <n v="69"/>
    <n v="75"/>
    <n v="81"/>
    <n v="78"/>
    <n v="61"/>
    <n v="0"/>
    <n v="3457162"/>
    <n v="288096.83333333331"/>
    <n v="0"/>
  </r>
  <r>
    <s v="Афтер"/>
    <s v="П"/>
    <s v="ОПЗ"/>
    <s v="ЦЗ"/>
    <m/>
    <s v="К.С."/>
    <s v="К.С."/>
    <s v="К.С."/>
    <x v="109"/>
    <x v="0"/>
    <m/>
    <n v="78"/>
    <n v="65"/>
    <n v="85"/>
    <n v="85"/>
    <n v="85"/>
    <n v="80"/>
    <n v="85"/>
    <n v="61"/>
    <n v="18"/>
    <n v="12503664"/>
    <n v="615498.83333333337"/>
    <n v="0"/>
  </r>
  <r>
    <s v="Вузар (П)"/>
    <s v="П"/>
    <s v="ЦПЗ"/>
    <s v="АПЗ"/>
    <m/>
    <s v="Ард"/>
    <s v="Ард"/>
    <s v="Ард"/>
    <x v="109"/>
    <x v="0"/>
    <m/>
    <n v="79.714285714285708"/>
    <n v="60"/>
    <n v="86"/>
    <n v="82"/>
    <n v="87"/>
    <n v="83"/>
    <n v="85"/>
    <n v="75"/>
    <n v="0"/>
    <n v="10360044"/>
    <n v="863337"/>
    <n v="0"/>
  </r>
  <r>
    <s v="Гарзон Туф"/>
    <s v="П"/>
    <s v="ЦПЗ"/>
    <s v="ОПЗ"/>
    <m/>
    <s v="С.С."/>
    <s v="С.С."/>
    <s v="С.С."/>
    <x v="109"/>
    <x v="0"/>
    <m/>
    <n v="64.571428571428569"/>
    <n v="34"/>
    <n v="70"/>
    <n v="76"/>
    <n v="71"/>
    <n v="72"/>
    <n v="84"/>
    <n v="45"/>
    <n v="0"/>
    <n v="1260097"/>
    <n v="105008.08333333333"/>
    <n v="0"/>
  </r>
  <r>
    <s v="Глайвстук"/>
    <s v="П"/>
    <s v="ОПЗ"/>
    <s v="ЦЗ"/>
    <m/>
    <s v="Ч.Л."/>
    <s v="Ч.Л."/>
    <s v="Ч.Л."/>
    <x v="109"/>
    <x v="0"/>
    <m/>
    <n v="74"/>
    <n v="53"/>
    <n v="77"/>
    <n v="73"/>
    <n v="75"/>
    <n v="80"/>
    <n v="90"/>
    <n v="70"/>
    <n v="18"/>
    <n v="7385986"/>
    <n v="615498.83333333337"/>
    <n v="0"/>
  </r>
  <r>
    <s v="Джорнулли Теор"/>
    <s v="П"/>
    <s v="АПЗ"/>
    <s v="ЦПЗ"/>
    <m/>
    <s v="С.С."/>
    <s v="С.С."/>
    <s v="С.С."/>
    <x v="109"/>
    <x v="0"/>
    <m/>
    <n v="62.285714285714285"/>
    <n v="30"/>
    <n v="74"/>
    <n v="72"/>
    <n v="72"/>
    <n v="74"/>
    <n v="70"/>
    <n v="44"/>
    <n v="0"/>
    <n v="878789"/>
    <n v="73232.416666666672"/>
    <n v="0"/>
  </r>
  <r>
    <s v="Сеуса (П)"/>
    <s v="П"/>
    <s v="ППЗ"/>
    <s v="ЛПЗ"/>
    <s v="АПЗ"/>
    <s v="С.С."/>
    <s v="С.С."/>
    <s v="С.С."/>
    <x v="109"/>
    <x v="0"/>
    <m/>
    <n v="78.714285714285708"/>
    <n v="62"/>
    <n v="93"/>
    <n v="84"/>
    <n v="81"/>
    <n v="73"/>
    <n v="82"/>
    <n v="76"/>
    <n v="0"/>
    <n v="9131363"/>
    <n v="760946.91666666663"/>
    <n v="0"/>
  </r>
  <r>
    <s v="Шексир Аз"/>
    <s v="П"/>
    <s v="ППЗ"/>
    <s v="ПЗ"/>
    <m/>
    <s v="С.С."/>
    <s v="С.С."/>
    <s v="С.С."/>
    <x v="109"/>
    <x v="0"/>
    <m/>
    <n v="64.714285714285708"/>
    <n v="32"/>
    <n v="84"/>
    <n v="77"/>
    <n v="70"/>
    <n v="73"/>
    <n v="68"/>
    <n v="49"/>
    <n v="23"/>
    <n v="1932382"/>
    <n v="161031.83333333334"/>
    <n v="0"/>
  </r>
  <r>
    <s v="Эмунд Райс"/>
    <s v="П"/>
    <s v="ЛПЗ"/>
    <s v="ЛЗ"/>
    <m/>
    <s v="С.С."/>
    <s v="С.С."/>
    <s v="С.С."/>
    <x v="109"/>
    <x v="0"/>
    <m/>
    <n v="69.714285714285708"/>
    <n v="29"/>
    <n v="86"/>
    <n v="73"/>
    <n v="78"/>
    <n v="71"/>
    <n v="74"/>
    <n v="77"/>
    <n v="23"/>
    <n v="4067327"/>
    <n v="338943.91666666669"/>
    <n v="0"/>
  </r>
  <r>
    <s v="Эримнг"/>
    <s v="П"/>
    <s v="ЛПЗ"/>
    <s v="ППЗ"/>
    <s v="ЦПЗ"/>
    <s v="С.С."/>
    <s v="С.С."/>
    <s v="С.С."/>
    <x v="109"/>
    <x v="0"/>
    <m/>
    <n v="70.142857142857139"/>
    <n v="68"/>
    <n v="80"/>
    <n v="79"/>
    <n v="70"/>
    <n v="72"/>
    <n v="71"/>
    <n v="51"/>
    <n v="0"/>
    <n v="2882933"/>
    <n v="240244.41666666666"/>
    <n v="0"/>
  </r>
  <r>
    <s v="Душкер Тив"/>
    <s v="Т"/>
    <s v="Т"/>
    <m/>
    <m/>
    <s v="С.С."/>
    <s v="С.С."/>
    <s v="С.С."/>
    <x v="109"/>
    <x v="0"/>
    <m/>
    <n v="72"/>
    <n v="52"/>
    <n v="95"/>
    <n v="80"/>
    <n v="71"/>
    <n v="82"/>
    <n v="82"/>
    <n v="42"/>
    <n v="0"/>
    <n v="3743907"/>
    <n v="311992.25"/>
    <n v="0"/>
  </r>
  <r>
    <s v="Грильс Йенс"/>
    <s v="В"/>
    <s v="В"/>
    <m/>
    <m/>
    <m/>
    <s v="Шах"/>
    <s v="Шах"/>
    <x v="110"/>
    <x v="0"/>
    <m/>
    <n v="62.571428571428569"/>
    <n v="23"/>
    <n v="68"/>
    <n v="66"/>
    <n v="73"/>
    <n v="78"/>
    <n v="76"/>
    <n v="54"/>
    <n v="0"/>
    <n v="919943"/>
    <n v="76661.916666666672"/>
    <n v="0"/>
  </r>
  <r>
    <s v="Эльс (в)"/>
    <s v="В"/>
    <s v="В"/>
    <m/>
    <m/>
    <s v="Шах"/>
    <s v="Эстл"/>
    <s v="Эстл"/>
    <x v="110"/>
    <x v="0"/>
    <m/>
    <n v="79.857142857142861"/>
    <n v="74"/>
    <n v="90"/>
    <n v="74"/>
    <n v="84"/>
    <n v="82"/>
    <n v="90"/>
    <n v="65"/>
    <n v="31"/>
    <n v="15820819"/>
    <n v="1318401.5833333333"/>
    <n v="0"/>
  </r>
  <r>
    <s v="Джованни Лука"/>
    <s v="З"/>
    <s v="ПЗ"/>
    <s v="ЦЗ"/>
    <m/>
    <m/>
    <s v="Шах"/>
    <s v="Шах"/>
    <x v="110"/>
    <x v="0"/>
    <m/>
    <n v="57"/>
    <n v="21"/>
    <n v="64"/>
    <n v="49"/>
    <n v="72"/>
    <n v="70"/>
    <n v="73"/>
    <n v="50"/>
    <n v="0"/>
    <n v="362034"/>
    <n v="30169.5"/>
    <n v="0"/>
  </r>
  <r>
    <s v="Джэфо (З)"/>
    <s v="З"/>
    <s v="ЦЗ"/>
    <m/>
    <m/>
    <s v="Шах"/>
    <s v="Шах"/>
    <s v="Шах"/>
    <x v="110"/>
    <x v="0"/>
    <m/>
    <n v="72.142857142857139"/>
    <n v="65"/>
    <n v="70"/>
    <n v="74"/>
    <n v="80"/>
    <n v="74"/>
    <n v="82"/>
    <n v="60"/>
    <n v="0"/>
    <n v="3818857"/>
    <n v="318238.08333333331"/>
    <n v="0"/>
  </r>
  <r>
    <s v="Кривта Дарко"/>
    <s v="З"/>
    <s v="ЦЗ"/>
    <s v="ОПЗ"/>
    <m/>
    <m/>
    <s v="Шах"/>
    <s v="Шах"/>
    <x v="110"/>
    <x v="0"/>
    <m/>
    <n v="66.428571428571431"/>
    <n v="35"/>
    <n v="71"/>
    <n v="62"/>
    <n v="79"/>
    <n v="81"/>
    <n v="80"/>
    <n v="57"/>
    <n v="0"/>
    <n v="1673205"/>
    <n v="139433.75"/>
    <n v="0"/>
  </r>
  <r>
    <s v="Кришта (З)"/>
    <s v="З"/>
    <s v="ЦЗ"/>
    <s v="ОПЗ"/>
    <s v="ПЗ"/>
    <s v="Турк"/>
    <s v="Турк"/>
    <s v="Турк"/>
    <x v="110"/>
    <x v="0"/>
    <m/>
    <n v="90.857142857142861"/>
    <n v="95"/>
    <n v="83"/>
    <n v="99"/>
    <n v="94"/>
    <n v="89"/>
    <n v="86"/>
    <n v="90"/>
    <n v="1"/>
    <n v="57501877"/>
    <n v="4791823.083333333"/>
    <n v="0"/>
  </r>
  <r>
    <s v="Лорваль Пьер"/>
    <s v="З"/>
    <s v="ЦЗ"/>
    <s v="ЛЗ"/>
    <m/>
    <m/>
    <s v="Шах"/>
    <s v="Шах"/>
    <x v="110"/>
    <x v="0"/>
    <m/>
    <n v="62.428571428571431"/>
    <n v="27"/>
    <n v="82"/>
    <n v="54"/>
    <n v="71"/>
    <n v="74"/>
    <n v="77"/>
    <n v="52"/>
    <n v="0"/>
    <n v="899154"/>
    <n v="74929.5"/>
    <n v="0"/>
  </r>
  <r>
    <s v="Лоренц (З)"/>
    <s v="З"/>
    <s v="ЦЗ"/>
    <s v="ОПЗ"/>
    <s v="ЛЗ"/>
    <s v="Шах"/>
    <s v="Лион"/>
    <s v="Лион"/>
    <x v="110"/>
    <x v="0"/>
    <m/>
    <n v="89.428571428571431"/>
    <n v="86"/>
    <n v="88"/>
    <n v="89"/>
    <n v="93"/>
    <n v="90"/>
    <n v="89"/>
    <n v="91"/>
    <n v="18"/>
    <n v="49074309"/>
    <n v="4089525.75"/>
    <n v="0"/>
  </r>
  <r>
    <s v="Тиль (З)"/>
    <s v="З"/>
    <s v="ЦЗ"/>
    <m/>
    <m/>
    <s v="Шах"/>
    <s v="Шах"/>
    <s v="Шах"/>
    <x v="110"/>
    <x v="0"/>
    <m/>
    <n v="76.857142857142861"/>
    <n v="64"/>
    <n v="71"/>
    <n v="80"/>
    <n v="83"/>
    <n v="81"/>
    <n v="95"/>
    <n v="64"/>
    <n v="0"/>
    <n v="7191879"/>
    <n v="599323.25"/>
    <n v="0"/>
  </r>
  <r>
    <s v="Тильманс Ральф"/>
    <s v="З"/>
    <s v="ЦЗ"/>
    <s v="ОПЗ"/>
    <m/>
    <m/>
    <s v="Шах"/>
    <s v="Шах"/>
    <x v="110"/>
    <x v="0"/>
    <m/>
    <n v="64.571428571428569"/>
    <n v="38"/>
    <n v="67"/>
    <n v="59"/>
    <n v="76"/>
    <n v="77"/>
    <n v="79"/>
    <n v="56"/>
    <n v="0"/>
    <n v="1260097"/>
    <n v="105008.08333333333"/>
    <n v="0"/>
  </r>
  <r>
    <s v="Рейна (Н)"/>
    <s v="Н"/>
    <s v="ОФ"/>
    <s v="ЦН"/>
    <m/>
    <s v="Шах"/>
    <s v="Шах"/>
    <s v="Шах"/>
    <x v="110"/>
    <x v="0"/>
    <m/>
    <n v="81.714285714285708"/>
    <n v="73"/>
    <n v="92"/>
    <n v="75"/>
    <n v="87"/>
    <n v="88"/>
    <n v="77"/>
    <n v="80"/>
    <n v="3"/>
    <n v="19909995"/>
    <n v="1659166.25"/>
    <n v="0"/>
  </r>
  <r>
    <s v="Санжан"/>
    <s v="Н"/>
    <s v="ЦН"/>
    <s v="АПЗ"/>
    <m/>
    <s v="Хан"/>
    <s v="Хан"/>
    <s v="Хан"/>
    <x v="110"/>
    <x v="0"/>
    <m/>
    <n v="84.142857142857139"/>
    <n v="84"/>
    <n v="81"/>
    <n v="97"/>
    <n v="81"/>
    <n v="90"/>
    <n v="86"/>
    <n v="70"/>
    <n v="21"/>
    <n v="26684792"/>
    <n v="2223732.6666666665"/>
    <n v="0"/>
  </r>
  <r>
    <s v="Сантьяго Рауль"/>
    <s v="Н"/>
    <s v="ЦН"/>
    <s v="ОФ"/>
    <m/>
    <m/>
    <s v="Шах"/>
    <s v="Шах"/>
    <x v="110"/>
    <x v="0"/>
    <m/>
    <n v="64.714285714285708"/>
    <n v="40"/>
    <n v="74"/>
    <n v="64"/>
    <n v="69"/>
    <n v="80"/>
    <n v="75"/>
    <n v="51"/>
    <n v="0"/>
    <n v="1288255"/>
    <n v="107354.58333333333"/>
    <n v="0"/>
  </r>
  <r>
    <s v="Йоханбергман (П)"/>
    <s v="П"/>
    <s v="АПЗ"/>
    <s v="ППЗ"/>
    <s v="ЦПЗ"/>
    <s v="Кирп"/>
    <s v="Кирп"/>
    <s v="Кирп"/>
    <x v="110"/>
    <x v="0"/>
    <m/>
    <n v="86.285714285714292"/>
    <n v="83"/>
    <n v="82"/>
    <n v="100"/>
    <n v="83"/>
    <n v="88"/>
    <n v="93"/>
    <n v="75"/>
    <n v="1"/>
    <n v="34314704"/>
    <n v="2859558.6666666665"/>
    <n v="0"/>
  </r>
  <r>
    <s v="Йохансен Ларс"/>
    <s v="П"/>
    <s v="ППЗ"/>
    <s v="АПЗ"/>
    <m/>
    <m/>
    <s v="Шах"/>
    <s v="Шах"/>
    <x v="110"/>
    <x v="0"/>
    <m/>
    <n v="62.571428571428569"/>
    <n v="36"/>
    <n v="73"/>
    <n v="61"/>
    <n v="70"/>
    <n v="75"/>
    <n v="70"/>
    <n v="53"/>
    <n v="0"/>
    <n v="919943"/>
    <n v="76661.916666666672"/>
    <n v="0"/>
  </r>
  <r>
    <s v="Пеффер (П)"/>
    <s v="П"/>
    <s v="ЦПЗ"/>
    <s v="АПЗ"/>
    <s v="ЛПЗ"/>
    <s v="С.К."/>
    <s v="С.К."/>
    <s v="С.К."/>
    <x v="110"/>
    <x v="0"/>
    <m/>
    <n v="91.857142857142861"/>
    <n v="90"/>
    <n v="83"/>
    <n v="99"/>
    <n v="94"/>
    <n v="94"/>
    <n v="94"/>
    <n v="89"/>
    <n v="1"/>
    <n v="64153535"/>
    <n v="5346127.916666667"/>
    <n v="0"/>
  </r>
  <r>
    <s v="Ракитич (П)"/>
    <s v="П"/>
    <s v="ЦПЗ"/>
    <s v="ППЗ"/>
    <s v="АПЗ"/>
    <s v="Зар"/>
    <s v="Зар"/>
    <s v="Зар"/>
    <x v="110"/>
    <x v="0"/>
    <m/>
    <n v="85.857142857142861"/>
    <n v="83"/>
    <n v="89"/>
    <n v="93"/>
    <n v="87"/>
    <n v="82"/>
    <n v="83"/>
    <n v="84"/>
    <n v="22"/>
    <n v="32647925"/>
    <n v="2720660.4166666665"/>
    <n v="0"/>
  </r>
  <r>
    <s v="Ракович Марко"/>
    <s v="П"/>
    <s v="ЦПЗ"/>
    <s v="АПЗ"/>
    <m/>
    <m/>
    <s v="Шах"/>
    <s v="Шах"/>
    <x v="110"/>
    <x v="0"/>
    <m/>
    <n v="60.571428571428569"/>
    <n v="25"/>
    <n v="76"/>
    <n v="57"/>
    <n v="72"/>
    <n v="68"/>
    <n v="71"/>
    <n v="55"/>
    <n v="0"/>
    <n v="664781"/>
    <n v="55398.416666666664"/>
    <n v="0"/>
  </r>
  <r>
    <s v="Рейнхарт Нико"/>
    <s v="П"/>
    <s v="ОПЗ"/>
    <s v="ЦПЗ"/>
    <m/>
    <s v="Шах"/>
    <s v="Шах"/>
    <s v="Шах"/>
    <x v="110"/>
    <x v="0"/>
    <m/>
    <n v="79"/>
    <n v="50"/>
    <n v="80"/>
    <n v="84"/>
    <n v="88"/>
    <n v="91"/>
    <n v="90"/>
    <n v="70"/>
    <n v="18"/>
    <n v="14202415"/>
    <n v="1183534.5833333333"/>
    <n v="0"/>
  </r>
  <r>
    <s v="Сырдак (П)"/>
    <s v="П"/>
    <s v="АПЗ"/>
    <s v="ППЗ"/>
    <m/>
    <s v="Орл"/>
    <s v="Орл"/>
    <s v="Орл"/>
    <x v="110"/>
    <x v="0"/>
    <m/>
    <n v="89.285714285714292"/>
    <n v="88"/>
    <n v="84"/>
    <n v="96"/>
    <n v="92"/>
    <n v="89"/>
    <n v="88"/>
    <n v="88"/>
    <n v="21"/>
    <n v="48295986"/>
    <n v="4024665.5"/>
    <n v="0"/>
  </r>
  <r>
    <s v="Сыркин Павел"/>
    <s v="П"/>
    <s v="ЛПЗ"/>
    <s v="ЦПЗ"/>
    <m/>
    <m/>
    <s v="Шах"/>
    <s v="Шах"/>
    <x v="110"/>
    <x v="0"/>
    <m/>
    <n v="57.857142857142854"/>
    <n v="22"/>
    <n v="80"/>
    <n v="50"/>
    <n v="67"/>
    <n v="69"/>
    <n v="68"/>
    <n v="49"/>
    <n v="0"/>
    <n v="420311"/>
    <n v="35025.916666666664"/>
    <n v="0"/>
  </r>
  <r>
    <s v="Каспарелли "/>
    <s v="П"/>
    <s v="ППЗ"/>
    <s v="ЦПЗ"/>
    <s v="АПЗ"/>
    <s v="Сул"/>
    <s v="Сул"/>
    <s v="Сул"/>
    <x v="111"/>
    <x v="8"/>
    <m/>
    <n v="95.857142857142861"/>
    <n v="99"/>
    <n v="100"/>
    <n v="95"/>
    <n v="97"/>
    <n v="93"/>
    <n v="90"/>
    <n v="97"/>
    <n v="14"/>
    <n v="98250793"/>
    <n v="8187566.083333333"/>
    <n v="0"/>
  </r>
  <r>
    <s v="Джедидая"/>
    <s v="Н"/>
    <s v="ОФ"/>
    <s v="ЛПЗ"/>
    <m/>
    <s v="Бел"/>
    <s v="Бел"/>
    <s v="Бел"/>
    <x v="112"/>
    <x v="6"/>
    <m/>
    <n v="90.571428571428569"/>
    <n v="91"/>
    <n v="95"/>
    <n v="90"/>
    <n v="92"/>
    <n v="90"/>
    <n v="84"/>
    <n v="92"/>
    <n v="7"/>
    <n v="55719016"/>
    <n v="4643251.333333333"/>
    <n v="0"/>
  </r>
  <r>
    <s v="Бармуд"/>
    <s v="В"/>
    <s v="В"/>
    <m/>
    <m/>
    <s v="Своб"/>
    <s v="Своб"/>
    <s v="Своб"/>
    <x v="113"/>
    <x v="0"/>
    <m/>
    <n v="69.142857142857139"/>
    <n v="49"/>
    <n v="70"/>
    <n v="68"/>
    <n v="89"/>
    <n v="75"/>
    <n v="78"/>
    <n v="55"/>
    <n v="0"/>
    <n v="2497315"/>
    <n v="208109.58333333334"/>
    <n v="0"/>
  </r>
  <r>
    <s v="Урман"/>
    <s v="В"/>
    <s v="В"/>
    <m/>
    <m/>
    <s v="Зел.Хол"/>
    <s v="Зел.Хол"/>
    <s v="Зел.Хол"/>
    <x v="113"/>
    <x v="0"/>
    <m/>
    <n v="58.857142857142854"/>
    <n v="23"/>
    <n v="60"/>
    <n v="61"/>
    <n v="75"/>
    <n v="68"/>
    <n v="70"/>
    <n v="55"/>
    <n v="0"/>
    <n v="498876"/>
    <n v="41573"/>
    <n v="0"/>
  </r>
  <r>
    <s v="Аснан"/>
    <s v="З"/>
    <s v="ЦЗ"/>
    <m/>
    <m/>
    <s v="Своб"/>
    <s v="Своб"/>
    <s v="Своб"/>
    <x v="113"/>
    <x v="0"/>
    <m/>
    <n v="68.571428571428569"/>
    <n v="44"/>
    <n v="70"/>
    <n v="76"/>
    <n v="70"/>
    <n v="80"/>
    <n v="80"/>
    <n v="60"/>
    <n v="0"/>
    <n v="2298434"/>
    <n v="191536.16666666666"/>
    <n v="0"/>
  </r>
  <r>
    <s v="Багин"/>
    <s v="З"/>
    <s v="ЦЗ"/>
    <m/>
    <m/>
    <s v="Зел.Хол"/>
    <s v="Зел.Хол"/>
    <s v="Зел.Хол"/>
    <x v="113"/>
    <x v="0"/>
    <m/>
    <n v="45.714285714285715"/>
    <n v="27"/>
    <n v="41"/>
    <n v="35"/>
    <n v="51"/>
    <n v="57"/>
    <n v="76"/>
    <n v="33"/>
    <n v="0"/>
    <n v="39859"/>
    <n v="3321.5833333333335"/>
    <n v="0"/>
  </r>
  <r>
    <s v="Вильнов"/>
    <s v="З"/>
    <s v="ЦЗ"/>
    <s v="ЛЗ"/>
    <m/>
    <s v="Своб"/>
    <s v="Своб"/>
    <s v="Своб"/>
    <x v="113"/>
    <x v="0"/>
    <m/>
    <n v="83"/>
    <n v="70"/>
    <n v="81"/>
    <n v="84"/>
    <n v="83"/>
    <n v="90"/>
    <n v="93"/>
    <n v="80"/>
    <n v="28"/>
    <n v="23274062"/>
    <n v="1939505.1666666667"/>
    <n v="0"/>
  </r>
  <r>
    <s v="Гулин"/>
    <s v="З"/>
    <s v="ЦЗ"/>
    <m/>
    <m/>
    <s v="Зел.Хол"/>
    <s v="Зел.Хол"/>
    <s v="Зел.Хол"/>
    <x v="113"/>
    <x v="0"/>
    <m/>
    <n v="60.285714285714285"/>
    <n v="35"/>
    <n v="51"/>
    <n v="96"/>
    <n v="51"/>
    <n v="67"/>
    <n v="71"/>
    <n v="51"/>
    <n v="0"/>
    <n v="634081"/>
    <n v="52840.083333333336"/>
    <n v="0"/>
  </r>
  <r>
    <s v="Зовов"/>
    <s v="З"/>
    <s v="ЦЗ"/>
    <m/>
    <m/>
    <s v="Зел.Хол"/>
    <s v="Зел.Хол"/>
    <s v="Зел.Хол"/>
    <x v="113"/>
    <x v="0"/>
    <m/>
    <n v="54.857142857142854"/>
    <n v="24"/>
    <n v="45"/>
    <n v="87"/>
    <n v="57"/>
    <n v="62"/>
    <n v="57"/>
    <n v="52"/>
    <n v="0"/>
    <n v="246793"/>
    <n v="20566.083333333332"/>
    <n v="0"/>
  </r>
  <r>
    <s v="Кувой"/>
    <s v="З"/>
    <s v="ЦЗ"/>
    <s v="ЛЗ"/>
    <m/>
    <s v="Своб"/>
    <s v="Своб"/>
    <s v="Своб"/>
    <x v="113"/>
    <x v="0"/>
    <m/>
    <n v="73.714285714285708"/>
    <n v="51"/>
    <n v="75"/>
    <n v="84"/>
    <n v="76"/>
    <n v="79"/>
    <n v="86"/>
    <n v="65"/>
    <n v="0"/>
    <n v="4737145"/>
    <n v="394762.08333333331"/>
    <n v="0"/>
  </r>
  <r>
    <s v="Туршев"/>
    <s v="З"/>
    <s v="ЦЗ"/>
    <s v="ОПЗ"/>
    <m/>
    <s v="Зел.Хол"/>
    <s v="Зел.Хол"/>
    <s v="Зел.Хол"/>
    <x v="113"/>
    <x v="0"/>
    <m/>
    <n v="70.428571428571431"/>
    <n v="52"/>
    <n v="61"/>
    <n v="70"/>
    <n v="76"/>
    <n v="76"/>
    <n v="88"/>
    <n v="70"/>
    <n v="0"/>
    <n v="3002540"/>
    <n v="250211.66666666666"/>
    <n v="0"/>
  </r>
  <r>
    <s v="Урайнов"/>
    <s v="З"/>
    <s v="ЦЗ"/>
    <s v="ОПЗ"/>
    <m/>
    <s v="Своб"/>
    <s v="Своб"/>
    <s v="Своб"/>
    <x v="113"/>
    <x v="0"/>
    <m/>
    <n v="67.714285714285708"/>
    <n v="48"/>
    <n v="64"/>
    <n v="64"/>
    <n v="71"/>
    <n v="73"/>
    <n v="90"/>
    <n v="64"/>
    <n v="0"/>
    <n v="2026764"/>
    <n v="168897"/>
    <n v="0"/>
  </r>
  <r>
    <s v="Дромьера"/>
    <s v="Н"/>
    <s v="ЦН"/>
    <s v="ОФ"/>
    <m/>
    <s v="Своб"/>
    <s v="Своб"/>
    <s v="Своб"/>
    <x v="113"/>
    <x v="0"/>
    <m/>
    <n v="73.142857142857139"/>
    <n v="50"/>
    <n v="80"/>
    <n v="78"/>
    <n v="70"/>
    <n v="84"/>
    <n v="90"/>
    <n v="60"/>
    <n v="6"/>
    <n v="6573709"/>
    <n v="547809.08333333337"/>
    <n v="0"/>
  </r>
  <r>
    <s v="Мейбис"/>
    <s v="Н"/>
    <s v="ОФ"/>
    <m/>
    <m/>
    <s v="Перс"/>
    <s v="Перс"/>
    <s v="Перс"/>
    <x v="113"/>
    <x v="0"/>
    <m/>
    <n v="68.428571428571431"/>
    <n v="40"/>
    <n v="82"/>
    <n v="77"/>
    <n v="80"/>
    <n v="74"/>
    <n v="70"/>
    <n v="56"/>
    <n v="0"/>
    <n v="2250997"/>
    <n v="187583.08333333334"/>
    <n v="0"/>
  </r>
  <r>
    <s v="Риллаб"/>
    <s v="Н"/>
    <s v="ОФ"/>
    <m/>
    <m/>
    <s v="Своб"/>
    <s v="Своб"/>
    <s v="Своб"/>
    <x v="113"/>
    <x v="0"/>
    <m/>
    <n v="72.428571428571431"/>
    <n v="60"/>
    <n v="90"/>
    <n v="70"/>
    <n v="72"/>
    <n v="75"/>
    <n v="70"/>
    <n v="70"/>
    <n v="3"/>
    <n v="5959235"/>
    <n v="496602.91666666669"/>
    <n v="0"/>
  </r>
  <r>
    <s v="Тендер"/>
    <s v="Н"/>
    <s v="ЦН"/>
    <m/>
    <m/>
    <s v="Зел.Хол"/>
    <s v="Зел.Хол"/>
    <s v="Зел.Хол"/>
    <x v="113"/>
    <x v="0"/>
    <m/>
    <n v="56.285714285714285"/>
    <n v="18"/>
    <n v="49"/>
    <n v="73"/>
    <n v="64"/>
    <n v="71"/>
    <n v="83"/>
    <n v="36"/>
    <n v="0"/>
    <n v="319141"/>
    <n v="26595.083333333332"/>
    <n v="0"/>
  </r>
  <r>
    <s v="Триллеров"/>
    <s v="Н"/>
    <s v="ОФ"/>
    <s v="АПЗ"/>
    <m/>
    <s v="Заг"/>
    <s v="Заг"/>
    <s v="Заг"/>
    <x v="113"/>
    <x v="0"/>
    <m/>
    <n v="73.714285714285708"/>
    <n v="55"/>
    <n v="77"/>
    <n v="78"/>
    <n v="79"/>
    <n v="76"/>
    <n v="81"/>
    <n v="70"/>
    <n v="12"/>
    <n v="7105717"/>
    <n v="592143.08333333337"/>
    <n v="0"/>
  </r>
  <r>
    <s v="Туб"/>
    <s v="Н"/>
    <s v="ЦН"/>
    <m/>
    <m/>
    <s v="Зел.Хол"/>
    <s v="Зел.Хол"/>
    <s v="Зел.Хол"/>
    <x v="113"/>
    <x v="0"/>
    <m/>
    <n v="58.571428571428569"/>
    <n v="24"/>
    <n v="48"/>
    <n v="75"/>
    <n v="65"/>
    <n v="70"/>
    <n v="86"/>
    <n v="42"/>
    <n v="0"/>
    <n v="475181"/>
    <n v="39598.416666666664"/>
    <n v="0"/>
  </r>
  <r>
    <s v="Джерман"/>
    <s v="П"/>
    <s v="ЦПЗ"/>
    <m/>
    <m/>
    <s v="Юл"/>
    <s v="Юл"/>
    <s v="Юл"/>
    <x v="113"/>
    <x v="0"/>
    <m/>
    <n v="73.714285714285708"/>
    <n v="55"/>
    <n v="81"/>
    <n v="80"/>
    <n v="68"/>
    <n v="84"/>
    <n v="88"/>
    <n v="60"/>
    <n v="0"/>
    <n v="4737145"/>
    <n v="394762.08333333331"/>
    <n v="0"/>
  </r>
  <r>
    <s v="Кула"/>
    <s v="П"/>
    <s v="ЦПЗ"/>
    <s v="АПЗ"/>
    <m/>
    <s v="Своб"/>
    <s v="Своб"/>
    <s v="Своб"/>
    <x v="113"/>
    <x v="0"/>
    <m/>
    <n v="63.714285714285715"/>
    <n v="45"/>
    <n v="66"/>
    <n v="73"/>
    <n v="67"/>
    <n v="72"/>
    <n v="79"/>
    <n v="44"/>
    <n v="0"/>
    <n v="1102474"/>
    <n v="91872.833333333328"/>
    <n v="0"/>
  </r>
  <r>
    <s v="Пакти"/>
    <s v="П"/>
    <s v="ОПЗ"/>
    <m/>
    <m/>
    <s v="Зел.Хол"/>
    <s v="Зел.Хол"/>
    <s v="Зел.Хол"/>
    <x v="113"/>
    <x v="0"/>
    <m/>
    <n v="46.857142857142854"/>
    <n v="16"/>
    <n v="53"/>
    <n v="58"/>
    <n v="58"/>
    <n v="53"/>
    <n v="70"/>
    <n v="20"/>
    <n v="0"/>
    <n v="51023"/>
    <n v="4251.916666666667"/>
    <n v="0"/>
  </r>
  <r>
    <s v="Пальмир"/>
    <s v="П"/>
    <s v="ЛПЗ"/>
    <s v="АПЗ"/>
    <m/>
    <s v="Своб"/>
    <s v="Своб"/>
    <s v="Своб"/>
    <x v="113"/>
    <x v="0"/>
    <m/>
    <n v="67.428571428571431"/>
    <n v="59"/>
    <n v="75"/>
    <n v="80"/>
    <n v="77"/>
    <n v="70"/>
    <n v="61"/>
    <n v="50"/>
    <n v="0"/>
    <n v="1942852"/>
    <n v="56718.916666666664"/>
    <n v="0"/>
  </r>
  <r>
    <s v="Парт"/>
    <s v="П"/>
    <s v="ЛПЗ"/>
    <m/>
    <m/>
    <s v="Своб"/>
    <s v="Своб"/>
    <s v="Своб"/>
    <x v="113"/>
    <x v="0"/>
    <m/>
    <n v="63.571428571428569"/>
    <n v="50"/>
    <n v="78"/>
    <n v="78"/>
    <n v="61"/>
    <n v="65"/>
    <n v="56"/>
    <n v="57"/>
    <n v="0"/>
    <n v="1078003"/>
    <n v="89833.583333333328"/>
    <n v="0"/>
  </r>
  <r>
    <s v="Перьми"/>
    <s v="П"/>
    <s v="АПЗ"/>
    <s v="ЦПЗ"/>
    <m/>
    <s v="Своб"/>
    <s v="Своб"/>
    <s v="Своб"/>
    <x v="113"/>
    <x v="0"/>
    <m/>
    <n v="61.571428571428569"/>
    <n v="49"/>
    <n v="55"/>
    <n v="79"/>
    <n v="79"/>
    <n v="71"/>
    <n v="55"/>
    <n v="43"/>
    <n v="0"/>
    <n v="783056"/>
    <n v="65254.666666666664"/>
    <n v="0"/>
  </r>
  <r>
    <s v="Пиллори"/>
    <s v="П"/>
    <s v="ЦПЗ"/>
    <m/>
    <m/>
    <s v="Своб"/>
    <s v="Своб"/>
    <s v="Своб"/>
    <x v="113"/>
    <x v="0"/>
    <m/>
    <n v="56.285714285714285"/>
    <n v="39"/>
    <n v="65"/>
    <n v="61"/>
    <n v="67"/>
    <n v="55"/>
    <n v="56"/>
    <n v="51"/>
    <n v="0"/>
    <n v="319141"/>
    <n v="26595.083333333332"/>
    <n v="0"/>
  </r>
  <r>
    <s v="Тарл (П)"/>
    <s v="П"/>
    <s v="ЦПЗ"/>
    <s v="ОПЗ"/>
    <m/>
    <s v="Своб"/>
    <s v="Своб"/>
    <s v="Своб"/>
    <x v="113"/>
    <x v="0"/>
    <m/>
    <n v="65.428571428571431"/>
    <n v="57"/>
    <n v="68"/>
    <n v="58"/>
    <n v="75"/>
    <n v="75"/>
    <n v="74"/>
    <n v="51"/>
    <n v="0"/>
    <n v="1437721"/>
    <n v="119810.08333333333"/>
    <n v="0"/>
  </r>
  <r>
    <s v="Шармильтон"/>
    <s v="П"/>
    <s v="ОПЗ"/>
    <m/>
    <m/>
    <s v="Своб"/>
    <s v="Своб"/>
    <s v="Своб"/>
    <x v="113"/>
    <x v="0"/>
    <m/>
    <n v="60.428571428571431"/>
    <n v="43"/>
    <n v="58"/>
    <n v="60"/>
    <n v="56"/>
    <n v="74"/>
    <n v="74"/>
    <n v="58"/>
    <n v="0"/>
    <n v="649267"/>
    <n v="54105.583333333336"/>
    <n v="0"/>
  </r>
  <r>
    <s v="Лучков"/>
    <s v="Т"/>
    <s v="Т"/>
    <m/>
    <m/>
    <m/>
    <s v="Своб"/>
    <s v="Своб"/>
    <x v="113"/>
    <x v="0"/>
    <m/>
    <n v="69.428571428571431"/>
    <n v="57"/>
    <n v="82"/>
    <n v="74"/>
    <n v="68"/>
    <n v="65"/>
    <n v="80"/>
    <n v="60"/>
    <n v="0"/>
    <n v="2602450"/>
    <n v="216870.83333333334"/>
    <n v="0"/>
  </r>
  <r>
    <s v="Скороба Люк"/>
    <s v="В"/>
    <s v="В"/>
    <m/>
    <m/>
    <m/>
    <s v="Сув"/>
    <s v="Сув"/>
    <x v="114"/>
    <x v="0"/>
    <m/>
    <n v="52.428571428571431"/>
    <n v="14"/>
    <n v="68"/>
    <n v="54"/>
    <n v="64"/>
    <n v="66"/>
    <n v="68"/>
    <n v="33"/>
    <n v="0"/>
    <n v="156921"/>
    <n v="13076.75"/>
    <n v="0"/>
  </r>
  <r>
    <s v="Вулеба"/>
    <s v="З"/>
    <s v="ПЗ"/>
    <m/>
    <m/>
    <s v="Биссий"/>
    <s v="Биссий"/>
    <s v="Биссий"/>
    <x v="114"/>
    <x v="0"/>
    <m/>
    <n v="60.428571428571431"/>
    <n v="41"/>
    <n v="70"/>
    <n v="72"/>
    <n v="96"/>
    <n v="61"/>
    <n v="60"/>
    <n v="23"/>
    <n v="0"/>
    <n v="649267"/>
    <n v="54105.583333333336"/>
    <n v="0"/>
  </r>
  <r>
    <s v="Ганси"/>
    <s v="З"/>
    <s v="ЦЗ"/>
    <s v="ПЗ"/>
    <m/>
    <s v="Лес"/>
    <s v="Лес"/>
    <s v="Лес"/>
    <x v="114"/>
    <x v="0"/>
    <m/>
    <n v="58.714285714285715"/>
    <n v="30"/>
    <n v="60"/>
    <n v="62"/>
    <n v="63"/>
    <n v="71"/>
    <n v="75"/>
    <n v="50"/>
    <n v="0"/>
    <n v="486898"/>
    <n v="40574.833333333336"/>
    <n v="0"/>
  </r>
  <r>
    <s v="Громоба Лука"/>
    <s v="З"/>
    <s v="ЛЗ"/>
    <s v="ЦЗ"/>
    <m/>
    <m/>
    <s v="Сув"/>
    <s v="Сув"/>
    <x v="114"/>
    <x v="0"/>
    <m/>
    <n v="53.571428571428569"/>
    <n v="11"/>
    <n v="76"/>
    <n v="61"/>
    <n v="65"/>
    <n v="67"/>
    <n v="70"/>
    <n v="25"/>
    <n v="0"/>
    <n v="194685"/>
    <n v="16223.75"/>
    <n v="0"/>
  </r>
  <r>
    <s v="Дубосьев Тимур"/>
    <s v="З"/>
    <s v="ЦЗ"/>
    <s v="ОПЗ"/>
    <m/>
    <m/>
    <s v="Сув"/>
    <s v="Сув"/>
    <x v="114"/>
    <x v="0"/>
    <m/>
    <n v="67.142857142857139"/>
    <n v="18"/>
    <n v="88"/>
    <n v="76"/>
    <n v="82"/>
    <n v="85"/>
    <n v="87"/>
    <n v="34"/>
    <n v="0"/>
    <n v="1862080"/>
    <n v="155173.33333333334"/>
    <n v="0"/>
  </r>
  <r>
    <s v="Кленсуров Пётр"/>
    <s v="З"/>
    <s v="ПЗ"/>
    <s v="ЦЗ"/>
    <m/>
    <m/>
    <s v="Сув"/>
    <s v="Сув"/>
    <x v="114"/>
    <x v="0"/>
    <m/>
    <n v="48.285714285714285"/>
    <n v="12"/>
    <n v="69"/>
    <n v="53"/>
    <n v="61"/>
    <n v="59"/>
    <n v="61"/>
    <n v="23"/>
    <n v="0"/>
    <n v="68895"/>
    <n v="5741.25"/>
    <n v="0"/>
  </r>
  <r>
    <s v="Кривоси Марк"/>
    <s v="З"/>
    <s v="ЛЗ"/>
    <s v="ЦЗ"/>
    <m/>
    <m/>
    <s v="Сув"/>
    <s v="Сув"/>
    <x v="114"/>
    <x v="0"/>
    <m/>
    <n v="50.714285714285715"/>
    <n v="13"/>
    <n v="72"/>
    <n v="56"/>
    <n v="60"/>
    <n v="62"/>
    <n v="64"/>
    <n v="28"/>
    <n v="0"/>
    <n v="112540"/>
    <n v="9378.3333333333339"/>
    <n v="0"/>
  </r>
  <r>
    <s v="Туровой"/>
    <s v="З"/>
    <s v="ЦЗ"/>
    <s v="ПЗ"/>
    <m/>
    <s v="Черлесск"/>
    <s v="Черлесск"/>
    <s v="Черлесск"/>
    <x v="114"/>
    <x v="0"/>
    <m/>
    <n v="65.142857142857139"/>
    <n v="50"/>
    <n v="65"/>
    <n v="70"/>
    <n v="68"/>
    <n v="70"/>
    <n v="83"/>
    <n v="50"/>
    <n v="0"/>
    <n v="1376158"/>
    <n v="114679.83333333333"/>
    <n v="0"/>
  </r>
  <r>
    <s v="Хугантов"/>
    <s v="З"/>
    <s v="ЦЗ"/>
    <s v="ОПЗ"/>
    <m/>
    <s v="Черлесск"/>
    <s v="Черлесск"/>
    <s v="Черлесск"/>
    <x v="114"/>
    <x v="0"/>
    <m/>
    <n v="63.142857142857146"/>
    <n v="48"/>
    <n v="60"/>
    <n v="67"/>
    <n v="69"/>
    <n v="72"/>
    <n v="78"/>
    <n v="48"/>
    <n v="0"/>
    <n v="1007494"/>
    <n v="83957.833333333328"/>
    <n v="0"/>
  </r>
  <r>
    <s v="Бурлаченко Савва"/>
    <s v="Н"/>
    <s v="ОФ"/>
    <s v="ЦН"/>
    <m/>
    <m/>
    <s v="Сув"/>
    <s v="Сув"/>
    <x v="114"/>
    <x v="0"/>
    <m/>
    <n v="63.285714285714285"/>
    <n v="16"/>
    <n v="85"/>
    <n v="73"/>
    <n v="77"/>
    <n v="79"/>
    <n v="81"/>
    <n v="32"/>
    <n v="0"/>
    <n v="1030522"/>
    <n v="85876.833333333328"/>
    <n v="0"/>
  </r>
  <r>
    <s v="Волкоца Игнат"/>
    <s v="Н"/>
    <s v="ЦН"/>
    <s v="ОФ"/>
    <m/>
    <m/>
    <s v="Сув"/>
    <s v="Сув"/>
    <x v="114"/>
    <x v="0"/>
    <m/>
    <n v="64.428571428571431"/>
    <n v="33"/>
    <n v="79"/>
    <n v="87"/>
    <n v="73"/>
    <n v="69"/>
    <n v="80"/>
    <n v="30"/>
    <n v="7"/>
    <n v="1848742"/>
    <n v="154061.83333333334"/>
    <n v="0"/>
  </r>
  <r>
    <s v="Скалобов Олег"/>
    <s v="Н"/>
    <s v="ОФ"/>
    <s v="ЦН"/>
    <m/>
    <m/>
    <s v="Сув"/>
    <s v="Сув"/>
    <x v="114"/>
    <x v="0"/>
    <m/>
    <n v="49"/>
    <n v="11"/>
    <n v="66"/>
    <n v="53"/>
    <n v="61"/>
    <n v="63"/>
    <n v="65"/>
    <n v="24"/>
    <n v="0"/>
    <n v="79793"/>
    <n v="6649.416666666667"/>
    <n v="0"/>
  </r>
  <r>
    <s v="Цач"/>
    <s v="Н"/>
    <s v="ЦН"/>
    <m/>
    <m/>
    <s v="Генуа"/>
    <s v="Генуа"/>
    <s v="Генуа"/>
    <x v="114"/>
    <x v="0"/>
    <m/>
    <n v="62.857142857142854"/>
    <n v="21"/>
    <n v="58"/>
    <n v="80"/>
    <n v="65"/>
    <n v="73"/>
    <n v="98"/>
    <n v="45"/>
    <n v="0"/>
    <n v="962823"/>
    <n v="80235.25"/>
    <n v="0"/>
  </r>
  <r>
    <s v="Ветросьев Андрей"/>
    <s v="П"/>
    <s v="ППЗ"/>
    <s v="АПЗ"/>
    <m/>
    <m/>
    <s v="Сув"/>
    <s v="Сув"/>
    <x v="114"/>
    <x v="0"/>
    <m/>
    <n v="57.571428571428569"/>
    <n v="11"/>
    <n v="77"/>
    <n v="65"/>
    <n v="73"/>
    <n v="75"/>
    <n v="77"/>
    <n v="25"/>
    <n v="0"/>
    <n v="400010"/>
    <n v="33334.166666666664"/>
    <n v="0"/>
  </r>
  <r>
    <s v="Иванов (П)"/>
    <s v="П"/>
    <s v="ЦПЗ"/>
    <s v="ППЗ"/>
    <s v="ЛПЗ"/>
    <s v="Мал"/>
    <s v="В.И."/>
    <s v="В.И."/>
    <x v="114"/>
    <x v="0"/>
    <m/>
    <n v="84.714285714285708"/>
    <n v="75"/>
    <n v="83"/>
    <n v="93"/>
    <n v="86"/>
    <n v="90"/>
    <n v="91"/>
    <n v="75"/>
    <n v="1"/>
    <n v="28553398"/>
    <n v="2379449.8333333335"/>
    <n v="0"/>
  </r>
  <r>
    <s v="Игнашьев"/>
    <s v="П"/>
    <s v="АПЗ"/>
    <s v="ЛПЗ"/>
    <m/>
    <s v="Черлесск"/>
    <s v="Черлесск"/>
    <s v="Черлесск"/>
    <x v="114"/>
    <x v="0"/>
    <m/>
    <n v="76.714285714285708"/>
    <n v="64"/>
    <n v="77"/>
    <n v="85"/>
    <n v="80"/>
    <n v="80"/>
    <n v="81"/>
    <n v="70"/>
    <n v="21"/>
    <n v="10588970"/>
    <n v="882414.16666666663"/>
    <n v="0"/>
  </r>
  <r>
    <s v="Молчач Илья"/>
    <s v="П"/>
    <s v="ЦПЗ"/>
    <s v="ОПЗ"/>
    <m/>
    <m/>
    <s v="Сув"/>
    <s v="Сув"/>
    <x v="114"/>
    <x v="0"/>
    <m/>
    <n v="48.428571428571431"/>
    <n v="11"/>
    <n v="68"/>
    <n v="53"/>
    <n v="59"/>
    <n v="61"/>
    <n v="63"/>
    <n v="24"/>
    <n v="0"/>
    <n v="70961"/>
    <n v="5913.416666666667"/>
    <n v="0"/>
  </r>
  <r>
    <s v="Светлов Павел"/>
    <s v="П"/>
    <s v="АПЗ"/>
    <s v="ЦПЗ"/>
    <m/>
    <m/>
    <s v="Сув"/>
    <s v="Сув"/>
    <x v="114"/>
    <x v="0"/>
    <m/>
    <n v="51.428571428571431"/>
    <n v="13"/>
    <n v="70"/>
    <n v="57"/>
    <n v="65"/>
    <n v="63"/>
    <n v="65"/>
    <n v="27"/>
    <n v="0"/>
    <n v="129433"/>
    <n v="10786.083333333334"/>
    <n v="0"/>
  </r>
  <r>
    <s v="Тиховой Стас"/>
    <s v="П"/>
    <s v="ОПЗ"/>
    <s v="ЦПЗ"/>
    <m/>
    <m/>
    <s v="Сув"/>
    <s v="Сув"/>
    <x v="114"/>
    <x v="0"/>
    <m/>
    <n v="49.285714285714285"/>
    <n v="12"/>
    <n v="69"/>
    <n v="55"/>
    <n v="63"/>
    <n v="59"/>
    <n v="61"/>
    <n v="26"/>
    <n v="0"/>
    <n v="84569"/>
    <n v="7047.416666666667"/>
    <n v="0"/>
  </r>
  <r>
    <s v="Быстроси Игнат"/>
    <s v="Т"/>
    <s v="Т"/>
    <m/>
    <m/>
    <m/>
    <s v="Сув"/>
    <s v="Сув"/>
    <x v="114"/>
    <x v="0"/>
    <m/>
    <n v="56.714285714285715"/>
    <n v="12"/>
    <n v="75"/>
    <n v="61"/>
    <n v="71"/>
    <n v="73"/>
    <n v="75"/>
    <n v="30"/>
    <n v="0"/>
    <n v="344291"/>
    <n v="28690.916666666668"/>
    <n v="0"/>
  </r>
  <r>
    <s v="Академиков "/>
    <s v="В"/>
    <s v="В"/>
    <m/>
    <m/>
    <s v="Тури"/>
    <s v="Тури"/>
    <s v="Тури"/>
    <x v="115"/>
    <x v="9"/>
    <m/>
    <n v="86"/>
    <n v="86"/>
    <n v="80"/>
    <n v="85"/>
    <n v="93"/>
    <n v="87"/>
    <n v="90"/>
    <n v="81"/>
    <n v="29"/>
    <n v="33195237"/>
    <n v="2766269.75"/>
    <n v="0"/>
  </r>
  <r>
    <s v="Ливерпульд (Н)"/>
    <s v="Н"/>
    <s v="ОФ"/>
    <s v="ЛПЗ"/>
    <m/>
    <s v="Рекс"/>
    <s v="Рекс"/>
    <s v="Рекс"/>
    <x v="115"/>
    <x v="9"/>
    <m/>
    <n v="96"/>
    <n v="100"/>
    <n v="90"/>
    <n v="96"/>
    <n v="97"/>
    <n v="95"/>
    <n v="96"/>
    <n v="98"/>
    <n v="13"/>
    <n v="99724896"/>
    <n v="8310408"/>
    <n v="0"/>
  </r>
  <r>
    <s v="Олич"/>
    <s v="Н"/>
    <s v="ОФ"/>
    <s v="ППЗ"/>
    <s v="ЛПЗ"/>
    <s v="Рекс"/>
    <s v="Рекс"/>
    <s v="Рекс"/>
    <x v="115"/>
    <x v="9"/>
    <m/>
    <n v="94.571428571428569"/>
    <n v="95"/>
    <n v="97"/>
    <n v="93"/>
    <n v="100"/>
    <n v="90"/>
    <n v="87"/>
    <n v="100"/>
    <n v="8"/>
    <n v="85840207"/>
    <n v="7153350.583333333"/>
    <n v="0"/>
  </r>
  <r>
    <s v="Виктор Оличсон"/>
    <s v="П"/>
    <s v="ЛПЗ"/>
    <s v="АПЗ"/>
    <m/>
    <s v="Рекс"/>
    <s v="Рекс"/>
    <s v="Рекс"/>
    <x v="115"/>
    <x v="9"/>
    <m/>
    <n v="79.571428571428569"/>
    <n v="70"/>
    <n v="89"/>
    <n v="80"/>
    <n v="88"/>
    <n v="80"/>
    <n v="78"/>
    <n v="72"/>
    <n v="12"/>
    <n v="15263806"/>
    <n v="1271983.8333333333"/>
    <n v="0"/>
  </r>
  <r>
    <s v="Грубый"/>
    <s v="В"/>
    <s v="В"/>
    <m/>
    <m/>
    <s v="Вод"/>
    <s v="Вод"/>
    <s v="Вод"/>
    <x v="116"/>
    <x v="0"/>
    <m/>
    <n v="68.571428571428569"/>
    <n v="51"/>
    <n v="65"/>
    <n v="80"/>
    <n v="70"/>
    <n v="83"/>
    <n v="80"/>
    <n v="51"/>
    <n v="0"/>
    <n v="2298434"/>
    <n v="191536.16666666666"/>
    <n v="0"/>
  </r>
  <r>
    <s v="Волгин Радек"/>
    <s v="З"/>
    <s v="ПЗ"/>
    <s v="ЦЗ"/>
    <m/>
    <m/>
    <s v="Вод"/>
    <s v="Вод"/>
    <x v="116"/>
    <x v="0"/>
    <m/>
    <n v="61.857142857142854"/>
    <n v="21"/>
    <n v="72"/>
    <n v="66"/>
    <n v="76"/>
    <n v="78"/>
    <n v="80"/>
    <n v="40"/>
    <n v="2"/>
    <n v="1230240"/>
    <n v="102520"/>
    <n v="0"/>
  </r>
  <r>
    <s v="Омутин Казик"/>
    <s v="З"/>
    <s v="ЦЗ"/>
    <s v="ОПЗ"/>
    <m/>
    <s v="Вод"/>
    <s v="Вод"/>
    <s v="Вод"/>
    <x v="116"/>
    <x v="0"/>
    <m/>
    <n v="66.285714285714292"/>
    <n v="23"/>
    <n v="76"/>
    <n v="70"/>
    <n v="82"/>
    <n v="84"/>
    <n v="86"/>
    <n v="43"/>
    <n v="2"/>
    <n v="2456353"/>
    <n v="204696.08333333334"/>
    <n v="0"/>
  </r>
  <r>
    <s v="Ручей Флорин"/>
    <s v="З"/>
    <s v="ЛЗ"/>
    <s v="ЦЗ"/>
    <m/>
    <m/>
    <s v="Вод"/>
    <s v="Вод"/>
    <x v="116"/>
    <x v="0"/>
    <m/>
    <n v="58.857142857142854"/>
    <n v="16"/>
    <n v="66"/>
    <n v="62"/>
    <n v="74"/>
    <n v="80"/>
    <n v="82"/>
    <n v="32"/>
    <n v="2"/>
    <n v="748313"/>
    <n v="62359.416666666664"/>
    <n v="0"/>
  </r>
  <r>
    <s v="Тульнас"/>
    <s v="З"/>
    <s v="ЦЗ"/>
    <m/>
    <m/>
    <s v="Вод"/>
    <s v="Вод"/>
    <s v="Вод"/>
    <x v="116"/>
    <x v="0"/>
    <m/>
    <n v="64.714285714285708"/>
    <n v="39"/>
    <n v="60"/>
    <n v="86"/>
    <n v="65"/>
    <n v="66"/>
    <n v="72"/>
    <n v="65"/>
    <n v="0"/>
    <n v="1288255"/>
    <n v="107354.58333333333"/>
    <n v="0"/>
  </r>
  <r>
    <s v="Шпингер"/>
    <s v="З"/>
    <s v="ЦЗ"/>
    <m/>
    <m/>
    <s v="Лин"/>
    <s v="Лин"/>
    <s v="Лин"/>
    <x v="116"/>
    <x v="0"/>
    <m/>
    <n v="70.857142857142861"/>
    <n v="55"/>
    <n v="72"/>
    <n v="65"/>
    <n v="78"/>
    <n v="81"/>
    <n v="87"/>
    <n v="58"/>
    <n v="0"/>
    <n v="3190336"/>
    <n v="265861.33333333331"/>
    <n v="0"/>
  </r>
  <r>
    <s v="Водин (Н)"/>
    <s v="Н"/>
    <s v="ОФ"/>
    <s v="ЛПЗ"/>
    <m/>
    <s v="Вод"/>
    <s v="Вод"/>
    <s v="Вод"/>
    <x v="116"/>
    <x v="0"/>
    <m/>
    <n v="81.428571428571431"/>
    <n v="80"/>
    <n v="80"/>
    <n v="85"/>
    <n v="86"/>
    <n v="89"/>
    <n v="77"/>
    <n v="73"/>
    <n v="2"/>
    <n v="19224694"/>
    <n v="1602057.8333333333"/>
    <n v="0"/>
  </r>
  <r>
    <s v="Настер"/>
    <s v="Н"/>
    <s v="ЦН"/>
    <m/>
    <m/>
    <s v="Вод"/>
    <s v="Вод"/>
    <s v="Вод"/>
    <x v="116"/>
    <x v="0"/>
    <m/>
    <n v="64.857142857142861"/>
    <n v="30"/>
    <n v="70"/>
    <n v="75"/>
    <n v="71"/>
    <n v="72"/>
    <n v="85"/>
    <n v="51"/>
    <n v="2"/>
    <n v="1975466"/>
    <n v="164622.16666666666"/>
    <n v="0"/>
  </r>
  <r>
    <s v="Пучин Савва"/>
    <s v="Н"/>
    <s v="ОФ"/>
    <s v="ЦН"/>
    <m/>
    <s v="Вод"/>
    <s v="Вод"/>
    <s v="Вод"/>
    <x v="116"/>
    <x v="0"/>
    <m/>
    <n v="68"/>
    <n v="24"/>
    <n v="80"/>
    <n v="80"/>
    <n v="81"/>
    <n v="82"/>
    <n v="85"/>
    <n v="44"/>
    <n v="2"/>
    <n v="3170885"/>
    <n v="264240.41666666669"/>
    <n v="0"/>
  </r>
  <r>
    <s v="Брызгин Ласло"/>
    <s v="П"/>
    <s v="АПЗ"/>
    <s v="ЦПЗ"/>
    <m/>
    <m/>
    <s v="Вод"/>
    <s v="Вод"/>
    <x v="116"/>
    <x v="0"/>
    <m/>
    <n v="54.714285714285715"/>
    <n v="16"/>
    <n v="60"/>
    <n v="64"/>
    <n v="72"/>
    <n v="70"/>
    <n v="73"/>
    <n v="28"/>
    <n v="2"/>
    <n v="360661"/>
    <n v="30055.083333333332"/>
    <n v="0"/>
  </r>
  <r>
    <s v="Власин (П)"/>
    <s v="П"/>
    <s v="АПЗ"/>
    <m/>
    <m/>
    <s v="Вод"/>
    <s v="Вод"/>
    <s v="Вод"/>
    <x v="116"/>
    <x v="0"/>
    <m/>
    <n v="73.857142857142861"/>
    <n v="74"/>
    <n v="74"/>
    <n v="80"/>
    <n v="75"/>
    <n v="74"/>
    <n v="80"/>
    <n v="60"/>
    <n v="2"/>
    <n v="7244632"/>
    <n v="603719.33333333337"/>
    <n v="0"/>
  </r>
  <r>
    <s v="Грек"/>
    <s v="П"/>
    <s v="ЦПЗ"/>
    <s v="ОПЗ"/>
    <s v="ЛПЗ"/>
    <s v="Вод"/>
    <s v="Вод"/>
    <s v="Вод"/>
    <x v="116"/>
    <x v="0"/>
    <m/>
    <n v="79"/>
    <n v="77"/>
    <n v="80"/>
    <n v="84"/>
    <n v="80"/>
    <n v="78"/>
    <n v="90"/>
    <n v="64"/>
    <n v="2"/>
    <n v="14202415"/>
    <n v="1183534.5833333333"/>
    <n v="0"/>
  </r>
  <r>
    <s v="Заводь Ион"/>
    <s v="П"/>
    <s v="ОПЗ"/>
    <s v="ЦПЗ"/>
    <m/>
    <s v="Вод"/>
    <s v="Вод"/>
    <s v="Вод"/>
    <x v="116"/>
    <x v="0"/>
    <m/>
    <n v="77.285714285714292"/>
    <n v="50"/>
    <n v="80"/>
    <n v="88"/>
    <n v="82"/>
    <n v="86"/>
    <n v="90"/>
    <n v="65"/>
    <n v="2"/>
    <n v="11404691"/>
    <n v="950390.91666666663"/>
    <n v="0"/>
  </r>
  <r>
    <s v="Ключёв Марек"/>
    <s v="П"/>
    <s v="ЛПЗ"/>
    <s v="ОПЗ"/>
    <m/>
    <m/>
    <s v="Вод"/>
    <s v="Вод"/>
    <x v="116"/>
    <x v="0"/>
    <m/>
    <n v="61.571428571428569"/>
    <n v="21"/>
    <n v="72"/>
    <n v="68"/>
    <n v="80"/>
    <n v="76"/>
    <n v="78"/>
    <n v="36"/>
    <n v="2"/>
    <n v="1174583"/>
    <n v="97881.916666666672"/>
    <n v="0"/>
  </r>
  <r>
    <s v="Морозин Никола"/>
    <s v="П"/>
    <s v="ППЗ"/>
    <s v="АПЗ"/>
    <m/>
    <m/>
    <s v="Вод"/>
    <s v="Вод"/>
    <x v="116"/>
    <x v="0"/>
    <m/>
    <n v="59.428571428571431"/>
    <n v="19"/>
    <n v="70"/>
    <n v="68"/>
    <n v="76"/>
    <n v="74"/>
    <n v="76"/>
    <n v="33"/>
    <n v="2"/>
    <n v="824222"/>
    <n v="68685.166666666672"/>
    <n v="0"/>
  </r>
  <r>
    <s v="Нек (П)"/>
    <s v="П"/>
    <s v="ЦПЗ"/>
    <m/>
    <m/>
    <s v="Вод"/>
    <s v="Вод"/>
    <s v="Вод"/>
    <x v="116"/>
    <x v="0"/>
    <m/>
    <n v="76.285714285714292"/>
    <n v="78"/>
    <n v="71"/>
    <n v="81"/>
    <n v="78"/>
    <n v="77"/>
    <n v="86"/>
    <n v="63"/>
    <n v="2"/>
    <n v="10012060"/>
    <n v="834338.33333333337"/>
    <n v="0"/>
  </r>
  <r>
    <s v="Плёсин Тадеуш"/>
    <s v="П"/>
    <s v="ЦПЗ"/>
    <s v="ОПЗ"/>
    <m/>
    <s v="Вод"/>
    <s v="Вод"/>
    <s v="Вод"/>
    <x v="116"/>
    <x v="0"/>
    <m/>
    <n v="65.571428571428569"/>
    <n v="24"/>
    <n v="78"/>
    <n v="74"/>
    <n v="84"/>
    <n v="78"/>
    <n v="80"/>
    <n v="41"/>
    <n v="2"/>
    <n v="2204133"/>
    <n v="183677.75"/>
    <n v="0"/>
  </r>
  <r>
    <s v="Тиховод Тибор"/>
    <s v="П"/>
    <s v="ППЗ"/>
    <s v="ЛПЗ"/>
    <m/>
    <m/>
    <s v="Вод"/>
    <s v="Вод"/>
    <x v="116"/>
    <x v="0"/>
    <m/>
    <n v="57.142857142857146"/>
    <n v="18"/>
    <n v="64"/>
    <n v="66"/>
    <n v="74"/>
    <n v="72"/>
    <n v="75"/>
    <n v="31"/>
    <n v="2"/>
    <n v="556815"/>
    <n v="46401.25"/>
    <n v="0"/>
  </r>
  <r>
    <s v="Фоллов"/>
    <s v="П"/>
    <s v="ОПЗ"/>
    <s v="ЦЗ"/>
    <m/>
    <s v="Вод"/>
    <s v="Вод"/>
    <s v="Вод"/>
    <x v="116"/>
    <x v="0"/>
    <m/>
    <n v="73.571428571428569"/>
    <n v="70"/>
    <n v="78"/>
    <n v="80"/>
    <n v="74"/>
    <n v="73"/>
    <n v="82"/>
    <n v="58"/>
    <n v="2"/>
    <n v="6969204"/>
    <n v="580767"/>
    <n v="0"/>
  </r>
  <r>
    <s v="Оргунков"/>
    <s v="Т"/>
    <s v="Т"/>
    <m/>
    <m/>
    <m/>
    <s v="Вод"/>
    <s v="Вод"/>
    <x v="116"/>
    <x v="0"/>
    <m/>
    <n v="72.571428571428569"/>
    <n v="50"/>
    <n v="83"/>
    <n v="70"/>
    <n v="82"/>
    <n v="78"/>
    <n v="78"/>
    <n v="67"/>
    <n v="0"/>
    <n v="4051882"/>
    <n v="337656.83333333331"/>
    <n v="0"/>
  </r>
  <r>
    <s v="Авон (В)"/>
    <s v="В"/>
    <s v="В"/>
    <m/>
    <m/>
    <s v="Кут"/>
    <s v="Кут"/>
    <s v="Кут"/>
    <x v="117"/>
    <x v="0"/>
    <m/>
    <n v="76.428571428571431"/>
    <n v="49"/>
    <n v="82"/>
    <n v="85"/>
    <n v="71"/>
    <n v="91"/>
    <n v="80"/>
    <n v="77"/>
    <n v="31"/>
    <n v="10201140"/>
    <n v="850095"/>
    <n v="0"/>
  </r>
  <r>
    <s v="Линдгрен Оскар"/>
    <s v="В"/>
    <s v="В"/>
    <m/>
    <m/>
    <s v="Рекс"/>
    <s v="Рекс"/>
    <s v="Рекс"/>
    <x v="117"/>
    <x v="0"/>
    <m/>
    <n v="75.142857142857139"/>
    <n v="68"/>
    <n v="73"/>
    <n v="74"/>
    <n v="78"/>
    <n v="83"/>
    <n v="79"/>
    <n v="71"/>
    <n v="0"/>
    <n v="5739540"/>
    <n v="478295"/>
    <n v="0"/>
  </r>
  <r>
    <s v="Бергстрём Эрик"/>
    <s v="З"/>
    <s v="ЛЗ"/>
    <s v="ЦЗ"/>
    <m/>
    <s v="Рекс"/>
    <s v="Рекс"/>
    <s v="Рекс"/>
    <x v="117"/>
    <x v="0"/>
    <m/>
    <n v="76.285714285714292"/>
    <n v="69"/>
    <n v="78"/>
    <n v="79"/>
    <n v="81"/>
    <n v="76"/>
    <n v="82"/>
    <n v="69"/>
    <n v="0"/>
    <n v="6674707"/>
    <n v="556225.58333333337"/>
    <n v="0"/>
  </r>
  <r>
    <s v="Виколич (З)"/>
    <s v="З"/>
    <s v="ПЗ"/>
    <s v="ЛЗ"/>
    <s v="ЦЗ"/>
    <s v="Рекс"/>
    <s v="Рекс"/>
    <s v="Рекс"/>
    <x v="117"/>
    <x v="0"/>
    <m/>
    <n v="85.571428571428569"/>
    <n v="88"/>
    <n v="88"/>
    <n v="88"/>
    <n v="82"/>
    <n v="86"/>
    <n v="87"/>
    <n v="80"/>
    <n v="28"/>
    <n v="31577598"/>
    <n v="2631466.5"/>
    <n v="0"/>
  </r>
  <r>
    <s v="Калинин (З)"/>
    <s v="З"/>
    <s v="ЦЗ"/>
    <s v="ПЗ"/>
    <m/>
    <s v="В.И."/>
    <s v="В.И."/>
    <s v="В.И."/>
    <x v="117"/>
    <x v="0"/>
    <m/>
    <n v="91"/>
    <n v="85"/>
    <n v="86"/>
    <n v="95"/>
    <n v="92"/>
    <n v="94"/>
    <n v="95"/>
    <n v="90"/>
    <n v="26"/>
    <n v="58412418"/>
    <n v="4867701.5"/>
    <n v="0"/>
  </r>
  <r>
    <s v="Калшер"/>
    <s v="З"/>
    <s v="ЦЗ"/>
    <s v="ПЗ"/>
    <m/>
    <m/>
    <s v="Рекс"/>
    <s v="Рекс"/>
    <x v="117"/>
    <x v="0"/>
    <m/>
    <n v="77.714285714285708"/>
    <n v="70"/>
    <n v="75"/>
    <n v="80"/>
    <n v="81"/>
    <n v="80"/>
    <n v="88"/>
    <n v="70"/>
    <n v="0"/>
    <n v="8035421"/>
    <n v="669618.41666666663"/>
    <n v="0"/>
  </r>
  <r>
    <s v="Миду"/>
    <s v="З"/>
    <s v="ЦЗ"/>
    <s v="ПЗ"/>
    <m/>
    <s v="Рекс"/>
    <s v="Рекс"/>
    <s v="Рекс"/>
    <x v="117"/>
    <x v="0"/>
    <m/>
    <n v="94.285714285714292"/>
    <n v="94"/>
    <n v="89"/>
    <n v="98"/>
    <n v="95"/>
    <n v="95"/>
    <n v="93"/>
    <n v="96"/>
    <n v="1"/>
    <n v="83281822"/>
    <n v="6940151.833333333"/>
    <n v="0"/>
  </r>
  <r>
    <s v="Саирсер (З)"/>
    <s v="З"/>
    <s v="ЦЗ"/>
    <s v="ЛЗ"/>
    <m/>
    <s v="Рекс"/>
    <s v="Рекс"/>
    <s v="Рекс"/>
    <x v="117"/>
    <x v="0"/>
    <m/>
    <n v="83.714285714285708"/>
    <n v="83"/>
    <n v="80"/>
    <n v="87"/>
    <n v="84"/>
    <n v="85"/>
    <n v="86"/>
    <n v="81"/>
    <n v="27"/>
    <n v="25356367"/>
    <n v="2113030.5833333335"/>
    <n v="0"/>
  </r>
  <r>
    <s v="Сёрон Цэрон"/>
    <s v="З"/>
    <s v="ЦЗ"/>
    <s v="ОПЗ"/>
    <m/>
    <s v="Рекс"/>
    <s v="Рекс"/>
    <s v="Рекс"/>
    <x v="117"/>
    <x v="0"/>
    <m/>
    <n v="76.285714285714292"/>
    <n v="70"/>
    <n v="74"/>
    <n v="80"/>
    <n v="78"/>
    <n v="81"/>
    <n v="79"/>
    <n v="72"/>
    <n v="0"/>
    <n v="6674707"/>
    <n v="556225.58333333337"/>
    <n v="0"/>
  </r>
  <r>
    <s v="Хансен Магнус"/>
    <s v="З"/>
    <s v="ПЗ"/>
    <s v="ЦЗ"/>
    <m/>
    <s v="Рекс"/>
    <s v="Рекс"/>
    <s v="Рекс"/>
    <x v="117"/>
    <x v="0"/>
    <m/>
    <n v="76.857142857142861"/>
    <n v="72"/>
    <n v="76"/>
    <n v="81"/>
    <n v="79"/>
    <n v="77"/>
    <n v="80"/>
    <n v="73"/>
    <n v="0"/>
    <n v="7191879"/>
    <n v="599323.25"/>
    <n v="0"/>
  </r>
  <r>
    <s v="Андерсон Юхан"/>
    <s v="Н"/>
    <s v="ОФ"/>
    <s v="ЛПЗ"/>
    <m/>
    <s v="Рекс"/>
    <s v="Рекс"/>
    <s v="Рекс"/>
    <x v="117"/>
    <x v="0"/>
    <m/>
    <n v="76.142857142857139"/>
    <n v="71"/>
    <n v="81"/>
    <n v="77"/>
    <n v="80"/>
    <n v="78"/>
    <n v="77"/>
    <n v="69"/>
    <n v="0"/>
    <n v="6550761"/>
    <n v="545896.75"/>
    <n v="0"/>
  </r>
  <r>
    <s v="Демиан Л-д (Н)"/>
    <s v="Н"/>
    <s v="ЦН"/>
    <m/>
    <m/>
    <s v="Рекс"/>
    <s v="Рекс"/>
    <s v="Рекс"/>
    <x v="117"/>
    <x v="0"/>
    <m/>
    <n v="80.857142857142861"/>
    <n v="75"/>
    <n v="85"/>
    <n v="86"/>
    <n v="84"/>
    <n v="80"/>
    <n v="84"/>
    <n v="72"/>
    <n v="12"/>
    <n v="17917408"/>
    <n v="1493117.3333333333"/>
    <n v="0"/>
  </r>
  <r>
    <s v="Максвелл (Н)"/>
    <s v="Н"/>
    <s v="ЦН"/>
    <s v="ОФ"/>
    <m/>
    <s v="Рекс"/>
    <s v="Рекс"/>
    <s v="Рекс"/>
    <x v="117"/>
    <x v="0"/>
    <m/>
    <n v="82.142857142857139"/>
    <n v="80"/>
    <n v="86"/>
    <n v="85"/>
    <n v="82"/>
    <n v="82"/>
    <n v="85"/>
    <n v="75"/>
    <n v="16"/>
    <n v="20979219"/>
    <n v="1748268.25"/>
    <n v="0"/>
  </r>
  <r>
    <s v="Питер Оличсон (Н)"/>
    <s v="Н"/>
    <s v="ОФ"/>
    <m/>
    <m/>
    <s v="Рекс"/>
    <s v="Рекс"/>
    <s v="Рекс"/>
    <x v="117"/>
    <x v="0"/>
    <m/>
    <n v="79"/>
    <n v="70"/>
    <n v="83"/>
    <n v="83"/>
    <n v="85"/>
    <n v="78"/>
    <n v="81"/>
    <n v="73"/>
    <n v="0"/>
    <n v="9468277"/>
    <n v="789023.08333333337"/>
    <n v="0"/>
  </r>
  <r>
    <s v="Рат"/>
    <s v="Н"/>
    <s v="ЦН"/>
    <s v="АПЗ"/>
    <m/>
    <s v="Рекс"/>
    <s v="Лион"/>
    <s v="Лион"/>
    <x v="117"/>
    <x v="0"/>
    <m/>
    <n v="95.714285714285708"/>
    <n v="97"/>
    <n v="95"/>
    <n v="97"/>
    <n v="93"/>
    <n v="97"/>
    <n v="95"/>
    <n v="96"/>
    <n v="7"/>
    <n v="96796329"/>
    <n v="8066360.75"/>
    <n v="0"/>
  </r>
  <r>
    <s v="Стрём Ларс"/>
    <s v="Н"/>
    <s v="ЦН"/>
    <s v="ОФ"/>
    <m/>
    <s v="Рекс"/>
    <s v="Рекс"/>
    <s v="Рекс"/>
    <x v="117"/>
    <x v="0"/>
    <m/>
    <n v="77.285714285714292"/>
    <n v="75"/>
    <n v="76"/>
    <n v="81"/>
    <n v="79"/>
    <n v="83"/>
    <n v="76"/>
    <n v="71"/>
    <n v="0"/>
    <n v="7603128"/>
    <n v="633594"/>
    <n v="0"/>
  </r>
  <r>
    <s v="Даль Йонас"/>
    <s v="П"/>
    <s v="ППЗ"/>
    <s v="АПЗ"/>
    <m/>
    <s v="Рекс"/>
    <s v="Рекс"/>
    <s v="Рекс"/>
    <x v="117"/>
    <x v="0"/>
    <m/>
    <n v="74.571428571428569"/>
    <n v="68"/>
    <n v="79"/>
    <n v="76"/>
    <n v="80"/>
    <n v="74"/>
    <n v="78"/>
    <n v="67"/>
    <n v="0"/>
    <n v="5317710"/>
    <n v="443142.5"/>
    <n v="0"/>
  </r>
  <r>
    <s v="Клиц (П)"/>
    <s v="П"/>
    <s v="АПЗ"/>
    <s v="ЛПЗ"/>
    <s v="ППЗ"/>
    <s v="Рекс"/>
    <s v="Рекс"/>
    <s v="Рекс"/>
    <x v="117"/>
    <x v="0"/>
    <m/>
    <n v="90.142857142857139"/>
    <n v="86"/>
    <n v="83"/>
    <n v="95"/>
    <n v="94"/>
    <n v="95"/>
    <n v="92"/>
    <n v="86"/>
    <n v="18"/>
    <n v="53137908"/>
    <n v="4428159"/>
    <n v="0"/>
  </r>
  <r>
    <s v="Ларссон Фредрик"/>
    <s v="П"/>
    <s v="ОПЗ"/>
    <s v="ЦПЗ"/>
    <m/>
    <s v="Рекс"/>
    <s v="Рекс"/>
    <s v="Рекс"/>
    <x v="117"/>
    <x v="0"/>
    <m/>
    <n v="79.142857142857139"/>
    <n v="74"/>
    <n v="80"/>
    <n v="84"/>
    <n v="82"/>
    <n v="81"/>
    <n v="80"/>
    <n v="73"/>
    <n v="0"/>
    <n v="9640893"/>
    <n v="803407.75"/>
    <n v="0"/>
  </r>
  <r>
    <s v="Найтленд"/>
    <s v="П"/>
    <s v="ЛПЗ"/>
    <s v="ППЗ"/>
    <m/>
    <s v="Рекс"/>
    <s v="Рекс"/>
    <s v="Рекс"/>
    <x v="117"/>
    <x v="0"/>
    <m/>
    <n v="77.428571428571431"/>
    <n v="76"/>
    <n v="96"/>
    <n v="78"/>
    <n v="75"/>
    <n v="73"/>
    <n v="83"/>
    <n v="61"/>
    <n v="23"/>
    <n v="11617261"/>
    <n v="968105.08333333337"/>
    <n v="0"/>
  </r>
  <r>
    <s v="Фернефт Л-д"/>
    <s v="П"/>
    <s v="ППЗ"/>
    <s v="ЛПЗ"/>
    <s v="ОПЗ"/>
    <s v="Рекс"/>
    <s v="Рекс"/>
    <s v="Рекс"/>
    <x v="117"/>
    <x v="0"/>
    <m/>
    <n v="82.142857142857139"/>
    <n v="85"/>
    <n v="91"/>
    <n v="83"/>
    <n v="83"/>
    <n v="84"/>
    <n v="74"/>
    <n v="75"/>
    <n v="12"/>
    <n v="20979219"/>
    <n v="1748268.25"/>
    <n v="0"/>
  </r>
  <r>
    <s v="Хачбек"/>
    <s v="П"/>
    <s v="ППЗ"/>
    <s v="АПЗ"/>
    <m/>
    <s v="Рекс"/>
    <s v="Рекс"/>
    <s v="Рекс"/>
    <x v="117"/>
    <x v="0"/>
    <m/>
    <n v="90.428571428571431"/>
    <n v="92"/>
    <n v="93"/>
    <n v="89"/>
    <n v="90"/>
    <n v="90"/>
    <n v="87"/>
    <n v="92"/>
    <n v="22"/>
    <n v="54846379"/>
    <n v="4570531.583333333"/>
    <n v="0"/>
  </r>
  <r>
    <s v="Хенсом (П)"/>
    <s v="П"/>
    <s v="ЦПЗ"/>
    <s v="ОПЗ"/>
    <s v="АПЗ"/>
    <s v="Рекс"/>
    <s v="Рекс"/>
    <s v="Рекс"/>
    <x v="117"/>
    <x v="0"/>
    <m/>
    <n v="93.285714285714292"/>
    <n v="93"/>
    <n v="88"/>
    <n v="90"/>
    <n v="100"/>
    <n v="93"/>
    <n v="94"/>
    <n v="95"/>
    <n v="17"/>
    <n v="74858768"/>
    <n v="6238230.666666667"/>
    <n v="0"/>
  </r>
  <r>
    <s v="Хольм Андерс"/>
    <s v="П"/>
    <s v="ЛПЗ"/>
    <s v="ЦПЗ"/>
    <m/>
    <s v="Рекс"/>
    <s v="Рекс"/>
    <s v="Рекс"/>
    <x v="117"/>
    <x v="0"/>
    <m/>
    <n v="75.571428571428569"/>
    <n v="71"/>
    <n v="80"/>
    <n v="77"/>
    <n v="79"/>
    <n v="75"/>
    <n v="79"/>
    <n v="68"/>
    <n v="0"/>
    <n v="6075421"/>
    <n v="506285.08333333331"/>
    <n v="0"/>
  </r>
  <r>
    <s v="Эрикссон Виктор"/>
    <s v="П"/>
    <s v="ЦПЗ"/>
    <s v="АПЗ"/>
    <m/>
    <s v="Рекс"/>
    <s v="Рекс"/>
    <s v="Рекс"/>
    <x v="117"/>
    <x v="0"/>
    <m/>
    <n v="76.714285714285708"/>
    <n v="73"/>
    <n v="82"/>
    <n v="78"/>
    <n v="81"/>
    <n v="75"/>
    <n v="78"/>
    <n v="70"/>
    <n v="0"/>
    <n v="7059314"/>
    <n v="588276.16666666663"/>
    <n v="0"/>
  </r>
  <r>
    <s v="Вонгент"/>
    <s v="Т"/>
    <s v="Т"/>
    <m/>
    <m/>
    <m/>
    <s v="Рекс"/>
    <s v="Рекс"/>
    <x v="117"/>
    <x v="0"/>
    <m/>
    <n v="86.571428571428569"/>
    <n v="80"/>
    <n v="86"/>
    <n v="88"/>
    <n v="93"/>
    <n v="89"/>
    <n v="93"/>
    <n v="77"/>
    <n v="0"/>
    <n v="23645356"/>
    <n v="1970446.3333333333"/>
    <n v="0"/>
  </r>
  <r>
    <s v="Клаус"/>
    <s v="В"/>
    <s v="В"/>
    <m/>
    <m/>
    <s v="Д.С."/>
    <s v="Д.С."/>
    <s v="Д.С."/>
    <x v="118"/>
    <x v="0"/>
    <m/>
    <n v="68.714285714285708"/>
    <n v="33"/>
    <n v="70"/>
    <n v="71"/>
    <n v="78"/>
    <n v="80"/>
    <n v="78"/>
    <n v="71"/>
    <n v="0"/>
    <n v="2346770"/>
    <n v="195564.16666666666"/>
    <n v="0"/>
  </r>
  <r>
    <s v="Дальмиолит"/>
    <s v="З"/>
    <s v="ЛЗ"/>
    <s v="ПЗ"/>
    <s v="ЦЗ"/>
    <s v="Д.С."/>
    <s v="Д.С."/>
    <s v="Д.С."/>
    <x v="118"/>
    <x v="0"/>
    <m/>
    <n v="80.857142857142861"/>
    <n v="78"/>
    <n v="88"/>
    <n v="92"/>
    <n v="80"/>
    <n v="77"/>
    <n v="80"/>
    <n v="71"/>
    <n v="26"/>
    <n v="17917408"/>
    <n v="1493117.3333333333"/>
    <n v="0"/>
  </r>
  <r>
    <s v="Красетер"/>
    <s v="З"/>
    <s v="ЦЗ"/>
    <s v="ОПЗ"/>
    <m/>
    <s v="Д.С."/>
    <s v="Д.С."/>
    <s v="Д.С."/>
    <x v="118"/>
    <x v="0"/>
    <m/>
    <n v="77.285714285714292"/>
    <n v="64"/>
    <n v="80"/>
    <n v="82"/>
    <n v="82"/>
    <n v="83"/>
    <n v="85"/>
    <n v="65"/>
    <n v="0"/>
    <n v="7603128"/>
    <n v="633594"/>
    <n v="0"/>
  </r>
  <r>
    <s v="Папирон Сокар"/>
    <s v="З"/>
    <s v="ЦЗ"/>
    <s v="ОПЗ"/>
    <m/>
    <s v="Д.С."/>
    <s v="Д.С."/>
    <s v="Д.С."/>
    <x v="118"/>
    <x v="0"/>
    <m/>
    <n v="66.285714285714292"/>
    <n v="24"/>
    <n v="74"/>
    <n v="78"/>
    <n v="82"/>
    <n v="80"/>
    <n v="82"/>
    <n v="44"/>
    <n v="0"/>
    <n v="1637569"/>
    <n v="136464.08333333334"/>
    <n v="0"/>
  </r>
  <r>
    <s v="Пульминг"/>
    <s v="З"/>
    <s v="ЦЗ"/>
    <s v="ОПЗ"/>
    <m/>
    <s v="Д.С."/>
    <s v="Д.С."/>
    <s v="Д.С."/>
    <x v="118"/>
    <x v="0"/>
    <m/>
    <n v="74.714285714285708"/>
    <n v="62"/>
    <n v="72"/>
    <n v="80"/>
    <n v="82"/>
    <n v="74"/>
    <n v="81"/>
    <n v="72"/>
    <n v="0"/>
    <n v="5420465"/>
    <n v="451705.41666666669"/>
    <n v="0"/>
  </r>
  <r>
    <s v="Туллер"/>
    <s v="З"/>
    <s v="ЦЗ"/>
    <m/>
    <m/>
    <s v="Д.С."/>
    <s v="Д.С."/>
    <s v="Д.С."/>
    <x v="118"/>
    <x v="0"/>
    <m/>
    <n v="61.571428571428569"/>
    <n v="65"/>
    <n v="64"/>
    <n v="70"/>
    <n v="60"/>
    <n v="47"/>
    <n v="85"/>
    <n v="40"/>
    <n v="0"/>
    <n v="783056"/>
    <n v="65254.666666666664"/>
    <n v="0"/>
  </r>
  <r>
    <s v="Уканди"/>
    <s v="З"/>
    <s v="ЦЗ"/>
    <m/>
    <m/>
    <s v="Д.С."/>
    <s v="Д.С."/>
    <s v="Д.С."/>
    <x v="118"/>
    <x v="0"/>
    <m/>
    <n v="55.714285714285715"/>
    <n v="24"/>
    <n v="64"/>
    <n v="69"/>
    <n v="70"/>
    <n v="30"/>
    <n v="90"/>
    <n v="43"/>
    <n v="0"/>
    <n v="288182"/>
    <n v="24015.166666666668"/>
    <n v="0"/>
  </r>
  <r>
    <s v="Цемби"/>
    <s v="З"/>
    <s v="ЦЗ"/>
    <s v="ЛЗ"/>
    <m/>
    <s v="Д.С."/>
    <s v="Д.С."/>
    <s v="Д.С."/>
    <x v="118"/>
    <x v="0"/>
    <m/>
    <n v="69.285714285714292"/>
    <n v="65"/>
    <n v="70"/>
    <n v="74"/>
    <n v="73"/>
    <n v="61"/>
    <n v="87"/>
    <n v="55"/>
    <n v="0"/>
    <n v="2549395"/>
    <n v="212449.58333333334"/>
    <n v="0"/>
  </r>
  <r>
    <s v="Денар Нилас"/>
    <s v="Н"/>
    <s v="ЦН"/>
    <s v="ОФ"/>
    <m/>
    <s v="Д.С."/>
    <s v="Д.С."/>
    <s v="Д.С."/>
    <x v="118"/>
    <x v="0"/>
    <m/>
    <n v="70.285714285714292"/>
    <n v="25"/>
    <n v="86"/>
    <n v="82"/>
    <n v="80"/>
    <n v="84"/>
    <n v="87"/>
    <n v="48"/>
    <n v="0"/>
    <n v="2942190"/>
    <n v="245182.5"/>
    <n v="0"/>
  </r>
  <r>
    <s v="Нот Шерт"/>
    <s v="Н"/>
    <s v="ОФ"/>
    <m/>
    <m/>
    <s v="Д.С."/>
    <s v="Д.С."/>
    <s v="Д.С."/>
    <x v="118"/>
    <x v="0"/>
    <m/>
    <n v="71.857142857142861"/>
    <n v="50"/>
    <n v="75"/>
    <n v="78"/>
    <n v="79"/>
    <n v="80"/>
    <n v="80"/>
    <n v="61"/>
    <n v="0"/>
    <n v="3670283"/>
    <n v="305856.91666666669"/>
    <n v="0"/>
  </r>
  <r>
    <s v="Холменг"/>
    <s v="Н"/>
    <s v="ЦН"/>
    <s v="АПЗ"/>
    <m/>
    <s v="Д.С."/>
    <s v="Д.С."/>
    <s v="Д.С."/>
    <x v="118"/>
    <x v="0"/>
    <m/>
    <n v="71.285714285714292"/>
    <n v="45"/>
    <n v="70"/>
    <n v="81"/>
    <n v="78"/>
    <n v="77"/>
    <n v="88"/>
    <n v="60"/>
    <n v="0"/>
    <n v="3388638"/>
    <n v="282386.5"/>
    <n v="0"/>
  </r>
  <r>
    <s v="Батью Алонс"/>
    <s v="П"/>
    <s v="ЦПЗ"/>
    <s v="ОПЗ"/>
    <m/>
    <s v="Д.С."/>
    <s v="Д.С."/>
    <s v="Д.С."/>
    <x v="118"/>
    <x v="0"/>
    <m/>
    <n v="71.428571428571431"/>
    <n v="44"/>
    <n v="78"/>
    <n v="80"/>
    <n v="81"/>
    <n v="74"/>
    <n v="80"/>
    <n v="63"/>
    <n v="0"/>
    <n v="3457162"/>
    <n v="288096.83333333331"/>
    <n v="0"/>
  </r>
  <r>
    <s v="Ветару Камару"/>
    <s v="П"/>
    <s v="АПЗ"/>
    <s v="ППЗ"/>
    <m/>
    <m/>
    <s v="Д.С."/>
    <s v="Д.С."/>
    <x v="118"/>
    <x v="0"/>
    <m/>
    <n v="58.571428571428569"/>
    <n v="17"/>
    <n v="82"/>
    <n v="58"/>
    <n v="74"/>
    <n v="72"/>
    <n v="75"/>
    <n v="32"/>
    <n v="0"/>
    <n v="475181"/>
    <n v="39598.416666666664"/>
    <n v="0"/>
  </r>
  <r>
    <s v="Зернат Смолис"/>
    <s v="П"/>
    <s v="ППЗ"/>
    <s v="ЛПЗ"/>
    <m/>
    <m/>
    <s v="Д.С."/>
    <s v="Д.С."/>
    <x v="118"/>
    <x v="0"/>
    <m/>
    <n v="60.428571428571431"/>
    <n v="20"/>
    <n v="80"/>
    <n v="60"/>
    <n v="72"/>
    <n v="78"/>
    <n v="76"/>
    <n v="37"/>
    <n v="0"/>
    <n v="649267"/>
    <n v="54105.583333333336"/>
    <n v="0"/>
  </r>
  <r>
    <s v="Камир Песару"/>
    <s v="П"/>
    <s v="АПЗ"/>
    <s v="ЦПЗ"/>
    <m/>
    <m/>
    <s v="Д.С."/>
    <s v="Д.С."/>
    <x v="118"/>
    <x v="0"/>
    <m/>
    <n v="60.285714285714285"/>
    <n v="19"/>
    <n v="78"/>
    <n v="62"/>
    <n v="76"/>
    <n v="74"/>
    <n v="77"/>
    <n v="36"/>
    <n v="0"/>
    <n v="634081"/>
    <n v="52840.083333333336"/>
    <n v="0"/>
  </r>
  <r>
    <s v="Лотус Ибрис"/>
    <s v="П"/>
    <s v="ОПЗ"/>
    <s v="ЦЗ"/>
    <m/>
    <m/>
    <s v="Д.С."/>
    <s v="Д.С."/>
    <x v="118"/>
    <x v="0"/>
    <m/>
    <n v="53.285714285714285"/>
    <n v="15"/>
    <n v="62"/>
    <n v="58"/>
    <n v="70"/>
    <n v="68"/>
    <n v="72"/>
    <n v="28"/>
    <n v="0"/>
    <n v="184548"/>
    <n v="15379"/>
    <n v="0"/>
  </r>
  <r>
    <s v="Ночис Рекас"/>
    <s v="П"/>
    <s v="ЛПЗ"/>
    <s v="ОПЗ"/>
    <m/>
    <m/>
    <s v="Д.С."/>
    <s v="Д.С."/>
    <x v="118"/>
    <x v="0"/>
    <m/>
    <n v="63.285714285714285"/>
    <n v="22"/>
    <n v="84"/>
    <n v="64"/>
    <n v="78"/>
    <n v="76"/>
    <n v="79"/>
    <n v="40"/>
    <n v="0"/>
    <n v="1030522"/>
    <n v="85876.833333333328"/>
    <n v="0"/>
  </r>
  <r>
    <s v="Зараб Тростен"/>
    <s v="П"/>
    <s v="ОПЗ"/>
    <s v="ЦПЗ"/>
    <m/>
    <m/>
    <s v="Д.С."/>
    <s v="Д.С."/>
    <x v="118"/>
    <x v="0"/>
    <m/>
    <n v="61"/>
    <n v="21"/>
    <n v="70"/>
    <n v="64"/>
    <n v="80"/>
    <n v="76"/>
    <n v="78"/>
    <n v="38"/>
    <n v="0"/>
    <n v="713343"/>
    <n v="59445.25"/>
    <n v="0"/>
  </r>
  <r>
    <s v="Тейса"/>
    <s v="П"/>
    <s v="ЛПЗ"/>
    <s v="ОПЗ"/>
    <m/>
    <s v="Д.С."/>
    <s v="Д.С."/>
    <s v="Д.С."/>
    <x v="118"/>
    <x v="0"/>
    <m/>
    <n v="67"/>
    <n v="42"/>
    <n v="80"/>
    <n v="75"/>
    <n v="77"/>
    <n v="70"/>
    <n v="73"/>
    <n v="52"/>
    <n v="0"/>
    <n v="1822838"/>
    <n v="151903.16666666666"/>
    <n v="0"/>
  </r>
  <r>
    <s v="Тенару Светар"/>
    <s v="П"/>
    <s v="ППЗ"/>
    <s v="АПЗ"/>
    <m/>
    <m/>
    <s v="Д.С."/>
    <s v="Д.С."/>
    <x v="118"/>
    <x v="0"/>
    <m/>
    <n v="55.857142857142854"/>
    <n v="16"/>
    <n v="76"/>
    <n v="56"/>
    <n v="70"/>
    <n v="70"/>
    <n v="73"/>
    <n v="30"/>
    <n v="0"/>
    <n v="295657"/>
    <n v="24638.083333333332"/>
    <n v="0"/>
  </r>
  <r>
    <s v="Анхур Кай"/>
    <s v="Т"/>
    <s v="Т"/>
    <m/>
    <m/>
    <m/>
    <s v="Д.С."/>
    <s v="Д.С."/>
    <x v="118"/>
    <x v="0"/>
    <m/>
    <n v="59.857142857142854"/>
    <n v="18"/>
    <n v="72"/>
    <n v="66"/>
    <n v="78"/>
    <n v="74"/>
    <n v="76"/>
    <n v="35"/>
    <n v="0"/>
    <n v="590419"/>
    <n v="49201.583333333336"/>
    <n v="0"/>
  </r>
  <r>
    <s v="Гарсон"/>
    <s v="В"/>
    <s v="В"/>
    <m/>
    <m/>
    <m/>
    <s v="Лищ"/>
    <s v="Лищ"/>
    <x v="119"/>
    <x v="10"/>
    <m/>
    <n v="71.142857142857139"/>
    <n v="52"/>
    <n v="75"/>
    <n v="79"/>
    <n v="72"/>
    <n v="84"/>
    <n v="90"/>
    <n v="46"/>
    <n v="0"/>
    <n v="3321338"/>
    <n v="276778.16666666669"/>
    <n v="0"/>
  </r>
  <r>
    <s v="Хвойный"/>
    <s v="В"/>
    <s v="В"/>
    <m/>
    <m/>
    <m/>
    <s v="А.Н."/>
    <s v="А.Н."/>
    <x v="119"/>
    <x v="10"/>
    <m/>
    <n v="74.571428571428569"/>
    <n v="60"/>
    <n v="82"/>
    <n v="82"/>
    <n v="81"/>
    <n v="85"/>
    <n v="82"/>
    <n v="50"/>
    <n v="0"/>
    <n v="5317710"/>
    <n v="443142.5"/>
    <n v="0"/>
  </r>
  <r>
    <s v="Вожак Арсений"/>
    <s v="В"/>
    <m/>
    <m/>
    <m/>
    <s v="Тури"/>
    <s v="Тури"/>
    <s v="Тури"/>
    <x v="119"/>
    <x v="10"/>
    <m/>
    <n v="67.428571428571431"/>
    <n v="50"/>
    <n v="70"/>
    <n v="70"/>
    <n v="74"/>
    <n v="80"/>
    <n v="88"/>
    <n v="40"/>
    <n v="0"/>
    <n v="1942852"/>
    <n v="161904.33333333334"/>
    <n v="0"/>
  </r>
  <r>
    <s v="Видаль"/>
    <s v="З"/>
    <s v="ЦЗ"/>
    <s v="ПЗ"/>
    <s v="ОПЗ"/>
    <m/>
    <s v="Зар"/>
    <s v="Зар"/>
    <x v="119"/>
    <x v="10"/>
    <m/>
    <n v="80"/>
    <n v="60"/>
    <n v="81"/>
    <n v="85"/>
    <n v="84"/>
    <n v="92"/>
    <n v="95"/>
    <n v="63"/>
    <n v="26"/>
    <n v="16106128"/>
    <n v="1342177.3333333333"/>
    <n v="0"/>
  </r>
  <r>
    <s v="Гаризон"/>
    <s v="З"/>
    <s v="ЦЗ"/>
    <s v="ОПЗ"/>
    <m/>
    <m/>
    <s v="Бел"/>
    <s v="Бел"/>
    <x v="119"/>
    <x v="10"/>
    <m/>
    <n v="75.428571428571431"/>
    <n v="51"/>
    <n v="80"/>
    <n v="78"/>
    <n v="82"/>
    <n v="85"/>
    <n v="88"/>
    <n v="64"/>
    <n v="27"/>
    <n v="8942318"/>
    <n v="745193.16666666663"/>
    <n v="0"/>
  </r>
  <r>
    <s v="Костинир"/>
    <s v="З"/>
    <s v="ЦЗ"/>
    <s v="ОПЗ"/>
    <m/>
    <s v="Лищ"/>
    <s v="Лищ"/>
    <s v="Лищ"/>
    <x v="119"/>
    <x v="10"/>
    <m/>
    <n v="73.428571428571431"/>
    <n v="50"/>
    <n v="78"/>
    <n v="80"/>
    <n v="80"/>
    <n v="88"/>
    <n v="90"/>
    <n v="48"/>
    <n v="11"/>
    <n v="6835056"/>
    <n v="569588"/>
    <n v="0"/>
  </r>
  <r>
    <s v="Ийограрф"/>
    <s v="З"/>
    <s v="ЛЗ"/>
    <s v="ПЗ"/>
    <s v="ЦЗ"/>
    <m/>
    <s v="С.К."/>
    <s v="С.К."/>
    <x v="119"/>
    <x v="10"/>
    <m/>
    <n v="73.571428571428569"/>
    <n v="50"/>
    <n v="82"/>
    <n v="81"/>
    <n v="78"/>
    <n v="84"/>
    <n v="89"/>
    <n v="51"/>
    <n v="27"/>
    <n v="6969204"/>
    <n v="580767"/>
    <n v="0"/>
  </r>
  <r>
    <s v="Онтагор"/>
    <s v="З"/>
    <s v="ПЗ"/>
    <s v="ЛЗ"/>
    <s v="ЦЗ"/>
    <m/>
    <s v="Рекс"/>
    <s v="Рекс"/>
    <x v="119"/>
    <x v="10"/>
    <m/>
    <n v="73.285714285714292"/>
    <n v="50"/>
    <n v="79"/>
    <n v="85"/>
    <n v="75"/>
    <n v="88"/>
    <n v="91"/>
    <n v="45"/>
    <n v="26"/>
    <n v="6703237"/>
    <n v="558603.08333333337"/>
    <n v="0"/>
  </r>
  <r>
    <s v="Денис Турба"/>
    <s v="Н"/>
    <s v="ЦН"/>
    <m/>
    <m/>
    <m/>
    <s v="Сар"/>
    <s v="Сар"/>
    <x v="119"/>
    <x v="10"/>
    <m/>
    <n v="76.142857142857139"/>
    <n v="57"/>
    <n v="78"/>
    <n v="85"/>
    <n v="78"/>
    <n v="88"/>
    <n v="96"/>
    <n v="51"/>
    <n v="6"/>
    <n v="9826141"/>
    <n v="818845.08333333337"/>
    <n v="0"/>
  </r>
  <r>
    <s v="Марышев"/>
    <s v="Н"/>
    <s v="ЦН"/>
    <m/>
    <m/>
    <m/>
    <s v="А.Н."/>
    <s v="А.Н."/>
    <x v="119"/>
    <x v="10"/>
    <m/>
    <n v="70.285714285714292"/>
    <n v="45"/>
    <n v="88"/>
    <n v="72"/>
    <n v="70"/>
    <n v="67"/>
    <n v="84"/>
    <n v="66"/>
    <n v="7"/>
    <n v="4413285"/>
    <n v="367773.75"/>
    <n v="0"/>
  </r>
  <r>
    <s v="Тыгмак"/>
    <s v="Н"/>
    <s v="ЦН"/>
    <s v="АПЗ"/>
    <m/>
    <m/>
    <s v="Лив"/>
    <s v="Лив"/>
    <x v="119"/>
    <x v="10"/>
    <m/>
    <n v="79.571428571428569"/>
    <n v="75"/>
    <n v="80"/>
    <n v="89"/>
    <n v="77"/>
    <n v="88"/>
    <n v="98"/>
    <n v="50"/>
    <n v="6"/>
    <n v="15263806"/>
    <n v="1271983.8333333333"/>
    <n v="0"/>
  </r>
  <r>
    <s v="Уваров"/>
    <s v="Н"/>
    <s v="ЦН"/>
    <s v="АПЗ"/>
    <m/>
    <m/>
    <s v="Нест"/>
    <s v="Нест"/>
    <x v="119"/>
    <x v="10"/>
    <m/>
    <n v="77.571428571428569"/>
    <n v="59"/>
    <n v="84"/>
    <n v="86"/>
    <n v="83"/>
    <n v="82"/>
    <n v="92"/>
    <n v="57"/>
    <n v="7"/>
    <n v="11833390"/>
    <n v="986115.83333333337"/>
    <n v="0"/>
  </r>
  <r>
    <s v="Зульджан Ахарти"/>
    <s v="Н"/>
    <s v="ЦН"/>
    <m/>
    <m/>
    <s v="Хан"/>
    <s v="Хан"/>
    <s v="Хан"/>
    <x v="119"/>
    <x v="10"/>
    <m/>
    <n v="79.285714285714292"/>
    <n v="55"/>
    <n v="82"/>
    <n v="88"/>
    <n v="80"/>
    <n v="88"/>
    <n v="92"/>
    <n v="70"/>
    <n v="25"/>
    <n v="14724505"/>
    <n v="1004427.5833333334"/>
    <n v="0"/>
  </r>
  <r>
    <s v="Агларов"/>
    <s v="П"/>
    <s v="ЦПЗ"/>
    <s v="ППЗ"/>
    <m/>
    <m/>
    <s v="Нест"/>
    <s v="Нест"/>
    <x v="119"/>
    <x v="10"/>
    <m/>
    <n v="75.428571428571431"/>
    <n v="66"/>
    <n v="82"/>
    <n v="87"/>
    <n v="81"/>
    <n v="84"/>
    <n v="84"/>
    <n v="44"/>
    <n v="8"/>
    <n v="8942318"/>
    <n v="745193.16666666663"/>
    <n v="0"/>
  </r>
  <r>
    <s v="Аксель"/>
    <s v="П"/>
    <s v="ЛПЗ"/>
    <s v="ППЗ"/>
    <m/>
    <m/>
    <s v="В.И."/>
    <s v="В.И."/>
    <x v="119"/>
    <x v="10"/>
    <m/>
    <n v="75.714285714285708"/>
    <n v="55"/>
    <n v="92"/>
    <n v="82"/>
    <n v="83"/>
    <n v="71"/>
    <n v="75"/>
    <n v="72"/>
    <n v="23"/>
    <n v="9286875"/>
    <n v="773906.25"/>
    <n v="0"/>
  </r>
  <r>
    <s v="Д.Суарес"/>
    <s v="П"/>
    <s v="ЛПЗ"/>
    <s v="ОПЗ"/>
    <m/>
    <s v="Клю"/>
    <s v="В.И."/>
    <s v="В.И."/>
    <x v="119"/>
    <x v="10"/>
    <m/>
    <n v="97.142857142857139"/>
    <n v="100"/>
    <n v="100"/>
    <n v="96"/>
    <n v="98"/>
    <n v="99"/>
    <n v="87"/>
    <n v="100"/>
    <n v="13"/>
    <n v="112253525"/>
    <n v="9354460.416666666"/>
    <n v="0"/>
  </r>
  <r>
    <s v="Монтель"/>
    <s v="П"/>
    <s v="ЦПЗ"/>
    <s v="ЛПЗ"/>
    <m/>
    <m/>
    <s v="С.К."/>
    <s v="С.К."/>
    <x v="119"/>
    <x v="10"/>
    <m/>
    <n v="76.285714285714292"/>
    <n v="56"/>
    <n v="85"/>
    <n v="79"/>
    <n v="86"/>
    <n v="81"/>
    <n v="80"/>
    <n v="67"/>
    <n v="24"/>
    <n v="10012060"/>
    <n v="834338.33333333337"/>
    <n v="0"/>
  </r>
  <r>
    <s v="Ланьерра Алон"/>
    <s v="П"/>
    <s v="АПЗ"/>
    <s v="ЛПЗ"/>
    <s v="ППЗ"/>
    <s v="Лес"/>
    <s v="Лес"/>
    <s v="Лес"/>
    <x v="119"/>
    <x v="10"/>
    <m/>
    <n v="82.428571428571431"/>
    <n v="70"/>
    <n v="91"/>
    <n v="88"/>
    <n v="86"/>
    <n v="82"/>
    <n v="80"/>
    <n v="80"/>
    <n v="3"/>
    <n v="21720459"/>
    <n v="2812566.0833333335"/>
    <n v="0"/>
  </r>
  <r>
    <s v="Блонди Эрнест"/>
    <s v="П"/>
    <s v="ЦПЗ"/>
    <s v="АПЗ"/>
    <s v="ОФ"/>
    <s v="Лин"/>
    <s v="Лин"/>
    <s v="Лин"/>
    <x v="119"/>
    <x v="10"/>
    <m/>
    <n v="79"/>
    <n v="65"/>
    <n v="88"/>
    <n v="82"/>
    <n v="84"/>
    <n v="78"/>
    <n v="81"/>
    <n v="75"/>
    <n v="19"/>
    <n v="14202415"/>
    <n v="1183534.5833333333"/>
    <n v="0"/>
  </r>
  <r>
    <s v="Кристоф"/>
    <s v="П"/>
    <s v="ЦПЗ"/>
    <s v="ОПЗ"/>
    <s v="АПЗ"/>
    <m/>
    <s v="Кирп"/>
    <s v="Кирп"/>
    <x v="119"/>
    <x v="10"/>
    <m/>
    <n v="74.285714285714292"/>
    <n v="50"/>
    <n v="85"/>
    <n v="80"/>
    <n v="85"/>
    <n v="80"/>
    <n v="80"/>
    <n v="60"/>
    <n v="19"/>
    <n v="7676165"/>
    <n v="639680.41666666663"/>
    <n v="0"/>
  </r>
  <r>
    <s v="Тонглдон"/>
    <s v="П"/>
    <s v="ЦПЗ"/>
    <s v="ЛПЗ"/>
    <s v="ППЗ"/>
    <m/>
    <s v="Бел"/>
    <s v="Бел"/>
    <x v="119"/>
    <x v="10"/>
    <m/>
    <n v="74.428571428571431"/>
    <n v="50"/>
    <n v="85"/>
    <n v="83"/>
    <n v="78"/>
    <n v="81"/>
    <n v="86"/>
    <n v="58"/>
    <n v="19"/>
    <n v="7825068"/>
    <n v="652089"/>
    <n v="0"/>
  </r>
  <r>
    <s v="Алиан Техе"/>
    <s v="Т"/>
    <s v="Т"/>
    <m/>
    <m/>
    <s v="Нал"/>
    <s v="Нал"/>
    <s v="Нал"/>
    <x v="119"/>
    <x v="10"/>
    <m/>
    <n v="77.142857142857139"/>
    <n v="83"/>
    <n v="86"/>
    <n v="84"/>
    <n v="82"/>
    <n v="76"/>
    <n v="74"/>
    <n v="55"/>
    <n v="0"/>
    <n v="7463752"/>
    <n v="621979.33333333337"/>
    <n v="0"/>
  </r>
  <r>
    <s v="Алмер"/>
    <s v="Т"/>
    <s v="Т"/>
    <m/>
    <m/>
    <s v="Б.Л."/>
    <s v="В.И."/>
    <s v="В.И."/>
    <x v="119"/>
    <x v="10"/>
    <m/>
    <n v="94"/>
    <n v="95"/>
    <n v="88"/>
    <n v="94"/>
    <n v="95"/>
    <n v="93"/>
    <n v="98"/>
    <n v="95"/>
    <n v="0"/>
    <n v="53861512"/>
    <n v="4488459.333333333"/>
    <n v="0"/>
  </r>
  <r>
    <s v="Ахшколит"/>
    <s v="Т"/>
    <s v="Т"/>
    <m/>
    <m/>
    <s v="Своб"/>
    <s v="Хан"/>
    <s v="Хан"/>
    <x v="119"/>
    <x v="10"/>
    <m/>
    <n v="70.571428571428569"/>
    <n v="59"/>
    <n v="65"/>
    <n v="81"/>
    <n v="77"/>
    <n v="81"/>
    <n v="78"/>
    <n v="53"/>
    <n v="0"/>
    <n v="3064003"/>
    <n v="255333.58333333334"/>
    <n v="0"/>
  </r>
  <r>
    <s v="Байтерх"/>
    <s v="Т"/>
    <s v="Т"/>
    <m/>
    <m/>
    <s v="Кедр"/>
    <s v="В.И."/>
    <s v="В.И."/>
    <x v="119"/>
    <x v="10"/>
    <m/>
    <n v="75.857142857142861"/>
    <n v="61"/>
    <n v="75"/>
    <n v="78"/>
    <n v="83"/>
    <n v="84"/>
    <n v="83"/>
    <n v="67"/>
    <n v="0"/>
    <n v="6309063"/>
    <n v="525755.25"/>
    <n v="0"/>
  </r>
  <r>
    <s v="Баллистер"/>
    <s v="Т"/>
    <s v="Т"/>
    <m/>
    <m/>
    <s v="Сув"/>
    <s v="Нумб"/>
    <s v="Нумб"/>
    <x v="119"/>
    <x v="10"/>
    <m/>
    <n v="85"/>
    <n v="70"/>
    <n v="93"/>
    <n v="85"/>
    <n v="86"/>
    <n v="83"/>
    <n v="95"/>
    <n v="83"/>
    <n v="0"/>
    <n v="19687441"/>
    <n v="1640620.0833333333"/>
    <n v="0"/>
  </r>
  <r>
    <s v="Бальтцев"/>
    <s v="Т"/>
    <s v="Т"/>
    <m/>
    <m/>
    <s v="Черлесск"/>
    <s v="Черлесск"/>
    <s v="Черлесск"/>
    <x v="119"/>
    <x v="10"/>
    <m/>
    <n v="71.571428571428569"/>
    <n v="55"/>
    <n v="68"/>
    <n v="80"/>
    <n v="76"/>
    <n v="74"/>
    <n v="80"/>
    <n v="68"/>
    <n v="0"/>
    <n v="3526931"/>
    <n v="293910.91666666669"/>
    <n v="0"/>
  </r>
  <r>
    <s v="Барадюзю Эри"/>
    <s v="Т"/>
    <s v="Т"/>
    <m/>
    <m/>
    <s v="Сул"/>
    <s v="Сул"/>
    <s v="Сул"/>
    <x v="119"/>
    <x v="10"/>
    <m/>
    <n v="89.142857142857139"/>
    <n v="90"/>
    <n v="97"/>
    <n v="90"/>
    <n v="92"/>
    <n v="84"/>
    <n v="85"/>
    <n v="86"/>
    <n v="0"/>
    <n v="31685860"/>
    <n v="2640488.3333333335"/>
    <n v="0"/>
  </r>
  <r>
    <s v="Баршев"/>
    <s v="Т"/>
    <s v="Т"/>
    <m/>
    <m/>
    <s v="Турн"/>
    <s v="Турн"/>
    <s v="Турн"/>
    <x v="119"/>
    <x v="10"/>
    <m/>
    <n v="89.571428571428569"/>
    <n v="80"/>
    <n v="87"/>
    <n v="88"/>
    <n v="93"/>
    <n v="95"/>
    <n v="92"/>
    <n v="92"/>
    <n v="0"/>
    <n v="33242602"/>
    <n v="2770216.8333333335"/>
    <n v="0"/>
  </r>
  <r>
    <s v="Блайшеп"/>
    <s v="Т"/>
    <s v="Т"/>
    <m/>
    <m/>
    <s v="Мал"/>
    <s v="Мал"/>
    <s v="Мал"/>
    <x v="119"/>
    <x v="10"/>
    <m/>
    <n v="78.428571428571431"/>
    <n v="72"/>
    <n v="81"/>
    <n v="80"/>
    <n v="86"/>
    <n v="84"/>
    <n v="80"/>
    <n v="66"/>
    <n v="0"/>
    <n v="8805278"/>
    <n v="733773.16666666663"/>
    <n v="0"/>
  </r>
  <r>
    <s v="Бривичко"/>
    <s v="Т"/>
    <s v="Т"/>
    <m/>
    <m/>
    <s v="Кут"/>
    <s v="Кут"/>
    <s v="Кут"/>
    <x v="119"/>
    <x v="10"/>
    <m/>
    <n v="78.571428571428569"/>
    <n v="60"/>
    <n v="80"/>
    <n v="85"/>
    <n v="84"/>
    <n v="83"/>
    <n v="80"/>
    <n v="78"/>
    <n v="0"/>
    <n v="8966987"/>
    <n v="747248.91666666663"/>
    <n v="0"/>
  </r>
  <r>
    <s v="Броньер"/>
    <s v="Т"/>
    <s v="Т"/>
    <m/>
    <m/>
    <s v="Орех"/>
    <s v="Орех"/>
    <s v="Орех"/>
    <x v="119"/>
    <x v="10"/>
    <m/>
    <n v="75.142857142857139"/>
    <n v="60"/>
    <n v="71"/>
    <n v="84"/>
    <n v="80"/>
    <n v="84"/>
    <n v="83"/>
    <n v="64"/>
    <n v="0"/>
    <n v="5739540"/>
    <n v="478295"/>
    <n v="0"/>
  </r>
  <r>
    <s v="Вильмингтон"/>
    <s v="Т"/>
    <s v="Т"/>
    <m/>
    <m/>
    <s v="Ард"/>
    <s v="Эстон"/>
    <s v="Эстон"/>
    <x v="119"/>
    <x v="10"/>
    <m/>
    <n v="80.571428571428569"/>
    <n v="80"/>
    <n v="93"/>
    <n v="82"/>
    <n v="78"/>
    <n v="80"/>
    <n v="81"/>
    <n v="70"/>
    <n v="0"/>
    <n v="11529505"/>
    <n v="960792.08333333337"/>
    <n v="0"/>
  </r>
  <r>
    <s v="Висчит"/>
    <s v="Т"/>
    <s v="Т"/>
    <m/>
    <m/>
    <s v="Нумб"/>
    <s v="Зар"/>
    <s v="Зар"/>
    <x v="119"/>
    <x v="10"/>
    <m/>
    <n v="69.857142857142861"/>
    <n v="62"/>
    <n v="74"/>
    <n v="82"/>
    <n v="75"/>
    <n v="70"/>
    <n v="73"/>
    <n v="53"/>
    <n v="0"/>
    <n v="2767632"/>
    <n v="230636"/>
    <n v="0"/>
  </r>
  <r>
    <s v="Глю Шамрай"/>
    <s v="Т"/>
    <s v="Т"/>
    <m/>
    <m/>
    <s v="Ч.Л."/>
    <s v="С.С."/>
    <s v="С.С."/>
    <x v="119"/>
    <x v="10"/>
    <m/>
    <n v="71.714285714285708"/>
    <n v="43"/>
    <n v="86"/>
    <n v="84"/>
    <n v="85"/>
    <n v="80"/>
    <n v="77"/>
    <n v="47"/>
    <n v="0"/>
    <n v="3597964"/>
    <n v="299830.33333333331"/>
    <n v="0"/>
  </r>
  <r>
    <s v="Головатый"/>
    <s v="Т"/>
    <s v="Т"/>
    <m/>
    <m/>
    <s v="Н.С."/>
    <s v="Сар"/>
    <s v="Сар"/>
    <x v="119"/>
    <x v="10"/>
    <m/>
    <n v="78.285714285714292"/>
    <n v="62"/>
    <n v="80"/>
    <n v="88"/>
    <n v="81"/>
    <n v="84"/>
    <n v="80"/>
    <n v="73"/>
    <n v="0"/>
    <n v="8646199"/>
    <n v="720516.58333333337"/>
    <n v="0"/>
  </r>
  <r>
    <s v="Горсило"/>
    <s v="Т"/>
    <s v="Т"/>
    <m/>
    <m/>
    <s v="Щеб"/>
    <s v="Щеб"/>
    <s v="Щеб"/>
    <x v="119"/>
    <x v="10"/>
    <m/>
    <n v="92.428571428571431"/>
    <n v="88"/>
    <n v="89"/>
    <n v="94"/>
    <n v="98"/>
    <n v="93"/>
    <n v="95"/>
    <n v="90"/>
    <n v="0"/>
    <n v="45505345"/>
    <n v="3792112.0833333335"/>
    <n v="0"/>
  </r>
  <r>
    <s v="Грой Сметинг"/>
    <s v="Т"/>
    <s v="Т"/>
    <m/>
    <m/>
    <s v="Кирп"/>
    <s v="Кирп"/>
    <s v="Кирп"/>
    <x v="119"/>
    <x v="10"/>
    <m/>
    <n v="90.714285714285708"/>
    <n v="88"/>
    <n v="87"/>
    <n v="94"/>
    <n v="95"/>
    <n v="90"/>
    <n v="89"/>
    <n v="92"/>
    <n v="0"/>
    <n v="37736086"/>
    <n v="3144673.8333333335"/>
    <n v="0"/>
  </r>
  <r>
    <s v="Дрейвов"/>
    <s v="Т"/>
    <s v="Т"/>
    <m/>
    <m/>
    <s v="Мох"/>
    <s v="Мох"/>
    <s v="Мох"/>
    <x v="119"/>
    <x v="10"/>
    <m/>
    <n v="86"/>
    <n v="76"/>
    <n v="92"/>
    <n v="90"/>
    <n v="93"/>
    <n v="95"/>
    <n v="80"/>
    <n v="76"/>
    <n v="0"/>
    <n v="22130158"/>
    <n v="1844179.8333333333"/>
    <n v="0"/>
  </r>
  <r>
    <s v="Жубба"/>
    <s v="Т"/>
    <s v="Т"/>
    <m/>
    <m/>
    <s v="Туркан"/>
    <s v="Туркан"/>
    <s v="Туркан"/>
    <x v="119"/>
    <x v="10"/>
    <m/>
    <n v="67.428571428571431"/>
    <n v="42"/>
    <n v="66"/>
    <n v="79"/>
    <n v="71"/>
    <n v="82"/>
    <n v="74"/>
    <n v="58"/>
    <n v="0"/>
    <n v="1942852"/>
    <n v="161904.33333333334"/>
    <n v="0"/>
  </r>
  <r>
    <s v="Кароллини"/>
    <s v="Т"/>
    <s v="Т"/>
    <m/>
    <m/>
    <s v="Клю"/>
    <s v="В.И."/>
    <s v="В.И."/>
    <x v="119"/>
    <x v="10"/>
    <m/>
    <n v="95.571428571428569"/>
    <n v="97"/>
    <n v="90"/>
    <n v="94"/>
    <n v="97"/>
    <n v="99"/>
    <n v="99"/>
    <n v="93"/>
    <n v="0"/>
    <n v="63574182"/>
    <n v="5297848.5"/>
    <n v="0"/>
  </r>
  <r>
    <s v="Клаушер"/>
    <s v="Т"/>
    <s v="Т"/>
    <m/>
    <m/>
    <s v="А.Н."/>
    <s v="Кирп"/>
    <s v="Кирп"/>
    <x v="119"/>
    <x v="10"/>
    <m/>
    <n v="81.857142857142861"/>
    <n v="75"/>
    <n v="83"/>
    <n v="83"/>
    <n v="85"/>
    <n v="84"/>
    <n v="88"/>
    <n v="75"/>
    <n v="0"/>
    <n v="13507216"/>
    <n v="1125601.3333333333"/>
    <n v="0"/>
  </r>
  <r>
    <s v="Клафин"/>
    <s v="Т"/>
    <s v="Т"/>
    <m/>
    <m/>
    <s v="Вод"/>
    <s v="Вод"/>
    <s v="Вод"/>
    <x v="119"/>
    <x v="10"/>
    <m/>
    <n v="69"/>
    <n v="50"/>
    <n v="71"/>
    <n v="85"/>
    <n v="75"/>
    <n v="73"/>
    <n v="75"/>
    <n v="54"/>
    <n v="0"/>
    <n v="2446195"/>
    <n v="203849.58333333334"/>
    <n v="0"/>
  </r>
  <r>
    <s v="Колдфилт"/>
    <s v="Т"/>
    <s v="Т"/>
    <m/>
    <m/>
    <s v="Бел"/>
    <s v="Бел"/>
    <s v="Бел"/>
    <x v="119"/>
    <x v="10"/>
    <m/>
    <n v="81.857142857142861"/>
    <n v="70"/>
    <n v="81"/>
    <n v="88"/>
    <n v="85"/>
    <n v="86"/>
    <n v="90"/>
    <n v="73"/>
    <n v="0"/>
    <n v="13507216"/>
    <n v="1125601.3333333333"/>
    <n v="0"/>
  </r>
  <r>
    <s v="Корланд"/>
    <s v="Т"/>
    <s v="Т"/>
    <m/>
    <m/>
    <s v="Лин"/>
    <s v="Лион"/>
    <s v="Лион"/>
    <x v="119"/>
    <x v="10"/>
    <m/>
    <n v="87.571428571428569"/>
    <n v="88"/>
    <n v="93"/>
    <n v="86"/>
    <n v="90"/>
    <n v="88"/>
    <n v="83"/>
    <n v="85"/>
    <n v="0"/>
    <n v="26523104"/>
    <n v="2210258.6666666665"/>
    <n v="0"/>
  </r>
  <r>
    <s v="Коровин"/>
    <s v="Т"/>
    <s v="Т"/>
    <m/>
    <m/>
    <s v="Сар"/>
    <s v="Сар"/>
    <s v="Сар"/>
    <x v="28"/>
    <x v="0"/>
    <m/>
    <n v="82.142857142857139"/>
    <n v="56"/>
    <n v="83"/>
    <n v="90"/>
    <n v="89"/>
    <n v="96"/>
    <n v="95"/>
    <n v="66"/>
    <n v="0"/>
    <n v="13986146"/>
    <n v="1165512.1666666667"/>
    <n v="0"/>
  </r>
  <r>
    <s v="Корунков"/>
    <s v="Т"/>
    <s v="Т"/>
    <m/>
    <m/>
    <s v="Зар"/>
    <s v="Зар"/>
    <s v="Зар"/>
    <x v="119"/>
    <x v="10"/>
    <m/>
    <n v="77.714285714285708"/>
    <n v="68"/>
    <n v="78"/>
    <n v="80"/>
    <n v="83"/>
    <n v="80"/>
    <n v="95"/>
    <n v="60"/>
    <n v="0"/>
    <n v="8035421"/>
    <n v="669618.41666666663"/>
    <n v="0"/>
  </r>
  <r>
    <s v="Котов"/>
    <s v="Т"/>
    <s v="Т"/>
    <m/>
    <m/>
    <s v="Зем"/>
    <s v="Кут"/>
    <s v="Кут"/>
    <x v="119"/>
    <x v="10"/>
    <m/>
    <n v="76.714285714285708"/>
    <n v="68"/>
    <n v="85"/>
    <n v="80"/>
    <n v="77"/>
    <n v="83"/>
    <n v="74"/>
    <n v="70"/>
    <n v="0"/>
    <n v="7059314"/>
    <n v="588276.16666666663"/>
    <n v="0"/>
  </r>
  <r>
    <s v="Кравин"/>
    <s v="Т"/>
    <s v="Т"/>
    <m/>
    <m/>
    <s v="К.С."/>
    <s v="Кут"/>
    <s v="Кут"/>
    <x v="119"/>
    <x v="10"/>
    <m/>
    <n v="69.142857142857139"/>
    <n v="61"/>
    <n v="72"/>
    <n v="74"/>
    <n v="79"/>
    <n v="73"/>
    <n v="84"/>
    <n v="41"/>
    <n v="0"/>
    <n v="2497315"/>
    <n v="208109.58333333334"/>
    <n v="0"/>
  </r>
  <r>
    <s v="Крамрук"/>
    <s v="Т"/>
    <s v="Т"/>
    <m/>
    <m/>
    <s v="Заг"/>
    <s v="Заг"/>
    <s v="Заг"/>
    <x v="119"/>
    <x v="10"/>
    <m/>
    <n v="82.428571428571431"/>
    <n v="75"/>
    <n v="82"/>
    <n v="90"/>
    <n v="90"/>
    <n v="86"/>
    <n v="84"/>
    <n v="70"/>
    <n v="0"/>
    <n v="14480306"/>
    <n v="1206692.1666666667"/>
    <n v="0"/>
  </r>
  <r>
    <s v="Лантерс"/>
    <s v="Т"/>
    <s v="Т"/>
    <m/>
    <m/>
    <s v="Генуа"/>
    <s v="В.И."/>
    <s v="В.И."/>
    <x v="119"/>
    <x v="10"/>
    <m/>
    <n v="78.285714285714292"/>
    <n v="60"/>
    <n v="80"/>
    <n v="86"/>
    <n v="80"/>
    <n v="85"/>
    <n v="84"/>
    <n v="73"/>
    <n v="0"/>
    <n v="8646199"/>
    <n v="720516.58333333337"/>
    <n v="0"/>
  </r>
  <r>
    <s v="Лозинский"/>
    <s v="Т"/>
    <s v="Т"/>
    <m/>
    <m/>
    <s v="Лищ"/>
    <s v="Лищ"/>
    <s v="Лищ"/>
    <x v="119"/>
    <x v="10"/>
    <m/>
    <n v="90.571428571428569"/>
    <n v="86"/>
    <n v="85"/>
    <n v="94"/>
    <n v="93"/>
    <n v="94"/>
    <n v="96"/>
    <n v="86"/>
    <n v="0"/>
    <n v="37146011"/>
    <n v="3095500.9166666665"/>
    <n v="0"/>
  </r>
  <r>
    <s v="Лочник"/>
    <s v="Т"/>
    <s v="Т"/>
    <m/>
    <m/>
    <s v="Вор"/>
    <s v="Вор"/>
    <s v="Вор"/>
    <x v="119"/>
    <x v="10"/>
    <m/>
    <n v="93.714285714285708"/>
    <n v="96"/>
    <n v="85"/>
    <n v="94"/>
    <n v="98"/>
    <n v="93"/>
    <n v="93"/>
    <n v="97"/>
    <n v="0"/>
    <n v="52246596"/>
    <n v="4353883"/>
    <n v="0"/>
  </r>
  <r>
    <s v="Лут"/>
    <s v="Т"/>
    <s v="Т"/>
    <m/>
    <m/>
    <s v="Биссий"/>
    <s v="Биссий"/>
    <s v="Биссий"/>
    <x v="119"/>
    <x v="10"/>
    <m/>
    <n v="61.142857142857146"/>
    <n v="40"/>
    <n v="55"/>
    <n v="63"/>
    <n v="67"/>
    <n v="85"/>
    <n v="88"/>
    <n v="30"/>
    <n v="0"/>
    <n v="730226"/>
    <n v="60852.166666666664"/>
    <n v="0"/>
  </r>
  <r>
    <s v="Мальшер"/>
    <s v="Т"/>
    <s v="Т"/>
    <m/>
    <m/>
    <s v="Перс"/>
    <s v="Перс"/>
    <s v="Перс"/>
    <x v="119"/>
    <x v="10"/>
    <m/>
    <n v="72.285714285714292"/>
    <n v="47"/>
    <n v="81"/>
    <n v="74"/>
    <n v="82"/>
    <n v="76"/>
    <n v="83"/>
    <n v="63"/>
    <n v="0"/>
    <n v="3895156"/>
    <n v="324596.33333333331"/>
    <n v="0"/>
  </r>
  <r>
    <s v="Мерлин"/>
    <s v="Т"/>
    <s v="Т"/>
    <m/>
    <m/>
    <s v="С.К."/>
    <s v="С.К."/>
    <s v="С.К."/>
    <x v="119"/>
    <x v="10"/>
    <m/>
    <n v="85.857142857142861"/>
    <n v="70"/>
    <n v="82"/>
    <n v="90"/>
    <n v="95"/>
    <n v="90"/>
    <n v="89"/>
    <n v="85"/>
    <n v="0"/>
    <n v="21765284"/>
    <n v="1813773.6666666667"/>
    <n v="0"/>
  </r>
  <r>
    <s v="Мячин"/>
    <s v="Т"/>
    <s v="Т"/>
    <m/>
    <m/>
    <s v="Нест"/>
    <s v="Нест"/>
    <s v="Нест"/>
    <x v="119"/>
    <x v="10"/>
    <m/>
    <n v="91.857142857142861"/>
    <n v="92"/>
    <n v="85"/>
    <n v="96"/>
    <n v="92"/>
    <n v="90"/>
    <n v="95"/>
    <n v="93"/>
    <n v="0"/>
    <n v="42769023"/>
    <n v="3564085.25"/>
    <n v="0"/>
  </r>
  <r>
    <s v="Неотбин"/>
    <s v="Т"/>
    <s v="Т"/>
    <m/>
    <m/>
    <s v="Р.Тесно"/>
    <s v="Нест"/>
    <s v="Нест"/>
    <x v="119"/>
    <x v="10"/>
    <m/>
    <n v="72.428571428571431"/>
    <n v="61"/>
    <n v="88"/>
    <n v="83"/>
    <n v="70"/>
    <n v="75"/>
    <n v="65"/>
    <n v="65"/>
    <n v="0"/>
    <n v="3972823"/>
    <n v="331068.58333333331"/>
    <n v="0"/>
  </r>
  <r>
    <s v="Нетми"/>
    <s v="Т"/>
    <s v="Т"/>
    <m/>
    <m/>
    <s v="Тел"/>
    <s v="Тел"/>
    <s v="Тел"/>
    <x v="119"/>
    <x v="10"/>
    <m/>
    <n v="72.285714285714292"/>
    <n v="60"/>
    <n v="69"/>
    <n v="90"/>
    <n v="69"/>
    <n v="81"/>
    <n v="83"/>
    <n v="54"/>
    <n v="0"/>
    <n v="3895156"/>
    <n v="324596.33333333331"/>
    <n v="0"/>
  </r>
  <r>
    <s v="Петершельд"/>
    <s v="Т"/>
    <s v="Т"/>
    <m/>
    <m/>
    <s v="Кол"/>
    <s v="Ост"/>
    <s v="Ост"/>
    <x v="119"/>
    <x v="10"/>
    <m/>
    <n v="69.714285714285708"/>
    <n v="63"/>
    <n v="72"/>
    <n v="66"/>
    <n v="66"/>
    <n v="81"/>
    <n v="82"/>
    <n v="58"/>
    <n v="0"/>
    <n v="2711552"/>
    <n v="225962.66666666666"/>
    <n v="0"/>
  </r>
  <r>
    <s v="Пивчех"/>
    <s v="Т"/>
    <s v="Т"/>
    <m/>
    <m/>
    <s v="Зел.Хол"/>
    <s v="А.Н."/>
    <s v="А.Н."/>
    <x v="119"/>
    <x v="10"/>
    <m/>
    <n v="67.428571428571431"/>
    <n v="45"/>
    <n v="70"/>
    <n v="80"/>
    <n v="75"/>
    <n v="80"/>
    <n v="77"/>
    <n v="45"/>
    <n v="0"/>
    <n v="1942852"/>
    <n v="161904.33333333334"/>
    <n v="0"/>
  </r>
  <r>
    <s v="Пятов"/>
    <s v="Т"/>
    <s v="Т"/>
    <m/>
    <m/>
    <s v="Орл"/>
    <s v="Орл"/>
    <s v="Орл"/>
    <x v="7"/>
    <x v="0"/>
    <m/>
    <n v="70.571428571428569"/>
    <n v="41"/>
    <n v="70"/>
    <n v="88"/>
    <n v="85"/>
    <n v="80"/>
    <n v="79"/>
    <n v="51"/>
    <n v="0"/>
    <n v="3064003"/>
    <n v="255333.58333333334"/>
    <n v="0"/>
  </r>
  <r>
    <s v="Рагнарс"/>
    <s v="Т"/>
    <s v="Т"/>
    <m/>
    <m/>
    <s v="Вар"/>
    <s v="Вар"/>
    <s v="Вар"/>
    <x v="119"/>
    <x v="10"/>
    <m/>
    <n v="83.285714285714292"/>
    <n v="75"/>
    <n v="83"/>
    <n v="88"/>
    <n v="82"/>
    <n v="94"/>
    <n v="89"/>
    <n v="72"/>
    <n v="0"/>
    <n v="16058507"/>
    <n v="1338208.9166666667"/>
    <n v="0"/>
  </r>
  <r>
    <s v="Сонный"/>
    <s v="Т"/>
    <s v="Т"/>
    <m/>
    <m/>
    <s v="Турк"/>
    <s v="Зар"/>
    <s v="Зар"/>
    <x v="119"/>
    <x v="10"/>
    <m/>
    <n v="78.285714285714292"/>
    <n v="63"/>
    <n v="88"/>
    <n v="85"/>
    <n v="80"/>
    <n v="85"/>
    <n v="82"/>
    <n v="65"/>
    <n v="0"/>
    <n v="8646199"/>
    <n v="720516.58333333337"/>
    <n v="0"/>
  </r>
  <r>
    <s v="Стимчински"/>
    <s v="Т"/>
    <s v="Т"/>
    <m/>
    <m/>
    <s v="Переп"/>
    <s v="Зар"/>
    <s v="Зар"/>
    <x v="119"/>
    <x v="10"/>
    <m/>
    <n v="70.142857142857139"/>
    <n v="52"/>
    <n v="82"/>
    <n v="78"/>
    <n v="76"/>
    <n v="75"/>
    <n v="74"/>
    <n v="54"/>
    <n v="0"/>
    <n v="2882933"/>
    <n v="240244.41666666666"/>
    <n v="0"/>
  </r>
  <r>
    <s v="Термис"/>
    <s v="Т"/>
    <s v="Т"/>
    <m/>
    <m/>
    <s v="Над"/>
    <s v="Над"/>
    <s v="Над"/>
    <x v="119"/>
    <x v="10"/>
    <m/>
    <n v="78.571428571428569"/>
    <n v="57"/>
    <n v="94"/>
    <n v="75"/>
    <n v="82"/>
    <n v="80"/>
    <n v="82"/>
    <n v="80"/>
    <n v="0"/>
    <n v="8966987"/>
    <n v="747248.91666666663"/>
    <n v="0"/>
  </r>
  <r>
    <s v="Тим Ягр"/>
    <s v="Т"/>
    <s v="Т"/>
    <m/>
    <m/>
    <s v="Снег"/>
    <s v="Рекс"/>
    <s v="Рекс"/>
    <x v="119"/>
    <x v="10"/>
    <m/>
    <n v="75.142857142857139"/>
    <n v="69"/>
    <n v="89"/>
    <n v="86"/>
    <n v="78"/>
    <n v="77"/>
    <n v="78"/>
    <n v="49"/>
    <n v="0"/>
    <n v="5739540"/>
    <n v="478295"/>
    <n v="0"/>
  </r>
  <r>
    <s v="Тремли"/>
    <s v="Т"/>
    <s v="Т"/>
    <m/>
    <m/>
    <s v="Юл"/>
    <s v="Юл"/>
    <s v="Юл"/>
    <x v="119"/>
    <x v="10"/>
    <m/>
    <n v="75.714285714285708"/>
    <n v="56"/>
    <n v="94"/>
    <n v="74"/>
    <n v="82"/>
    <n v="87"/>
    <n v="77"/>
    <n v="60"/>
    <n v="0"/>
    <n v="6191250"/>
    <n v="515937.5"/>
    <n v="0"/>
  </r>
  <r>
    <s v="Тью Теодор Гим"/>
    <s v="Т"/>
    <s v="Т"/>
    <m/>
    <m/>
    <s v="Тури"/>
    <s v="Бел"/>
    <s v="Бел"/>
    <x v="119"/>
    <x v="10"/>
    <m/>
    <n v="75.428571428571431"/>
    <n v="61"/>
    <n v="75"/>
    <n v="89"/>
    <n v="81"/>
    <n v="85"/>
    <n v="84"/>
    <n v="53"/>
    <n v="0"/>
    <n v="5961545"/>
    <n v="496795.41666666669"/>
    <n v="0"/>
  </r>
  <r>
    <s v="Флоренц"/>
    <s v="Т"/>
    <s v="Т"/>
    <m/>
    <m/>
    <s v="Шах"/>
    <s v="Бел"/>
    <s v="Бел"/>
    <x v="119"/>
    <x v="10"/>
    <m/>
    <n v="81.857142857142861"/>
    <n v="80"/>
    <n v="88"/>
    <n v="80"/>
    <n v="82"/>
    <n v="81"/>
    <n v="76"/>
    <n v="86"/>
    <n v="0"/>
    <n v="13507216"/>
    <n v="1125601.3333333333"/>
    <n v="0"/>
  </r>
  <r>
    <s v="Фогги"/>
    <s v="Т"/>
    <s v="Т"/>
    <m/>
    <m/>
    <s v="Рекс"/>
    <s v="Рекс"/>
    <s v="Рекс"/>
    <x v="119"/>
    <x v="10"/>
    <m/>
    <n v="87"/>
    <n v="75"/>
    <n v="89"/>
    <n v="90"/>
    <n v="94"/>
    <n v="85"/>
    <n v="90"/>
    <n v="86"/>
    <n v="0"/>
    <n v="24842342"/>
    <n v="2070195.1666666667"/>
    <n v="0"/>
  </r>
  <r>
    <s v="Хаггель"/>
    <s v="Т"/>
    <s v="Т"/>
    <m/>
    <m/>
    <s v="Лес"/>
    <s v="Лес"/>
    <s v="Лес"/>
    <x v="119"/>
    <x v="10"/>
    <m/>
    <n v="73.857142857142861"/>
    <n v="55"/>
    <n v="76"/>
    <n v="85"/>
    <n v="80"/>
    <n v="78"/>
    <n v="83"/>
    <n v="60"/>
    <n v="0"/>
    <n v="4829755"/>
    <n v="402479.58333333331"/>
    <n v="0"/>
  </r>
  <r>
    <s v="Хатенпак С"/>
    <s v="Т"/>
    <s v="Т"/>
    <m/>
    <m/>
    <s v="В.И."/>
    <s v="Бел"/>
    <s v="Бел"/>
    <x v="119"/>
    <x v="10"/>
    <m/>
    <n v="91.142857142857139"/>
    <n v="93"/>
    <n v="85"/>
    <n v="97"/>
    <n v="96"/>
    <n v="88"/>
    <n v="89"/>
    <n v="90"/>
    <n v="0"/>
    <n v="39557277"/>
    <n v="3296439.75"/>
    <n v="0"/>
  </r>
  <r>
    <s v="Циримов"/>
    <s v="Т"/>
    <s v="Т"/>
    <m/>
    <m/>
    <s v="Крыж"/>
    <s v="Нест"/>
    <s v="Нест"/>
    <x v="119"/>
    <x v="10"/>
    <m/>
    <n v="68.285714285714292"/>
    <n v="51"/>
    <n v="84"/>
    <n v="75"/>
    <n v="79"/>
    <n v="72"/>
    <n v="71"/>
    <n v="46"/>
    <n v="0"/>
    <n v="2204442"/>
    <n v="183703.5"/>
    <n v="0"/>
  </r>
  <r>
    <s v="Чермингтон"/>
    <s v="Т"/>
    <s v="Т"/>
    <m/>
    <m/>
    <s v="Павс"/>
    <s v="С.К."/>
    <s v="С.К."/>
    <x v="119"/>
    <x v="10"/>
    <m/>
    <n v="88.571428571428569"/>
    <n v="80"/>
    <n v="84"/>
    <n v="90"/>
    <n v="98"/>
    <n v="85"/>
    <n v="88"/>
    <n v="95"/>
    <n v="0"/>
    <n v="29712316"/>
    <n v="2476026.3333333335"/>
    <n v="0"/>
  </r>
  <r>
    <s v="Шерлис"/>
    <s v="Т"/>
    <s v="Т"/>
    <m/>
    <m/>
    <s v="Вал"/>
    <s v="Вал"/>
    <s v="Вал"/>
    <x v="119"/>
    <x v="10"/>
    <m/>
    <n v="72.428571428571431"/>
    <n v="63"/>
    <n v="96"/>
    <n v="75"/>
    <n v="70"/>
    <n v="69"/>
    <n v="74"/>
    <n v="60"/>
    <n v="0"/>
    <n v="3972823"/>
    <n v="331068.58333333331"/>
    <n v="0"/>
  </r>
  <r>
    <s v="Ширман"/>
    <s v="Т"/>
    <s v="Т"/>
    <m/>
    <m/>
    <s v="Гид"/>
    <s v="Гид"/>
    <s v="Гид"/>
    <x v="119"/>
    <x v="10"/>
    <m/>
    <n v="67.714285714285708"/>
    <n v="45"/>
    <n v="73"/>
    <n v="75"/>
    <n v="71"/>
    <n v="77"/>
    <n v="78"/>
    <n v="55"/>
    <n v="0"/>
    <n v="2026764"/>
    <n v="168897"/>
    <n v="0"/>
  </r>
  <r>
    <s v="Шломшан"/>
    <s v="Т"/>
    <s v="Т"/>
    <m/>
    <m/>
    <s v="Хан"/>
    <s v="Хан"/>
    <s v="Хан"/>
    <x v="119"/>
    <x v="10"/>
    <m/>
    <n v="72.285714285714292"/>
    <n v="58"/>
    <n v="85"/>
    <n v="85"/>
    <n v="80"/>
    <n v="66"/>
    <n v="66"/>
    <n v="66"/>
    <n v="0"/>
    <n v="3895156"/>
    <n v="324596.33333333331"/>
    <n v="0"/>
  </r>
  <r>
    <s v="Ыбь"/>
    <s v="Т"/>
    <s v="Т"/>
    <m/>
    <m/>
    <s v="Ост"/>
    <s v="Ост"/>
    <s v="Ост"/>
    <x v="119"/>
    <x v="10"/>
    <m/>
    <n v="75.857142857142861"/>
    <n v="66"/>
    <n v="85"/>
    <n v="80"/>
    <n v="75"/>
    <n v="95"/>
    <n v="88"/>
    <n v="42"/>
    <n v="0"/>
    <n v="6309063"/>
    <n v="525755.25"/>
    <n v="0"/>
  </r>
  <r>
    <s v="Эрик Дилл"/>
    <s v="Т"/>
    <s v="Т"/>
    <m/>
    <m/>
    <s v="Киш"/>
    <s v="Бел"/>
    <s v="Бел"/>
    <x v="119"/>
    <x v="10"/>
    <m/>
    <n v="75.428571428571431"/>
    <n v="59"/>
    <n v="83"/>
    <n v="82"/>
    <n v="85"/>
    <n v="82"/>
    <n v="82"/>
    <n v="55"/>
    <n v="0"/>
    <n v="5961545"/>
    <n v="496795.41666666669"/>
    <n v="0"/>
  </r>
  <r>
    <s v="Ювенков"/>
    <s v="Т"/>
    <s v="Т"/>
    <m/>
    <m/>
    <s v="Смор"/>
    <s v="А.Н."/>
    <s v="А.Н."/>
    <x v="119"/>
    <x v="10"/>
    <m/>
    <n v="72.428571428571431"/>
    <n v="64"/>
    <n v="66"/>
    <n v="90"/>
    <n v="72"/>
    <n v="65"/>
    <n v="85"/>
    <n v="65"/>
    <n v="0"/>
    <n v="3972823"/>
    <n v="331068.58333333331"/>
    <n v="0"/>
  </r>
  <r>
    <s v="Юстал Герктар"/>
    <s v="Т"/>
    <s v="Т"/>
    <m/>
    <m/>
    <s v="Зол.Хол"/>
    <s v="Юл"/>
    <s v="Юл"/>
    <x v="119"/>
    <x v="10"/>
    <m/>
    <n v="65.714285714285708"/>
    <n v="56"/>
    <n v="79"/>
    <n v="67"/>
    <n v="79"/>
    <n v="67"/>
    <n v="67"/>
    <n v="45"/>
    <n v="0"/>
    <n v="1501751"/>
    <n v="125145.91666666667"/>
    <n v="0"/>
  </r>
  <r>
    <s v="Ягуззи"/>
    <s v="Т"/>
    <s v="Т"/>
    <m/>
    <m/>
    <s v="Мам"/>
    <s v="Мам"/>
    <s v="Мам"/>
    <x v="119"/>
    <x v="10"/>
    <m/>
    <n v="68.428571428571431"/>
    <n v="43"/>
    <n v="84"/>
    <n v="78"/>
    <n v="77"/>
    <n v="68"/>
    <n v="76"/>
    <n v="53"/>
    <n v="0"/>
    <n v="2250997"/>
    <n v="187583.08333333334"/>
    <n v="0"/>
  </r>
  <r>
    <s v="Як Бьюри"/>
    <s v="Т"/>
    <s v="Т"/>
    <m/>
    <m/>
    <s v="Д.С."/>
    <s v="Лион"/>
    <s v="Лион"/>
    <x v="119"/>
    <x v="10"/>
    <m/>
    <n v="90.285714285714292"/>
    <n v="92"/>
    <n v="89"/>
    <n v="94"/>
    <n v="89"/>
    <n v="88"/>
    <n v="89"/>
    <n v="91"/>
    <n v="0"/>
    <n v="35990708"/>
    <n v="2999225.6666666665"/>
    <n v="0"/>
  </r>
  <r>
    <s v="Тогурик Том"/>
    <s v="Т"/>
    <s v="Т"/>
    <m/>
    <m/>
    <m/>
    <s v="Нал"/>
    <s v="Нал"/>
    <x v="14"/>
    <x v="0"/>
    <m/>
    <n v="61.142857142857146"/>
    <n v="40"/>
    <n v="61"/>
    <n v="65"/>
    <n v="62"/>
    <n v="70"/>
    <n v="80"/>
    <n v="50"/>
    <n v="0"/>
    <n v="730226"/>
    <n v="60852.166666666664"/>
    <n v="0"/>
  </r>
  <r>
    <s v="Колкий Борис"/>
    <s v="Т"/>
    <s v="Т"/>
    <m/>
    <m/>
    <m/>
    <s v="Кут"/>
    <s v="Кут"/>
    <x v="15"/>
    <x v="0"/>
    <m/>
    <n v="77.714285714285708"/>
    <n v="60"/>
    <n v="75"/>
    <n v="80"/>
    <n v="85"/>
    <n v="80"/>
    <n v="84"/>
    <n v="80"/>
    <n v="0"/>
    <n v="8035421"/>
    <n v="669618.41666666663"/>
    <n v="0"/>
  </r>
  <r>
    <s v="Дюгба Антолий"/>
    <s v="Т"/>
    <s v="Т"/>
    <m/>
    <m/>
    <m/>
    <s v="Орех"/>
    <s v="Орех"/>
    <x v="32"/>
    <x v="0"/>
    <m/>
    <n v="62.142857142857146"/>
    <n v="44"/>
    <n v="80"/>
    <n v="60"/>
    <n v="62"/>
    <n v="74"/>
    <n v="60"/>
    <n v="55"/>
    <n v="0"/>
    <n v="858840"/>
    <n v="71570"/>
    <n v="0"/>
  </r>
  <r>
    <s v="Каньелис Угвей"/>
    <s v="Т"/>
    <s v="Т"/>
    <m/>
    <m/>
    <m/>
    <s v="Вал"/>
    <s v="Вал"/>
    <x v="119"/>
    <x v="10"/>
    <m/>
    <n v="65.428571428571431"/>
    <n v="40"/>
    <n v="95"/>
    <n v="85"/>
    <n v="60"/>
    <n v="62"/>
    <n v="56"/>
    <n v="60"/>
    <n v="0"/>
    <n v="1437721"/>
    <n v="119810.08333333333"/>
    <n v="0"/>
  </r>
  <r>
    <s v="Алиссе Луран"/>
    <s v="Т"/>
    <s v="Т"/>
    <m/>
    <m/>
    <m/>
    <s v="Павс"/>
    <s v="Павс"/>
    <x v="59"/>
    <x v="0"/>
    <m/>
    <n v="79.428571428571431"/>
    <n v="60"/>
    <n v="80"/>
    <n v="80"/>
    <n v="95"/>
    <n v="80"/>
    <n v="81"/>
    <n v="80"/>
    <n v="0"/>
    <n v="9994649"/>
    <n v="832887.41666666663"/>
    <n v="0"/>
  </r>
  <r>
    <s v="Нолий Раскар"/>
    <s v="Т"/>
    <s v="Т"/>
    <m/>
    <m/>
    <m/>
    <s v="Снег"/>
    <s v="Снег"/>
    <x v="84"/>
    <x v="0"/>
    <m/>
    <n v="59.285714285714285"/>
    <n v="37"/>
    <n v="61"/>
    <n v="83"/>
    <n v="64"/>
    <n v="62"/>
    <n v="66"/>
    <n v="42"/>
    <n v="0"/>
    <n v="536415"/>
    <n v="44701.25"/>
    <n v="0"/>
  </r>
  <r>
    <s v="Эвиш Ласкес"/>
    <s v="Т"/>
    <s v="Т"/>
    <m/>
    <m/>
    <m/>
    <s v="Киш"/>
    <s v="Киш"/>
    <x v="91"/>
    <x v="0"/>
    <m/>
    <n v="82.285714285714292"/>
    <n v="85"/>
    <n v="83"/>
    <n v="80"/>
    <n v="84"/>
    <n v="80"/>
    <n v="88"/>
    <n v="76"/>
    <n v="0"/>
    <n v="14231296"/>
    <n v="1185941.3333333333"/>
    <n v="0"/>
  </r>
  <r>
    <s v="Хугура Велий"/>
    <s v="Т"/>
    <s v="Т"/>
    <m/>
    <m/>
    <m/>
    <s v="Орех"/>
    <s v="Орех"/>
    <x v="103"/>
    <x v="0"/>
    <m/>
    <n v="71.571428571428569"/>
    <n v="50"/>
    <n v="75"/>
    <n v="74"/>
    <n v="76"/>
    <n v="87"/>
    <n v="89"/>
    <n v="50"/>
    <n v="0"/>
    <n v="3526931"/>
    <n v="293910.91666666669"/>
    <n v="0"/>
  </r>
  <r>
    <s v="Цэдиантон Яж"/>
    <s v="Т"/>
    <s v="Т"/>
    <m/>
    <m/>
    <m/>
    <s v="К.К."/>
    <s v="К.К."/>
    <x v="110"/>
    <x v="0"/>
    <m/>
    <n v="81.714285714285708"/>
    <n v="80"/>
    <n v="88"/>
    <n v="86"/>
    <n v="87"/>
    <n v="80"/>
    <n v="76"/>
    <n v="75"/>
    <n v="0"/>
    <n v="13273330"/>
    <n v="1106110.8333333333"/>
    <n v="0"/>
  </r>
  <r>
    <s v="Танроси"/>
    <s v="Т"/>
    <s v="Т"/>
    <m/>
    <m/>
    <m/>
    <s v="Рекс"/>
    <s v="Рекс"/>
    <x v="120"/>
    <x v="0"/>
    <m/>
    <n v="39.714285714285715"/>
    <n v="22"/>
    <n v="59"/>
    <n v="63"/>
    <n v="60"/>
    <n v="28"/>
    <n v="19"/>
    <n v="27"/>
    <n v="0"/>
    <n v="9761"/>
    <m/>
    <n v="0"/>
  </r>
  <r>
    <s v="Ольсен Нильс"/>
    <s v="В"/>
    <s v="В"/>
    <m/>
    <m/>
    <m/>
    <s v="Рекс"/>
    <s v="Рекс"/>
    <x v="120"/>
    <x v="0"/>
    <m/>
    <n v="36.714285714285715"/>
    <n v="22"/>
    <n v="68"/>
    <n v="16"/>
    <n v="49"/>
    <n v="39"/>
    <n v="49"/>
    <n v="14"/>
    <n v="0"/>
    <n v="4450"/>
    <m/>
    <n v="1"/>
  </r>
  <r>
    <s v="Лопсерд Гуан"/>
    <s v="З"/>
    <s v="ЦЗ"/>
    <s v="ЛЗ"/>
    <s v="ПЗ"/>
    <m/>
    <s v="Рекс"/>
    <s v="Рекс"/>
    <x v="120"/>
    <x v="0"/>
    <m/>
    <n v="25.285714285714285"/>
    <n v="23"/>
    <n v="8"/>
    <n v="5"/>
    <n v="69"/>
    <n v="20"/>
    <n v="22"/>
    <n v="30"/>
    <n v="0"/>
    <n v="107"/>
    <m/>
    <n v="2"/>
  </r>
  <r>
    <s v="Маллер Фанс"/>
    <s v="П"/>
    <s v="ЦПЗ"/>
    <s v="ОПЗ"/>
    <s v="АПЗ"/>
    <m/>
    <s v="Рекс"/>
    <s v="Рекс"/>
    <x v="120"/>
    <x v="0"/>
    <m/>
    <n v="39.285714285714285"/>
    <n v="14"/>
    <n v="19"/>
    <n v="70"/>
    <n v="67"/>
    <n v="18"/>
    <n v="64"/>
    <n v="23"/>
    <n v="0"/>
    <n v="8757"/>
    <m/>
    <n v="3"/>
  </r>
  <r>
    <s v="Андерсен Ларс"/>
    <s v="Н"/>
    <s v="ЦН"/>
    <s v="ОФ"/>
    <m/>
    <m/>
    <s v="Рекс"/>
    <s v="Рекс"/>
    <x v="120"/>
    <x v="0"/>
    <m/>
    <n v="42.857142857142854"/>
    <n v="30"/>
    <n v="50"/>
    <n v="70"/>
    <n v="42"/>
    <n v="37"/>
    <n v="53"/>
    <n v="18"/>
    <n v="0"/>
    <n v="20905"/>
    <m/>
    <n v="4"/>
  </r>
  <r>
    <s v="Смирнов Александр"/>
    <s v="Т"/>
    <s v="Т"/>
    <m/>
    <m/>
    <m/>
    <s v="Сар"/>
    <s v="Сар"/>
    <x v="121"/>
    <x v="0"/>
    <m/>
    <n v="34.571428571428569"/>
    <n v="19"/>
    <n v="66"/>
    <n v="48"/>
    <n v="46"/>
    <n v="6"/>
    <n v="34"/>
    <n v="23"/>
    <n v="0"/>
    <n v="2439"/>
    <m/>
    <n v="5"/>
  </r>
  <r>
    <s v="Кузнецов Дмитрий"/>
    <s v="В"/>
    <s v="В"/>
    <m/>
    <m/>
    <m/>
    <s v="Сар"/>
    <s v="Сар"/>
    <x v="121"/>
    <x v="0"/>
    <m/>
    <n v="32.142857142857146"/>
    <n v="12"/>
    <n v="24"/>
    <n v="34"/>
    <n v="41"/>
    <n v="59"/>
    <n v="26"/>
    <n v="29"/>
    <n v="0"/>
    <n v="1178"/>
    <m/>
    <n v="6"/>
  </r>
  <r>
    <s v="Санкивоз"/>
    <s v="З"/>
    <s v="ЦЗ"/>
    <s v="ЛЗ"/>
    <s v="ПЗ"/>
    <m/>
    <s v="Сар"/>
    <s v="Сар"/>
    <x v="121"/>
    <x v="0"/>
    <m/>
    <n v="26.714285714285715"/>
    <n v="13"/>
    <n v="42"/>
    <n v="32"/>
    <n v="28"/>
    <n v="25"/>
    <n v="41"/>
    <n v="6"/>
    <n v="0"/>
    <n v="186"/>
    <m/>
    <n v="7"/>
  </r>
  <r>
    <s v="Кимину"/>
    <s v="П"/>
    <s v="ЦПЗ"/>
    <s v="ОПЗ"/>
    <s v="АПЗ"/>
    <m/>
    <s v="Сар"/>
    <s v="Сар"/>
    <x v="121"/>
    <x v="0"/>
    <m/>
    <n v="22.571428571428573"/>
    <n v="15"/>
    <n v="55"/>
    <n v="5"/>
    <n v="17"/>
    <n v="10"/>
    <n v="42"/>
    <n v="14"/>
    <n v="0"/>
    <n v="35"/>
    <m/>
    <n v="8"/>
  </r>
  <r>
    <s v="Пажичкин"/>
    <s v="Н"/>
    <s v="ЦН"/>
    <s v="ОФ"/>
    <m/>
    <m/>
    <s v="Сар"/>
    <s v="Сар"/>
    <x v="121"/>
    <x v="0"/>
    <m/>
    <n v="21.428571428571427"/>
    <n v="5"/>
    <n v="28"/>
    <n v="27"/>
    <n v="56"/>
    <n v="21"/>
    <n v="7"/>
    <n v="6"/>
    <n v="0"/>
    <n v="21"/>
    <m/>
    <n v="9"/>
  </r>
  <r>
    <s v="Смитс Джор"/>
    <s v="Т"/>
    <s v="Т"/>
    <m/>
    <m/>
    <m/>
    <s v="Бел"/>
    <s v="Бел"/>
    <x v="122"/>
    <x v="0"/>
    <m/>
    <n v="34.428571428571431"/>
    <n v="30"/>
    <n v="54"/>
    <n v="42"/>
    <n v="18"/>
    <n v="61"/>
    <n v="15"/>
    <n v="21"/>
    <n v="0"/>
    <n v="2340"/>
    <m/>
    <n v="10"/>
  </r>
  <r>
    <s v="Фернанд Луис"/>
    <s v="В"/>
    <s v="В"/>
    <m/>
    <m/>
    <m/>
    <s v="Бел"/>
    <s v="Бел"/>
    <x v="122"/>
    <x v="0"/>
    <m/>
    <n v="26.714285714285715"/>
    <n v="12"/>
    <n v="8"/>
    <n v="20"/>
    <n v="27"/>
    <n v="55"/>
    <n v="36"/>
    <n v="29"/>
    <n v="0"/>
    <n v="186"/>
    <m/>
    <n v="11"/>
  </r>
  <r>
    <s v="Джонсон Эми"/>
    <s v="З"/>
    <s v="ЦЗ"/>
    <s v="ЛЗ"/>
    <s v="ПЗ"/>
    <m/>
    <s v="Бел"/>
    <s v="Бел"/>
    <x v="122"/>
    <x v="0"/>
    <m/>
    <n v="31.428571428571427"/>
    <n v="44"/>
    <n v="29"/>
    <n v="46"/>
    <n v="18"/>
    <n v="50"/>
    <n v="13"/>
    <n v="20"/>
    <n v="0"/>
    <n v="941"/>
    <m/>
    <n v="12"/>
  </r>
  <r>
    <s v="Лефевр Жанер"/>
    <s v="П"/>
    <s v="ЦПЗ"/>
    <s v="ОПЗ"/>
    <s v="АПЗ"/>
    <m/>
    <s v="Бел"/>
    <s v="Бел"/>
    <x v="122"/>
    <x v="0"/>
    <m/>
    <n v="26"/>
    <n v="16"/>
    <n v="24"/>
    <n v="42"/>
    <n v="27"/>
    <n v="42"/>
    <n v="7"/>
    <n v="24"/>
    <n v="0"/>
    <n v="142"/>
    <m/>
    <n v="13"/>
  </r>
  <r>
    <s v="Лоран Софи"/>
    <s v="Н"/>
    <s v="ЦН"/>
    <s v="ОФ"/>
    <m/>
    <m/>
    <s v="Бел"/>
    <s v="Бел"/>
    <x v="122"/>
    <x v="0"/>
    <m/>
    <n v="40.142857142857146"/>
    <n v="8"/>
    <n v="40"/>
    <n v="47"/>
    <n v="35"/>
    <n v="64"/>
    <n v="63"/>
    <n v="24"/>
    <n v="0"/>
    <n v="10867"/>
    <m/>
    <n v="14"/>
  </r>
  <r>
    <s v="Рорес Камен"/>
    <s v="Т"/>
    <s v="Т"/>
    <m/>
    <m/>
    <m/>
    <s v="Вор"/>
    <s v="Вор"/>
    <x v="123"/>
    <x v="0"/>
    <m/>
    <n v="41.571428571428569"/>
    <n v="24"/>
    <n v="68"/>
    <n v="64"/>
    <n v="47"/>
    <n v="49"/>
    <n v="30"/>
    <n v="9"/>
    <n v="0"/>
    <n v="15416"/>
    <m/>
    <n v="15"/>
  </r>
  <r>
    <s v="Соколов Ольган"/>
    <s v="В"/>
    <s v="В"/>
    <m/>
    <m/>
    <m/>
    <s v="Вор"/>
    <s v="Вор"/>
    <x v="123"/>
    <x v="0"/>
    <m/>
    <n v="25.142857142857142"/>
    <n v="11"/>
    <n v="26"/>
    <n v="45"/>
    <n v="8"/>
    <n v="54"/>
    <n v="26"/>
    <n v="6"/>
    <n v="0"/>
    <n v="101"/>
    <m/>
    <n v="16"/>
  </r>
  <r>
    <s v="Петров Иван"/>
    <s v="З"/>
    <s v="ЦЗ"/>
    <s v="ЛЗ"/>
    <s v="ПЗ"/>
    <m/>
    <s v="Вор"/>
    <s v="Вор"/>
    <x v="123"/>
    <x v="0"/>
    <m/>
    <n v="21.857142857142858"/>
    <n v="25"/>
    <n v="32"/>
    <n v="16"/>
    <n v="10"/>
    <n v="15"/>
    <n v="40"/>
    <n v="15"/>
    <n v="0"/>
    <n v="25"/>
    <m/>
    <n v="17"/>
  </r>
  <r>
    <s v="Роанока"/>
    <s v="П"/>
    <s v="ЦПЗ"/>
    <s v="ОПЗ"/>
    <s v="АПЗ"/>
    <m/>
    <s v="Вор"/>
    <s v="Вор"/>
    <x v="123"/>
    <x v="0"/>
    <m/>
    <n v="35.428571428571431"/>
    <n v="5"/>
    <n v="32"/>
    <n v="70"/>
    <n v="47"/>
    <n v="24"/>
    <n v="52"/>
    <n v="18"/>
    <n v="0"/>
    <n v="3116"/>
    <m/>
    <n v="18"/>
  </r>
  <r>
    <s v="Ромулсев"/>
    <s v="Н"/>
    <s v="ЦН"/>
    <s v="ОФ"/>
    <m/>
    <m/>
    <s v="Вор"/>
    <s v="Вор"/>
    <x v="123"/>
    <x v="0"/>
    <m/>
    <n v="16.857142857142858"/>
    <n v="23"/>
    <n v="23"/>
    <n v="8"/>
    <n v="31"/>
    <n v="7"/>
    <n v="19"/>
    <n v="7"/>
    <n v="0"/>
    <n v="2"/>
    <m/>
    <n v="19"/>
  </r>
  <r>
    <s v="Аллерий"/>
    <s v="Т"/>
    <s v="Т"/>
    <m/>
    <m/>
    <m/>
    <s v="Зол.Хол"/>
    <s v="Зол.Хол"/>
    <x v="124"/>
    <x v="0"/>
    <m/>
    <n v="38.857142857142854"/>
    <n v="28"/>
    <n v="25"/>
    <n v="51"/>
    <n v="68"/>
    <n v="49"/>
    <n v="44"/>
    <n v="7"/>
    <n v="0"/>
    <n v="7848"/>
    <m/>
    <n v="20"/>
  </r>
  <r>
    <s v="Скалзар"/>
    <s v="В"/>
    <s v="В"/>
    <m/>
    <m/>
    <m/>
    <s v="Зол.Хол"/>
    <s v="Зол.Хол"/>
    <x v="124"/>
    <x v="0"/>
    <m/>
    <n v="26.857142857142858"/>
    <n v="19"/>
    <n v="16"/>
    <n v="44"/>
    <n v="26"/>
    <n v="44"/>
    <n v="14"/>
    <n v="25"/>
    <n v="0"/>
    <n v="196"/>
    <m/>
    <n v="21"/>
  </r>
  <r>
    <s v="Легионеров Олег"/>
    <s v="З"/>
    <s v="ЦЗ"/>
    <s v="ЛЗ"/>
    <s v="ПЗ"/>
    <m/>
    <s v="Зол.Хол"/>
    <s v="Зол.Хол"/>
    <x v="124"/>
    <x v="0"/>
    <m/>
    <n v="27"/>
    <n v="14"/>
    <n v="33"/>
    <n v="5"/>
    <n v="31"/>
    <n v="67"/>
    <n v="25"/>
    <n v="14"/>
    <n v="0"/>
    <n v="206"/>
    <m/>
    <n v="22"/>
  </r>
  <r>
    <s v="Ванн Кесар"/>
    <s v="П"/>
    <s v="ЦПЗ"/>
    <s v="ОПЗ"/>
    <s v="АПЗ"/>
    <m/>
    <s v="Зол.Хол"/>
    <s v="Зол.Хол"/>
    <x v="124"/>
    <x v="0"/>
    <m/>
    <n v="30.285714285714285"/>
    <n v="12"/>
    <n v="15"/>
    <n v="31"/>
    <n v="15"/>
    <n v="39"/>
    <n v="70"/>
    <n v="30"/>
    <n v="0"/>
    <n v="650"/>
    <m/>
    <n v="23"/>
  </r>
  <r>
    <s v="Артемис"/>
    <s v="Н"/>
    <s v="ЦН"/>
    <s v="ОФ"/>
    <m/>
    <m/>
    <s v="Зол.Хол"/>
    <s v="Зол.Хол"/>
    <x v="124"/>
    <x v="0"/>
    <m/>
    <n v="33.571428571428569"/>
    <n v="8"/>
    <n v="57"/>
    <n v="47"/>
    <n v="35"/>
    <n v="36"/>
    <n v="23"/>
    <n v="29"/>
    <n v="0"/>
    <n v="1819"/>
    <m/>
    <n v="24"/>
  </r>
  <r>
    <s v="Ли На"/>
    <s v="Т"/>
    <s v="Т"/>
    <m/>
    <m/>
    <m/>
    <s v="Лин"/>
    <s v="Лин"/>
    <x v="125"/>
    <x v="0"/>
    <m/>
    <n v="52"/>
    <n v="50"/>
    <n v="50"/>
    <n v="60"/>
    <n v="48"/>
    <n v="53"/>
    <n v="63"/>
    <n v="40"/>
    <n v="0"/>
    <n v="144556"/>
    <m/>
    <n v="25"/>
  </r>
  <r>
    <s v="Ямарост"/>
    <s v="В"/>
    <s v="В"/>
    <m/>
    <m/>
    <m/>
    <s v="Лин"/>
    <s v="Лин"/>
    <x v="125"/>
    <x v="0"/>
    <m/>
    <n v="34"/>
    <n v="30"/>
    <n v="22"/>
    <n v="54"/>
    <n v="43"/>
    <n v="32"/>
    <n v="34"/>
    <n v="23"/>
    <n v="0"/>
    <n v="2065"/>
    <m/>
    <n v="26"/>
  </r>
  <r>
    <s v="Гюбуа Тъер"/>
    <s v="З"/>
    <s v="ЦЗ"/>
    <s v="ЛЗ"/>
    <s v="ПЗ"/>
    <m/>
    <s v="Орех"/>
    <s v="Орех"/>
    <x v="125"/>
    <x v="0"/>
    <m/>
    <n v="30.571428571428573"/>
    <n v="5"/>
    <n v="37"/>
    <n v="48"/>
    <n v="63"/>
    <n v="12"/>
    <n v="31"/>
    <n v="18"/>
    <n v="0"/>
    <n v="714"/>
    <m/>
    <n v="27"/>
  </r>
  <r>
    <s v="Тейлор Лора"/>
    <s v="П"/>
    <s v="ЦПЗ"/>
    <s v="ОПЗ"/>
    <s v="АПЗ"/>
    <m/>
    <s v="Лин"/>
    <s v="Лин"/>
    <x v="125"/>
    <x v="0"/>
    <m/>
    <n v="29.571428571428573"/>
    <n v="29"/>
    <n v="46"/>
    <n v="13"/>
    <n v="29"/>
    <n v="14"/>
    <n v="59"/>
    <n v="17"/>
    <n v="0"/>
    <n v="512"/>
    <m/>
    <n v="28"/>
  </r>
  <r>
    <s v="Гарсиа Мария"/>
    <s v="Н"/>
    <s v="ЦН"/>
    <s v="ОФ"/>
    <m/>
    <m/>
    <s v="Лин"/>
    <s v="Лин"/>
    <x v="125"/>
    <x v="0"/>
    <m/>
    <n v="30.571428571428573"/>
    <n v="22"/>
    <n v="34"/>
    <n v="19"/>
    <n v="54"/>
    <n v="16"/>
    <n v="61"/>
    <n v="8"/>
    <n v="0"/>
    <n v="714"/>
    <m/>
    <n v="29"/>
  </r>
  <r>
    <s v="Коба Ако"/>
    <s v="Т"/>
    <s v="Т"/>
    <m/>
    <m/>
    <m/>
    <s v="Кедр"/>
    <s v="Кедр"/>
    <x v="126"/>
    <x v="0"/>
    <m/>
    <n v="32.142857142857146"/>
    <n v="27"/>
    <n v="59"/>
    <n v="11"/>
    <n v="27"/>
    <n v="43"/>
    <n v="37"/>
    <n v="21"/>
    <n v="0"/>
    <n v="1178"/>
    <m/>
    <n v="30"/>
  </r>
  <r>
    <s v="Варет Пинт"/>
    <s v="В"/>
    <s v="В"/>
    <m/>
    <m/>
    <m/>
    <s v="Кедр"/>
    <s v="Кедр"/>
    <x v="126"/>
    <x v="0"/>
    <m/>
    <n v="36"/>
    <n v="20"/>
    <n v="25"/>
    <n v="57"/>
    <n v="65"/>
    <n v="15"/>
    <n v="62"/>
    <n v="8"/>
    <n v="0"/>
    <n v="3657"/>
    <m/>
    <n v="31"/>
  </r>
  <r>
    <s v="Тин Изер"/>
    <s v="З"/>
    <s v="ЦЗ"/>
    <s v="ЛЗ"/>
    <s v="ПЗ"/>
    <m/>
    <s v="Кедр"/>
    <s v="Кедр"/>
    <x v="126"/>
    <x v="0"/>
    <m/>
    <n v="43.857142857142854"/>
    <n v="17"/>
    <n v="66"/>
    <n v="62"/>
    <n v="48"/>
    <n v="23"/>
    <n v="64"/>
    <n v="27"/>
    <n v="0"/>
    <n v="26328"/>
    <m/>
    <n v="32"/>
  </r>
  <r>
    <s v="Шарма Прия"/>
    <s v="П"/>
    <s v="ЦПЗ"/>
    <s v="ОПЗ"/>
    <s v="АПЗ"/>
    <m/>
    <s v="Кедр"/>
    <s v="Кедр"/>
    <x v="126"/>
    <x v="0"/>
    <m/>
    <n v="33"/>
    <n v="12"/>
    <n v="36"/>
    <n v="18"/>
    <n v="70"/>
    <n v="37"/>
    <n v="51"/>
    <n v="7"/>
    <n v="0"/>
    <n v="1532"/>
    <m/>
    <n v="33"/>
  </r>
  <r>
    <s v="Бастрид"/>
    <s v="Н"/>
    <s v="ЦН"/>
    <s v="ОФ"/>
    <m/>
    <m/>
    <s v="Кедр"/>
    <s v="Кедр"/>
    <x v="126"/>
    <x v="0"/>
    <m/>
    <n v="40.714285714285715"/>
    <n v="26"/>
    <n v="20"/>
    <n v="61"/>
    <n v="70"/>
    <n v="40"/>
    <n v="56"/>
    <n v="12"/>
    <n v="0"/>
    <n v="12517"/>
    <m/>
    <n v="34"/>
  </r>
  <r>
    <s v="Кузовой"/>
    <s v="Т"/>
    <s v="Т"/>
    <m/>
    <m/>
    <m/>
    <s v="Кут"/>
    <s v="Кут"/>
    <x v="127"/>
    <x v="0"/>
    <m/>
    <n v="27.571428571428573"/>
    <n v="14"/>
    <n v="29"/>
    <n v="15"/>
    <n v="36"/>
    <n v="14"/>
    <n v="61"/>
    <n v="24"/>
    <n v="0"/>
    <n v="254"/>
    <m/>
    <n v="35"/>
  </r>
  <r>
    <s v="Трошан Валерий"/>
    <s v="В"/>
    <s v="В"/>
    <m/>
    <m/>
    <m/>
    <s v="Кут"/>
    <s v="Кут"/>
    <x v="127"/>
    <x v="0"/>
    <m/>
    <n v="35.571428571428569"/>
    <n v="24"/>
    <n v="67"/>
    <n v="62"/>
    <n v="9"/>
    <n v="12"/>
    <n v="55"/>
    <n v="20"/>
    <n v="0"/>
    <n v="3244"/>
    <m/>
    <n v="36"/>
  </r>
  <r>
    <s v="Горших"/>
    <s v="З"/>
    <s v="ЦЗ"/>
    <s v="ЛЗ"/>
    <s v="ПЗ"/>
    <m/>
    <s v="Кут"/>
    <s v="Кут"/>
    <x v="127"/>
    <x v="0"/>
    <m/>
    <n v="31.142857142857142"/>
    <n v="26"/>
    <n v="45"/>
    <n v="68"/>
    <n v="36"/>
    <n v="6"/>
    <n v="26"/>
    <n v="11"/>
    <n v="0"/>
    <n v="859"/>
    <m/>
    <n v="37"/>
  </r>
  <r>
    <s v="Топовар"/>
    <s v="П"/>
    <s v="ЦПЗ"/>
    <s v="ОПЗ"/>
    <s v="АПЗ"/>
    <m/>
    <s v="Кут"/>
    <s v="Кут"/>
    <x v="127"/>
    <x v="0"/>
    <m/>
    <n v="30.857142857142858"/>
    <n v="18"/>
    <n v="19"/>
    <n v="11"/>
    <n v="58"/>
    <n v="43"/>
    <n v="60"/>
    <n v="7"/>
    <n v="0"/>
    <n v="783"/>
    <m/>
    <n v="38"/>
  </r>
  <r>
    <s v="Сурмех"/>
    <s v="Н"/>
    <s v="ЦН"/>
    <s v="ОФ"/>
    <m/>
    <m/>
    <s v="Кут"/>
    <s v="Кут"/>
    <x v="127"/>
    <x v="0"/>
    <m/>
    <n v="40.142857142857146"/>
    <n v="15"/>
    <n v="67"/>
    <n v="17"/>
    <n v="27"/>
    <n v="68"/>
    <n v="59"/>
    <n v="28"/>
    <n v="0"/>
    <n v="10867"/>
    <m/>
    <n v="39"/>
  </r>
  <r>
    <s v="Бюран Филипп"/>
    <s v="Т"/>
    <s v="Т"/>
    <m/>
    <m/>
    <m/>
    <s v="С.К."/>
    <s v="С.К."/>
    <x v="128"/>
    <x v="0"/>
    <m/>
    <n v="46.142857142857146"/>
    <n v="28"/>
    <n v="64"/>
    <n v="66"/>
    <n v="33"/>
    <n v="41"/>
    <n v="68"/>
    <n v="23"/>
    <n v="0"/>
    <n v="43757"/>
    <m/>
    <n v="40"/>
  </r>
  <r>
    <s v="Дьюпонс Мари"/>
    <s v="В"/>
    <s v="В"/>
    <m/>
    <m/>
    <m/>
    <s v="С.К."/>
    <s v="С.К."/>
    <x v="128"/>
    <x v="0"/>
    <m/>
    <n v="34.714285714285715"/>
    <n v="22"/>
    <n v="24"/>
    <n v="56"/>
    <n v="40"/>
    <n v="47"/>
    <n v="16"/>
    <n v="38"/>
    <n v="0"/>
    <n v="2542"/>
    <m/>
    <n v="41"/>
  </r>
  <r>
    <s v="Шмидер Анс"/>
    <s v="З"/>
    <s v="ЦЗ"/>
    <s v="ЛЗ"/>
    <s v="ПЗ"/>
    <m/>
    <s v="С.К."/>
    <s v="С.К."/>
    <x v="128"/>
    <x v="0"/>
    <m/>
    <n v="48.285714285714285"/>
    <n v="30"/>
    <n v="71"/>
    <n v="77"/>
    <n v="24"/>
    <n v="77"/>
    <n v="41"/>
    <n v="18"/>
    <n v="0"/>
    <n v="68895"/>
    <m/>
    <n v="42"/>
  </r>
  <r>
    <s v="Браун Майкл"/>
    <s v="П"/>
    <s v="ЦПЗ"/>
    <s v="ОПЗ"/>
    <s v="АПЗ"/>
    <m/>
    <s v="С.К."/>
    <s v="С.К."/>
    <x v="128"/>
    <x v="0"/>
    <m/>
    <n v="50.857142857142854"/>
    <n v="32"/>
    <n v="79"/>
    <n v="79"/>
    <n v="24"/>
    <n v="71"/>
    <n v="37"/>
    <n v="34"/>
    <n v="0"/>
    <n v="115750"/>
    <m/>
    <n v="43"/>
  </r>
  <r>
    <s v="Уилсон Сарэ"/>
    <s v="Н"/>
    <s v="ЦН"/>
    <s v="ОФ"/>
    <m/>
    <m/>
    <s v="С.К."/>
    <s v="С.К."/>
    <x v="128"/>
    <x v="0"/>
    <m/>
    <n v="36.428571428571431"/>
    <n v="26"/>
    <n v="63"/>
    <n v="20"/>
    <n v="34"/>
    <n v="34"/>
    <n v="38"/>
    <n v="40"/>
    <n v="0"/>
    <n v="4116"/>
    <m/>
    <n v="44"/>
  </r>
  <r>
    <s v="Уззенли"/>
    <s v="Т"/>
    <s v="Т"/>
    <m/>
    <m/>
    <m/>
    <s v="Юл"/>
    <s v="Юл"/>
    <x v="129"/>
    <x v="0"/>
    <m/>
    <n v="26"/>
    <n v="11"/>
    <n v="28"/>
    <n v="5"/>
    <n v="56"/>
    <n v="16"/>
    <n v="51"/>
    <n v="15"/>
    <n v="0"/>
    <n v="142"/>
    <m/>
    <n v="45"/>
  </r>
  <r>
    <s v="Густафор Роам"/>
    <s v="В"/>
    <s v="В"/>
    <m/>
    <m/>
    <m/>
    <s v="Юл"/>
    <s v="Юл"/>
    <x v="129"/>
    <x v="0"/>
    <m/>
    <n v="23.142857142857142"/>
    <n v="6"/>
    <n v="6"/>
    <n v="25"/>
    <n v="47"/>
    <n v="49"/>
    <n v="22"/>
    <n v="7"/>
    <n v="0"/>
    <n v="45"/>
    <m/>
    <n v="46"/>
  </r>
  <r>
    <s v="Палонций"/>
    <s v="З"/>
    <s v="ЦЗ"/>
    <s v="ЛЗ"/>
    <s v="ПЗ"/>
    <m/>
    <s v="Юл"/>
    <s v="Юл"/>
    <x v="129"/>
    <x v="0"/>
    <m/>
    <n v="30.428571428571427"/>
    <n v="30"/>
    <n v="58"/>
    <n v="54"/>
    <n v="20"/>
    <n v="23"/>
    <n v="19"/>
    <n v="9"/>
    <n v="0"/>
    <n v="681"/>
    <m/>
    <n v="47"/>
  </r>
  <r>
    <s v="Аврелли"/>
    <s v="П"/>
    <s v="ЦПЗ"/>
    <s v="ОПЗ"/>
    <s v="АПЗ"/>
    <m/>
    <s v="Юл"/>
    <s v="Юл"/>
    <x v="129"/>
    <x v="0"/>
    <m/>
    <n v="41.571428571428569"/>
    <n v="20"/>
    <n v="54"/>
    <n v="14"/>
    <n v="68"/>
    <n v="68"/>
    <n v="52"/>
    <n v="15"/>
    <n v="0"/>
    <n v="15416"/>
    <m/>
    <n v="48"/>
  </r>
  <r>
    <s v="Брутос"/>
    <s v="Н"/>
    <s v="ЦН"/>
    <s v="ОФ"/>
    <m/>
    <m/>
    <s v="Юл"/>
    <s v="Юл"/>
    <x v="129"/>
    <x v="0"/>
    <m/>
    <n v="30.571428571428573"/>
    <n v="26"/>
    <n v="53"/>
    <n v="25"/>
    <n v="42"/>
    <n v="14"/>
    <n v="38"/>
    <n v="16"/>
    <n v="0"/>
    <n v="714"/>
    <m/>
    <n v="49"/>
  </r>
  <r>
    <s v="Талантов Константин"/>
    <s v="Т"/>
    <s v="Т"/>
    <m/>
    <m/>
    <m/>
    <s v="К.Р."/>
    <s v="К.Р."/>
    <x v="130"/>
    <x v="0"/>
    <m/>
    <n v="92.571428571428569"/>
    <n v="90"/>
    <n v="92"/>
    <n v="94"/>
    <n v="95"/>
    <n v="90"/>
    <n v="91"/>
    <n v="96"/>
    <n v="0"/>
    <n v="46213585"/>
    <m/>
    <n v="50"/>
  </r>
  <r>
    <s v="Увязов"/>
    <s v="В"/>
    <s v="В"/>
    <m/>
    <m/>
    <m/>
    <s v="К.Р."/>
    <s v="К.Р."/>
    <x v="130"/>
    <x v="0"/>
    <m/>
    <n v="43"/>
    <n v="33"/>
    <n v="35"/>
    <n v="80"/>
    <n v="50"/>
    <n v="27"/>
    <n v="47"/>
    <n v="29"/>
    <n v="0"/>
    <n v="21612"/>
    <m/>
    <n v="51"/>
  </r>
  <r>
    <s v="Красиль"/>
    <s v="З"/>
    <s v="ЦЗ"/>
    <m/>
    <m/>
    <m/>
    <s v="К.Р."/>
    <s v="К.Р."/>
    <x v="130"/>
    <x v="0"/>
    <m/>
    <n v="47.857142857142854"/>
    <n v="25"/>
    <n v="58"/>
    <n v="81"/>
    <n v="37"/>
    <n v="47"/>
    <n v="63"/>
    <n v="24"/>
    <n v="0"/>
    <n v="63019"/>
    <m/>
    <n v="52"/>
  </r>
  <r>
    <s v="Глацер"/>
    <s v="З"/>
    <s v="ЦЗ"/>
    <m/>
    <m/>
    <m/>
    <s v="К.Р."/>
    <s v="К.Р."/>
    <x v="130"/>
    <x v="0"/>
    <m/>
    <n v="55.571428571428569"/>
    <n v="26"/>
    <n v="78"/>
    <n v="58"/>
    <n v="40"/>
    <n v="72"/>
    <n v="78"/>
    <n v="37"/>
    <n v="0"/>
    <n v="280877"/>
    <m/>
    <n v="53"/>
  </r>
  <r>
    <s v="Востерри"/>
    <s v="З"/>
    <s v="ЛЗ"/>
    <m/>
    <m/>
    <m/>
    <s v="К.Р."/>
    <s v="К.Р."/>
    <x v="130"/>
    <x v="0"/>
    <m/>
    <n v="58"/>
    <n v="40"/>
    <n v="62"/>
    <n v="59"/>
    <n v="45"/>
    <n v="76"/>
    <n v="82"/>
    <n v="42"/>
    <n v="0"/>
    <n v="430805"/>
    <m/>
    <n v="54"/>
  </r>
  <r>
    <s v="Архания"/>
    <s v="З"/>
    <s v="ПЗ"/>
    <m/>
    <m/>
    <m/>
    <s v="К.Р."/>
    <s v="К.Р."/>
    <x v="130"/>
    <x v="0"/>
    <m/>
    <n v="46.142857142857146"/>
    <n v="25"/>
    <n v="64"/>
    <n v="49"/>
    <n v="57"/>
    <n v="41"/>
    <n v="50"/>
    <n v="37"/>
    <n v="0"/>
    <n v="43757"/>
    <m/>
    <n v="55"/>
  </r>
  <r>
    <s v="Ланзоззи"/>
    <s v="П"/>
    <s v="ОПЗ"/>
    <m/>
    <m/>
    <m/>
    <s v="К.Р."/>
    <s v="К.Р."/>
    <x v="130"/>
    <x v="0"/>
    <m/>
    <n v="57.142857142857146"/>
    <n v="43"/>
    <n v="85"/>
    <n v="68"/>
    <n v="42"/>
    <n v="79"/>
    <n v="46"/>
    <n v="37"/>
    <n v="0"/>
    <n v="371210"/>
    <m/>
    <n v="56"/>
  </r>
  <r>
    <s v="Дыманов"/>
    <s v="П"/>
    <s v="ЦПЗ"/>
    <m/>
    <m/>
    <m/>
    <s v="К.Р."/>
    <s v="К.Р."/>
    <x v="130"/>
    <x v="0"/>
    <m/>
    <n v="47.571428571428569"/>
    <n v="41"/>
    <n v="74"/>
    <n v="22"/>
    <n v="35"/>
    <n v="80"/>
    <n v="53"/>
    <n v="28"/>
    <n v="0"/>
    <n v="59356"/>
    <m/>
    <n v="57"/>
  </r>
  <r>
    <s v="Цыба"/>
    <s v="П"/>
    <s v="АПЗ"/>
    <m/>
    <m/>
    <m/>
    <s v="К.Р."/>
    <s v="К.Р."/>
    <x v="130"/>
    <x v="0"/>
    <m/>
    <n v="46.857142857142854"/>
    <n v="28"/>
    <n v="52"/>
    <n v="44"/>
    <n v="30"/>
    <n v="82"/>
    <n v="48"/>
    <n v="44"/>
    <n v="0"/>
    <n v="51023"/>
    <m/>
    <n v="58"/>
  </r>
  <r>
    <s v="Ютюр"/>
    <s v="П"/>
    <s v="ЛПЗ"/>
    <m/>
    <m/>
    <m/>
    <s v="К.Р."/>
    <s v="К.Р."/>
    <x v="130"/>
    <x v="0"/>
    <m/>
    <n v="44"/>
    <n v="40"/>
    <n v="42"/>
    <n v="32"/>
    <n v="36"/>
    <n v="52"/>
    <n v="70"/>
    <n v="36"/>
    <n v="0"/>
    <n v="27198"/>
    <m/>
    <n v="59"/>
  </r>
  <r>
    <s v="Квархардионна"/>
    <s v="П"/>
    <s v="ППЗ"/>
    <m/>
    <m/>
    <m/>
    <s v="К.Р."/>
    <s v="К.Р."/>
    <x v="130"/>
    <x v="0"/>
    <m/>
    <n v="42.857142857142854"/>
    <n v="23"/>
    <n v="72"/>
    <n v="53"/>
    <n v="29"/>
    <n v="57"/>
    <n v="31"/>
    <n v="35"/>
    <n v="0"/>
    <n v="20905"/>
    <m/>
    <n v="60"/>
  </r>
  <r>
    <s v="Яхр Зыбьюр"/>
    <s v="Н"/>
    <s v="ОФ"/>
    <m/>
    <m/>
    <m/>
    <s v="К.Р."/>
    <s v="К.Р."/>
    <x v="130"/>
    <x v="0"/>
    <m/>
    <n v="49.285714285714285"/>
    <n v="39"/>
    <n v="58"/>
    <n v="28"/>
    <n v="82"/>
    <n v="40"/>
    <n v="63"/>
    <n v="35"/>
    <n v="0"/>
    <n v="84569"/>
    <m/>
    <n v="61"/>
  </r>
  <r>
    <s v="Тон Тавьер"/>
    <s v="Н"/>
    <s v="ЦН"/>
    <m/>
    <m/>
    <m/>
    <s v="К.Р."/>
    <s v="К.Р."/>
    <x v="130"/>
    <x v="0"/>
    <m/>
    <n v="55.285714285714285"/>
    <n v="41"/>
    <n v="40"/>
    <n v="42"/>
    <n v="59"/>
    <n v="82"/>
    <n v="78"/>
    <n v="45"/>
    <n v="0"/>
    <n v="266766"/>
    <m/>
    <n v="62"/>
  </r>
  <r>
    <s v="Квазионни"/>
    <s v="Т"/>
    <s v="Т"/>
    <m/>
    <m/>
    <m/>
    <s v="Сул"/>
    <s v="Сул"/>
    <x v="131"/>
    <x v="0"/>
    <m/>
    <n v="46"/>
    <n v="26"/>
    <n v="66"/>
    <n v="65"/>
    <n v="47"/>
    <n v="40"/>
    <n v="58"/>
    <n v="20"/>
    <n v="0"/>
    <n v="42421"/>
    <m/>
    <n v="63"/>
  </r>
  <r>
    <s v="Шаннот"/>
    <s v="В"/>
    <s v="В"/>
    <m/>
    <m/>
    <m/>
    <s v="Сул"/>
    <s v="Сул"/>
    <x v="131"/>
    <x v="0"/>
    <m/>
    <n v="40.142857142857146"/>
    <n v="18"/>
    <n v="33"/>
    <n v="29"/>
    <n v="60"/>
    <n v="64"/>
    <n v="61"/>
    <n v="16"/>
    <n v="0"/>
    <n v="10867"/>
    <m/>
    <n v="64"/>
  </r>
  <r>
    <s v="Аарук Аред"/>
    <s v="З"/>
    <s v="ЦЗ"/>
    <s v="ЛЗ"/>
    <s v="ПЗ"/>
    <m/>
    <s v="Сул"/>
    <s v="Сул"/>
    <x v="131"/>
    <x v="0"/>
    <m/>
    <n v="45.285714285714285"/>
    <n v="17"/>
    <n v="77"/>
    <n v="72"/>
    <n v="16"/>
    <n v="69"/>
    <n v="47"/>
    <n v="19"/>
    <n v="0"/>
    <n v="36276"/>
    <m/>
    <n v="65"/>
  </r>
  <r>
    <s v="Ривера Матео"/>
    <s v="П"/>
    <s v="ЦПЗ"/>
    <s v="ОПЗ"/>
    <s v="АПЗ"/>
    <m/>
    <s v="Сул"/>
    <s v="Сул"/>
    <x v="131"/>
    <x v="0"/>
    <m/>
    <n v="40.714285714285715"/>
    <n v="28"/>
    <n v="32"/>
    <n v="31"/>
    <n v="41"/>
    <n v="75"/>
    <n v="59"/>
    <n v="19"/>
    <n v="0"/>
    <n v="12517"/>
    <m/>
    <n v="66"/>
  </r>
  <r>
    <s v="Ломбарди Марий"/>
    <s v="Н"/>
    <s v="ЦН"/>
    <s v="ОФ"/>
    <m/>
    <m/>
    <s v="Сул"/>
    <s v="Сул"/>
    <x v="131"/>
    <x v="0"/>
    <m/>
    <n v="42.428571428571431"/>
    <n v="30"/>
    <n v="30"/>
    <n v="27"/>
    <n v="67"/>
    <n v="80"/>
    <n v="40"/>
    <n v="23"/>
    <n v="0"/>
    <n v="18906"/>
    <m/>
    <n v="67"/>
  </r>
  <r>
    <s v="Шнайдер Клаус"/>
    <s v="Т"/>
    <s v="Т"/>
    <m/>
    <m/>
    <m/>
    <s v="С.К."/>
    <s v="С.К."/>
    <x v="132"/>
    <x v="0"/>
    <m/>
    <n v="30"/>
    <n v="31"/>
    <n v="20"/>
    <n v="31"/>
    <n v="49"/>
    <n v="15"/>
    <n v="27"/>
    <n v="37"/>
    <n v="0"/>
    <n v="591"/>
    <m/>
    <n v="68"/>
  </r>
  <r>
    <s v="Бауэр Хель"/>
    <s v="В"/>
    <s v="В"/>
    <m/>
    <m/>
    <m/>
    <s v="С.К."/>
    <s v="С.К."/>
    <x v="132"/>
    <x v="0"/>
    <m/>
    <n v="43.428571428571431"/>
    <n v="39"/>
    <n v="25"/>
    <n v="32"/>
    <n v="32"/>
    <n v="76"/>
    <n v="71"/>
    <n v="29"/>
    <n v="0"/>
    <n v="23865"/>
    <m/>
    <n v="69"/>
  </r>
  <r>
    <s v="Бернар Камиль"/>
    <s v="З"/>
    <s v="ЦЗ"/>
    <s v="ЛЗ"/>
    <s v="ПЗ"/>
    <m/>
    <s v="С.К."/>
    <s v="С.К."/>
    <x v="132"/>
    <x v="0"/>
    <m/>
    <n v="47"/>
    <n v="23"/>
    <n v="55"/>
    <n v="60"/>
    <n v="35"/>
    <n v="63"/>
    <n v="75"/>
    <n v="18"/>
    <n v="0"/>
    <n v="52600"/>
    <m/>
    <n v="70"/>
  </r>
  <r>
    <s v="Мендоса Карлос"/>
    <s v="П"/>
    <s v="ЦПЗ"/>
    <s v="ОПЗ"/>
    <s v="АПЗ"/>
    <m/>
    <s v="С.К."/>
    <s v="С.К."/>
    <x v="132"/>
    <x v="0"/>
    <m/>
    <n v="48.285714285714285"/>
    <n v="40"/>
    <n v="60"/>
    <n v="38"/>
    <n v="37"/>
    <n v="66"/>
    <n v="67"/>
    <n v="30"/>
    <n v="0"/>
    <n v="68895"/>
    <m/>
    <n v="71"/>
  </r>
  <r>
    <s v="Мартен Антуан"/>
    <s v="Н"/>
    <s v="ЦН"/>
    <s v="ОФ"/>
    <m/>
    <m/>
    <s v="С.К."/>
    <s v="С.К."/>
    <x v="132"/>
    <x v="0"/>
    <m/>
    <n v="48.857142857142854"/>
    <n v="34"/>
    <n v="69"/>
    <n v="77"/>
    <n v="44"/>
    <n v="40"/>
    <n v="40"/>
    <n v="38"/>
    <n v="0"/>
    <n v="77497"/>
    <m/>
    <n v="72"/>
  </r>
  <r>
    <s v="Лунь Виктор"/>
    <s v="Т"/>
    <s v="Т"/>
    <m/>
    <m/>
    <m/>
    <s v="Турн"/>
    <s v="Турн"/>
    <x v="133"/>
    <x v="0"/>
    <m/>
    <n v="36.714285714285715"/>
    <n v="30"/>
    <n v="38"/>
    <n v="17"/>
    <n v="45"/>
    <n v="58"/>
    <n v="50"/>
    <n v="19"/>
    <n v="0"/>
    <n v="4450"/>
    <m/>
    <n v="73"/>
  </r>
  <r>
    <s v="Перуц Розан"/>
    <s v="В"/>
    <s v="В"/>
    <m/>
    <m/>
    <m/>
    <s v="Турн"/>
    <s v="Турн"/>
    <x v="133"/>
    <x v="0"/>
    <m/>
    <n v="45.428571428571431"/>
    <n v="23"/>
    <n v="32"/>
    <n v="68"/>
    <n v="22"/>
    <n v="64"/>
    <n v="71"/>
    <n v="38"/>
    <n v="0"/>
    <n v="37437"/>
    <m/>
    <n v="74"/>
  </r>
  <r>
    <s v="Васкес Пала"/>
    <s v="З"/>
    <s v="ЦЗ"/>
    <s v="ЛЗ"/>
    <s v="ПЗ"/>
    <m/>
    <s v="Турн"/>
    <s v="Турн"/>
    <x v="133"/>
    <x v="0"/>
    <m/>
    <n v="48.571428571428569"/>
    <n v="27"/>
    <n v="23"/>
    <n v="73"/>
    <n v="75"/>
    <n v="35"/>
    <n v="79"/>
    <n v="28"/>
    <n v="0"/>
    <n v="73082"/>
    <m/>
    <n v="75"/>
  </r>
  <r>
    <s v="Ларсенс Ингрид"/>
    <s v="П"/>
    <s v="ЦПЗ"/>
    <s v="ОПЗ"/>
    <s v="АПЗ"/>
    <m/>
    <s v="Турн"/>
    <s v="Турн"/>
    <x v="133"/>
    <x v="0"/>
    <m/>
    <n v="40.714285714285715"/>
    <n v="16"/>
    <n v="33"/>
    <n v="34"/>
    <n v="66"/>
    <n v="69"/>
    <n v="52"/>
    <n v="15"/>
    <n v="0"/>
    <n v="12517"/>
    <m/>
    <n v="76"/>
  </r>
  <r>
    <s v="Синх Викрам"/>
    <s v="Н"/>
    <s v="ЦН"/>
    <s v="ОФ"/>
    <m/>
    <m/>
    <s v="Турн"/>
    <s v="Турн"/>
    <x v="133"/>
    <x v="0"/>
    <m/>
    <n v="36.142857142857146"/>
    <n v="16"/>
    <n v="62"/>
    <n v="21"/>
    <n v="31"/>
    <n v="47"/>
    <n v="43"/>
    <n v="33"/>
    <n v="0"/>
    <n v="3804"/>
    <m/>
    <n v="77"/>
  </r>
  <r>
    <s v="Девинитав"/>
    <s v="Т"/>
    <s v="Т"/>
    <m/>
    <m/>
    <m/>
    <s v="Заг"/>
    <s v="Заг"/>
    <x v="134"/>
    <x v="0"/>
    <m/>
    <n v="40.142857142857146"/>
    <n v="10"/>
    <n v="67"/>
    <n v="36"/>
    <n v="63"/>
    <n v="39"/>
    <n v="59"/>
    <n v="7"/>
    <n v="0"/>
    <n v="10867"/>
    <m/>
    <n v="78"/>
  </r>
  <r>
    <s v="Каруз"/>
    <s v="В"/>
    <s v="В"/>
    <m/>
    <m/>
    <m/>
    <s v="Заг"/>
    <s v="Заг"/>
    <x v="134"/>
    <x v="0"/>
    <m/>
    <n v="22.571428571428573"/>
    <n v="15"/>
    <n v="11"/>
    <n v="9"/>
    <n v="41"/>
    <n v="46"/>
    <n v="26"/>
    <n v="10"/>
    <n v="0"/>
    <n v="35"/>
    <m/>
    <n v="79"/>
  </r>
  <r>
    <s v="Демше"/>
    <s v="З"/>
    <s v="ЦЗ"/>
    <s v="ЛЗ"/>
    <s v="ПЗ"/>
    <m/>
    <s v="Заг"/>
    <s v="Заг"/>
    <x v="134"/>
    <x v="0"/>
    <m/>
    <n v="32.857142857142854"/>
    <n v="30"/>
    <n v="29"/>
    <n v="50"/>
    <n v="16"/>
    <n v="42"/>
    <n v="48"/>
    <n v="15"/>
    <n v="0"/>
    <n v="1467"/>
    <m/>
    <n v="80"/>
  </r>
  <r>
    <s v="Ватарман"/>
    <s v="П"/>
    <s v="ЦПЗ"/>
    <s v="ОПЗ"/>
    <s v="АПЗ"/>
    <m/>
    <s v="Заг"/>
    <s v="Заг"/>
    <x v="134"/>
    <x v="0"/>
    <m/>
    <n v="41.857142857142854"/>
    <n v="22"/>
    <n v="56"/>
    <n v="8"/>
    <n v="70"/>
    <n v="62"/>
    <n v="48"/>
    <n v="27"/>
    <n v="0"/>
    <n v="16509"/>
    <m/>
    <n v="81"/>
  </r>
  <r>
    <s v="Хасика"/>
    <s v="Н"/>
    <s v="ЦН"/>
    <s v="ОФ"/>
    <m/>
    <m/>
    <s v="Заг"/>
    <s v="Заг"/>
    <x v="134"/>
    <x v="0"/>
    <m/>
    <n v="25.857142857142858"/>
    <n v="6"/>
    <n v="52"/>
    <n v="33"/>
    <n v="31"/>
    <n v="19"/>
    <n v="32"/>
    <n v="8"/>
    <n v="0"/>
    <n v="134"/>
    <m/>
    <n v="82"/>
  </r>
  <r>
    <s v="Хонин"/>
    <s v="Т"/>
    <s v="Т"/>
    <m/>
    <m/>
    <m/>
    <s v="Н.С."/>
    <s v="Н.С."/>
    <x v="135"/>
    <x v="0"/>
    <m/>
    <n v="29.142857142857142"/>
    <n v="16"/>
    <n v="29"/>
    <n v="43"/>
    <n v="44"/>
    <n v="11"/>
    <n v="54"/>
    <n v="7"/>
    <n v="0"/>
    <n v="442"/>
    <m/>
    <n v="83"/>
  </r>
  <r>
    <s v="Юнжигас"/>
    <s v="В"/>
    <s v="В"/>
    <m/>
    <m/>
    <m/>
    <s v="Н.С."/>
    <s v="Н.С."/>
    <x v="135"/>
    <x v="0"/>
    <m/>
    <n v="28.285714285714285"/>
    <n v="13"/>
    <n v="42"/>
    <n v="47"/>
    <n v="22"/>
    <n v="17"/>
    <n v="47"/>
    <n v="10"/>
    <n v="0"/>
    <n v="328"/>
    <m/>
    <n v="84"/>
  </r>
  <r>
    <s v="Иварон Сергей"/>
    <s v="З"/>
    <s v="ЦЗ"/>
    <s v="ЛЗ"/>
    <s v="ПЗ"/>
    <m/>
    <s v="Н.С."/>
    <s v="Н.С."/>
    <x v="135"/>
    <x v="0"/>
    <m/>
    <n v="32.285714285714285"/>
    <n v="6"/>
    <n v="63"/>
    <n v="20"/>
    <n v="40"/>
    <n v="54"/>
    <n v="30"/>
    <n v="13"/>
    <n v="0"/>
    <n v="1231"/>
    <m/>
    <n v="85"/>
  </r>
  <r>
    <s v="Торсес Таэль"/>
    <s v="П"/>
    <s v="ЦПЗ"/>
    <s v="ОПЗ"/>
    <s v="АПЗ"/>
    <m/>
    <s v="Н.С."/>
    <s v="Н.С."/>
    <x v="135"/>
    <x v="0"/>
    <m/>
    <n v="38.285714285714285"/>
    <n v="22"/>
    <n v="33"/>
    <n v="62"/>
    <n v="32"/>
    <n v="60"/>
    <n v="33"/>
    <n v="26"/>
    <n v="0"/>
    <n v="6767"/>
    <m/>
    <n v="86"/>
  </r>
  <r>
    <s v="Волковас Катен"/>
    <s v="Н"/>
    <s v="ЦН"/>
    <s v="ОФ"/>
    <m/>
    <m/>
    <s v="Н.С."/>
    <s v="Н.С."/>
    <x v="135"/>
    <x v="0"/>
    <m/>
    <n v="33"/>
    <n v="7"/>
    <n v="37"/>
    <n v="43"/>
    <n v="58"/>
    <n v="47"/>
    <n v="21"/>
    <n v="18"/>
    <n v="0"/>
    <n v="1532"/>
    <m/>
    <n v="87"/>
  </r>
  <r>
    <s v="Каорхе"/>
    <s v="Т"/>
    <s v="Т"/>
    <m/>
    <m/>
    <m/>
    <s v="Павс"/>
    <s v="Павс"/>
    <x v="136"/>
    <x v="0"/>
    <m/>
    <n v="38.428571428571431"/>
    <n v="10"/>
    <n v="34"/>
    <n v="56"/>
    <n v="47"/>
    <n v="55"/>
    <n v="45"/>
    <n v="22"/>
    <n v="0"/>
    <n v="7024"/>
    <m/>
    <n v="88"/>
  </r>
  <r>
    <s v="Кэйтар"/>
    <s v="В"/>
    <s v="В"/>
    <m/>
    <m/>
    <m/>
    <s v="Павс"/>
    <s v="Павс"/>
    <x v="136"/>
    <x v="0"/>
    <m/>
    <n v="35.571428571428569"/>
    <n v="15"/>
    <n v="19"/>
    <n v="23"/>
    <n v="78"/>
    <n v="47"/>
    <n v="36"/>
    <n v="31"/>
    <n v="0"/>
    <n v="3244"/>
    <m/>
    <n v="89"/>
  </r>
  <r>
    <s v="Накамит"/>
    <s v="З"/>
    <s v="ЦЗ"/>
    <s v="ЛЗ"/>
    <s v="ПЗ"/>
    <m/>
    <s v="Павс"/>
    <s v="Павс"/>
    <x v="136"/>
    <x v="0"/>
    <m/>
    <n v="47.571428571428569"/>
    <n v="21"/>
    <n v="33"/>
    <n v="60"/>
    <n v="51"/>
    <n v="64"/>
    <n v="72"/>
    <n v="32"/>
    <n v="0"/>
    <n v="59356"/>
    <m/>
    <n v="90"/>
  </r>
  <r>
    <s v="Ван Лэй"/>
    <s v="П"/>
    <s v="ЦПЗ"/>
    <s v="ОПЗ"/>
    <s v="АПЗ"/>
    <m/>
    <s v="Павс"/>
    <s v="Павс"/>
    <x v="136"/>
    <x v="0"/>
    <m/>
    <n v="54.857142857142854"/>
    <n v="29"/>
    <n v="70"/>
    <n v="58"/>
    <n v="80"/>
    <n v="76"/>
    <n v="55"/>
    <n v="16"/>
    <n v="0"/>
    <n v="246793"/>
    <m/>
    <n v="91"/>
  </r>
  <r>
    <s v="Рицци"/>
    <s v="Н"/>
    <s v="ЦН"/>
    <s v="ОФ"/>
    <m/>
    <m/>
    <s v="Павс"/>
    <s v="Павс"/>
    <x v="136"/>
    <x v="0"/>
    <m/>
    <n v="45"/>
    <n v="31"/>
    <n v="36"/>
    <n v="58"/>
    <n v="75"/>
    <n v="72"/>
    <n v="24"/>
    <n v="19"/>
    <n v="0"/>
    <n v="34051"/>
    <m/>
    <n v="92"/>
  </r>
  <r>
    <s v="Хаклойда"/>
    <s v="Т"/>
    <s v="Т"/>
    <m/>
    <m/>
    <m/>
    <s v="Павс"/>
    <s v="Павс"/>
    <x v="137"/>
    <x v="0"/>
    <m/>
    <n v="40.714285714285715"/>
    <n v="15"/>
    <n v="28"/>
    <n v="25"/>
    <n v="64"/>
    <n v="33"/>
    <n v="80"/>
    <n v="40"/>
    <n v="0"/>
    <n v="12517"/>
    <m/>
    <n v="93"/>
  </r>
  <r>
    <s v="Чаорт"/>
    <s v="В"/>
    <s v="В"/>
    <m/>
    <m/>
    <m/>
    <s v="Павс"/>
    <s v="Павс"/>
    <x v="137"/>
    <x v="0"/>
    <m/>
    <n v="37"/>
    <n v="23"/>
    <n v="57"/>
    <n v="26"/>
    <n v="44"/>
    <n v="46"/>
    <n v="28"/>
    <n v="35"/>
    <n v="0"/>
    <n v="4809"/>
    <m/>
    <n v="94"/>
  </r>
  <r>
    <s v="Исикав Аре"/>
    <s v="З"/>
    <s v="ЦЗ"/>
    <s v="ЛЗ"/>
    <s v="ПЗ"/>
    <m/>
    <s v="Павс"/>
    <s v="Павс"/>
    <x v="137"/>
    <x v="0"/>
    <m/>
    <n v="48.142857142857146"/>
    <n v="28"/>
    <n v="32"/>
    <n v="77"/>
    <n v="43"/>
    <n v="45"/>
    <n v="78"/>
    <n v="34"/>
    <n v="0"/>
    <n v="66884"/>
    <m/>
    <n v="95"/>
  </r>
  <r>
    <s v="Конти Франчес"/>
    <s v="П"/>
    <s v="ЦПЗ"/>
    <s v="ОПЗ"/>
    <s v="АПЗ"/>
    <m/>
    <s v="Павс"/>
    <s v="Павс"/>
    <x v="137"/>
    <x v="0"/>
    <m/>
    <n v="44.571428571428569"/>
    <n v="18"/>
    <n v="55"/>
    <n v="77"/>
    <n v="31"/>
    <n v="79"/>
    <n v="22"/>
    <n v="30"/>
    <n v="0"/>
    <n v="30944"/>
    <m/>
    <n v="96"/>
  </r>
  <r>
    <s v="Менивьят"/>
    <s v="Н"/>
    <s v="ЦН"/>
    <s v="ОФ"/>
    <m/>
    <m/>
    <s v="Павс"/>
    <s v="Павс"/>
    <x v="137"/>
    <x v="0"/>
    <m/>
    <n v="48.285714285714285"/>
    <n v="16"/>
    <n v="15"/>
    <n v="79"/>
    <n v="73"/>
    <n v="60"/>
    <n v="75"/>
    <n v="20"/>
    <n v="0"/>
    <n v="68895"/>
    <m/>
    <n v="97"/>
  </r>
  <r>
    <s v="МакСунли"/>
    <s v="Т"/>
    <s v="Т"/>
    <m/>
    <m/>
    <m/>
    <s v="А.Н."/>
    <s v="А.Н."/>
    <x v="138"/>
    <x v="0"/>
    <m/>
    <n v="36.142857142857146"/>
    <n v="15"/>
    <n v="32"/>
    <n v="52"/>
    <n v="36"/>
    <n v="32"/>
    <n v="64"/>
    <n v="22"/>
    <n v="0"/>
    <n v="3804"/>
    <m/>
    <n v="98"/>
  </r>
  <r>
    <s v="Морозов Алексей"/>
    <s v="В"/>
    <s v="В"/>
    <m/>
    <m/>
    <m/>
    <s v="А.Н."/>
    <s v="А.Н."/>
    <x v="138"/>
    <x v="0"/>
    <m/>
    <n v="32.714285714285715"/>
    <n v="5"/>
    <n v="24"/>
    <n v="42"/>
    <n v="59"/>
    <n v="18"/>
    <n v="68"/>
    <n v="13"/>
    <n v="0"/>
    <n v="1405"/>
    <m/>
    <n v="99"/>
  </r>
  <r>
    <s v="Вебер Петер"/>
    <s v="З"/>
    <s v="ЦЗ"/>
    <s v="ЛЗ"/>
    <s v="ПЗ"/>
    <m/>
    <s v="А.Н."/>
    <s v="А.Н."/>
    <x v="138"/>
    <x v="0"/>
    <m/>
    <n v="37.571428571428569"/>
    <n v="27"/>
    <n v="58"/>
    <n v="47"/>
    <n v="37"/>
    <n v="36"/>
    <n v="46"/>
    <n v="12"/>
    <n v="0"/>
    <n v="5606"/>
    <m/>
    <n v="100"/>
  </r>
  <r>
    <s v="Нилсен Томас"/>
    <s v="П"/>
    <s v="ЦПЗ"/>
    <s v="ОПЗ"/>
    <s v="АПЗ"/>
    <m/>
    <s v="А.Н."/>
    <s v="А.Н."/>
    <x v="138"/>
    <x v="0"/>
    <m/>
    <n v="31.857142857142858"/>
    <n v="5"/>
    <n v="5"/>
    <n v="61"/>
    <n v="33"/>
    <n v="29"/>
    <n v="63"/>
    <n v="27"/>
    <n v="0"/>
    <n v="1077"/>
    <m/>
    <n v="101"/>
  </r>
  <r>
    <s v="Брюрехт"/>
    <s v="Н"/>
    <s v="ЦН"/>
    <s v="ОФ"/>
    <m/>
    <m/>
    <s v="А.Н."/>
    <s v="А.Н."/>
    <x v="138"/>
    <x v="0"/>
    <m/>
    <n v="25.142857142857142"/>
    <n v="12"/>
    <n v="9"/>
    <n v="62"/>
    <n v="18"/>
    <n v="42"/>
    <n v="28"/>
    <n v="5"/>
    <n v="0"/>
    <n v="101"/>
    <m/>
    <n v="102"/>
  </r>
  <r>
    <s v="Чаоин"/>
    <s v="Т"/>
    <s v="Т"/>
    <m/>
    <m/>
    <m/>
    <s v="Д.С."/>
    <s v="Д.С."/>
    <x v="139"/>
    <x v="0"/>
    <m/>
    <n v="19.285714285714285"/>
    <n v="11"/>
    <n v="32"/>
    <n v="14"/>
    <n v="14"/>
    <n v="21"/>
    <n v="32"/>
    <n v="11"/>
    <n v="0"/>
    <n v="8"/>
    <m/>
    <n v="103"/>
  </r>
  <r>
    <s v="Фишер Урула"/>
    <s v="В"/>
    <s v="В"/>
    <m/>
    <m/>
    <m/>
    <s v="Д.С."/>
    <s v="Д.С."/>
    <x v="139"/>
    <x v="0"/>
    <m/>
    <n v="26.571428571428573"/>
    <n v="30"/>
    <n v="15"/>
    <n v="18"/>
    <n v="62"/>
    <n v="8"/>
    <n v="47"/>
    <n v="6"/>
    <n v="0"/>
    <n v="176"/>
    <m/>
    <n v="104"/>
  </r>
  <r>
    <s v="Кимуарут"/>
    <s v="З"/>
    <s v="ЦЗ"/>
    <s v="ЛЗ"/>
    <s v="ПЗ"/>
    <m/>
    <s v="Д.С."/>
    <s v="Д.С."/>
    <x v="139"/>
    <x v="0"/>
    <m/>
    <n v="30.142857142857142"/>
    <n v="7"/>
    <n v="35"/>
    <n v="47"/>
    <n v="47"/>
    <n v="59"/>
    <n v="7"/>
    <n v="9"/>
    <n v="0"/>
    <n v="620"/>
    <m/>
    <n v="105"/>
  </r>
  <r>
    <s v="Огакур"/>
    <s v="П"/>
    <s v="ЦПЗ"/>
    <s v="ОПЗ"/>
    <s v="АПЗ"/>
    <m/>
    <s v="Д.С."/>
    <s v="Д.С."/>
    <x v="139"/>
    <x v="0"/>
    <m/>
    <n v="25.428571428571427"/>
    <n v="10"/>
    <n v="30"/>
    <n v="35"/>
    <n v="8"/>
    <n v="31"/>
    <n v="48"/>
    <n v="16"/>
    <n v="0"/>
    <n v="114"/>
    <m/>
    <n v="106"/>
  </r>
  <r>
    <s v="Раалид"/>
    <s v="Н"/>
    <s v="ЦН"/>
    <s v="ОФ"/>
    <m/>
    <m/>
    <s v="Д.С."/>
    <s v="Д.С."/>
    <x v="139"/>
    <x v="0"/>
    <m/>
    <n v="32.714285714285715"/>
    <n v="12"/>
    <n v="60"/>
    <n v="43"/>
    <n v="29"/>
    <n v="15"/>
    <n v="60"/>
    <n v="10"/>
    <n v="0"/>
    <n v="1405"/>
    <m/>
    <n v="107"/>
  </r>
  <r>
    <s v="Хольм Сигиди"/>
    <s v="Т"/>
    <s v="Т"/>
    <m/>
    <m/>
    <m/>
    <s v="Вар"/>
    <s v="Вар"/>
    <x v="140"/>
    <x v="0"/>
    <m/>
    <n v="48.857142857142854"/>
    <n v="16"/>
    <n v="55"/>
    <n v="25"/>
    <n v="50"/>
    <n v="86"/>
    <n v="74"/>
    <n v="36"/>
    <n v="0"/>
    <n v="77497"/>
    <m/>
    <n v="108"/>
  </r>
  <r>
    <s v="Юдиран"/>
    <s v="В"/>
    <s v="В"/>
    <m/>
    <m/>
    <m/>
    <s v="Вар"/>
    <s v="Вар"/>
    <x v="140"/>
    <x v="0"/>
    <m/>
    <n v="42.428571428571431"/>
    <n v="36"/>
    <n v="74"/>
    <n v="53"/>
    <n v="28"/>
    <n v="39"/>
    <n v="35"/>
    <n v="32"/>
    <n v="0"/>
    <n v="18906"/>
    <m/>
    <n v="109"/>
  </r>
  <r>
    <s v="Фузими"/>
    <s v="З"/>
    <s v="ЦЗ"/>
    <s v="ЛЗ"/>
    <s v="ПЗ"/>
    <m/>
    <s v="Вар"/>
    <s v="Вар"/>
    <x v="140"/>
    <x v="0"/>
    <m/>
    <n v="41.714285714285715"/>
    <n v="38"/>
    <n v="45"/>
    <n v="71"/>
    <n v="22"/>
    <n v="45"/>
    <n v="51"/>
    <n v="20"/>
    <n v="0"/>
    <n v="15954"/>
    <m/>
    <n v="110"/>
  </r>
  <r>
    <s v="Рохас Андрес"/>
    <s v="П"/>
    <s v="ЦПЗ"/>
    <s v="ОПЗ"/>
    <s v="АПЗ"/>
    <m/>
    <s v="Вар"/>
    <s v="Вар"/>
    <x v="140"/>
    <x v="0"/>
    <m/>
    <n v="37.142857142857146"/>
    <n v="24"/>
    <n v="26"/>
    <n v="18"/>
    <n v="43"/>
    <n v="51"/>
    <n v="59"/>
    <n v="39"/>
    <n v="0"/>
    <n v="4998"/>
    <m/>
    <n v="111"/>
  </r>
  <r>
    <s v="Фантомми"/>
    <s v="Н"/>
    <s v="ЦН"/>
    <s v="ОФ"/>
    <m/>
    <m/>
    <s v="Вар"/>
    <s v="Вар"/>
    <x v="140"/>
    <x v="0"/>
    <m/>
    <n v="39.571428571428569"/>
    <n v="31"/>
    <n v="19"/>
    <n v="71"/>
    <n v="73"/>
    <n v="45"/>
    <n v="18"/>
    <n v="20"/>
    <n v="0"/>
    <n v="9415"/>
    <m/>
    <n v="112"/>
  </r>
  <r>
    <s v="Уильямс Джеймс"/>
    <s v="Т"/>
    <s v="Т"/>
    <m/>
    <m/>
    <m/>
    <s v="Бел"/>
    <s v="Бел"/>
    <x v="141"/>
    <x v="0"/>
    <m/>
    <n v="48.857142857142854"/>
    <n v="35"/>
    <n v="80"/>
    <n v="73"/>
    <n v="31"/>
    <n v="38"/>
    <n v="66"/>
    <n v="19"/>
    <n v="0"/>
    <n v="77497"/>
    <m/>
    <n v="113"/>
  </r>
  <r>
    <s v="Дэвисма"/>
    <s v="В"/>
    <s v="В"/>
    <m/>
    <m/>
    <m/>
    <s v="Бел"/>
    <s v="Бел"/>
    <x v="141"/>
    <x v="0"/>
    <m/>
    <n v="45.428571428571431"/>
    <n v="29"/>
    <n v="49"/>
    <n v="26"/>
    <n v="69"/>
    <n v="52"/>
    <n v="77"/>
    <n v="16"/>
    <n v="0"/>
    <n v="37437"/>
    <m/>
    <n v="114"/>
  </r>
  <r>
    <s v="Пети Элен"/>
    <s v="З"/>
    <s v="ЦЗ"/>
    <s v="ЛЗ"/>
    <s v="ПЗ"/>
    <m/>
    <s v="Бел"/>
    <s v="Бел"/>
    <x v="141"/>
    <x v="0"/>
    <m/>
    <n v="44.714285714285715"/>
    <n v="20"/>
    <n v="33"/>
    <n v="65"/>
    <n v="48"/>
    <n v="59"/>
    <n v="61"/>
    <n v="27"/>
    <n v="0"/>
    <n v="31950"/>
    <m/>
    <n v="115"/>
  </r>
  <r>
    <s v="Гутьеррес Мони"/>
    <s v="П"/>
    <s v="ЦПЗ"/>
    <s v="ОПЗ"/>
    <s v="АПЗ"/>
    <m/>
    <s v="Бел"/>
    <s v="Бел"/>
    <x v="141"/>
    <x v="0"/>
    <m/>
    <n v="45.285714285714285"/>
    <n v="19"/>
    <n v="37"/>
    <n v="55"/>
    <n v="76"/>
    <n v="30"/>
    <n v="69"/>
    <n v="31"/>
    <n v="0"/>
    <n v="36276"/>
    <m/>
    <n v="116"/>
  </r>
  <r>
    <s v="Молсент"/>
    <s v="Н"/>
    <s v="ЦН"/>
    <s v="ОФ"/>
    <m/>
    <m/>
    <s v="Бел"/>
    <s v="Бел"/>
    <x v="141"/>
    <x v="0"/>
    <m/>
    <n v="44.714285714285715"/>
    <n v="35"/>
    <n v="70"/>
    <n v="19"/>
    <n v="43"/>
    <n v="74"/>
    <n v="47"/>
    <n v="25"/>
    <n v="0"/>
    <n v="31950"/>
    <m/>
    <n v="117"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  <r>
    <m/>
    <m/>
    <m/>
    <m/>
    <m/>
    <m/>
    <m/>
    <m/>
    <x v="119"/>
    <x v="10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AEDAC-CCF9-4B7E-A99E-7A62B62B9476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:B131" firstHeaderRow="1" firstDataRow="1" firstDataCol="1"/>
  <pivotFields count="2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83">
        <item x="0"/>
        <item x="1"/>
        <item x="2"/>
        <item x="3"/>
        <item x="5"/>
        <item x="6"/>
        <item m="1" x="179"/>
        <item x="7"/>
        <item x="8"/>
        <item m="1" x="181"/>
        <item x="9"/>
        <item x="11"/>
        <item x="13"/>
        <item x="14"/>
        <item x="15"/>
        <item m="1" x="156"/>
        <item x="17"/>
        <item m="1" x="173"/>
        <item m="1" x="161"/>
        <item x="19"/>
        <item m="1" x="158"/>
        <item m="1" x="154"/>
        <item m="1" x="163"/>
        <item x="23"/>
        <item x="25"/>
        <item x="26"/>
        <item x="29"/>
        <item x="30"/>
        <item x="31"/>
        <item x="32"/>
        <item x="33"/>
        <item x="34"/>
        <item m="1" x="164"/>
        <item x="35"/>
        <item x="36"/>
        <item x="37"/>
        <item x="38"/>
        <item x="39"/>
        <item m="1" x="143"/>
        <item x="40"/>
        <item x="41"/>
        <item x="42"/>
        <item x="43"/>
        <item x="122"/>
        <item m="1" x="152"/>
        <item x="44"/>
        <item x="46"/>
        <item x="47"/>
        <item x="48"/>
        <item x="49"/>
        <item x="50"/>
        <item x="51"/>
        <item m="1" x="157"/>
        <item m="1" x="172"/>
        <item m="1" x="171"/>
        <item x="54"/>
        <item m="1" x="155"/>
        <item x="57"/>
        <item x="58"/>
        <item m="1" x="159"/>
        <item x="59"/>
        <item m="1" x="177"/>
        <item m="1" x="148"/>
        <item m="1" x="151"/>
        <item m="1" x="162"/>
        <item x="64"/>
        <item x="65"/>
        <item m="1" x="160"/>
        <item x="67"/>
        <item x="68"/>
        <item x="69"/>
        <item m="1" x="166"/>
        <item x="70"/>
        <item m="1" x="176"/>
        <item m="1" x="178"/>
        <item x="72"/>
        <item x="73"/>
        <item x="74"/>
        <item m="1" x="170"/>
        <item m="1" x="168"/>
        <item x="77"/>
        <item x="78"/>
        <item x="79"/>
        <item m="1" x="175"/>
        <item x="81"/>
        <item m="1" x="142"/>
        <item m="1" x="150"/>
        <item x="84"/>
        <item x="86"/>
        <item x="87"/>
        <item m="1" x="153"/>
        <item x="89"/>
        <item x="91"/>
        <item x="92"/>
        <item m="1" x="149"/>
        <item x="94"/>
        <item x="95"/>
        <item x="96"/>
        <item x="97"/>
        <item x="98"/>
        <item x="99"/>
        <item x="100"/>
        <item m="1" x="174"/>
        <item m="1" x="180"/>
        <item x="103"/>
        <item m="1" x="167"/>
        <item m="1" x="145"/>
        <item x="106"/>
        <item x="107"/>
        <item m="1" x="169"/>
        <item x="108"/>
        <item x="109"/>
        <item x="110"/>
        <item x="111"/>
        <item x="112"/>
        <item x="115"/>
        <item x="116"/>
        <item x="117"/>
        <item x="118"/>
        <item x="119"/>
        <item x="20"/>
        <item x="22"/>
        <item x="52"/>
        <item x="55"/>
        <item x="61"/>
        <item x="62"/>
        <item x="63"/>
        <item x="71"/>
        <item x="75"/>
        <item x="76"/>
        <item m="1" x="147"/>
        <item x="83"/>
        <item x="102"/>
        <item x="104"/>
        <item x="105"/>
        <item m="1" x="146"/>
        <item x="16"/>
        <item x="18"/>
        <item m="1" x="165"/>
        <item m="1" x="144"/>
        <item x="66"/>
        <item x="82"/>
        <item x="88"/>
        <item x="28"/>
        <item x="10"/>
        <item x="24"/>
        <item x="93"/>
        <item x="4"/>
        <item x="27"/>
        <item x="60"/>
        <item x="21"/>
        <item x="45"/>
        <item x="101"/>
        <item x="90"/>
        <item x="113"/>
        <item x="85"/>
        <item x="12"/>
        <item x="56"/>
        <item x="53"/>
        <item x="114"/>
        <item x="80"/>
        <item x="120"/>
        <item x="121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12">
        <item h="1" x="10"/>
        <item h="1" x="6"/>
        <item x="0"/>
        <item h="1" x="7"/>
        <item h="1" x="5"/>
        <item h="1" x="1"/>
        <item h="1" x="3"/>
        <item h="1" x="9"/>
        <item h="1" x="8"/>
        <item h="1" x="4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8"/>
  </rowFields>
  <rowItems count="130">
    <i>
      <x v="2"/>
    </i>
    <i r="1">
      <x v="179"/>
    </i>
    <i r="1">
      <x v="162"/>
    </i>
    <i r="1">
      <x v="163"/>
    </i>
    <i r="1">
      <x v="169"/>
    </i>
    <i r="1">
      <x v="164"/>
    </i>
    <i r="1">
      <x v="43"/>
    </i>
    <i r="1">
      <x v="175"/>
    </i>
    <i r="1">
      <x v="174"/>
    </i>
    <i r="1">
      <x v="178"/>
    </i>
    <i r="1">
      <x v="167"/>
    </i>
    <i r="1">
      <x v="165"/>
    </i>
    <i r="1">
      <x v="161"/>
    </i>
    <i r="1">
      <x v="166"/>
    </i>
    <i r="1">
      <x v="173"/>
    </i>
    <i r="1">
      <x v="180"/>
    </i>
    <i r="1">
      <x v="171"/>
    </i>
    <i r="1">
      <x v="168"/>
    </i>
    <i r="1">
      <x v="172"/>
    </i>
    <i r="1">
      <x v="177"/>
    </i>
    <i r="1">
      <x v="176"/>
    </i>
    <i r="1">
      <x v="181"/>
    </i>
    <i r="1">
      <x v="141"/>
    </i>
    <i r="1">
      <x v="170"/>
    </i>
    <i r="1">
      <x v="142"/>
    </i>
    <i r="1">
      <x v="140"/>
    </i>
    <i r="1">
      <x v="120"/>
    </i>
    <i r="1">
      <x v="136"/>
    </i>
    <i r="1">
      <x v="69"/>
    </i>
    <i r="1">
      <x v="45"/>
    </i>
    <i r="1">
      <x v="128"/>
    </i>
    <i r="1">
      <x v="81"/>
    </i>
    <i r="1">
      <x v="72"/>
    </i>
    <i r="1">
      <x v="58"/>
    </i>
    <i r="1">
      <x v="98"/>
    </i>
    <i r="1">
      <x v="146"/>
    </i>
    <i r="1">
      <x v="110"/>
    </i>
    <i r="1">
      <x v="42"/>
    </i>
    <i r="1">
      <x v="12"/>
    </i>
    <i r="1">
      <x v="137"/>
    </i>
    <i r="1">
      <x v="30"/>
    </i>
    <i r="1">
      <x v="147"/>
    </i>
    <i r="1">
      <x v="160"/>
    </i>
    <i r="1">
      <x v="145"/>
    </i>
    <i r="1">
      <x v="97"/>
    </i>
    <i r="1">
      <x v="96"/>
    </i>
    <i r="1">
      <x v="50"/>
    </i>
    <i r="1">
      <x v="148"/>
    </i>
    <i r="1">
      <x v="159"/>
    </i>
    <i r="1">
      <x v="4"/>
    </i>
    <i r="1">
      <x v="82"/>
    </i>
    <i r="1">
      <x v="129"/>
    </i>
    <i r="1">
      <x v="91"/>
    </i>
    <i r="1">
      <x v="157"/>
    </i>
    <i r="1">
      <x v="152"/>
    </i>
    <i r="1">
      <x v="35"/>
    </i>
    <i r="1">
      <x v="158"/>
    </i>
    <i r="1">
      <x v="33"/>
    </i>
    <i r="1">
      <x v="41"/>
    </i>
    <i r="1">
      <x v="155"/>
    </i>
    <i r="1">
      <x v="10"/>
    </i>
    <i r="1">
      <x v="101"/>
    </i>
    <i r="1">
      <x v="24"/>
    </i>
    <i r="1">
      <x v="27"/>
    </i>
    <i r="1">
      <x/>
    </i>
    <i r="1">
      <x v="37"/>
    </i>
    <i r="1">
      <x v="156"/>
    </i>
    <i r="1">
      <x v="153"/>
    </i>
    <i r="1">
      <x v="1"/>
    </i>
    <i r="1">
      <x v="31"/>
    </i>
    <i r="1">
      <x v="121"/>
    </i>
    <i r="1">
      <x v="116"/>
    </i>
    <i r="1">
      <x v="8"/>
    </i>
    <i r="1">
      <x v="92"/>
    </i>
    <i r="1">
      <x v="40"/>
    </i>
    <i r="1">
      <x v="118"/>
    </i>
    <i r="1">
      <x v="133"/>
    </i>
    <i r="1">
      <x v="26"/>
    </i>
    <i r="1">
      <x v="46"/>
    </i>
    <i r="1">
      <x v="93"/>
    </i>
    <i r="1">
      <x v="76"/>
    </i>
    <i r="1">
      <x v="34"/>
    </i>
    <i r="1">
      <x v="144"/>
    </i>
    <i r="1">
      <x v="150"/>
    </i>
    <i r="1">
      <x v="68"/>
    </i>
    <i r="1">
      <x v="99"/>
    </i>
    <i r="1">
      <x v="75"/>
    </i>
    <i r="1">
      <x v="49"/>
    </i>
    <i r="1">
      <x v="108"/>
    </i>
    <i r="1">
      <x v="122"/>
    </i>
    <i r="1">
      <x v="107"/>
    </i>
    <i r="1">
      <x v="151"/>
    </i>
    <i r="1">
      <x v="123"/>
    </i>
    <i r="1">
      <x v="125"/>
    </i>
    <i r="1">
      <x v="55"/>
    </i>
    <i r="1">
      <x v="23"/>
    </i>
    <i r="1">
      <x v="124"/>
    </i>
    <i r="1">
      <x v="5"/>
    </i>
    <i r="1">
      <x v="112"/>
    </i>
    <i r="1">
      <x v="127"/>
    </i>
    <i r="1">
      <x v="95"/>
    </i>
    <i r="1">
      <x v="29"/>
    </i>
    <i r="1">
      <x v="14"/>
    </i>
    <i r="1">
      <x v="25"/>
    </i>
    <i r="1">
      <x v="154"/>
    </i>
    <i r="1">
      <x v="16"/>
    </i>
    <i r="1">
      <x v="7"/>
    </i>
    <i r="1">
      <x v="111"/>
    </i>
    <i r="1">
      <x v="88"/>
    </i>
    <i r="1">
      <x v="100"/>
    </i>
    <i r="1">
      <x v="87"/>
    </i>
    <i r="1">
      <x v="143"/>
    </i>
    <i r="1">
      <x v="36"/>
    </i>
    <i r="1">
      <x v="104"/>
    </i>
    <i r="1">
      <x v="11"/>
    </i>
    <i r="1">
      <x v="28"/>
    </i>
    <i r="1">
      <x v="13"/>
    </i>
    <i r="1">
      <x v="19"/>
    </i>
    <i r="1">
      <x v="131"/>
    </i>
    <i r="1">
      <x v="126"/>
    </i>
    <i r="1">
      <x v="134"/>
    </i>
    <i r="1">
      <x v="132"/>
    </i>
    <i r="1">
      <x v="117"/>
    </i>
    <i r="1">
      <x v="3"/>
    </i>
    <i r="1">
      <x v="77"/>
    </i>
    <i r="1">
      <x v="2"/>
    </i>
    <i r="1">
      <x v="149"/>
    </i>
    <i r="1">
      <x v="60"/>
    </i>
    <i r="1">
      <x v="57"/>
    </i>
    <i t="grand">
      <x/>
    </i>
  </rowItems>
  <colItems count="1">
    <i/>
  </colItems>
  <dataFields count="1">
    <dataField name="Сумма по полю ОР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1D8D60-4C3F-4CA5-93F8-6FCB8A18D656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E157" firstHeaderRow="0" firstDataRow="1" firstDataCol="1"/>
  <pivotFields count="23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83">
        <item x="0"/>
        <item x="1"/>
        <item x="2"/>
        <item x="3"/>
        <item x="5"/>
        <item x="6"/>
        <item m="1" x="179"/>
        <item x="7"/>
        <item x="8"/>
        <item m="1" x="181"/>
        <item x="9"/>
        <item x="11"/>
        <item x="13"/>
        <item x="14"/>
        <item x="15"/>
        <item m="1" x="156"/>
        <item x="17"/>
        <item m="1" x="173"/>
        <item m="1" x="161"/>
        <item x="19"/>
        <item x="20"/>
        <item m="1" x="158"/>
        <item m="1" x="154"/>
        <item x="22"/>
        <item m="1" x="163"/>
        <item x="23"/>
        <item x="25"/>
        <item x="26"/>
        <item x="29"/>
        <item x="30"/>
        <item x="31"/>
        <item x="32"/>
        <item x="33"/>
        <item x="34"/>
        <item m="1" x="164"/>
        <item x="35"/>
        <item x="36"/>
        <item x="37"/>
        <item x="38"/>
        <item x="39"/>
        <item m="1" x="143"/>
        <item x="40"/>
        <item x="41"/>
        <item x="42"/>
        <item x="43"/>
        <item x="122"/>
        <item m="1" x="152"/>
        <item x="44"/>
        <item x="46"/>
        <item x="47"/>
        <item x="48"/>
        <item x="49"/>
        <item x="50"/>
        <item x="51"/>
        <item m="1" x="157"/>
        <item m="1" x="172"/>
        <item m="1" x="171"/>
        <item x="52"/>
        <item x="54"/>
        <item m="1" x="155"/>
        <item x="55"/>
        <item x="57"/>
        <item x="58"/>
        <item m="1" x="159"/>
        <item x="59"/>
        <item m="1" x="177"/>
        <item x="61"/>
        <item m="1" x="148"/>
        <item x="62"/>
        <item m="1" x="151"/>
        <item x="63"/>
        <item m="1" x="162"/>
        <item x="64"/>
        <item x="65"/>
        <item m="1" x="160"/>
        <item x="67"/>
        <item x="68"/>
        <item x="69"/>
        <item m="1" x="166"/>
        <item x="70"/>
        <item m="1" x="176"/>
        <item x="71"/>
        <item m="1" x="178"/>
        <item x="72"/>
        <item x="73"/>
        <item x="74"/>
        <item m="1" x="170"/>
        <item x="75"/>
        <item m="1" x="168"/>
        <item x="76"/>
        <item x="77"/>
        <item x="78"/>
        <item x="79"/>
        <item m="1" x="175"/>
        <item m="1" x="147"/>
        <item x="81"/>
        <item m="1" x="142"/>
        <item m="1" x="150"/>
        <item x="83"/>
        <item x="84"/>
        <item x="86"/>
        <item x="87"/>
        <item m="1" x="153"/>
        <item x="89"/>
        <item x="91"/>
        <item x="92"/>
        <item m="1" x="149"/>
        <item x="94"/>
        <item x="95"/>
        <item x="96"/>
        <item x="97"/>
        <item x="98"/>
        <item x="99"/>
        <item x="100"/>
        <item m="1" x="174"/>
        <item m="1" x="180"/>
        <item x="102"/>
        <item x="103"/>
        <item m="1" x="167"/>
        <item x="104"/>
        <item m="1" x="145"/>
        <item x="105"/>
        <item x="106"/>
        <item x="107"/>
        <item m="1" x="169"/>
        <item m="1" x="146"/>
        <item x="108"/>
        <item x="109"/>
        <item x="110"/>
        <item x="111"/>
        <item x="112"/>
        <item x="115"/>
        <item x="116"/>
        <item x="117"/>
        <item x="118"/>
        <item x="119"/>
        <item x="16"/>
        <item x="18"/>
        <item m="1" x="165"/>
        <item m="1" x="144"/>
        <item x="66"/>
        <item x="82"/>
        <item x="88"/>
        <item x="28"/>
        <item x="10"/>
        <item x="24"/>
        <item x="93"/>
        <item x="4"/>
        <item x="27"/>
        <item x="60"/>
        <item x="21"/>
        <item x="45"/>
        <item x="101"/>
        <item x="90"/>
        <item x="113"/>
        <item x="85"/>
        <item x="12"/>
        <item x="56"/>
        <item x="53"/>
        <item x="114"/>
        <item x="80"/>
        <item x="120"/>
        <item x="121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2">
        <item x="2"/>
        <item x="4"/>
        <item x="8"/>
        <item x="9"/>
        <item x="3"/>
        <item x="1"/>
        <item x="5"/>
        <item x="7"/>
        <item x="0"/>
        <item x="6"/>
        <item x="1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</pivotFields>
  <rowFields count="2">
    <field x="9"/>
    <field x="8"/>
  </rowFields>
  <rowItems count="154">
    <i>
      <x/>
    </i>
    <i r="1">
      <x v="49"/>
    </i>
    <i>
      <x v="1"/>
    </i>
    <i r="1">
      <x v="53"/>
    </i>
    <i>
      <x v="2"/>
    </i>
    <i r="1">
      <x v="129"/>
    </i>
    <i r="1">
      <x v="95"/>
    </i>
    <i>
      <x v="3"/>
    </i>
    <i r="1">
      <x v="131"/>
    </i>
    <i>
      <x v="4"/>
    </i>
    <i r="1">
      <x v="73"/>
    </i>
    <i r="1">
      <x v="50"/>
    </i>
    <i>
      <x v="5"/>
    </i>
    <i r="1">
      <x v="41"/>
    </i>
    <i>
      <x v="6"/>
    </i>
    <i r="1">
      <x v="72"/>
    </i>
    <i r="1">
      <x v="101"/>
    </i>
    <i>
      <x v="7"/>
    </i>
    <i r="1">
      <x v="90"/>
    </i>
    <i>
      <x v="8"/>
    </i>
    <i r="1">
      <x v="70"/>
    </i>
    <i r="1">
      <x v="116"/>
    </i>
    <i r="1">
      <x v="121"/>
    </i>
    <i r="1">
      <x v="149"/>
    </i>
    <i r="1">
      <x v="57"/>
    </i>
    <i r="1">
      <x v="30"/>
    </i>
    <i r="1">
      <x v="11"/>
    </i>
    <i r="1">
      <x v="100"/>
    </i>
    <i r="1">
      <x v="85"/>
    </i>
    <i r="1">
      <x v="3"/>
    </i>
    <i r="1">
      <x v="133"/>
    </i>
    <i r="1">
      <x v="64"/>
    </i>
    <i r="1">
      <x v="2"/>
    </i>
    <i r="1">
      <x v="98"/>
    </i>
    <i r="1">
      <x v="61"/>
    </i>
    <i r="1">
      <x v="16"/>
    </i>
    <i r="1">
      <x v="143"/>
    </i>
    <i r="1">
      <x v="19"/>
    </i>
    <i r="1">
      <x v="112"/>
    </i>
    <i r="1">
      <x v="127"/>
    </i>
    <i r="1">
      <x v="128"/>
    </i>
    <i r="1">
      <x v="5"/>
    </i>
    <i r="1">
      <x v="66"/>
    </i>
    <i r="1">
      <x v="122"/>
    </i>
    <i r="1">
      <x v="150"/>
    </i>
    <i r="1">
      <x v="113"/>
    </i>
    <i r="1">
      <x v="107"/>
    </i>
    <i r="1">
      <x v="81"/>
    </i>
    <i r="1">
      <x v="68"/>
    </i>
    <i r="1">
      <x v="38"/>
    </i>
    <i r="1">
      <x v="117"/>
    </i>
    <i r="1">
      <x v="151"/>
    </i>
    <i r="1">
      <x v="156"/>
    </i>
    <i r="1">
      <x v="105"/>
    </i>
    <i r="1">
      <x v="14"/>
    </i>
    <i r="1">
      <x v="48"/>
    </i>
    <i r="1">
      <x v="28"/>
    </i>
    <i r="1">
      <x v="119"/>
    </i>
    <i r="1">
      <x v="7"/>
    </i>
    <i r="1">
      <x v="13"/>
    </i>
    <i r="1">
      <x v="104"/>
    </i>
    <i r="1">
      <x v="84"/>
    </i>
    <i r="1">
      <x v="60"/>
    </i>
    <i r="1">
      <x v="8"/>
    </i>
    <i r="1">
      <x v="132"/>
    </i>
    <i r="1">
      <x v="23"/>
    </i>
    <i r="1">
      <x v="33"/>
    </i>
    <i r="1">
      <x v="27"/>
    </i>
    <i r="1">
      <x v="155"/>
    </i>
    <i r="1">
      <x v="1"/>
    </i>
    <i r="1">
      <x v="153"/>
    </i>
    <i r="1">
      <x v="39"/>
    </i>
    <i r="1">
      <x/>
    </i>
    <i r="1">
      <x v="25"/>
    </i>
    <i r="1">
      <x v="26"/>
    </i>
    <i r="1">
      <x v="58"/>
    </i>
    <i r="1">
      <x v="134"/>
    </i>
    <i r="1">
      <x v="36"/>
    </i>
    <i r="1">
      <x v="51"/>
    </i>
    <i r="1">
      <x v="52"/>
    </i>
    <i r="1">
      <x v="83"/>
    </i>
    <i r="1">
      <x v="99"/>
    </i>
    <i r="1">
      <x v="154"/>
    </i>
    <i r="1">
      <x v="10"/>
    </i>
    <i r="1">
      <x v="111"/>
    </i>
    <i r="1">
      <x v="75"/>
    </i>
    <i r="1">
      <x v="35"/>
    </i>
    <i r="1">
      <x v="29"/>
    </i>
    <i r="1">
      <x v="158"/>
    </i>
    <i r="1">
      <x v="144"/>
    </i>
    <i r="1">
      <x v="123"/>
    </i>
    <i r="1">
      <x v="37"/>
    </i>
    <i r="1">
      <x v="152"/>
    </i>
    <i r="1">
      <x v="157"/>
    </i>
    <i r="1">
      <x v="31"/>
    </i>
    <i r="1">
      <x v="89"/>
    </i>
    <i r="1">
      <x v="92"/>
    </i>
    <i r="1">
      <x v="109"/>
    </i>
    <i r="1">
      <x v="4"/>
    </i>
    <i r="1">
      <x v="159"/>
    </i>
    <i r="1">
      <x v="148"/>
    </i>
    <i r="1">
      <x v="103"/>
    </i>
    <i r="1">
      <x v="108"/>
    </i>
    <i r="1">
      <x v="42"/>
    </i>
    <i r="1">
      <x v="145"/>
    </i>
    <i r="1">
      <x v="160"/>
    </i>
    <i r="1">
      <x v="126"/>
    </i>
    <i r="1">
      <x v="147"/>
    </i>
    <i r="1">
      <x v="32"/>
    </i>
    <i r="1">
      <x v="137"/>
    </i>
    <i r="1">
      <x v="12"/>
    </i>
    <i r="1">
      <x v="44"/>
    </i>
    <i r="1">
      <x v="43"/>
    </i>
    <i r="1">
      <x v="170"/>
    </i>
    <i r="1">
      <x v="110"/>
    </i>
    <i r="1">
      <x v="62"/>
    </i>
    <i r="1">
      <x v="146"/>
    </i>
    <i r="1">
      <x v="91"/>
    </i>
    <i r="1">
      <x v="79"/>
    </i>
    <i r="1">
      <x v="181"/>
    </i>
    <i r="1">
      <x v="87"/>
    </i>
    <i r="1">
      <x v="176"/>
    </i>
    <i r="1">
      <x v="177"/>
    </i>
    <i r="1">
      <x v="172"/>
    </i>
    <i r="1">
      <x v="168"/>
    </i>
    <i r="1">
      <x v="171"/>
    </i>
    <i r="1">
      <x v="180"/>
    </i>
    <i r="1">
      <x v="173"/>
    </i>
    <i r="1">
      <x v="47"/>
    </i>
    <i r="1">
      <x v="76"/>
    </i>
    <i r="1">
      <x v="136"/>
    </i>
    <i r="1">
      <x v="20"/>
    </i>
    <i r="1">
      <x v="166"/>
    </i>
    <i r="1">
      <x v="140"/>
    </i>
    <i r="1">
      <x v="161"/>
    </i>
    <i r="1">
      <x v="165"/>
    </i>
    <i r="1">
      <x v="142"/>
    </i>
    <i r="1">
      <x v="167"/>
    </i>
    <i r="1">
      <x v="141"/>
    </i>
    <i r="1">
      <x v="178"/>
    </i>
    <i r="1">
      <x v="174"/>
    </i>
    <i r="1">
      <x v="175"/>
    </i>
    <i r="1">
      <x v="45"/>
    </i>
    <i r="1">
      <x v="164"/>
    </i>
    <i r="1">
      <x v="169"/>
    </i>
    <i r="1">
      <x v="163"/>
    </i>
    <i r="1">
      <x v="162"/>
    </i>
    <i r="1">
      <x v="179"/>
    </i>
    <i>
      <x v="9"/>
    </i>
    <i r="1">
      <x v="77"/>
    </i>
    <i r="1">
      <x v="130"/>
    </i>
    <i>
      <x v="10"/>
    </i>
    <i r="1">
      <x v="13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Среднее по полю ОР" fld="11" subtotal="average" baseField="8" baseItem="100"/>
    <dataField name="Количество по полю Имя" fld="0" subtotal="count" baseField="0" baseItem="0"/>
    <dataField name="Сумма по полю Стоимость" fld="20" baseField="0" baseItem="0"/>
    <dataField name="Сумма по полю ЗП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CC6B9A-C25A-4483-BE1C-6863D4B51562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B676" firstHeaderRow="1" firstDataRow="1" firstDataCol="1"/>
  <pivotFields count="26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1"/>
  </rowFields>
  <rowItems count="673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>
      <x v="17"/>
    </i>
    <i r="1">
      <x/>
    </i>
    <i r="1">
      <x v="1"/>
    </i>
    <i r="1">
      <x v="2"/>
    </i>
    <i r="1">
      <x v="3"/>
    </i>
    <i r="1">
      <x v="4"/>
    </i>
    <i>
      <x v="18"/>
    </i>
    <i r="1">
      <x/>
    </i>
    <i r="1">
      <x v="1"/>
    </i>
    <i r="1">
      <x v="2"/>
    </i>
    <i r="1">
      <x v="3"/>
    </i>
    <i r="1">
      <x v="4"/>
    </i>
    <i>
      <x v="19"/>
    </i>
    <i r="1">
      <x/>
    </i>
    <i r="1">
      <x v="1"/>
    </i>
    <i r="1">
      <x v="2"/>
    </i>
    <i r="1">
      <x v="3"/>
    </i>
    <i r="1">
      <x v="4"/>
    </i>
    <i>
      <x v="20"/>
    </i>
    <i r="1">
      <x/>
    </i>
    <i r="1">
      <x v="1"/>
    </i>
    <i r="1">
      <x v="2"/>
    </i>
    <i r="1">
      <x v="3"/>
    </i>
    <i r="1">
      <x v="4"/>
    </i>
    <i>
      <x v="21"/>
    </i>
    <i r="1">
      <x/>
    </i>
    <i r="1">
      <x v="1"/>
    </i>
    <i r="1">
      <x v="2"/>
    </i>
    <i r="1">
      <x v="3"/>
    </i>
    <i r="1">
      <x v="4"/>
    </i>
    <i>
      <x v="22"/>
    </i>
    <i r="1">
      <x/>
    </i>
    <i r="1">
      <x v="1"/>
    </i>
    <i r="1">
      <x v="2"/>
    </i>
    <i r="1">
      <x v="3"/>
    </i>
    <i r="1">
      <x v="4"/>
    </i>
    <i>
      <x v="23"/>
    </i>
    <i r="1">
      <x/>
    </i>
    <i r="1">
      <x v="1"/>
    </i>
    <i r="1">
      <x v="2"/>
    </i>
    <i r="1">
      <x v="3"/>
    </i>
    <i r="1">
      <x v="4"/>
    </i>
    <i>
      <x v="24"/>
    </i>
    <i r="1">
      <x/>
    </i>
    <i r="1">
      <x v="1"/>
    </i>
    <i r="1">
      <x v="2"/>
    </i>
    <i r="1">
      <x v="3"/>
    </i>
    <i r="1">
      <x v="4"/>
    </i>
    <i>
      <x v="25"/>
    </i>
    <i r="1">
      <x/>
    </i>
    <i r="1">
      <x v="1"/>
    </i>
    <i r="1">
      <x v="2"/>
    </i>
    <i r="1">
      <x v="3"/>
    </i>
    <i r="1">
      <x v="4"/>
    </i>
    <i>
      <x v="26"/>
    </i>
    <i r="1">
      <x/>
    </i>
    <i r="1">
      <x v="1"/>
    </i>
    <i r="1">
      <x v="2"/>
    </i>
    <i r="1">
      <x v="3"/>
    </i>
    <i r="1">
      <x v="4"/>
    </i>
    <i>
      <x v="27"/>
    </i>
    <i r="1">
      <x/>
    </i>
    <i r="1">
      <x v="1"/>
    </i>
    <i r="1">
      <x v="2"/>
    </i>
    <i r="1">
      <x v="3"/>
    </i>
    <i r="1">
      <x v="4"/>
    </i>
    <i>
      <x v="28"/>
    </i>
    <i r="1">
      <x/>
    </i>
    <i r="1">
      <x v="1"/>
    </i>
    <i r="1">
      <x v="2"/>
    </i>
    <i r="1">
      <x v="3"/>
    </i>
    <i r="1">
      <x v="4"/>
    </i>
    <i>
      <x v="29"/>
    </i>
    <i r="1">
      <x/>
    </i>
    <i r="1">
      <x v="1"/>
    </i>
    <i r="1">
      <x v="2"/>
    </i>
    <i r="1">
      <x v="3"/>
    </i>
    <i r="1">
      <x v="4"/>
    </i>
    <i>
      <x v="30"/>
    </i>
    <i r="1">
      <x/>
    </i>
    <i r="1">
      <x v="1"/>
    </i>
    <i r="1">
      <x v="2"/>
    </i>
    <i r="1">
      <x v="3"/>
    </i>
    <i r="1">
      <x v="4"/>
    </i>
    <i>
      <x v="31"/>
    </i>
    <i r="1">
      <x/>
    </i>
    <i r="1">
      <x v="1"/>
    </i>
    <i r="1">
      <x v="2"/>
    </i>
    <i r="1">
      <x v="3"/>
    </i>
    <i r="1">
      <x v="4"/>
    </i>
    <i>
      <x v="32"/>
    </i>
    <i r="1">
      <x/>
    </i>
    <i r="1">
      <x v="1"/>
    </i>
    <i r="1">
      <x v="2"/>
    </i>
    <i r="1">
      <x v="3"/>
    </i>
    <i r="1">
      <x v="4"/>
    </i>
    <i>
      <x v="33"/>
    </i>
    <i r="1">
      <x/>
    </i>
    <i r="1">
      <x v="1"/>
    </i>
    <i r="1">
      <x v="2"/>
    </i>
    <i r="1">
      <x v="3"/>
    </i>
    <i r="1">
      <x v="4"/>
    </i>
    <i>
      <x v="34"/>
    </i>
    <i r="1">
      <x/>
    </i>
    <i r="1">
      <x v="1"/>
    </i>
    <i r="1">
      <x v="2"/>
    </i>
    <i r="1">
      <x v="3"/>
    </i>
    <i r="1">
      <x v="4"/>
    </i>
    <i>
      <x v="35"/>
    </i>
    <i r="1">
      <x/>
    </i>
    <i r="1">
      <x v="1"/>
    </i>
    <i r="1">
      <x v="2"/>
    </i>
    <i r="1">
      <x v="3"/>
    </i>
    <i r="1">
      <x v="4"/>
    </i>
    <i>
      <x v="36"/>
    </i>
    <i r="1">
      <x/>
    </i>
    <i r="1">
      <x v="1"/>
    </i>
    <i r="1">
      <x v="2"/>
    </i>
    <i r="1">
      <x v="3"/>
    </i>
    <i r="1">
      <x v="4"/>
    </i>
    <i>
      <x v="37"/>
    </i>
    <i r="1">
      <x/>
    </i>
    <i r="1">
      <x v="1"/>
    </i>
    <i r="1">
      <x v="2"/>
    </i>
    <i r="1">
      <x v="3"/>
    </i>
    <i r="1">
      <x v="4"/>
    </i>
    <i>
      <x v="38"/>
    </i>
    <i r="1">
      <x v="1"/>
    </i>
    <i r="1">
      <x v="2"/>
    </i>
    <i r="1">
      <x v="3"/>
    </i>
    <i r="1">
      <x v="4"/>
    </i>
    <i>
      <x v="39"/>
    </i>
    <i r="1">
      <x/>
    </i>
    <i r="1">
      <x v="1"/>
    </i>
    <i r="1">
      <x v="2"/>
    </i>
    <i r="1">
      <x v="3"/>
    </i>
    <i r="1">
      <x v="4"/>
    </i>
    <i>
      <x v="40"/>
    </i>
    <i r="1">
      <x v="1"/>
    </i>
    <i>
      <x v="41"/>
    </i>
    <i r="1">
      <x/>
    </i>
    <i r="1">
      <x v="1"/>
    </i>
    <i r="1">
      <x v="2"/>
    </i>
    <i r="1">
      <x v="3"/>
    </i>
    <i r="1">
      <x v="4"/>
    </i>
    <i>
      <x v="42"/>
    </i>
    <i r="1">
      <x/>
    </i>
    <i r="1">
      <x v="1"/>
    </i>
    <i r="1">
      <x v="2"/>
    </i>
    <i r="1">
      <x v="3"/>
    </i>
    <i r="1">
      <x v="4"/>
    </i>
    <i>
      <x v="43"/>
    </i>
    <i r="1">
      <x/>
    </i>
    <i r="1">
      <x v="1"/>
    </i>
    <i r="1">
      <x v="2"/>
    </i>
    <i r="1">
      <x v="3"/>
    </i>
    <i r="1">
      <x v="4"/>
    </i>
    <i>
      <x v="44"/>
    </i>
    <i r="1">
      <x/>
    </i>
    <i r="1">
      <x v="1"/>
    </i>
    <i r="1">
      <x v="2"/>
    </i>
    <i r="1">
      <x v="3"/>
    </i>
    <i r="1">
      <x v="4"/>
    </i>
    <i>
      <x v="45"/>
    </i>
    <i r="1">
      <x/>
    </i>
    <i r="1">
      <x v="1"/>
    </i>
    <i r="1">
      <x v="2"/>
    </i>
    <i r="1">
      <x v="3"/>
    </i>
    <i r="1">
      <x v="4"/>
    </i>
    <i>
      <x v="46"/>
    </i>
    <i r="1">
      <x/>
    </i>
    <i r="1">
      <x v="1"/>
    </i>
    <i r="1">
      <x v="2"/>
    </i>
    <i r="1">
      <x v="3"/>
    </i>
    <i r="1">
      <x v="4"/>
    </i>
    <i>
      <x v="47"/>
    </i>
    <i r="1">
      <x v="2"/>
    </i>
    <i>
      <x v="48"/>
    </i>
    <i r="1">
      <x v="2"/>
    </i>
    <i>
      <x v="49"/>
    </i>
    <i r="1">
      <x/>
    </i>
    <i r="1">
      <x v="1"/>
    </i>
    <i r="1">
      <x v="2"/>
    </i>
    <i r="1">
      <x v="3"/>
    </i>
    <i r="1">
      <x v="4"/>
    </i>
    <i>
      <x v="50"/>
    </i>
    <i r="1">
      <x/>
    </i>
    <i r="1">
      <x v="1"/>
    </i>
    <i r="1">
      <x v="2"/>
    </i>
    <i r="1">
      <x v="3"/>
    </i>
    <i r="1">
      <x v="4"/>
    </i>
    <i>
      <x v="51"/>
    </i>
    <i r="1">
      <x v="3"/>
    </i>
    <i>
      <x v="52"/>
    </i>
    <i r="1">
      <x/>
    </i>
    <i r="1">
      <x v="1"/>
    </i>
    <i r="1">
      <x v="2"/>
    </i>
    <i r="1">
      <x v="3"/>
    </i>
    <i r="1">
      <x v="4"/>
    </i>
    <i>
      <x v="53"/>
    </i>
    <i r="1">
      <x/>
    </i>
    <i r="1">
      <x v="1"/>
    </i>
    <i r="1">
      <x v="2"/>
    </i>
    <i r="1">
      <x v="3"/>
    </i>
    <i r="1">
      <x v="4"/>
    </i>
    <i>
      <x v="54"/>
    </i>
    <i r="1">
      <x/>
    </i>
    <i r="1">
      <x v="1"/>
    </i>
    <i r="1">
      <x v="2"/>
    </i>
    <i r="1">
      <x v="3"/>
    </i>
    <i r="1">
      <x v="4"/>
    </i>
    <i>
      <x v="55"/>
    </i>
    <i r="1">
      <x/>
    </i>
    <i r="1">
      <x v="1"/>
    </i>
    <i r="1">
      <x v="2"/>
    </i>
    <i r="1">
      <x v="3"/>
    </i>
    <i r="1">
      <x v="4"/>
    </i>
    <i>
      <x v="56"/>
    </i>
    <i r="1">
      <x/>
    </i>
    <i r="1">
      <x v="1"/>
    </i>
    <i r="1">
      <x v="2"/>
    </i>
    <i r="1">
      <x v="3"/>
    </i>
    <i r="1">
      <x v="4"/>
    </i>
    <i>
      <x v="57"/>
    </i>
    <i r="1">
      <x/>
    </i>
    <i r="1">
      <x v="1"/>
    </i>
    <i r="1">
      <x v="2"/>
    </i>
    <i r="1">
      <x v="3"/>
    </i>
    <i r="1">
      <x v="4"/>
    </i>
    <i>
      <x v="58"/>
    </i>
    <i r="1">
      <x/>
    </i>
    <i r="1">
      <x v="1"/>
    </i>
    <i r="1">
      <x v="2"/>
    </i>
    <i r="1">
      <x v="3"/>
    </i>
    <i r="1">
      <x v="4"/>
    </i>
    <i>
      <x v="59"/>
    </i>
    <i r="1">
      <x/>
    </i>
    <i r="1">
      <x v="1"/>
    </i>
    <i r="1">
      <x v="2"/>
    </i>
    <i r="1">
      <x v="3"/>
    </i>
    <i r="1">
      <x v="4"/>
    </i>
    <i>
      <x v="60"/>
    </i>
    <i r="1">
      <x/>
    </i>
    <i r="1">
      <x v="1"/>
    </i>
    <i r="1">
      <x v="2"/>
    </i>
    <i r="1">
      <x v="3"/>
    </i>
    <i r="1">
      <x v="4"/>
    </i>
    <i>
      <x v="61"/>
    </i>
    <i r="1">
      <x/>
    </i>
    <i r="1">
      <x v="1"/>
    </i>
    <i r="1">
      <x v="2"/>
    </i>
    <i r="1">
      <x v="3"/>
    </i>
    <i r="1">
      <x v="4"/>
    </i>
    <i>
      <x v="62"/>
    </i>
    <i r="1">
      <x/>
    </i>
    <i r="1">
      <x v="1"/>
    </i>
    <i r="1">
      <x v="2"/>
    </i>
    <i r="1">
      <x v="3"/>
    </i>
    <i r="1">
      <x v="4"/>
    </i>
    <i>
      <x v="63"/>
    </i>
    <i r="1">
      <x/>
    </i>
    <i r="1">
      <x v="1"/>
    </i>
    <i r="1">
      <x v="2"/>
    </i>
    <i r="1">
      <x v="3"/>
    </i>
    <i r="1">
      <x v="4"/>
    </i>
    <i>
      <x v="64"/>
    </i>
    <i r="1">
      <x v="1"/>
    </i>
    <i r="1">
      <x v="3"/>
    </i>
    <i>
      <x v="65"/>
    </i>
    <i r="1">
      <x v="2"/>
    </i>
    <i>
      <x v="66"/>
    </i>
    <i r="1">
      <x/>
    </i>
    <i r="1">
      <x v="1"/>
    </i>
    <i r="1">
      <x v="2"/>
    </i>
    <i r="1">
      <x v="3"/>
    </i>
    <i r="1">
      <x v="4"/>
    </i>
    <i>
      <x v="67"/>
    </i>
    <i r="1">
      <x/>
    </i>
    <i r="1">
      <x v="1"/>
    </i>
    <i r="1">
      <x v="2"/>
    </i>
    <i r="1">
      <x v="3"/>
    </i>
    <i r="1">
      <x v="4"/>
    </i>
    <i>
      <x v="68"/>
    </i>
    <i r="1">
      <x/>
    </i>
    <i r="1">
      <x v="1"/>
    </i>
    <i r="1">
      <x v="2"/>
    </i>
    <i r="1">
      <x v="3"/>
    </i>
    <i r="1">
      <x v="4"/>
    </i>
    <i>
      <x v="69"/>
    </i>
    <i r="1">
      <x v="3"/>
    </i>
    <i>
      <x v="70"/>
    </i>
    <i r="1">
      <x/>
    </i>
    <i r="1">
      <x v="1"/>
    </i>
    <i r="1">
      <x v="2"/>
    </i>
    <i r="1">
      <x v="3"/>
    </i>
    <i r="1">
      <x v="4"/>
    </i>
    <i>
      <x v="71"/>
    </i>
    <i r="1">
      <x/>
    </i>
    <i r="1">
      <x v="1"/>
    </i>
    <i r="1">
      <x v="2"/>
    </i>
    <i r="1">
      <x v="3"/>
    </i>
    <i r="1">
      <x v="4"/>
    </i>
    <i>
      <x v="72"/>
    </i>
    <i r="1">
      <x/>
    </i>
    <i r="1">
      <x v="1"/>
    </i>
    <i r="1">
      <x v="2"/>
    </i>
    <i r="1">
      <x v="3"/>
    </i>
    <i r="1">
      <x v="4"/>
    </i>
    <i>
      <x v="73"/>
    </i>
    <i r="1">
      <x/>
    </i>
    <i r="1">
      <x v="1"/>
    </i>
    <i r="1">
      <x v="2"/>
    </i>
    <i r="1">
      <x v="3"/>
    </i>
    <i r="1">
      <x v="4"/>
    </i>
    <i>
      <x v="74"/>
    </i>
    <i r="1">
      <x/>
    </i>
    <i r="1">
      <x v="1"/>
    </i>
    <i r="1">
      <x v="2"/>
    </i>
    <i r="1">
      <x v="3"/>
    </i>
    <i r="1">
      <x v="4"/>
    </i>
    <i>
      <x v="75"/>
    </i>
    <i r="1">
      <x/>
    </i>
    <i r="1">
      <x v="1"/>
    </i>
    <i r="1">
      <x v="2"/>
    </i>
    <i r="1">
      <x v="3"/>
    </i>
    <i r="1">
      <x v="4"/>
    </i>
    <i>
      <x v="76"/>
    </i>
    <i r="1">
      <x/>
    </i>
    <i r="1">
      <x v="1"/>
    </i>
    <i r="1">
      <x v="2"/>
    </i>
    <i r="1">
      <x v="3"/>
    </i>
    <i r="1">
      <x v="4"/>
    </i>
    <i>
      <x v="77"/>
    </i>
    <i r="1">
      <x v="3"/>
    </i>
    <i>
      <x v="78"/>
    </i>
    <i r="1">
      <x/>
    </i>
    <i r="1">
      <x v="1"/>
    </i>
    <i r="1">
      <x v="2"/>
    </i>
    <i r="1">
      <x v="3"/>
    </i>
    <i r="1">
      <x v="4"/>
    </i>
    <i>
      <x v="79"/>
    </i>
    <i r="1">
      <x/>
    </i>
    <i r="1">
      <x v="1"/>
    </i>
    <i r="1">
      <x v="2"/>
    </i>
    <i r="1">
      <x v="3"/>
    </i>
    <i r="1">
      <x v="4"/>
    </i>
    <i>
      <x v="80"/>
    </i>
    <i r="1">
      <x/>
    </i>
    <i r="1">
      <x v="1"/>
    </i>
    <i r="1">
      <x v="2"/>
    </i>
    <i r="1">
      <x v="3"/>
    </i>
    <i r="1">
      <x v="4"/>
    </i>
    <i>
      <x v="81"/>
    </i>
    <i r="1">
      <x v="2"/>
    </i>
    <i>
      <x v="82"/>
    </i>
    <i r="1">
      <x/>
    </i>
    <i r="1">
      <x v="1"/>
    </i>
    <i r="1">
      <x v="2"/>
    </i>
    <i r="1">
      <x v="3"/>
    </i>
    <i r="1">
      <x v="4"/>
    </i>
    <i>
      <x v="83"/>
    </i>
    <i r="1">
      <x/>
    </i>
    <i r="1">
      <x v="1"/>
    </i>
    <i r="1">
      <x v="2"/>
    </i>
    <i r="1">
      <x v="3"/>
    </i>
    <i r="1">
      <x v="4"/>
    </i>
    <i>
      <x v="84"/>
    </i>
    <i r="1">
      <x/>
    </i>
    <i r="1">
      <x v="1"/>
    </i>
    <i r="1">
      <x v="2"/>
    </i>
    <i r="1">
      <x v="3"/>
    </i>
    <i r="1">
      <x v="4"/>
    </i>
    <i>
      <x v="85"/>
    </i>
    <i r="1">
      <x/>
    </i>
    <i r="1">
      <x v="1"/>
    </i>
    <i r="1">
      <x v="2"/>
    </i>
    <i r="1">
      <x v="3"/>
    </i>
    <i r="1">
      <x v="4"/>
    </i>
    <i>
      <x v="86"/>
    </i>
    <i r="1">
      <x/>
    </i>
    <i r="1">
      <x v="1"/>
    </i>
    <i r="1">
      <x v="2"/>
    </i>
    <i r="1">
      <x v="3"/>
    </i>
    <i r="1">
      <x v="4"/>
    </i>
    <i>
      <x v="87"/>
    </i>
    <i r="1">
      <x v="2"/>
    </i>
    <i r="1">
      <x v="3"/>
    </i>
    <i>
      <x v="88"/>
    </i>
    <i r="1">
      <x/>
    </i>
    <i r="1">
      <x v="1"/>
    </i>
    <i r="1">
      <x v="2"/>
    </i>
    <i r="1">
      <x v="3"/>
    </i>
    <i r="1">
      <x v="4"/>
    </i>
    <i>
      <x v="89"/>
    </i>
    <i r="1">
      <x/>
    </i>
    <i r="1">
      <x v="1"/>
    </i>
    <i r="1">
      <x v="2"/>
    </i>
    <i r="1">
      <x v="3"/>
    </i>
    <i r="1">
      <x v="4"/>
    </i>
    <i>
      <x v="90"/>
    </i>
    <i r="1">
      <x/>
    </i>
    <i r="1">
      <x v="1"/>
    </i>
    <i r="1">
      <x v="2"/>
    </i>
    <i r="1">
      <x v="3"/>
    </i>
    <i r="1">
      <x v="4"/>
    </i>
    <i>
      <x v="91"/>
    </i>
    <i r="1">
      <x/>
    </i>
    <i r="1">
      <x v="1"/>
    </i>
    <i r="1">
      <x v="2"/>
    </i>
    <i r="1">
      <x v="3"/>
    </i>
    <i r="1">
      <x v="4"/>
    </i>
    <i>
      <x v="92"/>
    </i>
    <i r="1">
      <x/>
    </i>
    <i r="1">
      <x v="1"/>
    </i>
    <i r="1">
      <x v="2"/>
    </i>
    <i r="1">
      <x v="3"/>
    </i>
    <i r="1">
      <x v="4"/>
    </i>
    <i>
      <x v="93"/>
    </i>
    <i r="1">
      <x/>
    </i>
    <i r="1">
      <x v="1"/>
    </i>
    <i r="1">
      <x v="2"/>
    </i>
    <i r="1">
      <x v="3"/>
    </i>
    <i r="1">
      <x v="4"/>
    </i>
    <i>
      <x v="94"/>
    </i>
    <i r="1">
      <x/>
    </i>
    <i r="1">
      <x v="1"/>
    </i>
    <i r="1">
      <x v="2"/>
    </i>
    <i r="1">
      <x v="3"/>
    </i>
    <i r="1">
      <x v="4"/>
    </i>
    <i>
      <x v="95"/>
    </i>
    <i r="1">
      <x/>
    </i>
    <i r="1">
      <x v="1"/>
    </i>
    <i r="1">
      <x v="2"/>
    </i>
    <i r="1">
      <x v="3"/>
    </i>
    <i r="1">
      <x v="4"/>
    </i>
    <i>
      <x v="96"/>
    </i>
    <i r="1">
      <x/>
    </i>
    <i r="1">
      <x v="1"/>
    </i>
    <i r="1">
      <x v="2"/>
    </i>
    <i r="1">
      <x v="3"/>
    </i>
    <i r="1">
      <x v="4"/>
    </i>
    <i>
      <x v="97"/>
    </i>
    <i r="1">
      <x/>
    </i>
    <i r="1">
      <x v="1"/>
    </i>
    <i r="1">
      <x v="2"/>
    </i>
    <i r="1">
      <x v="3"/>
    </i>
    <i r="1">
      <x v="4"/>
    </i>
    <i>
      <x v="98"/>
    </i>
    <i r="1">
      <x/>
    </i>
    <i r="1">
      <x v="1"/>
    </i>
    <i r="1">
      <x v="2"/>
    </i>
    <i r="1">
      <x v="3"/>
    </i>
    <i r="1">
      <x v="4"/>
    </i>
    <i>
      <x v="99"/>
    </i>
    <i r="1">
      <x/>
    </i>
    <i r="1">
      <x v="1"/>
    </i>
    <i r="1">
      <x v="2"/>
    </i>
    <i r="1">
      <x v="3"/>
    </i>
    <i r="1">
      <x v="4"/>
    </i>
    <i>
      <x v="100"/>
    </i>
    <i r="1">
      <x/>
    </i>
    <i r="1">
      <x v="1"/>
    </i>
    <i r="1">
      <x v="2"/>
    </i>
    <i r="1">
      <x v="3"/>
    </i>
    <i r="1">
      <x v="4"/>
    </i>
    <i>
      <x v="101"/>
    </i>
    <i r="1">
      <x/>
    </i>
    <i r="1">
      <x v="1"/>
    </i>
    <i r="1">
      <x v="2"/>
    </i>
    <i r="1">
      <x v="3"/>
    </i>
    <i r="1">
      <x v="4"/>
    </i>
    <i>
      <x v="102"/>
    </i>
    <i r="1">
      <x/>
    </i>
    <i r="1">
      <x v="1"/>
    </i>
    <i r="1">
      <x v="2"/>
    </i>
    <i r="1">
      <x v="3"/>
    </i>
    <i r="1">
      <x v="4"/>
    </i>
    <i>
      <x v="103"/>
    </i>
    <i r="1">
      <x/>
    </i>
    <i r="1">
      <x v="1"/>
    </i>
    <i r="1">
      <x v="2"/>
    </i>
    <i r="1">
      <x v="3"/>
    </i>
    <i r="1">
      <x v="4"/>
    </i>
    <i>
      <x v="104"/>
    </i>
    <i r="1">
      <x/>
    </i>
    <i r="1">
      <x v="1"/>
    </i>
    <i r="1">
      <x v="2"/>
    </i>
    <i r="1">
      <x v="3"/>
    </i>
    <i r="1">
      <x v="4"/>
    </i>
    <i>
      <x v="105"/>
    </i>
    <i r="1">
      <x/>
    </i>
    <i r="1">
      <x v="1"/>
    </i>
    <i r="1">
      <x v="2"/>
    </i>
    <i r="1">
      <x v="3"/>
    </i>
    <i r="1">
      <x v="4"/>
    </i>
    <i>
      <x v="106"/>
    </i>
    <i r="1">
      <x/>
    </i>
    <i r="1">
      <x v="1"/>
    </i>
    <i r="1">
      <x v="2"/>
    </i>
    <i r="1">
      <x v="3"/>
    </i>
    <i r="1">
      <x v="4"/>
    </i>
    <i>
      <x v="107"/>
    </i>
    <i r="1">
      <x/>
    </i>
    <i r="1">
      <x v="1"/>
    </i>
    <i r="1">
      <x v="2"/>
    </i>
    <i r="1">
      <x v="3"/>
    </i>
    <i r="1">
      <x v="4"/>
    </i>
    <i>
      <x v="108"/>
    </i>
    <i r="1">
      <x/>
    </i>
    <i r="1">
      <x v="1"/>
    </i>
    <i r="1">
      <x v="2"/>
    </i>
    <i r="1">
      <x v="3"/>
    </i>
    <i r="1">
      <x v="4"/>
    </i>
    <i>
      <x v="109"/>
    </i>
    <i r="1">
      <x/>
    </i>
    <i r="1">
      <x v="1"/>
    </i>
    <i r="1">
      <x v="2"/>
    </i>
    <i r="1">
      <x v="3"/>
    </i>
    <i r="1">
      <x v="4"/>
    </i>
    <i>
      <x v="110"/>
    </i>
    <i r="1">
      <x/>
    </i>
    <i r="1">
      <x v="1"/>
    </i>
    <i r="1">
      <x v="2"/>
    </i>
    <i r="1">
      <x v="3"/>
    </i>
    <i r="1">
      <x v="4"/>
    </i>
    <i>
      <x v="111"/>
    </i>
    <i r="1">
      <x v="3"/>
    </i>
    <i>
      <x v="112"/>
    </i>
    <i r="1">
      <x v="2"/>
    </i>
    <i>
      <x v="113"/>
    </i>
    <i r="1">
      <x/>
    </i>
    <i r="1">
      <x v="1"/>
    </i>
    <i r="1">
      <x v="2"/>
    </i>
    <i r="1">
      <x v="3"/>
    </i>
    <i r="1">
      <x v="4"/>
    </i>
    <i>
      <x v="114"/>
    </i>
    <i r="1">
      <x/>
    </i>
    <i r="1">
      <x v="1"/>
    </i>
    <i r="1">
      <x v="2"/>
    </i>
    <i r="1">
      <x v="3"/>
    </i>
    <i r="1">
      <x v="4"/>
    </i>
    <i>
      <x v="115"/>
    </i>
    <i r="1">
      <x/>
    </i>
    <i r="1">
      <x v="2"/>
    </i>
    <i r="1">
      <x v="3"/>
    </i>
    <i>
      <x v="116"/>
    </i>
    <i r="1">
      <x/>
    </i>
    <i r="1">
      <x v="1"/>
    </i>
    <i r="1">
      <x v="2"/>
    </i>
    <i r="1">
      <x v="3"/>
    </i>
    <i r="1">
      <x v="4"/>
    </i>
    <i>
      <x v="117"/>
    </i>
    <i r="1">
      <x/>
    </i>
    <i r="1">
      <x v="1"/>
    </i>
    <i r="1">
      <x v="2"/>
    </i>
    <i r="1">
      <x v="3"/>
    </i>
    <i r="1">
      <x v="4"/>
    </i>
    <i>
      <x v="118"/>
    </i>
    <i r="1">
      <x/>
    </i>
    <i r="1">
      <x v="1"/>
    </i>
    <i r="1">
      <x v="2"/>
    </i>
    <i r="1">
      <x v="3"/>
    </i>
    <i r="1">
      <x v="4"/>
    </i>
    <i>
      <x v="119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Среднее по полю ОР" fld="11" subtotal="average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9342D-EA3D-4B53-B55C-18BBA4563FDA}">
  <dimension ref="A1:B131"/>
  <sheetViews>
    <sheetView workbookViewId="0"/>
  </sheetViews>
  <sheetFormatPr defaultRowHeight="15" x14ac:dyDescent="0.25"/>
  <cols>
    <col min="1" max="1" width="25.85546875" bestFit="1" customWidth="1"/>
    <col min="2" max="2" width="18.7109375" bestFit="1" customWidth="1"/>
  </cols>
  <sheetData>
    <row r="1" spans="1:2" x14ac:dyDescent="0.25">
      <c r="A1" s="4" t="s">
        <v>1322</v>
      </c>
      <c r="B1" t="s">
        <v>1324</v>
      </c>
    </row>
    <row r="2" spans="1:2" x14ac:dyDescent="0.25">
      <c r="A2" s="5" t="s">
        <v>1212</v>
      </c>
      <c r="B2" s="6">
        <v>156414.8571428571</v>
      </c>
    </row>
    <row r="3" spans="1:2" x14ac:dyDescent="0.25">
      <c r="A3" s="7" t="s">
        <v>2734</v>
      </c>
      <c r="B3" s="6">
        <v>134.14285714285714</v>
      </c>
    </row>
    <row r="4" spans="1:2" x14ac:dyDescent="0.25">
      <c r="A4" s="7" t="s">
        <v>2717</v>
      </c>
      <c r="B4" s="6">
        <v>137.42857142857144</v>
      </c>
    </row>
    <row r="5" spans="1:2" x14ac:dyDescent="0.25">
      <c r="A5" s="7" t="s">
        <v>2719</v>
      </c>
      <c r="B5" s="6">
        <v>140.85714285714286</v>
      </c>
    </row>
    <row r="6" spans="1:2" x14ac:dyDescent="0.25">
      <c r="A6" s="7" t="s">
        <v>2725</v>
      </c>
      <c r="B6" s="6">
        <v>151.71428571428572</v>
      </c>
    </row>
    <row r="7" spans="1:2" x14ac:dyDescent="0.25">
      <c r="A7" s="7" t="s">
        <v>2720</v>
      </c>
      <c r="B7" s="6">
        <v>156.57142857142858</v>
      </c>
    </row>
    <row r="8" spans="1:2" x14ac:dyDescent="0.25">
      <c r="A8" s="7" t="s">
        <v>2718</v>
      </c>
      <c r="B8" s="6">
        <v>158.71428571428572</v>
      </c>
    </row>
    <row r="9" spans="1:2" x14ac:dyDescent="0.25">
      <c r="A9" s="7" t="s">
        <v>2730</v>
      </c>
      <c r="B9" s="6">
        <v>160.99999999999997</v>
      </c>
    </row>
    <row r="10" spans="1:2" x14ac:dyDescent="0.25">
      <c r="A10" s="7" t="s">
        <v>2729</v>
      </c>
      <c r="B10" s="6">
        <v>163.28571428571428</v>
      </c>
    </row>
    <row r="11" spans="1:2" x14ac:dyDescent="0.25">
      <c r="A11" s="7" t="s">
        <v>2733</v>
      </c>
      <c r="B11" s="6">
        <v>163.42857142857142</v>
      </c>
    </row>
    <row r="12" spans="1:2" x14ac:dyDescent="0.25">
      <c r="A12" s="7" t="s">
        <v>2723</v>
      </c>
      <c r="B12" s="6">
        <v>165.28571428571431</v>
      </c>
    </row>
    <row r="13" spans="1:2" x14ac:dyDescent="0.25">
      <c r="A13" s="7" t="s">
        <v>2721</v>
      </c>
      <c r="B13" s="6">
        <v>176.71428571428572</v>
      </c>
    </row>
    <row r="14" spans="1:2" x14ac:dyDescent="0.25">
      <c r="A14" s="7" t="s">
        <v>2716</v>
      </c>
      <c r="B14" s="6">
        <v>183.85714285714286</v>
      </c>
    </row>
    <row r="15" spans="1:2" x14ac:dyDescent="0.25">
      <c r="A15" s="7" t="s">
        <v>2722</v>
      </c>
      <c r="B15" s="6">
        <v>185.71428571428572</v>
      </c>
    </row>
    <row r="16" spans="1:2" x14ac:dyDescent="0.25">
      <c r="A16" s="7" t="s">
        <v>2728</v>
      </c>
      <c r="B16" s="6">
        <v>207.57142857142858</v>
      </c>
    </row>
    <row r="17" spans="1:2" x14ac:dyDescent="0.25">
      <c r="A17" s="7" t="s">
        <v>2735</v>
      </c>
      <c r="B17" s="6">
        <v>209.71428571428575</v>
      </c>
    </row>
    <row r="18" spans="1:2" x14ac:dyDescent="0.25">
      <c r="A18" s="7" t="s">
        <v>2726</v>
      </c>
      <c r="B18" s="6">
        <v>214.57142857142856</v>
      </c>
    </row>
    <row r="19" spans="1:2" x14ac:dyDescent="0.25">
      <c r="A19" s="7" t="s">
        <v>2724</v>
      </c>
      <c r="B19" s="6">
        <v>216.42857142857142</v>
      </c>
    </row>
    <row r="20" spans="1:2" x14ac:dyDescent="0.25">
      <c r="A20" s="7" t="s">
        <v>2727</v>
      </c>
      <c r="B20" s="6">
        <v>217.57142857142856</v>
      </c>
    </row>
    <row r="21" spans="1:2" x14ac:dyDescent="0.25">
      <c r="A21" s="7" t="s">
        <v>2732</v>
      </c>
      <c r="B21" s="6">
        <v>218.71428571428572</v>
      </c>
    </row>
    <row r="22" spans="1:2" x14ac:dyDescent="0.25">
      <c r="A22" s="7" t="s">
        <v>2731</v>
      </c>
      <c r="B22" s="6">
        <v>221.42857142857144</v>
      </c>
    </row>
    <row r="23" spans="1:2" x14ac:dyDescent="0.25">
      <c r="A23" s="7" t="s">
        <v>2736</v>
      </c>
      <c r="B23" s="6">
        <v>229.00000000000003</v>
      </c>
    </row>
    <row r="24" spans="1:2" x14ac:dyDescent="0.25">
      <c r="A24" s="7" t="s">
        <v>2519</v>
      </c>
      <c r="B24" s="6">
        <v>659.71428571428578</v>
      </c>
    </row>
    <row r="25" spans="1:2" x14ac:dyDescent="0.25">
      <c r="A25" s="7" t="s">
        <v>2841</v>
      </c>
      <c r="B25" s="6">
        <v>686.14285714285711</v>
      </c>
    </row>
    <row r="26" spans="1:2" x14ac:dyDescent="0.25">
      <c r="A26" s="7" t="s">
        <v>2377</v>
      </c>
      <c r="B26" s="6">
        <v>690.28571428571433</v>
      </c>
    </row>
    <row r="27" spans="1:2" x14ac:dyDescent="0.25">
      <c r="A27" s="7" t="s">
        <v>2376</v>
      </c>
      <c r="B27" s="6">
        <v>741.57142857142856</v>
      </c>
    </row>
    <row r="28" spans="1:2" x14ac:dyDescent="0.25">
      <c r="A28" s="7" t="s">
        <v>1329</v>
      </c>
      <c r="B28" s="6">
        <v>749.42857142857144</v>
      </c>
    </row>
    <row r="29" spans="1:2" x14ac:dyDescent="0.25">
      <c r="A29" s="7" t="s">
        <v>2395</v>
      </c>
      <c r="B29" s="6">
        <v>758.00000000000011</v>
      </c>
    </row>
    <row r="30" spans="1:2" x14ac:dyDescent="0.25">
      <c r="A30" s="7" t="s">
        <v>1311</v>
      </c>
      <c r="B30" s="6">
        <v>772.42857142857144</v>
      </c>
    </row>
    <row r="31" spans="1:2" x14ac:dyDescent="0.25">
      <c r="A31" s="7" t="s">
        <v>1306</v>
      </c>
      <c r="B31" s="6">
        <v>787.71428571428578</v>
      </c>
    </row>
    <row r="32" spans="1:2" x14ac:dyDescent="0.25">
      <c r="A32" s="7" t="s">
        <v>1337</v>
      </c>
      <c r="B32" s="6">
        <v>899</v>
      </c>
    </row>
    <row r="33" spans="1:2" x14ac:dyDescent="0.25">
      <c r="A33" s="7" t="s">
        <v>1316</v>
      </c>
      <c r="B33" s="6">
        <v>948.28571428571422</v>
      </c>
    </row>
    <row r="34" spans="1:2" x14ac:dyDescent="0.25">
      <c r="A34" s="7" t="s">
        <v>1313</v>
      </c>
      <c r="B34" s="6">
        <v>973.71428571428578</v>
      </c>
    </row>
    <row r="35" spans="1:2" x14ac:dyDescent="0.25">
      <c r="A35" s="7" t="s">
        <v>1308</v>
      </c>
      <c r="B35" s="6">
        <v>997.14285714285711</v>
      </c>
    </row>
    <row r="36" spans="1:2" x14ac:dyDescent="0.25">
      <c r="A36" s="7" t="s">
        <v>1320</v>
      </c>
      <c r="B36" s="6">
        <v>1008</v>
      </c>
    </row>
    <row r="37" spans="1:2" x14ac:dyDescent="0.25">
      <c r="A37" s="7" t="s">
        <v>2688</v>
      </c>
      <c r="B37" s="6">
        <v>1034.2857142857142</v>
      </c>
    </row>
    <row r="38" spans="1:2" x14ac:dyDescent="0.25">
      <c r="A38" s="7" t="s">
        <v>1251</v>
      </c>
      <c r="B38" s="6">
        <v>1049.8571428571427</v>
      </c>
    </row>
    <row r="39" spans="1:2" x14ac:dyDescent="0.25">
      <c r="A39" s="7" t="s">
        <v>1305</v>
      </c>
      <c r="B39" s="6">
        <v>1068.8571428571427</v>
      </c>
    </row>
    <row r="40" spans="1:2" x14ac:dyDescent="0.25">
      <c r="A40" s="7" t="s">
        <v>1297</v>
      </c>
      <c r="B40" s="6">
        <v>1076</v>
      </c>
    </row>
    <row r="41" spans="1:2" x14ac:dyDescent="0.25">
      <c r="A41" s="7" t="s">
        <v>2342</v>
      </c>
      <c r="B41" s="6">
        <v>1090.1428571428571</v>
      </c>
    </row>
    <row r="42" spans="1:2" x14ac:dyDescent="0.25">
      <c r="A42" s="7" t="s">
        <v>1300</v>
      </c>
      <c r="B42" s="6">
        <v>1093.7142857142856</v>
      </c>
    </row>
    <row r="43" spans="1:2" x14ac:dyDescent="0.25">
      <c r="A43" s="7" t="s">
        <v>2691</v>
      </c>
      <c r="B43" s="6">
        <v>1104.2857142857142</v>
      </c>
    </row>
    <row r="44" spans="1:2" x14ac:dyDescent="0.25">
      <c r="A44" s="7" t="s">
        <v>2715</v>
      </c>
      <c r="B44" s="6">
        <v>1107.2857142857144</v>
      </c>
    </row>
    <row r="45" spans="1:2" x14ac:dyDescent="0.25">
      <c r="A45" s="7" t="s">
        <v>2690</v>
      </c>
      <c r="B45" s="6">
        <v>1134.1428571428573</v>
      </c>
    </row>
    <row r="46" spans="1:2" x14ac:dyDescent="0.25">
      <c r="A46" s="7" t="s">
        <v>1261</v>
      </c>
      <c r="B46" s="6">
        <v>1140.1428571428571</v>
      </c>
    </row>
    <row r="47" spans="1:2" x14ac:dyDescent="0.25">
      <c r="A47" s="7" t="s">
        <v>1237</v>
      </c>
      <c r="B47" s="6">
        <v>1160.8571428571429</v>
      </c>
    </row>
    <row r="48" spans="1:2" x14ac:dyDescent="0.25">
      <c r="A48" s="7" t="s">
        <v>1271</v>
      </c>
      <c r="B48" s="6">
        <v>1172</v>
      </c>
    </row>
    <row r="49" spans="1:2" x14ac:dyDescent="0.25">
      <c r="A49" s="7" t="s">
        <v>2674</v>
      </c>
      <c r="B49" s="6">
        <v>1182.8571428571427</v>
      </c>
    </row>
    <row r="50" spans="1:2" x14ac:dyDescent="0.25">
      <c r="A50" s="7" t="s">
        <v>2687</v>
      </c>
      <c r="B50" s="6">
        <v>1183.9999999999998</v>
      </c>
    </row>
    <row r="51" spans="1:2" x14ac:dyDescent="0.25">
      <c r="A51" s="7" t="s">
        <v>1259</v>
      </c>
      <c r="B51" s="6">
        <v>1184.8571428571429</v>
      </c>
    </row>
    <row r="52" spans="1:2" x14ac:dyDescent="0.25">
      <c r="A52" s="7" t="s">
        <v>1277</v>
      </c>
      <c r="B52" s="6">
        <v>1209</v>
      </c>
    </row>
    <row r="53" spans="1:2" x14ac:dyDescent="0.25">
      <c r="A53" s="7" t="s">
        <v>1338</v>
      </c>
      <c r="B53" s="6">
        <v>1225.8571428571427</v>
      </c>
    </row>
    <row r="54" spans="1:2" x14ac:dyDescent="0.25">
      <c r="A54" s="7" t="s">
        <v>1241</v>
      </c>
      <c r="B54" s="6">
        <v>1240.2857142857142</v>
      </c>
    </row>
    <row r="55" spans="1:2" x14ac:dyDescent="0.25">
      <c r="A55" s="7" t="s">
        <v>2685</v>
      </c>
      <c r="B55" s="6">
        <v>1245.1428571428571</v>
      </c>
    </row>
    <row r="56" spans="1:2" x14ac:dyDescent="0.25">
      <c r="A56" s="7" t="s">
        <v>2678</v>
      </c>
      <c r="B56" s="6">
        <v>1250.4285714285716</v>
      </c>
    </row>
    <row r="57" spans="1:2" x14ac:dyDescent="0.25">
      <c r="A57" s="7" t="s">
        <v>1303</v>
      </c>
      <c r="B57" s="6">
        <v>1252.0000000000002</v>
      </c>
    </row>
    <row r="58" spans="1:2" x14ac:dyDescent="0.25">
      <c r="A58" s="7" t="s">
        <v>2686</v>
      </c>
      <c r="B58" s="6">
        <v>1257.8571428571427</v>
      </c>
    </row>
    <row r="59" spans="1:2" x14ac:dyDescent="0.25">
      <c r="A59" s="7" t="s">
        <v>1229</v>
      </c>
      <c r="B59" s="6">
        <v>1270.7142857142856</v>
      </c>
    </row>
    <row r="60" spans="1:2" x14ac:dyDescent="0.25">
      <c r="A60" s="7" t="s">
        <v>1245</v>
      </c>
      <c r="B60" s="6">
        <v>1272.8571428571429</v>
      </c>
    </row>
    <row r="61" spans="1:2" x14ac:dyDescent="0.25">
      <c r="A61" s="7" t="s">
        <v>2682</v>
      </c>
      <c r="B61" s="6">
        <v>1274.7142857142856</v>
      </c>
    </row>
    <row r="62" spans="1:2" x14ac:dyDescent="0.25">
      <c r="A62" s="7" t="s">
        <v>1289</v>
      </c>
      <c r="B62" s="6">
        <v>1282</v>
      </c>
    </row>
    <row r="63" spans="1:2" x14ac:dyDescent="0.25">
      <c r="A63" s="7" t="s">
        <v>1226</v>
      </c>
      <c r="B63" s="6">
        <v>1297.7142857142858</v>
      </c>
    </row>
    <row r="64" spans="1:2" x14ac:dyDescent="0.25">
      <c r="A64" s="7" t="s">
        <v>1252</v>
      </c>
      <c r="B64" s="6">
        <v>1320.1428571428571</v>
      </c>
    </row>
    <row r="65" spans="1:2" x14ac:dyDescent="0.25">
      <c r="A65" s="7" t="s">
        <v>1239</v>
      </c>
      <c r="B65" s="6">
        <v>1324.2857142857144</v>
      </c>
    </row>
    <row r="66" spans="1:2" x14ac:dyDescent="0.25">
      <c r="A66" s="7" t="s">
        <v>1281</v>
      </c>
      <c r="B66" s="6">
        <v>1327.4285714285713</v>
      </c>
    </row>
    <row r="67" spans="1:2" x14ac:dyDescent="0.25">
      <c r="A67" s="7" t="s">
        <v>1286</v>
      </c>
      <c r="B67" s="6">
        <v>1332</v>
      </c>
    </row>
    <row r="68" spans="1:2" x14ac:dyDescent="0.25">
      <c r="A68" s="7" t="s">
        <v>2684</v>
      </c>
      <c r="B68" s="6">
        <v>1332.1428571428573</v>
      </c>
    </row>
    <row r="69" spans="1:2" x14ac:dyDescent="0.25">
      <c r="A69" s="7" t="s">
        <v>2679</v>
      </c>
      <c r="B69" s="6">
        <v>1338.5714285714287</v>
      </c>
    </row>
    <row r="70" spans="1:2" x14ac:dyDescent="0.25">
      <c r="A70" s="7" t="s">
        <v>1227</v>
      </c>
      <c r="B70" s="6">
        <v>1339.4285714285716</v>
      </c>
    </row>
    <row r="71" spans="1:2" x14ac:dyDescent="0.25">
      <c r="A71" s="7" t="s">
        <v>1267</v>
      </c>
      <c r="B71" s="6">
        <v>1353.285714285714</v>
      </c>
    </row>
    <row r="72" spans="1:2" x14ac:dyDescent="0.25">
      <c r="A72" s="7" t="s">
        <v>1330</v>
      </c>
      <c r="B72" s="6">
        <v>1353.8571428571429</v>
      </c>
    </row>
    <row r="73" spans="1:2" x14ac:dyDescent="0.25">
      <c r="A73" s="7" t="s">
        <v>1231</v>
      </c>
      <c r="B73" s="6">
        <v>1356.4285714285718</v>
      </c>
    </row>
    <row r="74" spans="1:2" x14ac:dyDescent="0.25">
      <c r="A74" s="7" t="s">
        <v>1263</v>
      </c>
      <c r="B74" s="6">
        <v>1358.4285714285713</v>
      </c>
    </row>
    <row r="75" spans="1:2" x14ac:dyDescent="0.25">
      <c r="A75" s="7" t="s">
        <v>1244</v>
      </c>
      <c r="B75" s="6">
        <v>1369.1428571428571</v>
      </c>
    </row>
    <row r="76" spans="1:2" x14ac:dyDescent="0.25">
      <c r="A76" s="7" t="s">
        <v>1234</v>
      </c>
      <c r="B76" s="6">
        <v>1369.7142857142856</v>
      </c>
    </row>
    <row r="77" spans="1:2" x14ac:dyDescent="0.25">
      <c r="A77" s="7" t="s">
        <v>1235</v>
      </c>
      <c r="B77" s="6">
        <v>1378.8571428571431</v>
      </c>
    </row>
    <row r="78" spans="1:2" x14ac:dyDescent="0.25">
      <c r="A78" s="7" t="s">
        <v>1342</v>
      </c>
      <c r="B78" s="6">
        <v>1379.1428571428571</v>
      </c>
    </row>
    <row r="79" spans="1:2" x14ac:dyDescent="0.25">
      <c r="A79" s="7" t="s">
        <v>1290</v>
      </c>
      <c r="B79" s="6">
        <v>1389.5714285714282</v>
      </c>
    </row>
    <row r="80" spans="1:2" x14ac:dyDescent="0.25">
      <c r="A80" s="7" t="s">
        <v>1242</v>
      </c>
      <c r="B80" s="6">
        <v>1396.4285714285713</v>
      </c>
    </row>
    <row r="81" spans="1:2" x14ac:dyDescent="0.25">
      <c r="A81" s="7" t="s">
        <v>1262</v>
      </c>
      <c r="B81" s="6">
        <v>1401.1428571428569</v>
      </c>
    </row>
    <row r="82" spans="1:2" x14ac:dyDescent="0.25">
      <c r="A82" s="7" t="s">
        <v>1273</v>
      </c>
      <c r="B82" s="6">
        <v>1434.4285714285713</v>
      </c>
    </row>
    <row r="83" spans="1:2" x14ac:dyDescent="0.25">
      <c r="A83" s="7" t="s">
        <v>1224</v>
      </c>
      <c r="B83" s="6">
        <v>1438.714285714286</v>
      </c>
    </row>
    <row r="84" spans="1:2" x14ac:dyDescent="0.25">
      <c r="A84" s="7" t="s">
        <v>2673</v>
      </c>
      <c r="B84" s="6">
        <v>1443.1428571428569</v>
      </c>
    </row>
    <row r="85" spans="1:2" x14ac:dyDescent="0.25">
      <c r="A85" s="7" t="s">
        <v>2676</v>
      </c>
      <c r="B85" s="6">
        <v>1443.4285714285716</v>
      </c>
    </row>
    <row r="86" spans="1:2" x14ac:dyDescent="0.25">
      <c r="A86" s="7" t="s">
        <v>1272</v>
      </c>
      <c r="B86" s="6">
        <v>1466.1428571428571</v>
      </c>
    </row>
    <row r="87" spans="1:2" x14ac:dyDescent="0.25">
      <c r="A87" s="7" t="s">
        <v>1270</v>
      </c>
      <c r="B87" s="6">
        <v>1468.4285714285716</v>
      </c>
    </row>
    <row r="88" spans="1:2" x14ac:dyDescent="0.25">
      <c r="A88" s="7" t="s">
        <v>1240</v>
      </c>
      <c r="B88" s="6">
        <v>1494.7142857142858</v>
      </c>
    </row>
    <row r="89" spans="1:2" x14ac:dyDescent="0.25">
      <c r="A89" s="7" t="s">
        <v>1265</v>
      </c>
      <c r="B89" s="6">
        <v>1497.8571428571429</v>
      </c>
    </row>
    <row r="90" spans="1:2" x14ac:dyDescent="0.25">
      <c r="A90" s="7" t="s">
        <v>1238</v>
      </c>
      <c r="B90" s="6">
        <v>1502.7142857142856</v>
      </c>
    </row>
    <row r="91" spans="1:2" x14ac:dyDescent="0.25">
      <c r="A91" s="7" t="s">
        <v>1331</v>
      </c>
      <c r="B91" s="6">
        <v>1505</v>
      </c>
    </row>
    <row r="92" spans="1:2" x14ac:dyDescent="0.25">
      <c r="A92" s="7" t="s">
        <v>1249</v>
      </c>
      <c r="B92" s="6">
        <v>1524.0000000000002</v>
      </c>
    </row>
    <row r="93" spans="1:2" x14ac:dyDescent="0.25">
      <c r="A93" s="7" t="s">
        <v>2677</v>
      </c>
      <c r="B93" s="6">
        <v>1554.5714285714284</v>
      </c>
    </row>
    <row r="94" spans="1:2" x14ac:dyDescent="0.25">
      <c r="A94" s="7" t="s">
        <v>1332</v>
      </c>
      <c r="B94" s="6">
        <v>1568.2857142857142</v>
      </c>
    </row>
    <row r="95" spans="1:2" x14ac:dyDescent="0.25">
      <c r="A95" s="7" t="s">
        <v>1334</v>
      </c>
      <c r="B95" s="6">
        <v>1574.1428571428569</v>
      </c>
    </row>
    <row r="96" spans="1:2" x14ac:dyDescent="0.25">
      <c r="A96" s="7" t="s">
        <v>1248</v>
      </c>
      <c r="B96" s="6">
        <v>1579.5714285714284</v>
      </c>
    </row>
    <row r="97" spans="1:2" x14ac:dyDescent="0.25">
      <c r="A97" s="7" t="s">
        <v>1275</v>
      </c>
      <c r="B97" s="6">
        <v>1592.2857142857142</v>
      </c>
    </row>
    <row r="98" spans="1:2" x14ac:dyDescent="0.25">
      <c r="A98" s="7" t="s">
        <v>1333</v>
      </c>
      <c r="B98" s="6">
        <v>1630.7142857142858</v>
      </c>
    </row>
    <row r="99" spans="1:2" x14ac:dyDescent="0.25">
      <c r="A99" s="7" t="s">
        <v>1228</v>
      </c>
      <c r="B99" s="6">
        <v>1640.7142857142858</v>
      </c>
    </row>
    <row r="100" spans="1:2" x14ac:dyDescent="0.25">
      <c r="A100" s="7" t="s">
        <v>1274</v>
      </c>
      <c r="B100" s="6">
        <v>1647.714285714286</v>
      </c>
    </row>
    <row r="101" spans="1:2" x14ac:dyDescent="0.25">
      <c r="A101" s="7" t="s">
        <v>1336</v>
      </c>
      <c r="B101" s="6">
        <v>1653.8571428571429</v>
      </c>
    </row>
    <row r="102" spans="1:2" x14ac:dyDescent="0.25">
      <c r="A102" s="7" t="s">
        <v>1223</v>
      </c>
      <c r="B102" s="6">
        <v>1656.7142857142858</v>
      </c>
    </row>
    <row r="103" spans="1:2" x14ac:dyDescent="0.25">
      <c r="A103" s="7" t="s">
        <v>1236</v>
      </c>
      <c r="B103" s="6">
        <v>1674.2857142857142</v>
      </c>
    </row>
    <row r="104" spans="1:2" x14ac:dyDescent="0.25">
      <c r="A104" s="7" t="s">
        <v>1246</v>
      </c>
      <c r="B104" s="6">
        <v>1681.1428571428573</v>
      </c>
    </row>
    <row r="105" spans="1:2" x14ac:dyDescent="0.25">
      <c r="A105" s="7" t="s">
        <v>1225</v>
      </c>
      <c r="B105" s="6">
        <v>1682.8571428571427</v>
      </c>
    </row>
    <row r="106" spans="1:2" x14ac:dyDescent="0.25">
      <c r="A106" s="7" t="s">
        <v>2681</v>
      </c>
      <c r="B106" s="6">
        <v>1683.2857142857142</v>
      </c>
    </row>
    <row r="107" spans="1:2" x14ac:dyDescent="0.25">
      <c r="A107" s="7" t="s">
        <v>1260</v>
      </c>
      <c r="B107" s="6">
        <v>1710.1428571428571</v>
      </c>
    </row>
    <row r="108" spans="1:2" x14ac:dyDescent="0.25">
      <c r="A108" s="7" t="s">
        <v>1258</v>
      </c>
      <c r="B108" s="6">
        <v>1717.5714285714289</v>
      </c>
    </row>
    <row r="109" spans="1:2" x14ac:dyDescent="0.25">
      <c r="A109" s="7" t="s">
        <v>1264</v>
      </c>
      <c r="B109" s="6">
        <v>1727.7142857142858</v>
      </c>
    </row>
    <row r="110" spans="1:2" x14ac:dyDescent="0.25">
      <c r="A110" s="7" t="s">
        <v>1268</v>
      </c>
      <c r="B110" s="6">
        <v>1733</v>
      </c>
    </row>
    <row r="111" spans="1:2" x14ac:dyDescent="0.25">
      <c r="A111" s="7" t="s">
        <v>1276</v>
      </c>
      <c r="B111" s="6">
        <v>1749.7142857142858</v>
      </c>
    </row>
    <row r="112" spans="1:2" x14ac:dyDescent="0.25">
      <c r="A112" s="7" t="s">
        <v>1266</v>
      </c>
      <c r="B112" s="6">
        <v>1752</v>
      </c>
    </row>
    <row r="113" spans="1:2" x14ac:dyDescent="0.25">
      <c r="A113" s="7" t="s">
        <v>2672</v>
      </c>
      <c r="B113" s="6">
        <v>1763.1428571428569</v>
      </c>
    </row>
    <row r="114" spans="1:2" x14ac:dyDescent="0.25">
      <c r="A114" s="7" t="s">
        <v>1278</v>
      </c>
      <c r="B114" s="6">
        <v>1770.1428571428571</v>
      </c>
    </row>
    <row r="115" spans="1:2" x14ac:dyDescent="0.25">
      <c r="A115" s="7" t="s">
        <v>1257</v>
      </c>
      <c r="B115" s="6">
        <v>1770.1428571428571</v>
      </c>
    </row>
    <row r="116" spans="1:2" x14ac:dyDescent="0.25">
      <c r="A116" s="7" t="s">
        <v>1255</v>
      </c>
      <c r="B116" s="6">
        <v>1821.8571428571429</v>
      </c>
    </row>
    <row r="117" spans="1:2" x14ac:dyDescent="0.25">
      <c r="A117" s="7" t="s">
        <v>1253</v>
      </c>
      <c r="B117" s="6">
        <v>1827</v>
      </c>
    </row>
    <row r="118" spans="1:2" x14ac:dyDescent="0.25">
      <c r="A118" s="7" t="s">
        <v>1254</v>
      </c>
      <c r="B118" s="6">
        <v>1853.8571428571429</v>
      </c>
    </row>
    <row r="119" spans="1:2" x14ac:dyDescent="0.25">
      <c r="A119" s="7" t="s">
        <v>1233</v>
      </c>
      <c r="B119" s="6">
        <v>1914.1428571428571</v>
      </c>
    </row>
    <row r="120" spans="1:2" x14ac:dyDescent="0.25">
      <c r="A120" s="7" t="s">
        <v>1340</v>
      </c>
      <c r="B120" s="6">
        <v>1922.4285714285713</v>
      </c>
    </row>
    <row r="121" spans="1:2" x14ac:dyDescent="0.25">
      <c r="A121" s="7" t="s">
        <v>1335</v>
      </c>
      <c r="B121" s="6">
        <v>2024.8571428571427</v>
      </c>
    </row>
    <row r="122" spans="1:2" x14ac:dyDescent="0.25">
      <c r="A122" s="7" t="s">
        <v>1343</v>
      </c>
      <c r="B122" s="6">
        <v>2038.2857142857142</v>
      </c>
    </row>
    <row r="123" spans="1:2" x14ac:dyDescent="0.25">
      <c r="A123" s="7" t="s">
        <v>1341</v>
      </c>
      <c r="B123" s="6">
        <v>2096.4285714285716</v>
      </c>
    </row>
    <row r="124" spans="1:2" x14ac:dyDescent="0.25">
      <c r="A124" s="7" t="s">
        <v>1247</v>
      </c>
      <c r="B124" s="6">
        <v>2130.4285714285716</v>
      </c>
    </row>
    <row r="125" spans="1:2" x14ac:dyDescent="0.25">
      <c r="A125" s="7" t="s">
        <v>1230</v>
      </c>
      <c r="B125" s="6">
        <v>2138.2857142857147</v>
      </c>
    </row>
    <row r="126" spans="1:2" x14ac:dyDescent="0.25">
      <c r="A126" s="7" t="s">
        <v>1232</v>
      </c>
      <c r="B126" s="6">
        <v>2140</v>
      </c>
    </row>
    <row r="127" spans="1:2" x14ac:dyDescent="0.25">
      <c r="A127" s="7" t="s">
        <v>1250</v>
      </c>
      <c r="B127" s="6">
        <v>2171.5714285714289</v>
      </c>
    </row>
    <row r="128" spans="1:2" x14ac:dyDescent="0.25">
      <c r="A128" s="7" t="s">
        <v>2675</v>
      </c>
      <c r="B128" s="6">
        <v>2257.8571428571431</v>
      </c>
    </row>
    <row r="129" spans="1:2" x14ac:dyDescent="0.25">
      <c r="A129" s="7" t="s">
        <v>1256</v>
      </c>
      <c r="B129" s="6">
        <v>2269.7142857142858</v>
      </c>
    </row>
    <row r="130" spans="1:2" x14ac:dyDescent="0.25">
      <c r="A130" s="7" t="s">
        <v>1243</v>
      </c>
      <c r="B130" s="6">
        <v>2308.8571428571427</v>
      </c>
    </row>
    <row r="131" spans="1:2" x14ac:dyDescent="0.25">
      <c r="A131" s="5" t="s">
        <v>1323</v>
      </c>
      <c r="B131" s="6">
        <v>156414.8571428571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A7B6-A3F2-4E0D-B1F6-CF49D314DCC8}">
  <dimension ref="A3:E157"/>
  <sheetViews>
    <sheetView topLeftCell="A119" workbookViewId="0">
      <selection activeCell="A24" sqref="A24:E151"/>
    </sheetView>
  </sheetViews>
  <sheetFormatPr defaultRowHeight="15" x14ac:dyDescent="0.25"/>
  <cols>
    <col min="1" max="1" width="25.85546875" bestFit="1" customWidth="1"/>
    <col min="2" max="2" width="20.5703125" bestFit="1" customWidth="1"/>
    <col min="3" max="3" width="24.5703125" bestFit="1" customWidth="1"/>
    <col min="4" max="4" width="26.140625" bestFit="1" customWidth="1"/>
    <col min="5" max="5" width="18.42578125" bestFit="1" customWidth="1"/>
  </cols>
  <sheetData>
    <row r="3" spans="1:5" x14ac:dyDescent="0.25">
      <c r="A3" s="4" t="s">
        <v>1322</v>
      </c>
      <c r="B3" t="s">
        <v>2670</v>
      </c>
      <c r="C3" t="s">
        <v>2540</v>
      </c>
      <c r="D3" t="s">
        <v>2692</v>
      </c>
      <c r="E3" t="s">
        <v>2693</v>
      </c>
    </row>
    <row r="4" spans="1:5" x14ac:dyDescent="0.25">
      <c r="A4" s="5" t="s">
        <v>1220</v>
      </c>
      <c r="B4" s="6">
        <v>91.285714285714292</v>
      </c>
      <c r="C4" s="6">
        <v>1</v>
      </c>
      <c r="D4" s="6">
        <v>60272533</v>
      </c>
      <c r="E4" s="6">
        <v>5022711.083333333</v>
      </c>
    </row>
    <row r="5" spans="1:5" x14ac:dyDescent="0.25">
      <c r="A5" s="7" t="s">
        <v>1285</v>
      </c>
      <c r="B5" s="6">
        <v>91.285714285714292</v>
      </c>
      <c r="C5" s="6">
        <v>1</v>
      </c>
      <c r="D5" s="6">
        <v>60272533</v>
      </c>
      <c r="E5" s="6">
        <v>5022711.083333333</v>
      </c>
    </row>
    <row r="6" spans="1:5" x14ac:dyDescent="0.25">
      <c r="A6" s="5" t="s">
        <v>1219</v>
      </c>
      <c r="B6" s="6">
        <v>89.285714285714292</v>
      </c>
      <c r="C6" s="6">
        <v>1</v>
      </c>
      <c r="D6" s="6">
        <v>48295986</v>
      </c>
      <c r="E6" s="6">
        <v>4024665.5</v>
      </c>
    </row>
    <row r="7" spans="1:5" x14ac:dyDescent="0.25">
      <c r="A7" s="7" t="s">
        <v>1292</v>
      </c>
      <c r="B7" s="6">
        <v>89.285714285714292</v>
      </c>
      <c r="C7" s="6">
        <v>1</v>
      </c>
      <c r="D7" s="6">
        <v>48295986</v>
      </c>
      <c r="E7" s="6">
        <v>4024665.5</v>
      </c>
    </row>
    <row r="8" spans="1:5" x14ac:dyDescent="0.25">
      <c r="A8" s="5" t="s">
        <v>1326</v>
      </c>
      <c r="B8" s="6">
        <v>88.285714285714278</v>
      </c>
      <c r="C8" s="6">
        <v>2</v>
      </c>
      <c r="D8" s="6">
        <v>115854144</v>
      </c>
      <c r="E8" s="6">
        <v>9654512</v>
      </c>
    </row>
    <row r="9" spans="1:5" x14ac:dyDescent="0.25">
      <c r="A9" s="7" t="s">
        <v>1294</v>
      </c>
      <c r="B9" s="6">
        <v>95.857142857142861</v>
      </c>
      <c r="C9" s="6">
        <v>1</v>
      </c>
      <c r="D9" s="6">
        <v>98250793</v>
      </c>
      <c r="E9" s="6">
        <v>8187566.083333333</v>
      </c>
    </row>
    <row r="10" spans="1:5" x14ac:dyDescent="0.25">
      <c r="A10" s="7" t="s">
        <v>1282</v>
      </c>
      <c r="B10" s="6">
        <v>80.714285714285708</v>
      </c>
      <c r="C10" s="6">
        <v>1</v>
      </c>
      <c r="D10" s="6">
        <v>17603351</v>
      </c>
      <c r="E10" s="6">
        <v>1466945.9166666667</v>
      </c>
    </row>
    <row r="11" spans="1:5" x14ac:dyDescent="0.25">
      <c r="A11" s="5" t="s">
        <v>1218</v>
      </c>
      <c r="B11" s="6">
        <v>89.035714285714278</v>
      </c>
      <c r="C11" s="6">
        <v>4</v>
      </c>
      <c r="D11" s="6">
        <v>234024146</v>
      </c>
      <c r="E11" s="6">
        <v>19502012.166666664</v>
      </c>
    </row>
    <row r="12" spans="1:5" x14ac:dyDescent="0.25">
      <c r="A12" s="7" t="s">
        <v>1269</v>
      </c>
      <c r="B12" s="6">
        <v>89.035714285714278</v>
      </c>
      <c r="C12" s="6">
        <v>4</v>
      </c>
      <c r="D12" s="6">
        <v>234024146</v>
      </c>
      <c r="E12" s="6">
        <v>19502012.166666664</v>
      </c>
    </row>
    <row r="13" spans="1:5" x14ac:dyDescent="0.25">
      <c r="A13" s="5" t="s">
        <v>1214</v>
      </c>
      <c r="B13" s="6">
        <v>90.19047619047619</v>
      </c>
      <c r="C13" s="6">
        <v>3</v>
      </c>
      <c r="D13" s="6">
        <v>170682713</v>
      </c>
      <c r="E13" s="6">
        <v>14223559.416666666</v>
      </c>
    </row>
    <row r="14" spans="1:5" x14ac:dyDescent="0.25">
      <c r="A14" s="7" t="s">
        <v>1287</v>
      </c>
      <c r="B14" s="6">
        <v>91.285714285714278</v>
      </c>
      <c r="C14" s="6">
        <v>2</v>
      </c>
      <c r="D14" s="6">
        <v>128907566</v>
      </c>
      <c r="E14" s="6">
        <v>10742297.166666666</v>
      </c>
    </row>
    <row r="15" spans="1:5" x14ac:dyDescent="0.25">
      <c r="A15" s="7" t="s">
        <v>1288</v>
      </c>
      <c r="B15" s="6">
        <v>88</v>
      </c>
      <c r="C15" s="6">
        <v>1</v>
      </c>
      <c r="D15" s="6">
        <v>41775147</v>
      </c>
      <c r="E15" s="6">
        <v>3481262.25</v>
      </c>
    </row>
    <row r="16" spans="1:5" x14ac:dyDescent="0.25">
      <c r="A16" s="5" t="s">
        <v>1213</v>
      </c>
      <c r="B16" s="6">
        <v>86.428571428571431</v>
      </c>
      <c r="C16" s="6">
        <v>1</v>
      </c>
      <c r="D16" s="6">
        <v>34887079</v>
      </c>
      <c r="E16" s="6">
        <v>2907256.5833333335</v>
      </c>
    </row>
    <row r="17" spans="1:5" x14ac:dyDescent="0.25">
      <c r="A17" s="7" t="s">
        <v>1280</v>
      </c>
      <c r="B17" s="6">
        <v>86.428571428571431</v>
      </c>
      <c r="C17" s="6">
        <v>1</v>
      </c>
      <c r="D17" s="6">
        <v>34887079</v>
      </c>
      <c r="E17" s="6">
        <v>2907256.5833333335</v>
      </c>
    </row>
    <row r="18" spans="1:5" x14ac:dyDescent="0.25">
      <c r="A18" s="5" t="s">
        <v>1217</v>
      </c>
      <c r="B18" s="6">
        <v>92.642857142857139</v>
      </c>
      <c r="C18" s="6">
        <v>4</v>
      </c>
      <c r="D18" s="6">
        <v>290781908</v>
      </c>
      <c r="E18" s="6">
        <v>24231825.666666664</v>
      </c>
    </row>
    <row r="19" spans="1:5" x14ac:dyDescent="0.25">
      <c r="A19" s="7" t="s">
        <v>1279</v>
      </c>
      <c r="B19" s="6">
        <v>94.142857142857139</v>
      </c>
      <c r="C19" s="6">
        <v>2</v>
      </c>
      <c r="D19" s="6">
        <v>170217742</v>
      </c>
      <c r="E19" s="6">
        <v>14184811.833333332</v>
      </c>
    </row>
    <row r="20" spans="1:5" x14ac:dyDescent="0.25">
      <c r="A20" s="7" t="s">
        <v>1284</v>
      </c>
      <c r="B20" s="6">
        <v>91.142857142857139</v>
      </c>
      <c r="C20" s="6">
        <v>2</v>
      </c>
      <c r="D20" s="6">
        <v>120564166</v>
      </c>
      <c r="E20" s="6">
        <v>10047013.833333332</v>
      </c>
    </row>
    <row r="21" spans="1:5" x14ac:dyDescent="0.25">
      <c r="A21" s="5" t="s">
        <v>1221</v>
      </c>
      <c r="B21" s="6">
        <v>96</v>
      </c>
      <c r="C21" s="6">
        <v>1</v>
      </c>
      <c r="D21" s="6">
        <v>99724896</v>
      </c>
      <c r="E21" s="6">
        <v>8310408</v>
      </c>
    </row>
    <row r="22" spans="1:5" x14ac:dyDescent="0.25">
      <c r="A22" s="7" t="s">
        <v>1291</v>
      </c>
      <c r="B22" s="6">
        <v>96</v>
      </c>
      <c r="C22" s="6">
        <v>1</v>
      </c>
      <c r="D22" s="6">
        <v>99724896</v>
      </c>
      <c r="E22" s="6">
        <v>8310408</v>
      </c>
    </row>
    <row r="23" spans="1:5" x14ac:dyDescent="0.25">
      <c r="A23" s="5" t="s">
        <v>1212</v>
      </c>
      <c r="B23" s="6">
        <v>64.447819177114695</v>
      </c>
      <c r="C23" s="6">
        <v>2427</v>
      </c>
      <c r="D23" s="6">
        <v>20262324520</v>
      </c>
      <c r="E23" s="6">
        <v>1661995657.1666632</v>
      </c>
    </row>
    <row r="24" spans="1:5" x14ac:dyDescent="0.25">
      <c r="A24" s="7" t="s">
        <v>1335</v>
      </c>
      <c r="B24" s="6">
        <v>88.037267080745337</v>
      </c>
      <c r="C24" s="6">
        <v>23</v>
      </c>
      <c r="D24" s="6">
        <v>1277426964</v>
      </c>
      <c r="E24" s="6">
        <v>106452247.00000001</v>
      </c>
    </row>
    <row r="25" spans="1:5" x14ac:dyDescent="0.25">
      <c r="A25" s="7" t="s">
        <v>1341</v>
      </c>
      <c r="B25" s="6">
        <v>87.351190476190482</v>
      </c>
      <c r="C25" s="6">
        <v>24</v>
      </c>
      <c r="D25" s="6">
        <v>1186618312</v>
      </c>
      <c r="E25" s="6">
        <v>98884859.333333313</v>
      </c>
    </row>
    <row r="26" spans="1:5" x14ac:dyDescent="0.25">
      <c r="A26" s="7" t="s">
        <v>1343</v>
      </c>
      <c r="B26" s="6">
        <v>84.928571428571431</v>
      </c>
      <c r="C26" s="6">
        <v>24</v>
      </c>
      <c r="D26" s="6">
        <v>989685792</v>
      </c>
      <c r="E26" s="6">
        <v>82473816</v>
      </c>
    </row>
    <row r="27" spans="1:5" x14ac:dyDescent="0.25">
      <c r="A27" s="7" t="s">
        <v>2675</v>
      </c>
      <c r="B27" s="6">
        <v>83.624338624338634</v>
      </c>
      <c r="C27" s="6">
        <v>27</v>
      </c>
      <c r="D27" s="6">
        <v>839752299</v>
      </c>
      <c r="E27" s="6">
        <v>69979358.25</v>
      </c>
    </row>
    <row r="28" spans="1:5" x14ac:dyDescent="0.25">
      <c r="A28" s="7" t="s">
        <v>1331</v>
      </c>
      <c r="B28" s="6">
        <v>83.611111111111114</v>
      </c>
      <c r="C28" s="6">
        <v>18</v>
      </c>
      <c r="D28" s="6">
        <v>570356953</v>
      </c>
      <c r="E28" s="6">
        <v>47529746.083333336</v>
      </c>
    </row>
    <row r="29" spans="1:5" x14ac:dyDescent="0.25">
      <c r="A29" s="7" t="s">
        <v>1253</v>
      </c>
      <c r="B29" s="6">
        <v>83.045454545454547</v>
      </c>
      <c r="C29" s="6">
        <v>22</v>
      </c>
      <c r="D29" s="6">
        <v>686264854</v>
      </c>
      <c r="E29" s="6">
        <v>57188737.833333328</v>
      </c>
    </row>
    <row r="30" spans="1:5" x14ac:dyDescent="0.25">
      <c r="A30" s="7" t="s">
        <v>1255</v>
      </c>
      <c r="B30" s="6">
        <v>82.811688311688314</v>
      </c>
      <c r="C30" s="6">
        <v>22</v>
      </c>
      <c r="D30" s="6">
        <v>673664738</v>
      </c>
      <c r="E30" s="6">
        <v>55827501.75</v>
      </c>
    </row>
    <row r="31" spans="1:5" x14ac:dyDescent="0.25">
      <c r="A31" s="7" t="s">
        <v>1268</v>
      </c>
      <c r="B31" s="6">
        <v>82.523809523809518</v>
      </c>
      <c r="C31" s="6">
        <v>21</v>
      </c>
      <c r="D31" s="6">
        <v>662381454</v>
      </c>
      <c r="E31" s="6">
        <v>55198454.499999993</v>
      </c>
    </row>
    <row r="32" spans="1:5" x14ac:dyDescent="0.25">
      <c r="A32" s="7" t="s">
        <v>1232</v>
      </c>
      <c r="B32" s="6">
        <v>82.307692307692307</v>
      </c>
      <c r="C32" s="6">
        <v>26</v>
      </c>
      <c r="D32" s="6">
        <v>729372428</v>
      </c>
      <c r="E32" s="6">
        <v>60781035.666666664</v>
      </c>
    </row>
    <row r="33" spans="1:5" x14ac:dyDescent="0.25">
      <c r="A33" s="7" t="s">
        <v>1230</v>
      </c>
      <c r="B33" s="6">
        <v>82.241758241758262</v>
      </c>
      <c r="C33" s="6">
        <v>26</v>
      </c>
      <c r="D33" s="6">
        <v>617007674</v>
      </c>
      <c r="E33" s="6">
        <v>50611436.500000007</v>
      </c>
    </row>
    <row r="34" spans="1:5" x14ac:dyDescent="0.25">
      <c r="A34" s="7" t="s">
        <v>1247</v>
      </c>
      <c r="B34" s="6">
        <v>81.939560439560438</v>
      </c>
      <c r="C34" s="6">
        <v>26</v>
      </c>
      <c r="D34" s="6">
        <v>669638950</v>
      </c>
      <c r="E34" s="6">
        <v>55803245.833333328</v>
      </c>
    </row>
    <row r="35" spans="1:5" x14ac:dyDescent="0.25">
      <c r="A35" s="7" t="s">
        <v>1256</v>
      </c>
      <c r="B35" s="6">
        <v>81.061224489795919</v>
      </c>
      <c r="C35" s="6">
        <v>28</v>
      </c>
      <c r="D35" s="6">
        <v>741225962</v>
      </c>
      <c r="E35" s="6">
        <v>61768830.166666657</v>
      </c>
    </row>
    <row r="36" spans="1:5" x14ac:dyDescent="0.25">
      <c r="A36" s="7" t="s">
        <v>1250</v>
      </c>
      <c r="B36" s="6">
        <v>80.428571428571445</v>
      </c>
      <c r="C36" s="6">
        <v>27</v>
      </c>
      <c r="D36" s="6">
        <v>640467260</v>
      </c>
      <c r="E36" s="6">
        <v>52941004.833333336</v>
      </c>
    </row>
    <row r="37" spans="1:5" x14ac:dyDescent="0.25">
      <c r="A37" s="7" t="s">
        <v>1340</v>
      </c>
      <c r="B37" s="6">
        <v>80.101190476190467</v>
      </c>
      <c r="C37" s="6">
        <v>24</v>
      </c>
      <c r="D37" s="6">
        <v>451023350</v>
      </c>
      <c r="E37" s="6">
        <v>37585279.166666657</v>
      </c>
    </row>
    <row r="38" spans="1:5" x14ac:dyDescent="0.25">
      <c r="A38" s="7" t="s">
        <v>1243</v>
      </c>
      <c r="B38" s="6">
        <v>79.615763546798021</v>
      </c>
      <c r="C38" s="6">
        <v>29</v>
      </c>
      <c r="D38" s="6">
        <v>627314550</v>
      </c>
      <c r="E38" s="6">
        <v>52144590</v>
      </c>
    </row>
    <row r="39" spans="1:5" x14ac:dyDescent="0.25">
      <c r="A39" s="7" t="s">
        <v>1260</v>
      </c>
      <c r="B39" s="6">
        <v>77.733766233766232</v>
      </c>
      <c r="C39" s="6">
        <v>22</v>
      </c>
      <c r="D39" s="6">
        <v>318709626</v>
      </c>
      <c r="E39" s="6">
        <v>25569246.583333332</v>
      </c>
    </row>
    <row r="40" spans="1:5" x14ac:dyDescent="0.25">
      <c r="A40" s="7" t="s">
        <v>2672</v>
      </c>
      <c r="B40" s="6">
        <v>76.658385093167695</v>
      </c>
      <c r="C40" s="6">
        <v>23</v>
      </c>
      <c r="D40" s="6">
        <v>433420114</v>
      </c>
      <c r="E40" s="6">
        <v>35486265.833333336</v>
      </c>
    </row>
    <row r="41" spans="1:5" x14ac:dyDescent="0.25">
      <c r="A41" s="7" t="s">
        <v>1233</v>
      </c>
      <c r="B41" s="6">
        <v>76.565714285714279</v>
      </c>
      <c r="C41" s="6">
        <v>25</v>
      </c>
      <c r="D41" s="6">
        <v>537316749</v>
      </c>
      <c r="E41" s="6">
        <v>44776395.75</v>
      </c>
    </row>
    <row r="42" spans="1:5" x14ac:dyDescent="0.25">
      <c r="A42" s="7" t="s">
        <v>1276</v>
      </c>
      <c r="B42" s="6">
        <v>76.074534161490689</v>
      </c>
      <c r="C42" s="6">
        <v>23</v>
      </c>
      <c r="D42" s="6">
        <v>306752022</v>
      </c>
      <c r="E42" s="6">
        <v>25232999.000000004</v>
      </c>
    </row>
    <row r="43" spans="1:5" x14ac:dyDescent="0.25">
      <c r="A43" s="7" t="s">
        <v>1264</v>
      </c>
      <c r="B43" s="6">
        <v>75.118012422360252</v>
      </c>
      <c r="C43" s="6">
        <v>23</v>
      </c>
      <c r="D43" s="6">
        <v>288028064</v>
      </c>
      <c r="E43" s="6">
        <v>23575865.5</v>
      </c>
    </row>
    <row r="44" spans="1:5" x14ac:dyDescent="0.25">
      <c r="A44" s="7" t="s">
        <v>1274</v>
      </c>
      <c r="B44" s="6">
        <v>74.896103896103909</v>
      </c>
      <c r="C44" s="6">
        <v>22</v>
      </c>
      <c r="D44" s="6">
        <v>395298146</v>
      </c>
      <c r="E44" s="6">
        <v>32941512.166666672</v>
      </c>
    </row>
    <row r="45" spans="1:5" x14ac:dyDescent="0.25">
      <c r="A45" s="7" t="s">
        <v>1228</v>
      </c>
      <c r="B45" s="6">
        <v>74.577922077922082</v>
      </c>
      <c r="C45" s="6">
        <v>22</v>
      </c>
      <c r="D45" s="6">
        <v>289152640</v>
      </c>
      <c r="E45" s="6">
        <v>24096053.333333332</v>
      </c>
    </row>
    <row r="46" spans="1:5" x14ac:dyDescent="0.25">
      <c r="A46" s="7" t="s">
        <v>1333</v>
      </c>
      <c r="B46" s="6">
        <v>74.123376623376629</v>
      </c>
      <c r="C46" s="6">
        <v>22</v>
      </c>
      <c r="D46" s="6">
        <v>174054013</v>
      </c>
      <c r="E46" s="6">
        <v>14405013.749999998</v>
      </c>
    </row>
    <row r="47" spans="1:5" x14ac:dyDescent="0.25">
      <c r="A47" s="7" t="s">
        <v>1249</v>
      </c>
      <c r="B47" s="6">
        <v>72.571428571428584</v>
      </c>
      <c r="C47" s="6">
        <v>21</v>
      </c>
      <c r="D47" s="6">
        <v>216418768</v>
      </c>
      <c r="E47" s="6">
        <v>15288259.166666668</v>
      </c>
    </row>
    <row r="48" spans="1:5" x14ac:dyDescent="0.25">
      <c r="A48" s="7" t="s">
        <v>2676</v>
      </c>
      <c r="B48" s="6">
        <v>72.171428571428578</v>
      </c>
      <c r="C48" s="6">
        <v>20</v>
      </c>
      <c r="D48" s="6">
        <v>194033608</v>
      </c>
      <c r="E48" s="6">
        <v>16169467.333333334</v>
      </c>
    </row>
    <row r="49" spans="1:5" x14ac:dyDescent="0.25">
      <c r="A49" s="7" t="s">
        <v>1226</v>
      </c>
      <c r="B49" s="6">
        <v>72.095238095238102</v>
      </c>
      <c r="C49" s="6">
        <v>18</v>
      </c>
      <c r="D49" s="6">
        <v>139244490</v>
      </c>
      <c r="E49" s="6">
        <v>11351205.083333334</v>
      </c>
    </row>
    <row r="50" spans="1:5" x14ac:dyDescent="0.25">
      <c r="A50" s="7" t="s">
        <v>1223</v>
      </c>
      <c r="B50" s="6">
        <v>72.031055900621126</v>
      </c>
      <c r="C50" s="6">
        <v>23</v>
      </c>
      <c r="D50" s="6">
        <v>220149142</v>
      </c>
      <c r="E50" s="6">
        <v>18345761.833333332</v>
      </c>
    </row>
    <row r="51" spans="1:5" x14ac:dyDescent="0.25">
      <c r="A51" s="7" t="s">
        <v>1336</v>
      </c>
      <c r="B51" s="6">
        <v>71.906832298136649</v>
      </c>
      <c r="C51" s="6">
        <v>23</v>
      </c>
      <c r="D51" s="6">
        <v>228393054</v>
      </c>
      <c r="E51" s="6">
        <v>18779742.416666664</v>
      </c>
    </row>
    <row r="52" spans="1:5" x14ac:dyDescent="0.25">
      <c r="A52" s="7" t="s">
        <v>1334</v>
      </c>
      <c r="B52" s="6">
        <v>71.551948051948045</v>
      </c>
      <c r="C52" s="6">
        <v>22</v>
      </c>
      <c r="D52" s="6">
        <v>153601308</v>
      </c>
      <c r="E52" s="6">
        <v>12800108.999999998</v>
      </c>
    </row>
    <row r="53" spans="1:5" x14ac:dyDescent="0.25">
      <c r="A53" s="7" t="s">
        <v>1278</v>
      </c>
      <c r="B53" s="6">
        <v>70.805714285714288</v>
      </c>
      <c r="C53" s="6">
        <v>25</v>
      </c>
      <c r="D53" s="6">
        <v>240739071</v>
      </c>
      <c r="E53" s="6">
        <v>19744792.333333332</v>
      </c>
    </row>
    <row r="54" spans="1:5" x14ac:dyDescent="0.25">
      <c r="A54" s="7" t="s">
        <v>1257</v>
      </c>
      <c r="B54" s="6">
        <v>70.805714285714288</v>
      </c>
      <c r="C54" s="6">
        <v>25</v>
      </c>
      <c r="D54" s="6">
        <v>194626583</v>
      </c>
      <c r="E54" s="6">
        <v>16218881.916666668</v>
      </c>
    </row>
    <row r="55" spans="1:5" x14ac:dyDescent="0.25">
      <c r="A55" s="7" t="s">
        <v>2677</v>
      </c>
      <c r="B55" s="6">
        <v>70.662337662337663</v>
      </c>
      <c r="C55" s="6">
        <v>22</v>
      </c>
      <c r="D55" s="6">
        <v>214660303</v>
      </c>
      <c r="E55" s="6">
        <v>17888358.583333332</v>
      </c>
    </row>
    <row r="56" spans="1:5" x14ac:dyDescent="0.25">
      <c r="A56" s="7" t="s">
        <v>2684</v>
      </c>
      <c r="B56" s="6">
        <v>70.112781954887225</v>
      </c>
      <c r="C56" s="6">
        <v>19</v>
      </c>
      <c r="D56" s="6">
        <v>195823080</v>
      </c>
      <c r="E56" s="6">
        <v>16318590</v>
      </c>
    </row>
    <row r="57" spans="1:5" x14ac:dyDescent="0.25">
      <c r="A57" s="7" t="s">
        <v>1262</v>
      </c>
      <c r="B57" s="6">
        <v>70.05714285714285</v>
      </c>
      <c r="C57" s="6">
        <v>20</v>
      </c>
      <c r="D57" s="6">
        <v>161469611</v>
      </c>
      <c r="E57" s="6">
        <v>13455800.916666668</v>
      </c>
    </row>
    <row r="58" spans="1:5" x14ac:dyDescent="0.25">
      <c r="A58" s="7" t="s">
        <v>1246</v>
      </c>
      <c r="B58" s="6">
        <v>70.047619047619051</v>
      </c>
      <c r="C58" s="6">
        <v>24</v>
      </c>
      <c r="D58" s="6">
        <v>176417750</v>
      </c>
      <c r="E58" s="6">
        <v>14701479.166666668</v>
      </c>
    </row>
    <row r="59" spans="1:5" x14ac:dyDescent="0.25">
      <c r="A59" s="7" t="s">
        <v>1242</v>
      </c>
      <c r="B59" s="6">
        <v>69.821428571428569</v>
      </c>
      <c r="C59" s="6">
        <v>20</v>
      </c>
      <c r="D59" s="6">
        <v>194661681</v>
      </c>
      <c r="E59" s="6">
        <v>16221806.75</v>
      </c>
    </row>
    <row r="60" spans="1:5" x14ac:dyDescent="0.25">
      <c r="A60" s="7" t="s">
        <v>1290</v>
      </c>
      <c r="B60" s="6">
        <v>69.478571428571414</v>
      </c>
      <c r="C60" s="6">
        <v>20</v>
      </c>
      <c r="D60" s="6">
        <v>112029720</v>
      </c>
      <c r="E60" s="6">
        <v>7796254.25</v>
      </c>
    </row>
    <row r="61" spans="1:5" x14ac:dyDescent="0.25">
      <c r="A61" s="7" t="s">
        <v>1342</v>
      </c>
      <c r="B61" s="6">
        <v>68.957142857142856</v>
      </c>
      <c r="C61" s="6">
        <v>20</v>
      </c>
      <c r="D61" s="6">
        <v>85193394</v>
      </c>
      <c r="E61" s="6">
        <v>6652854.7499999981</v>
      </c>
    </row>
    <row r="62" spans="1:5" x14ac:dyDescent="0.25">
      <c r="A62" s="7" t="s">
        <v>1258</v>
      </c>
      <c r="B62" s="6">
        <v>68.702857142857155</v>
      </c>
      <c r="C62" s="6">
        <v>25</v>
      </c>
      <c r="D62" s="6">
        <v>136478093</v>
      </c>
      <c r="E62" s="6">
        <v>8495765.9166666679</v>
      </c>
    </row>
    <row r="63" spans="1:5" x14ac:dyDescent="0.25">
      <c r="A63" s="7" t="s">
        <v>1254</v>
      </c>
      <c r="B63" s="6">
        <v>68.661375661375658</v>
      </c>
      <c r="C63" s="6">
        <v>27</v>
      </c>
      <c r="D63" s="6">
        <v>208352634</v>
      </c>
      <c r="E63" s="6">
        <v>17048249</v>
      </c>
    </row>
    <row r="64" spans="1:5" x14ac:dyDescent="0.25">
      <c r="A64" s="7" t="s">
        <v>1244</v>
      </c>
      <c r="B64" s="6">
        <v>68.457142857142856</v>
      </c>
      <c r="C64" s="6">
        <v>20</v>
      </c>
      <c r="D64" s="6">
        <v>104372178</v>
      </c>
      <c r="E64" s="6">
        <v>8697681.5</v>
      </c>
    </row>
    <row r="65" spans="1:5" x14ac:dyDescent="0.25">
      <c r="A65" s="7" t="s">
        <v>1273</v>
      </c>
      <c r="B65" s="6">
        <v>68.306122448979593</v>
      </c>
      <c r="C65" s="6">
        <v>21</v>
      </c>
      <c r="D65" s="6">
        <v>161202719</v>
      </c>
      <c r="E65" s="6">
        <v>13433559.916666666</v>
      </c>
    </row>
    <row r="66" spans="1:5" x14ac:dyDescent="0.25">
      <c r="A66" s="7" t="s">
        <v>1332</v>
      </c>
      <c r="B66" s="6">
        <v>68.186335403726702</v>
      </c>
      <c r="C66" s="6">
        <v>23</v>
      </c>
      <c r="D66" s="6">
        <v>98951263</v>
      </c>
      <c r="E66" s="6">
        <v>8070345.1666666651</v>
      </c>
    </row>
    <row r="67" spans="1:5" x14ac:dyDescent="0.25">
      <c r="A67" s="7" t="s">
        <v>1263</v>
      </c>
      <c r="B67" s="6">
        <v>67.921428571428564</v>
      </c>
      <c r="C67" s="6">
        <v>20</v>
      </c>
      <c r="D67" s="6">
        <v>118462799</v>
      </c>
      <c r="E67" s="6">
        <v>9796678.9999999963</v>
      </c>
    </row>
    <row r="68" spans="1:5" x14ac:dyDescent="0.25">
      <c r="A68" s="7" t="s">
        <v>1231</v>
      </c>
      <c r="B68" s="6">
        <v>67.821428571428584</v>
      </c>
      <c r="C68" s="6">
        <v>20</v>
      </c>
      <c r="D68" s="6">
        <v>94588274</v>
      </c>
      <c r="E68" s="6">
        <v>7882356.166666667</v>
      </c>
    </row>
    <row r="69" spans="1:5" x14ac:dyDescent="0.25">
      <c r="A69" s="7" t="s">
        <v>1330</v>
      </c>
      <c r="B69" s="6">
        <v>67.69285714285715</v>
      </c>
      <c r="C69" s="6">
        <v>20</v>
      </c>
      <c r="D69" s="6">
        <v>108947362</v>
      </c>
      <c r="E69" s="6">
        <v>8951474.166666666</v>
      </c>
    </row>
    <row r="70" spans="1:5" x14ac:dyDescent="0.25">
      <c r="A70" s="7" t="s">
        <v>1267</v>
      </c>
      <c r="B70" s="6">
        <v>67.664285714285697</v>
      </c>
      <c r="C70" s="6">
        <v>20</v>
      </c>
      <c r="D70" s="6">
        <v>167848344</v>
      </c>
      <c r="E70" s="6">
        <v>13987362.000000002</v>
      </c>
    </row>
    <row r="71" spans="1:5" x14ac:dyDescent="0.25">
      <c r="A71" s="7" t="s">
        <v>1225</v>
      </c>
      <c r="B71" s="6">
        <v>67.314285714285703</v>
      </c>
      <c r="C71" s="6">
        <v>25</v>
      </c>
      <c r="D71" s="6">
        <v>82191947</v>
      </c>
      <c r="E71" s="6">
        <v>6608685.916666666</v>
      </c>
    </row>
    <row r="72" spans="1:5" x14ac:dyDescent="0.25">
      <c r="A72" s="7" t="s">
        <v>2682</v>
      </c>
      <c r="B72" s="6">
        <v>67.090225563909769</v>
      </c>
      <c r="C72" s="6">
        <v>19</v>
      </c>
      <c r="D72" s="6">
        <v>67250078</v>
      </c>
      <c r="E72" s="6">
        <v>5604173.166666667</v>
      </c>
    </row>
    <row r="73" spans="1:5" x14ac:dyDescent="0.25">
      <c r="A73" s="7" t="s">
        <v>1227</v>
      </c>
      <c r="B73" s="6">
        <v>66.971428571428575</v>
      </c>
      <c r="C73" s="6">
        <v>20</v>
      </c>
      <c r="D73" s="6">
        <v>81421940</v>
      </c>
      <c r="E73" s="6">
        <v>5966620.4166666651</v>
      </c>
    </row>
    <row r="74" spans="1:5" x14ac:dyDescent="0.25">
      <c r="A74" s="7" t="s">
        <v>2679</v>
      </c>
      <c r="B74" s="6">
        <v>66.928571428571431</v>
      </c>
      <c r="C74" s="6">
        <v>20</v>
      </c>
      <c r="D74" s="6">
        <v>57485706</v>
      </c>
      <c r="E74" s="6">
        <v>4790475.5</v>
      </c>
    </row>
    <row r="75" spans="1:5" x14ac:dyDescent="0.25">
      <c r="A75" s="7" t="s">
        <v>1286</v>
      </c>
      <c r="B75" s="6">
        <v>66.599999999999994</v>
      </c>
      <c r="C75" s="6">
        <v>20</v>
      </c>
      <c r="D75" s="6">
        <v>88773349</v>
      </c>
      <c r="E75" s="6">
        <v>7397779.0833333321</v>
      </c>
    </row>
    <row r="76" spans="1:5" x14ac:dyDescent="0.25">
      <c r="A76" s="7" t="s">
        <v>1281</v>
      </c>
      <c r="B76" s="6">
        <v>66.371428571428567</v>
      </c>
      <c r="C76" s="6">
        <v>20</v>
      </c>
      <c r="D76" s="6">
        <v>144472066</v>
      </c>
      <c r="E76" s="6">
        <v>11905430.916666664</v>
      </c>
    </row>
    <row r="77" spans="1:5" x14ac:dyDescent="0.25">
      <c r="A77" s="7" t="s">
        <v>1275</v>
      </c>
      <c r="B77" s="6">
        <v>66.345238095238088</v>
      </c>
      <c r="C77" s="6">
        <v>24</v>
      </c>
      <c r="D77" s="6">
        <v>105145836</v>
      </c>
      <c r="E77" s="6">
        <v>8726388.9166666679</v>
      </c>
    </row>
    <row r="78" spans="1:5" x14ac:dyDescent="0.25">
      <c r="A78" s="7" t="s">
        <v>1252</v>
      </c>
      <c r="B78" s="6">
        <v>66.007142857142853</v>
      </c>
      <c r="C78" s="6">
        <v>20</v>
      </c>
      <c r="D78" s="6">
        <v>72531120</v>
      </c>
      <c r="E78" s="6">
        <v>5854556.416666667</v>
      </c>
    </row>
    <row r="79" spans="1:5" x14ac:dyDescent="0.25">
      <c r="A79" s="7" t="s">
        <v>1248</v>
      </c>
      <c r="B79" s="6">
        <v>65.81547619047619</v>
      </c>
      <c r="C79" s="6">
        <v>24</v>
      </c>
      <c r="D79" s="6">
        <v>63520941</v>
      </c>
      <c r="E79" s="6">
        <v>5293411.75</v>
      </c>
    </row>
    <row r="80" spans="1:5" x14ac:dyDescent="0.25">
      <c r="A80" s="7" t="s">
        <v>1235</v>
      </c>
      <c r="B80" s="6">
        <v>65.659863945578238</v>
      </c>
      <c r="C80" s="6">
        <v>21</v>
      </c>
      <c r="D80" s="6">
        <v>58400102</v>
      </c>
      <c r="E80" s="6">
        <v>4866675.1666666651</v>
      </c>
    </row>
    <row r="81" spans="1:5" x14ac:dyDescent="0.25">
      <c r="A81" s="7" t="s">
        <v>1224</v>
      </c>
      <c r="B81" s="6">
        <v>65.396103896103909</v>
      </c>
      <c r="C81" s="6">
        <v>22</v>
      </c>
      <c r="D81" s="6">
        <v>51034522</v>
      </c>
      <c r="E81" s="6">
        <v>4252876.833333334</v>
      </c>
    </row>
    <row r="82" spans="1:5" x14ac:dyDescent="0.25">
      <c r="A82" s="7" t="s">
        <v>1265</v>
      </c>
      <c r="B82" s="6">
        <v>65.124223602484477</v>
      </c>
      <c r="C82" s="6">
        <v>23</v>
      </c>
      <c r="D82" s="6">
        <v>54320368</v>
      </c>
      <c r="E82" s="6">
        <v>2373454.1666666665</v>
      </c>
    </row>
    <row r="83" spans="1:5" x14ac:dyDescent="0.25">
      <c r="A83" s="7" t="s">
        <v>1271</v>
      </c>
      <c r="B83" s="6">
        <v>65.111111111111114</v>
      </c>
      <c r="C83" s="6">
        <v>18</v>
      </c>
      <c r="D83" s="6">
        <v>45883086</v>
      </c>
      <c r="E83" s="6">
        <v>3823590.5000000005</v>
      </c>
    </row>
    <row r="84" spans="1:5" x14ac:dyDescent="0.25">
      <c r="A84" s="7" t="s">
        <v>1240</v>
      </c>
      <c r="B84" s="6">
        <v>64.987577639751549</v>
      </c>
      <c r="C84" s="6">
        <v>23</v>
      </c>
      <c r="D84" s="6">
        <v>43098107</v>
      </c>
      <c r="E84" s="6">
        <v>3591508.916666667</v>
      </c>
    </row>
    <row r="85" spans="1:5" x14ac:dyDescent="0.25">
      <c r="A85" s="7" t="s">
        <v>1266</v>
      </c>
      <c r="B85" s="6">
        <v>64.888888888888886</v>
      </c>
      <c r="C85" s="6">
        <v>27</v>
      </c>
      <c r="D85" s="6">
        <v>68638801</v>
      </c>
      <c r="E85" s="6">
        <v>5564739.25</v>
      </c>
    </row>
    <row r="86" spans="1:5" x14ac:dyDescent="0.25">
      <c r="A86" s="7" t="s">
        <v>2681</v>
      </c>
      <c r="B86" s="6">
        <v>64.741758241758234</v>
      </c>
      <c r="C86" s="6">
        <v>26</v>
      </c>
      <c r="D86" s="6">
        <v>76642981</v>
      </c>
      <c r="E86" s="6">
        <v>6281729.666666666</v>
      </c>
    </row>
    <row r="87" spans="1:5" x14ac:dyDescent="0.25">
      <c r="A87" s="7" t="s">
        <v>1289</v>
      </c>
      <c r="B87" s="6">
        <v>64.099999999999994</v>
      </c>
      <c r="C87" s="6">
        <v>20</v>
      </c>
      <c r="D87" s="6">
        <v>51861157</v>
      </c>
      <c r="E87" s="6">
        <v>4211794.083333334</v>
      </c>
    </row>
    <row r="88" spans="1:5" x14ac:dyDescent="0.25">
      <c r="A88" s="7" t="s">
        <v>1270</v>
      </c>
      <c r="B88" s="6">
        <v>63.844720496894418</v>
      </c>
      <c r="C88" s="6">
        <v>23</v>
      </c>
      <c r="D88" s="6">
        <v>64406740</v>
      </c>
      <c r="E88" s="6">
        <v>5367228.3333333321</v>
      </c>
    </row>
    <row r="89" spans="1:5" x14ac:dyDescent="0.25">
      <c r="A89" s="7" t="s">
        <v>1272</v>
      </c>
      <c r="B89" s="6">
        <v>63.745341614906827</v>
      </c>
      <c r="C89" s="6">
        <v>23</v>
      </c>
      <c r="D89" s="6">
        <v>64832953</v>
      </c>
      <c r="E89" s="6">
        <v>5402746.083333334</v>
      </c>
    </row>
    <row r="90" spans="1:5" x14ac:dyDescent="0.25">
      <c r="A90" s="7" t="s">
        <v>1229</v>
      </c>
      <c r="B90" s="6">
        <v>63.535714285714278</v>
      </c>
      <c r="C90" s="6">
        <v>20</v>
      </c>
      <c r="D90" s="6">
        <v>124731527</v>
      </c>
      <c r="E90" s="6">
        <v>10374333.083333334</v>
      </c>
    </row>
    <row r="91" spans="1:5" x14ac:dyDescent="0.25">
      <c r="A91" s="7" t="s">
        <v>1239</v>
      </c>
      <c r="B91" s="6">
        <v>63.061224489795926</v>
      </c>
      <c r="C91" s="6">
        <v>21</v>
      </c>
      <c r="D91" s="6">
        <v>26963685</v>
      </c>
      <c r="E91" s="6">
        <v>2101631.75</v>
      </c>
    </row>
    <row r="92" spans="1:5" x14ac:dyDescent="0.25">
      <c r="A92" s="7" t="s">
        <v>2686</v>
      </c>
      <c r="B92" s="6">
        <v>62.892857142857132</v>
      </c>
      <c r="C92" s="6">
        <v>20</v>
      </c>
      <c r="D92" s="6">
        <v>24181789</v>
      </c>
      <c r="E92" s="6">
        <v>2015149.0833333333</v>
      </c>
    </row>
    <row r="93" spans="1:5" x14ac:dyDescent="0.25">
      <c r="A93" s="7" t="s">
        <v>2673</v>
      </c>
      <c r="B93" s="6">
        <v>62.74534161490682</v>
      </c>
      <c r="C93" s="6">
        <v>23</v>
      </c>
      <c r="D93" s="6">
        <v>48928413</v>
      </c>
      <c r="E93" s="6">
        <v>3774473.4166666679</v>
      </c>
    </row>
    <row r="94" spans="1:5" x14ac:dyDescent="0.25">
      <c r="A94" s="7" t="s">
        <v>1238</v>
      </c>
      <c r="B94" s="6">
        <v>62.613095238095234</v>
      </c>
      <c r="C94" s="6">
        <v>24</v>
      </c>
      <c r="D94" s="6">
        <v>34860486</v>
      </c>
      <c r="E94" s="6">
        <v>2905040.4999999995</v>
      </c>
    </row>
    <row r="95" spans="1:5" x14ac:dyDescent="0.25">
      <c r="A95" s="7" t="s">
        <v>1303</v>
      </c>
      <c r="B95" s="6">
        <v>62.600000000000009</v>
      </c>
      <c r="C95" s="6">
        <v>20</v>
      </c>
      <c r="D95" s="6">
        <v>25683997</v>
      </c>
      <c r="E95" s="6">
        <v>2140333.083333333</v>
      </c>
    </row>
    <row r="96" spans="1:5" x14ac:dyDescent="0.25">
      <c r="A96" s="7" t="s">
        <v>2678</v>
      </c>
      <c r="B96" s="6">
        <v>62.521428571428579</v>
      </c>
      <c r="C96" s="6">
        <v>20</v>
      </c>
      <c r="D96" s="6">
        <v>31501987</v>
      </c>
      <c r="E96" s="6">
        <v>2625165.5833333335</v>
      </c>
    </row>
    <row r="97" spans="1:5" x14ac:dyDescent="0.25">
      <c r="A97" s="7" t="s">
        <v>2685</v>
      </c>
      <c r="B97" s="6">
        <v>62.257142857142853</v>
      </c>
      <c r="C97" s="6">
        <v>20</v>
      </c>
      <c r="D97" s="6">
        <v>48807358</v>
      </c>
      <c r="E97" s="6">
        <v>3291999</v>
      </c>
    </row>
    <row r="98" spans="1:5" x14ac:dyDescent="0.25">
      <c r="A98" s="7" t="s">
        <v>1236</v>
      </c>
      <c r="B98" s="6">
        <v>62.010582010582006</v>
      </c>
      <c r="C98" s="6">
        <v>27</v>
      </c>
      <c r="D98" s="6">
        <v>31006510</v>
      </c>
      <c r="E98" s="6">
        <v>2185925.6666666665</v>
      </c>
    </row>
    <row r="99" spans="1:5" x14ac:dyDescent="0.25">
      <c r="A99" s="7" t="s">
        <v>1338</v>
      </c>
      <c r="B99" s="6">
        <v>61.29285714285713</v>
      </c>
      <c r="C99" s="6">
        <v>20</v>
      </c>
      <c r="D99" s="6">
        <v>22055102</v>
      </c>
      <c r="E99" s="6">
        <v>1837925.1666666665</v>
      </c>
    </row>
    <row r="100" spans="1:5" x14ac:dyDescent="0.25">
      <c r="A100" s="7" t="s">
        <v>1277</v>
      </c>
      <c r="B100" s="6">
        <v>60.45</v>
      </c>
      <c r="C100" s="6">
        <v>20</v>
      </c>
      <c r="D100" s="6">
        <v>31313696</v>
      </c>
      <c r="E100" s="6">
        <v>2609474.666666667</v>
      </c>
    </row>
    <row r="101" spans="1:5" x14ac:dyDescent="0.25">
      <c r="A101" s="7" t="s">
        <v>1261</v>
      </c>
      <c r="B101" s="6">
        <v>60.007518796992478</v>
      </c>
      <c r="C101" s="6">
        <v>19</v>
      </c>
      <c r="D101" s="6">
        <v>22699498</v>
      </c>
      <c r="E101" s="6">
        <v>1891624.8333333335</v>
      </c>
    </row>
    <row r="102" spans="1:5" x14ac:dyDescent="0.25">
      <c r="A102" s="7" t="s">
        <v>1259</v>
      </c>
      <c r="B102" s="6">
        <v>59.242857142857147</v>
      </c>
      <c r="C102" s="6">
        <v>20</v>
      </c>
      <c r="D102" s="6">
        <v>36937605</v>
      </c>
      <c r="E102" s="6">
        <v>2871690.75</v>
      </c>
    </row>
    <row r="103" spans="1:5" x14ac:dyDescent="0.25">
      <c r="A103" s="7" t="s">
        <v>2687</v>
      </c>
      <c r="B103" s="6">
        <v>59.199999999999989</v>
      </c>
      <c r="C103" s="6">
        <v>20</v>
      </c>
      <c r="D103" s="6">
        <v>50008450</v>
      </c>
      <c r="E103" s="6">
        <v>4167370.833333333</v>
      </c>
    </row>
    <row r="104" spans="1:5" x14ac:dyDescent="0.25">
      <c r="A104" s="7" t="s">
        <v>2674</v>
      </c>
      <c r="B104" s="6">
        <v>59.142857142857132</v>
      </c>
      <c r="C104" s="6">
        <v>20</v>
      </c>
      <c r="D104" s="6">
        <v>21007917</v>
      </c>
      <c r="E104" s="6">
        <v>1670136.4999999998</v>
      </c>
    </row>
    <row r="105" spans="1:5" x14ac:dyDescent="0.25">
      <c r="A105" s="7" t="s">
        <v>1241</v>
      </c>
      <c r="B105" s="6">
        <v>59.061224489795919</v>
      </c>
      <c r="C105" s="6">
        <v>21</v>
      </c>
      <c r="D105" s="6">
        <v>27319397</v>
      </c>
      <c r="E105" s="6">
        <v>2207976.3333333335</v>
      </c>
    </row>
    <row r="106" spans="1:5" x14ac:dyDescent="0.25">
      <c r="A106" s="7" t="s">
        <v>1237</v>
      </c>
      <c r="B106" s="6">
        <v>58.042857142857144</v>
      </c>
      <c r="C106" s="6">
        <v>20</v>
      </c>
      <c r="D106" s="6">
        <v>58705427</v>
      </c>
      <c r="E106" s="6">
        <v>4837303.333333333</v>
      </c>
    </row>
    <row r="107" spans="1:5" x14ac:dyDescent="0.25">
      <c r="A107" s="7" t="s">
        <v>1234</v>
      </c>
      <c r="B107" s="6">
        <v>57.071428571428562</v>
      </c>
      <c r="C107" s="6">
        <v>24</v>
      </c>
      <c r="D107" s="6">
        <v>14660999</v>
      </c>
      <c r="E107" s="6">
        <v>1221749.9166666665</v>
      </c>
    </row>
    <row r="108" spans="1:5" x14ac:dyDescent="0.25">
      <c r="A108" s="7" t="s">
        <v>2690</v>
      </c>
      <c r="B108" s="6">
        <v>56.70714285714287</v>
      </c>
      <c r="C108" s="6">
        <v>20</v>
      </c>
      <c r="D108" s="6">
        <v>14560099</v>
      </c>
      <c r="E108" s="6">
        <v>920480.91666666663</v>
      </c>
    </row>
    <row r="109" spans="1:5" x14ac:dyDescent="0.25">
      <c r="A109" s="7" t="s">
        <v>2715</v>
      </c>
      <c r="B109" s="6">
        <v>55.364285714285721</v>
      </c>
      <c r="C109" s="6">
        <v>20</v>
      </c>
      <c r="D109" s="6">
        <v>21699474</v>
      </c>
      <c r="E109" s="6">
        <v>1508084.1666666667</v>
      </c>
    </row>
    <row r="110" spans="1:5" x14ac:dyDescent="0.25">
      <c r="A110" s="7" t="s">
        <v>1251</v>
      </c>
      <c r="B110" s="6">
        <v>55.25563909774435</v>
      </c>
      <c r="C110" s="6">
        <v>19</v>
      </c>
      <c r="D110" s="6">
        <v>30589297</v>
      </c>
      <c r="E110" s="6">
        <v>2164245.2500000005</v>
      </c>
    </row>
    <row r="111" spans="1:5" x14ac:dyDescent="0.25">
      <c r="A111" s="7" t="s">
        <v>2691</v>
      </c>
      <c r="B111" s="6">
        <v>55.214285714285708</v>
      </c>
      <c r="C111" s="6">
        <v>20</v>
      </c>
      <c r="D111" s="6">
        <v>8267431</v>
      </c>
      <c r="E111" s="6">
        <v>468036.5</v>
      </c>
    </row>
    <row r="112" spans="1:5" x14ac:dyDescent="0.25">
      <c r="A112" s="7" t="s">
        <v>1300</v>
      </c>
      <c r="B112" s="6">
        <v>54.685714285714276</v>
      </c>
      <c r="C112" s="6">
        <v>20</v>
      </c>
      <c r="D112" s="6">
        <v>9875755</v>
      </c>
      <c r="E112" s="6">
        <v>476313.83333333337</v>
      </c>
    </row>
    <row r="113" spans="1:5" x14ac:dyDescent="0.25">
      <c r="A113" s="7" t="s">
        <v>2342</v>
      </c>
      <c r="B113" s="6">
        <v>54.507142857142853</v>
      </c>
      <c r="C113" s="6">
        <v>20</v>
      </c>
      <c r="D113" s="6">
        <v>7037581</v>
      </c>
      <c r="E113" s="6">
        <v>467311.16666666669</v>
      </c>
    </row>
    <row r="114" spans="1:5" x14ac:dyDescent="0.25">
      <c r="A114" s="7" t="s">
        <v>1297</v>
      </c>
      <c r="B114" s="6">
        <v>53.8</v>
      </c>
      <c r="C114" s="6">
        <v>20</v>
      </c>
      <c r="D114" s="6">
        <v>5668606</v>
      </c>
      <c r="E114" s="6">
        <v>472383.83333333337</v>
      </c>
    </row>
    <row r="115" spans="1:5" x14ac:dyDescent="0.25">
      <c r="A115" s="7" t="s">
        <v>1305</v>
      </c>
      <c r="B115" s="6">
        <v>53.442857142857136</v>
      </c>
      <c r="C115" s="6">
        <v>20</v>
      </c>
      <c r="D115" s="6">
        <v>11055513</v>
      </c>
      <c r="E115" s="6">
        <v>709861.50000000012</v>
      </c>
    </row>
    <row r="116" spans="1:5" x14ac:dyDescent="0.25">
      <c r="A116" s="7" t="s">
        <v>1245</v>
      </c>
      <c r="B116" s="6">
        <v>53.035714285714285</v>
      </c>
      <c r="C116" s="6">
        <v>24</v>
      </c>
      <c r="D116" s="6">
        <v>10342522</v>
      </c>
      <c r="E116" s="6">
        <v>738608.24999999988</v>
      </c>
    </row>
    <row r="117" spans="1:5" x14ac:dyDescent="0.25">
      <c r="A117" s="7" t="s">
        <v>2841</v>
      </c>
      <c r="B117" s="6">
        <v>52.780219780219795</v>
      </c>
      <c r="C117" s="6">
        <v>13</v>
      </c>
      <c r="D117" s="6">
        <v>47934682</v>
      </c>
      <c r="E117" s="6"/>
    </row>
    <row r="118" spans="1:5" x14ac:dyDescent="0.25">
      <c r="A118" s="7" t="s">
        <v>1320</v>
      </c>
      <c r="B118" s="6">
        <v>50.4</v>
      </c>
      <c r="C118" s="6">
        <v>20</v>
      </c>
      <c r="D118" s="6">
        <v>4437393</v>
      </c>
      <c r="E118" s="6">
        <v>246751.83333333334</v>
      </c>
    </row>
    <row r="119" spans="1:5" x14ac:dyDescent="0.25">
      <c r="A119" s="7" t="s">
        <v>1308</v>
      </c>
      <c r="B119" s="6">
        <v>49.857142857142854</v>
      </c>
      <c r="C119" s="6">
        <v>20</v>
      </c>
      <c r="D119" s="6">
        <v>2962217</v>
      </c>
      <c r="E119" s="6">
        <v>246851.41666666666</v>
      </c>
    </row>
    <row r="120" spans="1:5" x14ac:dyDescent="0.25">
      <c r="A120" s="7" t="s">
        <v>2688</v>
      </c>
      <c r="B120" s="6">
        <v>49.251700680272108</v>
      </c>
      <c r="C120" s="6">
        <v>21</v>
      </c>
      <c r="D120" s="6">
        <v>4216628</v>
      </c>
      <c r="E120" s="6">
        <v>163566.41666666672</v>
      </c>
    </row>
    <row r="121" spans="1:5" x14ac:dyDescent="0.25">
      <c r="A121" s="7" t="s">
        <v>1316</v>
      </c>
      <c r="B121" s="6">
        <v>47.414285714285711</v>
      </c>
      <c r="C121" s="6">
        <v>20</v>
      </c>
      <c r="D121" s="6">
        <v>3981896</v>
      </c>
      <c r="E121" s="6">
        <v>331824.66666666669</v>
      </c>
    </row>
    <row r="122" spans="1:5" x14ac:dyDescent="0.25">
      <c r="A122" s="7" t="s">
        <v>1313</v>
      </c>
      <c r="B122" s="6">
        <v>46.367346938775512</v>
      </c>
      <c r="C122" s="6">
        <v>21</v>
      </c>
      <c r="D122" s="6">
        <v>4433196</v>
      </c>
      <c r="E122" s="6">
        <v>369433.00000000012</v>
      </c>
    </row>
    <row r="123" spans="1:5" x14ac:dyDescent="0.25">
      <c r="A123" s="7" t="s">
        <v>2736</v>
      </c>
      <c r="B123" s="6">
        <v>45.8</v>
      </c>
      <c r="C123" s="6">
        <v>5</v>
      </c>
      <c r="D123" s="6">
        <v>215110</v>
      </c>
      <c r="E123" s="6"/>
    </row>
    <row r="124" spans="1:5" x14ac:dyDescent="0.25">
      <c r="A124" s="7" t="s">
        <v>1337</v>
      </c>
      <c r="B124" s="6">
        <v>44.95</v>
      </c>
      <c r="C124" s="6">
        <v>20</v>
      </c>
      <c r="D124" s="6">
        <v>12620034</v>
      </c>
      <c r="E124" s="6">
        <v>350190.75</v>
      </c>
    </row>
    <row r="125" spans="1:5" x14ac:dyDescent="0.25">
      <c r="A125" s="7" t="s">
        <v>2731</v>
      </c>
      <c r="B125" s="6">
        <v>44.285714285714285</v>
      </c>
      <c r="C125" s="6">
        <v>5</v>
      </c>
      <c r="D125" s="6">
        <v>350468</v>
      </c>
      <c r="E125" s="6"/>
    </row>
    <row r="126" spans="1:5" x14ac:dyDescent="0.25">
      <c r="A126" s="7" t="s">
        <v>2732</v>
      </c>
      <c r="B126" s="6">
        <v>43.742857142857147</v>
      </c>
      <c r="C126" s="6">
        <v>5</v>
      </c>
      <c r="D126" s="6">
        <v>184049</v>
      </c>
      <c r="E126" s="6"/>
    </row>
    <row r="127" spans="1:5" x14ac:dyDescent="0.25">
      <c r="A127" s="7" t="s">
        <v>2727</v>
      </c>
      <c r="B127" s="6">
        <v>43.51428571428572</v>
      </c>
      <c r="C127" s="6">
        <v>5</v>
      </c>
      <c r="D127" s="6">
        <v>223448</v>
      </c>
      <c r="E127" s="6"/>
    </row>
    <row r="128" spans="1:5" x14ac:dyDescent="0.25">
      <c r="A128" s="7" t="s">
        <v>2724</v>
      </c>
      <c r="B128" s="6">
        <v>43.285714285714292</v>
      </c>
      <c r="C128" s="6">
        <v>5</v>
      </c>
      <c r="D128" s="6">
        <v>235060</v>
      </c>
      <c r="E128" s="6"/>
    </row>
    <row r="129" spans="1:5" x14ac:dyDescent="0.25">
      <c r="A129" s="7" t="s">
        <v>2726</v>
      </c>
      <c r="B129" s="6">
        <v>42.914285714285711</v>
      </c>
      <c r="C129" s="6">
        <v>5</v>
      </c>
      <c r="D129" s="6">
        <v>120987</v>
      </c>
      <c r="E129" s="6"/>
    </row>
    <row r="130" spans="1:5" x14ac:dyDescent="0.25">
      <c r="A130" s="7" t="s">
        <v>2735</v>
      </c>
      <c r="B130" s="6">
        <v>41.942857142857143</v>
      </c>
      <c r="C130" s="6">
        <v>5</v>
      </c>
      <c r="D130" s="6">
        <v>126770</v>
      </c>
      <c r="E130" s="6"/>
    </row>
    <row r="131" spans="1:5" x14ac:dyDescent="0.25">
      <c r="A131" s="7" t="s">
        <v>2728</v>
      </c>
      <c r="B131" s="6">
        <v>41.51428571428572</v>
      </c>
      <c r="C131" s="6">
        <v>5</v>
      </c>
      <c r="D131" s="6">
        <v>131290</v>
      </c>
      <c r="E131" s="6"/>
    </row>
    <row r="132" spans="1:5" x14ac:dyDescent="0.25">
      <c r="A132" s="7" t="s">
        <v>1306</v>
      </c>
      <c r="B132" s="6">
        <v>39.385714285714286</v>
      </c>
      <c r="C132" s="6">
        <v>20</v>
      </c>
      <c r="D132" s="6">
        <v>2173133</v>
      </c>
      <c r="E132" s="6">
        <v>164786.83333333331</v>
      </c>
    </row>
    <row r="133" spans="1:5" x14ac:dyDescent="0.25">
      <c r="A133" s="7" t="s">
        <v>1311</v>
      </c>
      <c r="B133" s="6">
        <v>38.621428571428574</v>
      </c>
      <c r="C133" s="6">
        <v>20</v>
      </c>
      <c r="D133" s="6">
        <v>893872</v>
      </c>
      <c r="E133" s="6">
        <v>63706.833333333328</v>
      </c>
    </row>
    <row r="134" spans="1:5" x14ac:dyDescent="0.25">
      <c r="A134" s="7" t="s">
        <v>2395</v>
      </c>
      <c r="B134" s="6">
        <v>37.900000000000006</v>
      </c>
      <c r="C134" s="6">
        <v>20</v>
      </c>
      <c r="D134" s="6">
        <v>1117017</v>
      </c>
      <c r="E134" s="6">
        <v>43059.083333333328</v>
      </c>
    </row>
    <row r="135" spans="1:5" x14ac:dyDescent="0.25">
      <c r="A135" s="7" t="s">
        <v>1329</v>
      </c>
      <c r="B135" s="6">
        <v>37.471428571428575</v>
      </c>
      <c r="C135" s="6">
        <v>20</v>
      </c>
      <c r="D135" s="6">
        <v>540729</v>
      </c>
      <c r="E135" s="6">
        <v>41916.416666666664</v>
      </c>
    </row>
    <row r="136" spans="1:5" x14ac:dyDescent="0.25">
      <c r="A136" s="7" t="s">
        <v>2722</v>
      </c>
      <c r="B136" s="6">
        <v>37.142857142857146</v>
      </c>
      <c r="C136" s="6">
        <v>5</v>
      </c>
      <c r="D136" s="6">
        <v>45212</v>
      </c>
      <c r="E136" s="6"/>
    </row>
    <row r="137" spans="1:5" x14ac:dyDescent="0.25">
      <c r="A137" s="7" t="s">
        <v>2376</v>
      </c>
      <c r="B137" s="6">
        <v>37.078571428571429</v>
      </c>
      <c r="C137" s="6">
        <v>20</v>
      </c>
      <c r="D137" s="6">
        <v>523286</v>
      </c>
      <c r="E137" s="6">
        <v>43607.166666666672</v>
      </c>
    </row>
    <row r="138" spans="1:5" x14ac:dyDescent="0.25">
      <c r="A138" s="7" t="s">
        <v>2716</v>
      </c>
      <c r="B138" s="6">
        <v>36.771428571428572</v>
      </c>
      <c r="C138" s="6">
        <v>5</v>
      </c>
      <c r="D138" s="6">
        <v>43980</v>
      </c>
      <c r="E138" s="6"/>
    </row>
    <row r="139" spans="1:5" x14ac:dyDescent="0.25">
      <c r="A139" s="7" t="s">
        <v>2721</v>
      </c>
      <c r="B139" s="6">
        <v>35.342857142857142</v>
      </c>
      <c r="C139" s="6">
        <v>5</v>
      </c>
      <c r="D139" s="6">
        <v>148561</v>
      </c>
      <c r="E139" s="6"/>
    </row>
    <row r="140" spans="1:5" x14ac:dyDescent="0.25">
      <c r="A140" s="7" t="s">
        <v>2377</v>
      </c>
      <c r="B140" s="6">
        <v>34.51428571428572</v>
      </c>
      <c r="C140" s="6">
        <v>20</v>
      </c>
      <c r="D140" s="6">
        <v>308219</v>
      </c>
      <c r="E140" s="6">
        <v>20898.25</v>
      </c>
    </row>
    <row r="141" spans="1:5" x14ac:dyDescent="0.25">
      <c r="A141" s="7" t="s">
        <v>2723</v>
      </c>
      <c r="B141" s="6">
        <v>33.057142857142857</v>
      </c>
      <c r="C141" s="6">
        <v>5</v>
      </c>
      <c r="D141" s="6">
        <v>16007</v>
      </c>
      <c r="E141" s="6"/>
    </row>
    <row r="142" spans="1:5" x14ac:dyDescent="0.25">
      <c r="A142" s="7" t="s">
        <v>2519</v>
      </c>
      <c r="B142" s="6">
        <v>32.985714285714288</v>
      </c>
      <c r="C142" s="6">
        <v>20</v>
      </c>
      <c r="D142" s="6">
        <v>242872</v>
      </c>
      <c r="E142" s="6">
        <v>20239.333333333332</v>
      </c>
    </row>
    <row r="143" spans="1:5" x14ac:dyDescent="0.25">
      <c r="A143" s="7" t="s">
        <v>2733</v>
      </c>
      <c r="B143" s="6">
        <v>32.685714285714283</v>
      </c>
      <c r="C143" s="6">
        <v>5</v>
      </c>
      <c r="D143" s="6">
        <v>11993</v>
      </c>
      <c r="E143" s="6"/>
    </row>
    <row r="144" spans="1:5" x14ac:dyDescent="0.25">
      <c r="A144" s="7" t="s">
        <v>2729</v>
      </c>
      <c r="B144" s="6">
        <v>32.657142857142858</v>
      </c>
      <c r="C144" s="6">
        <v>5</v>
      </c>
      <c r="D144" s="6">
        <v>29012</v>
      </c>
      <c r="E144" s="6"/>
    </row>
    <row r="145" spans="1:5" x14ac:dyDescent="0.25">
      <c r="A145" s="7" t="s">
        <v>2730</v>
      </c>
      <c r="B145" s="6">
        <v>32.200000000000003</v>
      </c>
      <c r="C145" s="6">
        <v>5</v>
      </c>
      <c r="D145" s="6">
        <v>10300</v>
      </c>
      <c r="E145" s="6"/>
    </row>
    <row r="146" spans="1:5" x14ac:dyDescent="0.25">
      <c r="A146" s="7" t="s">
        <v>2718</v>
      </c>
      <c r="B146" s="6">
        <v>31.742857142857144</v>
      </c>
      <c r="C146" s="6">
        <v>5</v>
      </c>
      <c r="D146" s="6">
        <v>14476</v>
      </c>
      <c r="E146" s="6"/>
    </row>
    <row r="147" spans="1:5" x14ac:dyDescent="0.25">
      <c r="A147" s="7" t="s">
        <v>2720</v>
      </c>
      <c r="B147" s="6">
        <v>31.31428571428571</v>
      </c>
      <c r="C147" s="6">
        <v>5</v>
      </c>
      <c r="D147" s="6">
        <v>10719</v>
      </c>
      <c r="E147" s="6"/>
    </row>
    <row r="148" spans="1:5" x14ac:dyDescent="0.25">
      <c r="A148" s="7" t="s">
        <v>2725</v>
      </c>
      <c r="B148" s="6">
        <v>30.342857142857145</v>
      </c>
      <c r="C148" s="6">
        <v>5</v>
      </c>
      <c r="D148" s="6">
        <v>16998</v>
      </c>
      <c r="E148" s="6"/>
    </row>
    <row r="149" spans="1:5" x14ac:dyDescent="0.25">
      <c r="A149" s="7" t="s">
        <v>2719</v>
      </c>
      <c r="B149" s="6">
        <v>28.171428571428571</v>
      </c>
      <c r="C149" s="6">
        <v>5</v>
      </c>
      <c r="D149" s="6">
        <v>18660</v>
      </c>
      <c r="E149" s="6"/>
    </row>
    <row r="150" spans="1:5" x14ac:dyDescent="0.25">
      <c r="A150" s="7" t="s">
        <v>2717</v>
      </c>
      <c r="B150" s="6">
        <v>27.485714285714288</v>
      </c>
      <c r="C150" s="6">
        <v>5</v>
      </c>
      <c r="D150" s="6">
        <v>3859</v>
      </c>
      <c r="E150" s="6"/>
    </row>
    <row r="151" spans="1:5" x14ac:dyDescent="0.25">
      <c r="A151" s="7" t="s">
        <v>2734</v>
      </c>
      <c r="B151" s="6">
        <v>26.828571428571429</v>
      </c>
      <c r="C151" s="6">
        <v>5</v>
      </c>
      <c r="D151" s="6">
        <v>2323</v>
      </c>
      <c r="E151" s="6"/>
    </row>
    <row r="152" spans="1:5" x14ac:dyDescent="0.25">
      <c r="A152" s="5" t="s">
        <v>1222</v>
      </c>
      <c r="B152" s="6">
        <v>91.142857142857153</v>
      </c>
      <c r="C152" s="6">
        <v>3</v>
      </c>
      <c r="D152" s="6">
        <v>178379162</v>
      </c>
      <c r="E152" s="6">
        <v>14864930.166666664</v>
      </c>
    </row>
    <row r="153" spans="1:5" x14ac:dyDescent="0.25">
      <c r="A153" s="7" t="s">
        <v>1293</v>
      </c>
      <c r="B153" s="6">
        <v>91.428571428571431</v>
      </c>
      <c r="C153" s="6">
        <v>2</v>
      </c>
      <c r="D153" s="6">
        <v>122660146</v>
      </c>
      <c r="E153" s="6">
        <v>10221678.833333332</v>
      </c>
    </row>
    <row r="154" spans="1:5" x14ac:dyDescent="0.25">
      <c r="A154" s="7" t="s">
        <v>1283</v>
      </c>
      <c r="B154" s="6">
        <v>90.571428571428569</v>
      </c>
      <c r="C154" s="6">
        <v>1</v>
      </c>
      <c r="D154" s="6">
        <v>55719016</v>
      </c>
      <c r="E154" s="6">
        <v>4643251.333333333</v>
      </c>
    </row>
    <row r="155" spans="1:5" x14ac:dyDescent="0.25">
      <c r="A155" s="5" t="s">
        <v>2539</v>
      </c>
      <c r="B155" s="6">
        <v>77.82099827882962</v>
      </c>
      <c r="C155" s="6">
        <v>83</v>
      </c>
      <c r="D155" s="6">
        <v>1188097372</v>
      </c>
      <c r="E155" s="6">
        <v>99788027.666666672</v>
      </c>
    </row>
    <row r="156" spans="1:5" x14ac:dyDescent="0.25">
      <c r="A156" s="7" t="s">
        <v>2539</v>
      </c>
      <c r="B156" s="6">
        <v>77.82099827882962</v>
      </c>
      <c r="C156" s="6">
        <v>83</v>
      </c>
      <c r="D156" s="6">
        <v>1188097372</v>
      </c>
      <c r="E156" s="6">
        <v>99788027.666666672</v>
      </c>
    </row>
    <row r="157" spans="1:5" x14ac:dyDescent="0.25">
      <c r="A157" s="5" t="s">
        <v>1323</v>
      </c>
      <c r="B157" s="6">
        <v>65.092603049124861</v>
      </c>
      <c r="C157" s="6">
        <v>2530</v>
      </c>
      <c r="D157" s="6">
        <v>22683324459</v>
      </c>
      <c r="E157" s="6">
        <v>1864525565.416661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0193C-CA63-4359-8031-ACC49125EEB2}">
  <dimension ref="A3:B676"/>
  <sheetViews>
    <sheetView topLeftCell="A205" workbookViewId="0">
      <selection activeCell="D624" sqref="D624"/>
    </sheetView>
  </sheetViews>
  <sheetFormatPr defaultRowHeight="15" x14ac:dyDescent="0.25"/>
  <cols>
    <col min="1" max="1" width="24.28515625" bestFit="1" customWidth="1"/>
    <col min="2" max="2" width="20.5703125" bestFit="1" customWidth="1"/>
  </cols>
  <sheetData>
    <row r="3" spans="1:2" x14ac:dyDescent="0.25">
      <c r="A3" s="4" t="s">
        <v>1322</v>
      </c>
      <c r="B3" t="s">
        <v>2670</v>
      </c>
    </row>
    <row r="4" spans="1:2" x14ac:dyDescent="0.25">
      <c r="A4" s="5" t="s">
        <v>1281</v>
      </c>
      <c r="B4" s="6">
        <v>66.371428571428567</v>
      </c>
    </row>
    <row r="5" spans="1:2" x14ac:dyDescent="0.25">
      <c r="A5" s="7" t="s">
        <v>1133</v>
      </c>
      <c r="B5" s="6">
        <v>62.357142857142861</v>
      </c>
    </row>
    <row r="6" spans="1:2" x14ac:dyDescent="0.25">
      <c r="A6" s="7" t="s">
        <v>1134</v>
      </c>
      <c r="B6" s="6">
        <v>66.095238095238088</v>
      </c>
    </row>
    <row r="7" spans="1:2" x14ac:dyDescent="0.25">
      <c r="A7" s="7" t="s">
        <v>1135</v>
      </c>
      <c r="B7" s="6">
        <v>67.142857142857153</v>
      </c>
    </row>
    <row r="8" spans="1:2" x14ac:dyDescent="0.25">
      <c r="A8" s="7" t="s">
        <v>1136</v>
      </c>
      <c r="B8" s="6">
        <v>67.803571428571431</v>
      </c>
    </row>
    <row r="9" spans="1:2" x14ac:dyDescent="0.25">
      <c r="A9" s="7" t="s">
        <v>1137</v>
      </c>
      <c r="B9" s="6">
        <v>62.285714285714285</v>
      </c>
    </row>
    <row r="10" spans="1:2" x14ac:dyDescent="0.25">
      <c r="A10" s="5" t="s">
        <v>1227</v>
      </c>
      <c r="B10" s="6">
        <v>66.971428571428575</v>
      </c>
    </row>
    <row r="11" spans="1:2" x14ac:dyDescent="0.25">
      <c r="A11" s="7" t="s">
        <v>1133</v>
      </c>
      <c r="B11" s="6">
        <v>70.857142857142861</v>
      </c>
    </row>
    <row r="12" spans="1:2" x14ac:dyDescent="0.25">
      <c r="A12" s="7" t="s">
        <v>1134</v>
      </c>
      <c r="B12" s="6">
        <v>67.542857142857144</v>
      </c>
    </row>
    <row r="13" spans="1:2" x14ac:dyDescent="0.25">
      <c r="A13" s="7" t="s">
        <v>1135</v>
      </c>
      <c r="B13" s="6">
        <v>70.047619047619037</v>
      </c>
    </row>
    <row r="14" spans="1:2" x14ac:dyDescent="0.25">
      <c r="A14" s="7" t="s">
        <v>1136</v>
      </c>
      <c r="B14" s="6">
        <v>65.174603174603178</v>
      </c>
    </row>
    <row r="15" spans="1:2" x14ac:dyDescent="0.25">
      <c r="A15" s="7" t="s">
        <v>1137</v>
      </c>
      <c r="B15" s="6">
        <v>63.285714285714285</v>
      </c>
    </row>
    <row r="16" spans="1:2" x14ac:dyDescent="0.25">
      <c r="A16" s="5" t="s">
        <v>1250</v>
      </c>
      <c r="B16" s="6">
        <v>80.428571428571445</v>
      </c>
    </row>
    <row r="17" spans="1:2" x14ac:dyDescent="0.25">
      <c r="A17" s="7" t="s">
        <v>1133</v>
      </c>
      <c r="B17" s="6">
        <v>75.642857142857139</v>
      </c>
    </row>
    <row r="18" spans="1:2" x14ac:dyDescent="0.25">
      <c r="A18" s="7" t="s">
        <v>1134</v>
      </c>
      <c r="B18" s="6">
        <v>78.69841269841271</v>
      </c>
    </row>
    <row r="19" spans="1:2" x14ac:dyDescent="0.25">
      <c r="A19" s="7" t="s">
        <v>1135</v>
      </c>
      <c r="B19" s="6">
        <v>85.035714285714292</v>
      </c>
    </row>
    <row r="20" spans="1:2" x14ac:dyDescent="0.25">
      <c r="A20" s="7" t="s">
        <v>1136</v>
      </c>
      <c r="B20" s="6">
        <v>80.363636363636374</v>
      </c>
    </row>
    <row r="21" spans="1:2" x14ac:dyDescent="0.25">
      <c r="A21" s="7" t="s">
        <v>1137</v>
      </c>
      <c r="B21" s="6">
        <v>87.857142857142861</v>
      </c>
    </row>
    <row r="22" spans="1:2" x14ac:dyDescent="0.25">
      <c r="A22" s="5" t="s">
        <v>1230</v>
      </c>
      <c r="B22" s="6">
        <v>82.241758241758262</v>
      </c>
    </row>
    <row r="23" spans="1:2" x14ac:dyDescent="0.25">
      <c r="A23" s="7" t="s">
        <v>1133</v>
      </c>
      <c r="B23" s="6">
        <v>80.714285714285722</v>
      </c>
    </row>
    <row r="24" spans="1:2" x14ac:dyDescent="0.25">
      <c r="A24" s="7" t="s">
        <v>1134</v>
      </c>
      <c r="B24" s="6">
        <v>82.317460317460302</v>
      </c>
    </row>
    <row r="25" spans="1:2" x14ac:dyDescent="0.25">
      <c r="A25" s="7" t="s">
        <v>1135</v>
      </c>
      <c r="B25" s="6">
        <v>83.457142857142856</v>
      </c>
    </row>
    <row r="26" spans="1:2" x14ac:dyDescent="0.25">
      <c r="A26" s="7" t="s">
        <v>1136</v>
      </c>
      <c r="B26" s="6">
        <v>81.249999999999986</v>
      </c>
    </row>
    <row r="27" spans="1:2" x14ac:dyDescent="0.25">
      <c r="A27" s="7" t="s">
        <v>1137</v>
      </c>
      <c r="B27" s="6">
        <v>88</v>
      </c>
    </row>
    <row r="28" spans="1:2" x14ac:dyDescent="0.25">
      <c r="A28" s="5" t="s">
        <v>2691</v>
      </c>
      <c r="B28" s="6">
        <v>55.214285714285708</v>
      </c>
    </row>
    <row r="29" spans="1:2" x14ac:dyDescent="0.25">
      <c r="A29" s="7" t="s">
        <v>1133</v>
      </c>
      <c r="B29" s="6">
        <v>51.285714285714285</v>
      </c>
    </row>
    <row r="30" spans="1:2" x14ac:dyDescent="0.25">
      <c r="A30" s="7" t="s">
        <v>1134</v>
      </c>
      <c r="B30" s="6">
        <v>53.857142857142868</v>
      </c>
    </row>
    <row r="31" spans="1:2" x14ac:dyDescent="0.25">
      <c r="A31" s="7" t="s">
        <v>1135</v>
      </c>
      <c r="B31" s="6">
        <v>59.61904761904762</v>
      </c>
    </row>
    <row r="32" spans="1:2" x14ac:dyDescent="0.25">
      <c r="A32" s="7" t="s">
        <v>1136</v>
      </c>
      <c r="B32" s="6">
        <v>56.375</v>
      </c>
    </row>
    <row r="33" spans="1:2" x14ac:dyDescent="0.25">
      <c r="A33" s="7" t="s">
        <v>1137</v>
      </c>
      <c r="B33" s="6">
        <v>51.285714285714285</v>
      </c>
    </row>
    <row r="34" spans="1:2" x14ac:dyDescent="0.25">
      <c r="A34" s="5" t="s">
        <v>1259</v>
      </c>
      <c r="B34" s="6">
        <v>59.242857142857147</v>
      </c>
    </row>
    <row r="35" spans="1:2" x14ac:dyDescent="0.25">
      <c r="A35" s="7" t="s">
        <v>1133</v>
      </c>
      <c r="B35" s="6">
        <v>63</v>
      </c>
    </row>
    <row r="36" spans="1:2" x14ac:dyDescent="0.25">
      <c r="A36" s="7" t="s">
        <v>1134</v>
      </c>
      <c r="B36" s="6">
        <v>55.68571428571429</v>
      </c>
    </row>
    <row r="37" spans="1:2" x14ac:dyDescent="0.25">
      <c r="A37" s="7" t="s">
        <v>1135</v>
      </c>
      <c r="B37" s="6">
        <v>56.928571428571423</v>
      </c>
    </row>
    <row r="38" spans="1:2" x14ac:dyDescent="0.25">
      <c r="A38" s="7" t="s">
        <v>1136</v>
      </c>
      <c r="B38" s="6">
        <v>62.357142857142854</v>
      </c>
    </row>
    <row r="39" spans="1:2" x14ac:dyDescent="0.25">
      <c r="A39" s="7" t="s">
        <v>1137</v>
      </c>
      <c r="B39" s="6">
        <v>53.857142857142854</v>
      </c>
    </row>
    <row r="40" spans="1:2" x14ac:dyDescent="0.25">
      <c r="A40" s="5" t="s">
        <v>1228</v>
      </c>
      <c r="B40" s="6">
        <v>74.577922077922082</v>
      </c>
    </row>
    <row r="41" spans="1:2" x14ac:dyDescent="0.25">
      <c r="A41" s="7" t="s">
        <v>1133</v>
      </c>
      <c r="B41" s="6">
        <v>77.071428571428584</v>
      </c>
    </row>
    <row r="42" spans="1:2" x14ac:dyDescent="0.25">
      <c r="A42" s="7" t="s">
        <v>1134</v>
      </c>
      <c r="B42" s="6">
        <v>69.25</v>
      </c>
    </row>
    <row r="43" spans="1:2" x14ac:dyDescent="0.25">
      <c r="A43" s="7" t="s">
        <v>1135</v>
      </c>
      <c r="B43" s="6">
        <v>77.25</v>
      </c>
    </row>
    <row r="44" spans="1:2" x14ac:dyDescent="0.25">
      <c r="A44" s="7" t="s">
        <v>1136</v>
      </c>
      <c r="B44" s="6">
        <v>79.428571428571431</v>
      </c>
    </row>
    <row r="45" spans="1:2" x14ac:dyDescent="0.25">
      <c r="A45" s="7" t="s">
        <v>1137</v>
      </c>
      <c r="B45" s="6">
        <v>67.571428571428569</v>
      </c>
    </row>
    <row r="46" spans="1:2" x14ac:dyDescent="0.25">
      <c r="A46" s="5" t="s">
        <v>1258</v>
      </c>
      <c r="B46" s="6">
        <v>68.702857142857155</v>
      </c>
    </row>
    <row r="47" spans="1:2" x14ac:dyDescent="0.25">
      <c r="A47" s="7" t="s">
        <v>1133</v>
      </c>
      <c r="B47" s="6">
        <v>66.214285714285722</v>
      </c>
    </row>
    <row r="48" spans="1:2" x14ac:dyDescent="0.25">
      <c r="A48" s="7" t="s">
        <v>1134</v>
      </c>
      <c r="B48" s="6">
        <v>65.253968253968253</v>
      </c>
    </row>
    <row r="49" spans="1:2" x14ac:dyDescent="0.25">
      <c r="A49" s="7" t="s">
        <v>1135</v>
      </c>
      <c r="B49" s="6">
        <v>69.11904761904762</v>
      </c>
    </row>
    <row r="50" spans="1:2" x14ac:dyDescent="0.25">
      <c r="A50" s="7" t="s">
        <v>1136</v>
      </c>
      <c r="B50" s="6">
        <v>73.224489795918359</v>
      </c>
    </row>
    <row r="51" spans="1:2" x14ac:dyDescent="0.25">
      <c r="A51" s="7" t="s">
        <v>1137</v>
      </c>
      <c r="B51" s="6">
        <v>70.571428571428569</v>
      </c>
    </row>
    <row r="52" spans="1:2" x14ac:dyDescent="0.25">
      <c r="A52" s="5" t="s">
        <v>1263</v>
      </c>
      <c r="B52" s="6">
        <v>67.921428571428564</v>
      </c>
    </row>
    <row r="53" spans="1:2" x14ac:dyDescent="0.25">
      <c r="A53" s="7" t="s">
        <v>1133</v>
      </c>
      <c r="B53" s="6">
        <v>75.571428571428569</v>
      </c>
    </row>
    <row r="54" spans="1:2" x14ac:dyDescent="0.25">
      <c r="A54" s="7" t="s">
        <v>1134</v>
      </c>
      <c r="B54" s="6">
        <v>65.452380952380949</v>
      </c>
    </row>
    <row r="55" spans="1:2" x14ac:dyDescent="0.25">
      <c r="A55" s="7" t="s">
        <v>1135</v>
      </c>
      <c r="B55" s="6">
        <v>69.928571428571431</v>
      </c>
    </row>
    <row r="56" spans="1:2" x14ac:dyDescent="0.25">
      <c r="A56" s="7" t="s">
        <v>1136</v>
      </c>
      <c r="B56" s="6">
        <v>68.8</v>
      </c>
    </row>
    <row r="57" spans="1:2" x14ac:dyDescent="0.25">
      <c r="A57" s="7" t="s">
        <v>1137</v>
      </c>
      <c r="B57" s="6">
        <v>62.285714285714285</v>
      </c>
    </row>
    <row r="58" spans="1:2" x14ac:dyDescent="0.25">
      <c r="A58" s="5" t="s">
        <v>1289</v>
      </c>
      <c r="B58" s="6">
        <v>64.099999999999994</v>
      </c>
    </row>
    <row r="59" spans="1:2" x14ac:dyDescent="0.25">
      <c r="A59" s="7" t="s">
        <v>1133</v>
      </c>
      <c r="B59" s="6">
        <v>65.142857142857139</v>
      </c>
    </row>
    <row r="60" spans="1:2" x14ac:dyDescent="0.25">
      <c r="A60" s="7" t="s">
        <v>1134</v>
      </c>
      <c r="B60" s="6">
        <v>61.885714285714286</v>
      </c>
    </row>
    <row r="61" spans="1:2" x14ac:dyDescent="0.25">
      <c r="A61" s="7" t="s">
        <v>1135</v>
      </c>
      <c r="B61" s="6">
        <v>60.107142857142854</v>
      </c>
    </row>
    <row r="62" spans="1:2" x14ac:dyDescent="0.25">
      <c r="A62" s="7" t="s">
        <v>1136</v>
      </c>
      <c r="B62" s="6">
        <v>67.535714285714292</v>
      </c>
    </row>
    <row r="63" spans="1:2" x14ac:dyDescent="0.25">
      <c r="A63" s="7" t="s">
        <v>1137</v>
      </c>
      <c r="B63" s="6">
        <v>61.571428571428569</v>
      </c>
    </row>
    <row r="64" spans="1:2" x14ac:dyDescent="0.25">
      <c r="A64" s="5" t="s">
        <v>2673</v>
      </c>
      <c r="B64" s="6">
        <v>62.74534161490682</v>
      </c>
    </row>
    <row r="65" spans="1:2" x14ac:dyDescent="0.25">
      <c r="A65" s="7" t="s">
        <v>1133</v>
      </c>
      <c r="B65" s="6">
        <v>58.428571428571431</v>
      </c>
    </row>
    <row r="66" spans="1:2" x14ac:dyDescent="0.25">
      <c r="A66" s="7" t="s">
        <v>1134</v>
      </c>
      <c r="B66" s="6">
        <v>63.017857142857146</v>
      </c>
    </row>
    <row r="67" spans="1:2" x14ac:dyDescent="0.25">
      <c r="A67" s="7" t="s">
        <v>1135</v>
      </c>
      <c r="B67" s="6">
        <v>59.142857142857146</v>
      </c>
    </row>
    <row r="68" spans="1:2" x14ac:dyDescent="0.25">
      <c r="A68" s="7" t="s">
        <v>1136</v>
      </c>
      <c r="B68" s="6">
        <v>64.44285714285715</v>
      </c>
    </row>
    <row r="69" spans="1:2" x14ac:dyDescent="0.25">
      <c r="A69" s="7" t="s">
        <v>1137</v>
      </c>
      <c r="B69" s="6">
        <v>58.714285714285715</v>
      </c>
    </row>
    <row r="70" spans="1:2" x14ac:dyDescent="0.25">
      <c r="A70" s="5" t="s">
        <v>1255</v>
      </c>
      <c r="B70" s="6">
        <v>82.811688311688314</v>
      </c>
    </row>
    <row r="71" spans="1:2" x14ac:dyDescent="0.25">
      <c r="A71" s="7" t="s">
        <v>1133</v>
      </c>
      <c r="B71" s="6">
        <v>83.714285714285708</v>
      </c>
    </row>
    <row r="72" spans="1:2" x14ac:dyDescent="0.25">
      <c r="A72" s="7" t="s">
        <v>1134</v>
      </c>
      <c r="B72" s="6">
        <v>83.040816326530617</v>
      </c>
    </row>
    <row r="73" spans="1:2" x14ac:dyDescent="0.25">
      <c r="A73" s="7" t="s">
        <v>1135</v>
      </c>
      <c r="B73" s="6">
        <v>85.178571428571431</v>
      </c>
    </row>
    <row r="74" spans="1:2" x14ac:dyDescent="0.25">
      <c r="A74" s="7" t="s">
        <v>1136</v>
      </c>
      <c r="B74" s="6">
        <v>81.095238095238102</v>
      </c>
    </row>
    <row r="75" spans="1:2" x14ac:dyDescent="0.25">
      <c r="A75" s="7" t="s">
        <v>1137</v>
      </c>
      <c r="B75" s="6">
        <v>86.285714285714292</v>
      </c>
    </row>
    <row r="76" spans="1:2" x14ac:dyDescent="0.25">
      <c r="A76" s="5" t="s">
        <v>2684</v>
      </c>
      <c r="B76" s="6">
        <v>70.112781954887225</v>
      </c>
    </row>
    <row r="77" spans="1:2" x14ac:dyDescent="0.25">
      <c r="A77" s="7" t="s">
        <v>1133</v>
      </c>
      <c r="B77" s="6">
        <v>72.571428571428569</v>
      </c>
    </row>
    <row r="78" spans="1:2" x14ac:dyDescent="0.25">
      <c r="A78" s="7" t="s">
        <v>1134</v>
      </c>
      <c r="B78" s="6">
        <v>72.428571428571416</v>
      </c>
    </row>
    <row r="79" spans="1:2" x14ac:dyDescent="0.25">
      <c r="A79" s="7" t="s">
        <v>1135</v>
      </c>
      <c r="B79" s="6">
        <v>77.476190476190482</v>
      </c>
    </row>
    <row r="80" spans="1:2" x14ac:dyDescent="0.25">
      <c r="A80" s="7" t="s">
        <v>1136</v>
      </c>
      <c r="B80" s="6">
        <v>67.015873015873026</v>
      </c>
    </row>
    <row r="81" spans="1:2" x14ac:dyDescent="0.25">
      <c r="A81" s="7" t="s">
        <v>1137</v>
      </c>
      <c r="B81" s="6">
        <v>61.857142857142854</v>
      </c>
    </row>
    <row r="82" spans="1:2" x14ac:dyDescent="0.25">
      <c r="A82" s="5" t="s">
        <v>1297</v>
      </c>
      <c r="B82" s="6">
        <v>53.8</v>
      </c>
    </row>
    <row r="83" spans="1:2" x14ac:dyDescent="0.25">
      <c r="A83" s="7" t="s">
        <v>1133</v>
      </c>
      <c r="B83" s="6">
        <v>51.285714285714285</v>
      </c>
    </row>
    <row r="84" spans="1:2" x14ac:dyDescent="0.25">
      <c r="A84" s="7" t="s">
        <v>1134</v>
      </c>
      <c r="B84" s="6">
        <v>52.114285714285721</v>
      </c>
    </row>
    <row r="85" spans="1:2" x14ac:dyDescent="0.25">
      <c r="A85" s="7" t="s">
        <v>1135</v>
      </c>
      <c r="B85" s="6">
        <v>59.61904761904762</v>
      </c>
    </row>
    <row r="86" spans="1:2" x14ac:dyDescent="0.25">
      <c r="A86" s="7" t="s">
        <v>1136</v>
      </c>
      <c r="B86" s="6">
        <v>53.928571428571431</v>
      </c>
    </row>
    <row r="87" spans="1:2" x14ac:dyDescent="0.25">
      <c r="A87" s="7" t="s">
        <v>1137</v>
      </c>
      <c r="B87" s="6">
        <v>51.285714285714285</v>
      </c>
    </row>
    <row r="88" spans="1:2" x14ac:dyDescent="0.25">
      <c r="A88" s="5" t="s">
        <v>1254</v>
      </c>
      <c r="B88" s="6">
        <v>68.661375661375658</v>
      </c>
    </row>
    <row r="89" spans="1:2" x14ac:dyDescent="0.25">
      <c r="A89" s="7" t="s">
        <v>1133</v>
      </c>
      <c r="B89" s="6">
        <v>67.642857142857139</v>
      </c>
    </row>
    <row r="90" spans="1:2" x14ac:dyDescent="0.25">
      <c r="A90" s="7" t="s">
        <v>1134</v>
      </c>
      <c r="B90" s="6">
        <v>65.507936507936506</v>
      </c>
    </row>
    <row r="91" spans="1:2" x14ac:dyDescent="0.25">
      <c r="A91" s="7" t="s">
        <v>1135</v>
      </c>
      <c r="B91" s="6">
        <v>76.514285714285705</v>
      </c>
    </row>
    <row r="92" spans="1:2" x14ac:dyDescent="0.25">
      <c r="A92" s="7" t="s">
        <v>1136</v>
      </c>
      <c r="B92" s="6">
        <v>68.528571428571425</v>
      </c>
    </row>
    <row r="93" spans="1:2" x14ac:dyDescent="0.25">
      <c r="A93" s="7" t="s">
        <v>1137</v>
      </c>
      <c r="B93" s="6">
        <v>61.142857142857146</v>
      </c>
    </row>
    <row r="94" spans="1:2" x14ac:dyDescent="0.25">
      <c r="A94" s="5" t="s">
        <v>1246</v>
      </c>
      <c r="B94" s="6">
        <v>70.047619047619051</v>
      </c>
    </row>
    <row r="95" spans="1:2" x14ac:dyDescent="0.25">
      <c r="A95" s="7" t="s">
        <v>1133</v>
      </c>
      <c r="B95" s="6">
        <v>76.285714285714278</v>
      </c>
    </row>
    <row r="96" spans="1:2" x14ac:dyDescent="0.25">
      <c r="A96" s="7" t="s">
        <v>1134</v>
      </c>
      <c r="B96" s="6">
        <v>65.974025974025992</v>
      </c>
    </row>
    <row r="97" spans="1:2" x14ac:dyDescent="0.25">
      <c r="A97" s="7" t="s">
        <v>1135</v>
      </c>
      <c r="B97" s="6">
        <v>71.035714285714292</v>
      </c>
    </row>
    <row r="98" spans="1:2" x14ac:dyDescent="0.25">
      <c r="A98" s="7" t="s">
        <v>1136</v>
      </c>
      <c r="B98" s="6">
        <v>73.5</v>
      </c>
    </row>
    <row r="99" spans="1:2" x14ac:dyDescent="0.25">
      <c r="A99" s="7" t="s">
        <v>1137</v>
      </c>
      <c r="B99" s="6">
        <v>77.714285714285708</v>
      </c>
    </row>
    <row r="100" spans="1:2" x14ac:dyDescent="0.25">
      <c r="A100" s="5" t="s">
        <v>2395</v>
      </c>
      <c r="B100" s="6">
        <v>37.900000000000006</v>
      </c>
    </row>
    <row r="101" spans="1:2" x14ac:dyDescent="0.25">
      <c r="A101" s="7" t="s">
        <v>1133</v>
      </c>
      <c r="B101" s="6">
        <v>32.952380952380956</v>
      </c>
    </row>
    <row r="102" spans="1:2" x14ac:dyDescent="0.25">
      <c r="A102" s="7" t="s">
        <v>1134</v>
      </c>
      <c r="B102" s="6">
        <v>38.771428571428572</v>
      </c>
    </row>
    <row r="103" spans="1:2" x14ac:dyDescent="0.25">
      <c r="A103" s="7" t="s">
        <v>1135</v>
      </c>
      <c r="B103" s="6">
        <v>47.904761904761905</v>
      </c>
    </row>
    <row r="104" spans="1:2" x14ac:dyDescent="0.25">
      <c r="A104" s="7" t="s">
        <v>1136</v>
      </c>
      <c r="B104" s="6">
        <v>36</v>
      </c>
    </row>
    <row r="105" spans="1:2" x14ac:dyDescent="0.25">
      <c r="A105" s="7" t="s">
        <v>1137</v>
      </c>
      <c r="B105" s="6">
        <v>33.571428571428569</v>
      </c>
    </row>
    <row r="106" spans="1:2" x14ac:dyDescent="0.25">
      <c r="A106" s="5" t="s">
        <v>1260</v>
      </c>
      <c r="B106" s="6">
        <v>77.733766233766232</v>
      </c>
    </row>
    <row r="107" spans="1:2" x14ac:dyDescent="0.25">
      <c r="A107" s="7" t="s">
        <v>1133</v>
      </c>
      <c r="B107" s="6">
        <v>73.714285714285708</v>
      </c>
    </row>
    <row r="108" spans="1:2" x14ac:dyDescent="0.25">
      <c r="A108" s="7" t="s">
        <v>1134</v>
      </c>
      <c r="B108" s="6">
        <v>76.107142857142861</v>
      </c>
    </row>
    <row r="109" spans="1:2" x14ac:dyDescent="0.25">
      <c r="A109" s="7" t="s">
        <v>1135</v>
      </c>
      <c r="B109" s="6">
        <v>78.285714285714292</v>
      </c>
    </row>
    <row r="110" spans="1:2" x14ac:dyDescent="0.25">
      <c r="A110" s="7" t="s">
        <v>1136</v>
      </c>
      <c r="B110" s="6">
        <v>78.493506493506501</v>
      </c>
    </row>
    <row r="111" spans="1:2" x14ac:dyDescent="0.25">
      <c r="A111" s="7" t="s">
        <v>1137</v>
      </c>
      <c r="B111" s="6">
        <v>81.714285714285708</v>
      </c>
    </row>
    <row r="112" spans="1:2" x14ac:dyDescent="0.25">
      <c r="A112" s="5" t="s">
        <v>2342</v>
      </c>
      <c r="B112" s="6">
        <v>54.507142857142853</v>
      </c>
    </row>
    <row r="113" spans="1:2" x14ac:dyDescent="0.25">
      <c r="A113" s="7" t="s">
        <v>1133</v>
      </c>
      <c r="B113" s="6">
        <v>51.285714285714285</v>
      </c>
    </row>
    <row r="114" spans="1:2" x14ac:dyDescent="0.25">
      <c r="A114" s="7" t="s">
        <v>1134</v>
      </c>
      <c r="B114" s="6">
        <v>52.114285714285721</v>
      </c>
    </row>
    <row r="115" spans="1:2" x14ac:dyDescent="0.25">
      <c r="A115" s="7" t="s">
        <v>1135</v>
      </c>
      <c r="B115" s="6">
        <v>60.428571428571431</v>
      </c>
    </row>
    <row r="116" spans="1:2" x14ac:dyDescent="0.25">
      <c r="A116" s="7" t="s">
        <v>1136</v>
      </c>
      <c r="B116" s="6">
        <v>54.673469387755105</v>
      </c>
    </row>
    <row r="117" spans="1:2" x14ac:dyDescent="0.25">
      <c r="A117" s="7" t="s">
        <v>1137</v>
      </c>
      <c r="B117" s="6">
        <v>51.285714285714285</v>
      </c>
    </row>
    <row r="118" spans="1:2" x14ac:dyDescent="0.25">
      <c r="A118" s="5" t="s">
        <v>1233</v>
      </c>
      <c r="B118" s="6">
        <v>76.565714285714279</v>
      </c>
    </row>
    <row r="119" spans="1:2" x14ac:dyDescent="0.25">
      <c r="A119" s="7" t="s">
        <v>1133</v>
      </c>
      <c r="B119" s="6">
        <v>77.714285714285722</v>
      </c>
    </row>
    <row r="120" spans="1:2" x14ac:dyDescent="0.25">
      <c r="A120" s="7" t="s">
        <v>1134</v>
      </c>
      <c r="B120" s="6">
        <v>73.767857142857139</v>
      </c>
    </row>
    <row r="121" spans="1:2" x14ac:dyDescent="0.25">
      <c r="A121" s="7" t="s">
        <v>1135</v>
      </c>
      <c r="B121" s="6">
        <v>76.928571428571431</v>
      </c>
    </row>
    <row r="122" spans="1:2" x14ac:dyDescent="0.25">
      <c r="A122" s="7" t="s">
        <v>1136</v>
      </c>
      <c r="B122" s="6">
        <v>77.699999999999989</v>
      </c>
    </row>
    <row r="123" spans="1:2" x14ac:dyDescent="0.25">
      <c r="A123" s="7" t="s">
        <v>1137</v>
      </c>
      <c r="B123" s="6">
        <v>83.857142857142861</v>
      </c>
    </row>
    <row r="124" spans="1:2" x14ac:dyDescent="0.25">
      <c r="A124" s="5" t="s">
        <v>1329</v>
      </c>
      <c r="B124" s="6">
        <v>37.471428571428575</v>
      </c>
    </row>
    <row r="125" spans="1:2" x14ac:dyDescent="0.25">
      <c r="A125" s="7" t="s">
        <v>1133</v>
      </c>
      <c r="B125" s="6">
        <v>32.952380952380956</v>
      </c>
    </row>
    <row r="126" spans="1:2" x14ac:dyDescent="0.25">
      <c r="A126" s="7" t="s">
        <v>1134</v>
      </c>
      <c r="B126" s="6">
        <v>37</v>
      </c>
    </row>
    <row r="127" spans="1:2" x14ac:dyDescent="0.25">
      <c r="A127" s="7" t="s">
        <v>1135</v>
      </c>
      <c r="B127" s="6">
        <v>45.785714285714292</v>
      </c>
    </row>
    <row r="128" spans="1:2" x14ac:dyDescent="0.25">
      <c r="A128" s="7" t="s">
        <v>1136</v>
      </c>
      <c r="B128" s="6">
        <v>37.74285714285714</v>
      </c>
    </row>
    <row r="129" spans="1:2" x14ac:dyDescent="0.25">
      <c r="A129" s="7" t="s">
        <v>1137</v>
      </c>
      <c r="B129" s="6">
        <v>33.571428571428569</v>
      </c>
    </row>
    <row r="130" spans="1:2" x14ac:dyDescent="0.25">
      <c r="A130" s="5" t="s">
        <v>2676</v>
      </c>
      <c r="B130" s="6">
        <v>72.171428571428578</v>
      </c>
    </row>
    <row r="131" spans="1:2" x14ac:dyDescent="0.25">
      <c r="A131" s="7" t="s">
        <v>1133</v>
      </c>
      <c r="B131" s="6">
        <v>70.285714285714278</v>
      </c>
    </row>
    <row r="132" spans="1:2" x14ac:dyDescent="0.25">
      <c r="A132" s="7" t="s">
        <v>1134</v>
      </c>
      <c r="B132" s="6">
        <v>73.45714285714287</v>
      </c>
    </row>
    <row r="133" spans="1:2" x14ac:dyDescent="0.25">
      <c r="A133" s="7" t="s">
        <v>1135</v>
      </c>
      <c r="B133" s="6">
        <v>70.571428571428569</v>
      </c>
    </row>
    <row r="134" spans="1:2" x14ac:dyDescent="0.25">
      <c r="A134" s="7" t="s">
        <v>1136</v>
      </c>
      <c r="B134" s="6">
        <v>72.085714285714289</v>
      </c>
    </row>
    <row r="135" spans="1:2" x14ac:dyDescent="0.25">
      <c r="A135" s="7" t="s">
        <v>1137</v>
      </c>
      <c r="B135" s="6">
        <v>73.571428571428569</v>
      </c>
    </row>
    <row r="136" spans="1:2" x14ac:dyDescent="0.25">
      <c r="A136" s="5" t="s">
        <v>1330</v>
      </c>
      <c r="B136" s="6">
        <v>67.69285714285715</v>
      </c>
    </row>
    <row r="137" spans="1:2" x14ac:dyDescent="0.25">
      <c r="A137" s="7" t="s">
        <v>1133</v>
      </c>
      <c r="B137" s="6">
        <v>67.285714285714292</v>
      </c>
    </row>
    <row r="138" spans="1:2" x14ac:dyDescent="0.25">
      <c r="A138" s="7" t="s">
        <v>1134</v>
      </c>
      <c r="B138" s="6">
        <v>65.857142857142861</v>
      </c>
    </row>
    <row r="139" spans="1:2" x14ac:dyDescent="0.25">
      <c r="A139" s="7" t="s">
        <v>1135</v>
      </c>
      <c r="B139" s="6">
        <v>74.476190476190467</v>
      </c>
    </row>
    <row r="140" spans="1:2" x14ac:dyDescent="0.25">
      <c r="A140" s="7" t="s">
        <v>1136</v>
      </c>
      <c r="B140" s="6">
        <v>67.482142857142861</v>
      </c>
    </row>
    <row r="141" spans="1:2" x14ac:dyDescent="0.25">
      <c r="A141" s="7" t="s">
        <v>1137</v>
      </c>
      <c r="B141" s="6">
        <v>62.285714285714285</v>
      </c>
    </row>
    <row r="142" spans="1:2" x14ac:dyDescent="0.25">
      <c r="A142" s="5" t="s">
        <v>1275</v>
      </c>
      <c r="B142" s="6">
        <v>66.345238095238088</v>
      </c>
    </row>
    <row r="143" spans="1:2" x14ac:dyDescent="0.25">
      <c r="A143" s="7" t="s">
        <v>1133</v>
      </c>
      <c r="B143" s="6">
        <v>72.428571428571431</v>
      </c>
    </row>
    <row r="144" spans="1:2" x14ac:dyDescent="0.25">
      <c r="A144" s="7" t="s">
        <v>1134</v>
      </c>
      <c r="B144" s="6">
        <v>65.125</v>
      </c>
    </row>
    <row r="145" spans="1:2" x14ac:dyDescent="0.25">
      <c r="A145" s="7" t="s">
        <v>1135</v>
      </c>
      <c r="B145" s="6">
        <v>69.071428571428569</v>
      </c>
    </row>
    <row r="146" spans="1:2" x14ac:dyDescent="0.25">
      <c r="A146" s="7" t="s">
        <v>1136</v>
      </c>
      <c r="B146" s="6">
        <v>63.12244897959183</v>
      </c>
    </row>
    <row r="147" spans="1:2" x14ac:dyDescent="0.25">
      <c r="A147" s="7" t="s">
        <v>1137</v>
      </c>
      <c r="B147" s="6">
        <v>70.142857142857139</v>
      </c>
    </row>
    <row r="148" spans="1:2" x14ac:dyDescent="0.25">
      <c r="A148" s="5" t="s">
        <v>2690</v>
      </c>
      <c r="B148" s="6">
        <v>56.70714285714287</v>
      </c>
    </row>
    <row r="149" spans="1:2" x14ac:dyDescent="0.25">
      <c r="A149" s="7" t="s">
        <v>1133</v>
      </c>
      <c r="B149" s="6">
        <v>51.285714285714285</v>
      </c>
    </row>
    <row r="150" spans="1:2" x14ac:dyDescent="0.25">
      <c r="A150" s="7" t="s">
        <v>1134</v>
      </c>
      <c r="B150" s="6">
        <v>57.628571428571419</v>
      </c>
    </row>
    <row r="151" spans="1:2" x14ac:dyDescent="0.25">
      <c r="A151" s="7" t="s">
        <v>1135</v>
      </c>
      <c r="B151" s="6">
        <v>59.61904761904762</v>
      </c>
    </row>
    <row r="152" spans="1:2" x14ac:dyDescent="0.25">
      <c r="A152" s="7" t="s">
        <v>1136</v>
      </c>
      <c r="B152" s="6">
        <v>57.75</v>
      </c>
    </row>
    <row r="153" spans="1:2" x14ac:dyDescent="0.25">
      <c r="A153" s="7" t="s">
        <v>1137</v>
      </c>
      <c r="B153" s="6">
        <v>51.285714285714285</v>
      </c>
    </row>
    <row r="154" spans="1:2" x14ac:dyDescent="0.25">
      <c r="A154" s="5" t="s">
        <v>1252</v>
      </c>
      <c r="B154" s="6">
        <v>66.007142857142853</v>
      </c>
    </row>
    <row r="155" spans="1:2" x14ac:dyDescent="0.25">
      <c r="A155" s="7" t="s">
        <v>1133</v>
      </c>
      <c r="B155" s="6">
        <v>70.285714285714292</v>
      </c>
    </row>
    <row r="156" spans="1:2" x14ac:dyDescent="0.25">
      <c r="A156" s="7" t="s">
        <v>1134</v>
      </c>
      <c r="B156" s="6">
        <v>69.857142857142861</v>
      </c>
    </row>
    <row r="157" spans="1:2" x14ac:dyDescent="0.25">
      <c r="A157" s="7" t="s">
        <v>1135</v>
      </c>
      <c r="B157" s="6">
        <v>69.285714285714292</v>
      </c>
    </row>
    <row r="158" spans="1:2" x14ac:dyDescent="0.25">
      <c r="A158" s="7" t="s">
        <v>1136</v>
      </c>
      <c r="B158" s="6">
        <v>62.396825396825392</v>
      </c>
    </row>
    <row r="159" spans="1:2" x14ac:dyDescent="0.25">
      <c r="A159" s="7" t="s">
        <v>1137</v>
      </c>
      <c r="B159" s="6">
        <v>61.857142857142854</v>
      </c>
    </row>
    <row r="160" spans="1:2" x14ac:dyDescent="0.25">
      <c r="A160" s="5" t="s">
        <v>1225</v>
      </c>
      <c r="B160" s="6">
        <v>67.314285714285703</v>
      </c>
    </row>
    <row r="161" spans="1:2" x14ac:dyDescent="0.25">
      <c r="A161" s="7" t="s">
        <v>1133</v>
      </c>
      <c r="B161" s="6">
        <v>60.285714285714292</v>
      </c>
    </row>
    <row r="162" spans="1:2" x14ac:dyDescent="0.25">
      <c r="A162" s="7" t="s">
        <v>1134</v>
      </c>
      <c r="B162" s="6">
        <v>69.321428571428584</v>
      </c>
    </row>
    <row r="163" spans="1:2" x14ac:dyDescent="0.25">
      <c r="A163" s="7" t="s">
        <v>1135</v>
      </c>
      <c r="B163" s="6">
        <v>69</v>
      </c>
    </row>
    <row r="164" spans="1:2" x14ac:dyDescent="0.25">
      <c r="A164" s="7" t="s">
        <v>1136</v>
      </c>
      <c r="B164" s="6">
        <v>65.5</v>
      </c>
    </row>
    <row r="165" spans="1:2" x14ac:dyDescent="0.25">
      <c r="A165" s="7" t="s">
        <v>1137</v>
      </c>
      <c r="B165" s="6">
        <v>69.714285714285708</v>
      </c>
    </row>
    <row r="166" spans="1:2" x14ac:dyDescent="0.25">
      <c r="A166" s="5" t="s">
        <v>2674</v>
      </c>
      <c r="B166" s="6">
        <v>59.142857142857132</v>
      </c>
    </row>
    <row r="167" spans="1:2" x14ac:dyDescent="0.25">
      <c r="A167" s="7" t="s">
        <v>1133</v>
      </c>
      <c r="B167" s="6">
        <v>55.071428571428569</v>
      </c>
    </row>
    <row r="168" spans="1:2" x14ac:dyDescent="0.25">
      <c r="A168" s="7" t="s">
        <v>1134</v>
      </c>
      <c r="B168" s="6">
        <v>56.485714285714288</v>
      </c>
    </row>
    <row r="169" spans="1:2" x14ac:dyDescent="0.25">
      <c r="A169" s="7" t="s">
        <v>1135</v>
      </c>
      <c r="B169" s="6">
        <v>65.785714285714278</v>
      </c>
    </row>
    <row r="170" spans="1:2" x14ac:dyDescent="0.25">
      <c r="A170" s="7" t="s">
        <v>1136</v>
      </c>
      <c r="B170" s="6">
        <v>60.385714285714286</v>
      </c>
    </row>
    <row r="171" spans="1:2" x14ac:dyDescent="0.25">
      <c r="A171" s="7" t="s">
        <v>1137</v>
      </c>
      <c r="B171" s="6">
        <v>54.857142857142854</v>
      </c>
    </row>
    <row r="172" spans="1:2" x14ac:dyDescent="0.25">
      <c r="A172" s="5" t="s">
        <v>2672</v>
      </c>
      <c r="B172" s="6">
        <v>76.658385093167695</v>
      </c>
    </row>
    <row r="173" spans="1:2" x14ac:dyDescent="0.25">
      <c r="A173" s="7" t="s">
        <v>1133</v>
      </c>
      <c r="B173" s="6">
        <v>76.357142857142861</v>
      </c>
    </row>
    <row r="174" spans="1:2" x14ac:dyDescent="0.25">
      <c r="A174" s="7" t="s">
        <v>1134</v>
      </c>
      <c r="B174" s="6">
        <v>74.857142857142861</v>
      </c>
    </row>
    <row r="175" spans="1:2" x14ac:dyDescent="0.25">
      <c r="A175" s="7" t="s">
        <v>1135</v>
      </c>
      <c r="B175" s="6">
        <v>75.800000000000011</v>
      </c>
    </row>
    <row r="176" spans="1:2" x14ac:dyDescent="0.25">
      <c r="A176" s="7" t="s">
        <v>1136</v>
      </c>
      <c r="B176" s="6">
        <v>78.632653061224488</v>
      </c>
    </row>
    <row r="177" spans="1:2" x14ac:dyDescent="0.25">
      <c r="A177" s="7" t="s">
        <v>1137</v>
      </c>
      <c r="B177" s="6">
        <v>82.142857142857139</v>
      </c>
    </row>
    <row r="178" spans="1:2" x14ac:dyDescent="0.25">
      <c r="A178" s="5" t="s">
        <v>1290</v>
      </c>
      <c r="B178" s="6">
        <v>69.478571428571414</v>
      </c>
    </row>
    <row r="179" spans="1:2" x14ac:dyDescent="0.25">
      <c r="A179" s="7" t="s">
        <v>1133</v>
      </c>
      <c r="B179" s="6">
        <v>65.214285714285722</v>
      </c>
    </row>
    <row r="180" spans="1:2" x14ac:dyDescent="0.25">
      <c r="A180" s="7" t="s">
        <v>1134</v>
      </c>
      <c r="B180" s="6">
        <v>66.657142857142858</v>
      </c>
    </row>
    <row r="181" spans="1:2" x14ac:dyDescent="0.25">
      <c r="A181" s="7" t="s">
        <v>1135</v>
      </c>
      <c r="B181" s="6">
        <v>70.428571428571431</v>
      </c>
    </row>
    <row r="182" spans="1:2" x14ac:dyDescent="0.25">
      <c r="A182" s="7" t="s">
        <v>1136</v>
      </c>
      <c r="B182" s="6">
        <v>72.158730158730165</v>
      </c>
    </row>
    <row r="183" spans="1:2" x14ac:dyDescent="0.25">
      <c r="A183" s="7" t="s">
        <v>1137</v>
      </c>
      <c r="B183" s="6">
        <v>65.142857142857139</v>
      </c>
    </row>
    <row r="184" spans="1:2" x14ac:dyDescent="0.25">
      <c r="A184" s="5" t="s">
        <v>1239</v>
      </c>
      <c r="B184" s="6">
        <v>63.061224489795926</v>
      </c>
    </row>
    <row r="185" spans="1:2" x14ac:dyDescent="0.25">
      <c r="A185" s="7" t="s">
        <v>1133</v>
      </c>
      <c r="B185" s="6">
        <v>59</v>
      </c>
    </row>
    <row r="186" spans="1:2" x14ac:dyDescent="0.25">
      <c r="A186" s="7" t="s">
        <v>1134</v>
      </c>
      <c r="B186" s="6">
        <v>63.380952380952387</v>
      </c>
    </row>
    <row r="187" spans="1:2" x14ac:dyDescent="0.25">
      <c r="A187" s="7" t="s">
        <v>1135</v>
      </c>
      <c r="B187" s="6">
        <v>68.952380952380949</v>
      </c>
    </row>
    <row r="188" spans="1:2" x14ac:dyDescent="0.25">
      <c r="A188" s="7" t="s">
        <v>1136</v>
      </c>
      <c r="B188" s="6">
        <v>61.628571428571419</v>
      </c>
    </row>
    <row r="189" spans="1:2" x14ac:dyDescent="0.25">
      <c r="A189" s="7" t="s">
        <v>1137</v>
      </c>
      <c r="B189" s="6">
        <v>61.857142857142854</v>
      </c>
    </row>
    <row r="190" spans="1:2" x14ac:dyDescent="0.25">
      <c r="A190" s="5" t="s">
        <v>1253</v>
      </c>
      <c r="B190" s="6">
        <v>83.045454545454547</v>
      </c>
    </row>
    <row r="191" spans="1:2" x14ac:dyDescent="0.25">
      <c r="A191" s="7" t="s">
        <v>1133</v>
      </c>
      <c r="B191" s="6">
        <v>90</v>
      </c>
    </row>
    <row r="192" spans="1:2" x14ac:dyDescent="0.25">
      <c r="A192" s="7" t="s">
        <v>1134</v>
      </c>
      <c r="B192" s="6">
        <v>82.232142857142847</v>
      </c>
    </row>
    <row r="193" spans="1:2" x14ac:dyDescent="0.25">
      <c r="A193" s="7" t="s">
        <v>1135</v>
      </c>
      <c r="B193" s="6">
        <v>82.142857142857139</v>
      </c>
    </row>
    <row r="194" spans="1:2" x14ac:dyDescent="0.25">
      <c r="A194" s="7" t="s">
        <v>1136</v>
      </c>
      <c r="B194" s="6">
        <v>83.642857142857139</v>
      </c>
    </row>
    <row r="195" spans="1:2" x14ac:dyDescent="0.25">
      <c r="A195" s="7" t="s">
        <v>1137</v>
      </c>
      <c r="B195" s="6">
        <v>81.428571428571431</v>
      </c>
    </row>
    <row r="196" spans="1:2" x14ac:dyDescent="0.25">
      <c r="A196" s="5" t="s">
        <v>1236</v>
      </c>
      <c r="B196" s="6">
        <v>62.010582010582006</v>
      </c>
    </row>
    <row r="197" spans="1:2" x14ac:dyDescent="0.25">
      <c r="A197" s="7" t="s">
        <v>1133</v>
      </c>
      <c r="B197" s="6">
        <v>64.142857142857139</v>
      </c>
    </row>
    <row r="198" spans="1:2" x14ac:dyDescent="0.25">
      <c r="A198" s="7" t="s">
        <v>1134</v>
      </c>
      <c r="B198" s="6">
        <v>62.974025974025977</v>
      </c>
    </row>
    <row r="199" spans="1:2" x14ac:dyDescent="0.25">
      <c r="A199" s="7" t="s">
        <v>1135</v>
      </c>
      <c r="B199" s="6">
        <v>60.428571428571423</v>
      </c>
    </row>
    <row r="200" spans="1:2" x14ac:dyDescent="0.25">
      <c r="A200" s="7" t="s">
        <v>1136</v>
      </c>
      <c r="B200" s="6">
        <v>61.047619047619051</v>
      </c>
    </row>
    <row r="201" spans="1:2" x14ac:dyDescent="0.25">
      <c r="A201" s="7" t="s">
        <v>1137</v>
      </c>
      <c r="B201" s="6">
        <v>62.142857142857146</v>
      </c>
    </row>
    <row r="202" spans="1:2" x14ac:dyDescent="0.25">
      <c r="A202" s="5" t="s">
        <v>1300</v>
      </c>
      <c r="B202" s="6">
        <v>54.685714285714276</v>
      </c>
    </row>
    <row r="203" spans="1:2" x14ac:dyDescent="0.25">
      <c r="A203" s="7" t="s">
        <v>1133</v>
      </c>
      <c r="B203" s="6">
        <v>51.285714285714285</v>
      </c>
    </row>
    <row r="204" spans="1:2" x14ac:dyDescent="0.25">
      <c r="A204" s="7" t="s">
        <v>1134</v>
      </c>
      <c r="B204" s="6">
        <v>52.114285714285721</v>
      </c>
    </row>
    <row r="205" spans="1:2" x14ac:dyDescent="0.25">
      <c r="A205" s="7" t="s">
        <v>1135</v>
      </c>
      <c r="B205" s="6">
        <v>64.714285714285708</v>
      </c>
    </row>
    <row r="206" spans="1:2" x14ac:dyDescent="0.25">
      <c r="A206" s="7" t="s">
        <v>1136</v>
      </c>
      <c r="B206" s="6">
        <v>54.232142857142861</v>
      </c>
    </row>
    <row r="207" spans="1:2" x14ac:dyDescent="0.25">
      <c r="A207" s="7" t="s">
        <v>1137</v>
      </c>
      <c r="B207" s="6">
        <v>51.285714285714285</v>
      </c>
    </row>
    <row r="208" spans="1:2" x14ac:dyDescent="0.25">
      <c r="A208" s="5" t="s">
        <v>1267</v>
      </c>
      <c r="B208" s="6">
        <v>67.664285714285697</v>
      </c>
    </row>
    <row r="209" spans="1:2" x14ac:dyDescent="0.25">
      <c r="A209" s="7" t="s">
        <v>1133</v>
      </c>
      <c r="B209" s="6">
        <v>70.142857142857139</v>
      </c>
    </row>
    <row r="210" spans="1:2" x14ac:dyDescent="0.25">
      <c r="A210" s="7" t="s">
        <v>1134</v>
      </c>
      <c r="B210" s="6">
        <v>63.714285714285708</v>
      </c>
    </row>
    <row r="211" spans="1:2" x14ac:dyDescent="0.25">
      <c r="A211" s="7" t="s">
        <v>1135</v>
      </c>
      <c r="B211" s="6">
        <v>70.428571428571431</v>
      </c>
    </row>
    <row r="212" spans="1:2" x14ac:dyDescent="0.25">
      <c r="A212" s="7" t="s">
        <v>1136</v>
      </c>
      <c r="B212" s="6">
        <v>69.428571428571431</v>
      </c>
    </row>
    <row r="213" spans="1:2" x14ac:dyDescent="0.25">
      <c r="A213" s="7" t="s">
        <v>1137</v>
      </c>
      <c r="B213" s="6">
        <v>58.285714285714285</v>
      </c>
    </row>
    <row r="214" spans="1:2" x14ac:dyDescent="0.25">
      <c r="A214" s="5" t="s">
        <v>1229</v>
      </c>
      <c r="B214" s="6">
        <v>63.535714285714278</v>
      </c>
    </row>
    <row r="215" spans="1:2" x14ac:dyDescent="0.25">
      <c r="A215" s="7" t="s">
        <v>1133</v>
      </c>
      <c r="B215" s="6">
        <v>73</v>
      </c>
    </row>
    <row r="216" spans="1:2" x14ac:dyDescent="0.25">
      <c r="A216" s="7" t="s">
        <v>1134</v>
      </c>
      <c r="B216" s="6">
        <v>59.428571428571431</v>
      </c>
    </row>
    <row r="217" spans="1:2" x14ac:dyDescent="0.25">
      <c r="A217" s="7" t="s">
        <v>1135</v>
      </c>
      <c r="B217" s="6">
        <v>66.714285714285722</v>
      </c>
    </row>
    <row r="218" spans="1:2" x14ac:dyDescent="0.25">
      <c r="A218" s="7" t="s">
        <v>1136</v>
      </c>
      <c r="B218" s="6">
        <v>63.128571428571433</v>
      </c>
    </row>
    <row r="219" spans="1:2" x14ac:dyDescent="0.25">
      <c r="A219" s="7" t="s">
        <v>1137</v>
      </c>
      <c r="B219" s="6">
        <v>55.571428571428569</v>
      </c>
    </row>
    <row r="220" spans="1:2" x14ac:dyDescent="0.25">
      <c r="A220" s="5" t="s">
        <v>1224</v>
      </c>
      <c r="B220" s="6">
        <v>65.396103896103909</v>
      </c>
    </row>
    <row r="221" spans="1:2" x14ac:dyDescent="0.25">
      <c r="A221" s="7" t="s">
        <v>1133</v>
      </c>
      <c r="B221" s="6">
        <v>65</v>
      </c>
    </row>
    <row r="222" spans="1:2" x14ac:dyDescent="0.25">
      <c r="A222" s="7" t="s">
        <v>1134</v>
      </c>
      <c r="B222" s="6">
        <v>63.5</v>
      </c>
    </row>
    <row r="223" spans="1:2" x14ac:dyDescent="0.25">
      <c r="A223" s="7" t="s">
        <v>1135</v>
      </c>
      <c r="B223" s="6">
        <v>71.428571428571431</v>
      </c>
    </row>
    <row r="224" spans="1:2" x14ac:dyDescent="0.25">
      <c r="A224" s="7" t="s">
        <v>1136</v>
      </c>
      <c r="B224" s="6">
        <v>64.803571428571431</v>
      </c>
    </row>
    <row r="225" spans="1:2" x14ac:dyDescent="0.25">
      <c r="A225" s="7" t="s">
        <v>1137</v>
      </c>
      <c r="B225" s="6">
        <v>68</v>
      </c>
    </row>
    <row r="226" spans="1:2" x14ac:dyDescent="0.25">
      <c r="A226" s="5" t="s">
        <v>1303</v>
      </c>
      <c r="B226" s="6">
        <v>62.600000000000009</v>
      </c>
    </row>
    <row r="227" spans="1:2" x14ac:dyDescent="0.25">
      <c r="A227" s="7" t="s">
        <v>1133</v>
      </c>
      <c r="B227" s="6">
        <v>61.190476190476183</v>
      </c>
    </row>
    <row r="228" spans="1:2" x14ac:dyDescent="0.25">
      <c r="A228" s="7" t="s">
        <v>1134</v>
      </c>
      <c r="B228" s="6">
        <v>59.904761904761898</v>
      </c>
    </row>
    <row r="229" spans="1:2" x14ac:dyDescent="0.25">
      <c r="A229" s="7" t="s">
        <v>1135</v>
      </c>
      <c r="B229" s="6">
        <v>71.5</v>
      </c>
    </row>
    <row r="230" spans="1:2" x14ac:dyDescent="0.25">
      <c r="A230" s="7" t="s">
        <v>1136</v>
      </c>
      <c r="B230" s="6">
        <v>62.892857142857139</v>
      </c>
    </row>
    <row r="231" spans="1:2" x14ac:dyDescent="0.25">
      <c r="A231" s="7" t="s">
        <v>1137</v>
      </c>
      <c r="B231" s="6">
        <v>62.857142857142854</v>
      </c>
    </row>
    <row r="232" spans="1:2" x14ac:dyDescent="0.25">
      <c r="A232" s="5" t="s">
        <v>1278</v>
      </c>
      <c r="B232" s="6">
        <v>70.598901098901095</v>
      </c>
    </row>
    <row r="233" spans="1:2" x14ac:dyDescent="0.25">
      <c r="A233" s="7" t="s">
        <v>1134</v>
      </c>
      <c r="B233" s="6">
        <v>70.879120879120876</v>
      </c>
    </row>
    <row r="234" spans="1:2" x14ac:dyDescent="0.25">
      <c r="A234" s="7" t="s">
        <v>1135</v>
      </c>
      <c r="B234" s="6">
        <v>68.380952380952365</v>
      </c>
    </row>
    <row r="235" spans="1:2" x14ac:dyDescent="0.25">
      <c r="A235" s="7" t="s">
        <v>1136</v>
      </c>
      <c r="B235" s="6">
        <v>71.535714285714278</v>
      </c>
    </row>
    <row r="236" spans="1:2" x14ac:dyDescent="0.25">
      <c r="A236" s="7" t="s">
        <v>1137</v>
      </c>
      <c r="B236" s="6">
        <v>68.357142857142861</v>
      </c>
    </row>
    <row r="237" spans="1:2" x14ac:dyDescent="0.25">
      <c r="A237" s="5" t="s">
        <v>1286</v>
      </c>
      <c r="B237" s="6">
        <v>66.599999999999994</v>
      </c>
    </row>
    <row r="238" spans="1:2" x14ac:dyDescent="0.25">
      <c r="A238" s="7" t="s">
        <v>1133</v>
      </c>
      <c r="B238" s="6">
        <v>63</v>
      </c>
    </row>
    <row r="239" spans="1:2" x14ac:dyDescent="0.25">
      <c r="A239" s="7" t="s">
        <v>1134</v>
      </c>
      <c r="B239" s="6">
        <v>59.952380952380956</v>
      </c>
    </row>
    <row r="240" spans="1:2" x14ac:dyDescent="0.25">
      <c r="A240" s="7" t="s">
        <v>1135</v>
      </c>
      <c r="B240" s="6">
        <v>70.785714285714292</v>
      </c>
    </row>
    <row r="241" spans="1:2" x14ac:dyDescent="0.25">
      <c r="A241" s="7" t="s">
        <v>1136</v>
      </c>
      <c r="B241" s="6">
        <v>67.753246753246742</v>
      </c>
    </row>
    <row r="242" spans="1:2" x14ac:dyDescent="0.25">
      <c r="A242" s="7" t="s">
        <v>1137</v>
      </c>
      <c r="B242" s="6">
        <v>60.714285714285715</v>
      </c>
    </row>
    <row r="243" spans="1:2" x14ac:dyDescent="0.25">
      <c r="A243" s="5" t="s">
        <v>1280</v>
      </c>
      <c r="B243" s="6">
        <v>86.428571428571431</v>
      </c>
    </row>
    <row r="244" spans="1:2" x14ac:dyDescent="0.25">
      <c r="A244" s="7" t="s">
        <v>1134</v>
      </c>
      <c r="B244" s="6">
        <v>86.428571428571431</v>
      </c>
    </row>
    <row r="245" spans="1:2" x14ac:dyDescent="0.25">
      <c r="A245" s="5" t="s">
        <v>1234</v>
      </c>
      <c r="B245" s="6">
        <v>57.071428571428562</v>
      </c>
    </row>
    <row r="246" spans="1:2" x14ac:dyDescent="0.25">
      <c r="A246" s="7" t="s">
        <v>1133</v>
      </c>
      <c r="B246" s="6">
        <v>61.38095238095238</v>
      </c>
    </row>
    <row r="247" spans="1:2" x14ac:dyDescent="0.25">
      <c r="A247" s="7" t="s">
        <v>1134</v>
      </c>
      <c r="B247" s="6">
        <v>56.160714285714285</v>
      </c>
    </row>
    <row r="248" spans="1:2" x14ac:dyDescent="0.25">
      <c r="A248" s="7" t="s">
        <v>1135</v>
      </c>
      <c r="B248" s="6">
        <v>57.821428571428569</v>
      </c>
    </row>
    <row r="249" spans="1:2" x14ac:dyDescent="0.25">
      <c r="A249" s="7" t="s">
        <v>1136</v>
      </c>
      <c r="B249" s="6">
        <v>54.696428571428569</v>
      </c>
    </row>
    <row r="250" spans="1:2" x14ac:dyDescent="0.25">
      <c r="A250" s="7" t="s">
        <v>1137</v>
      </c>
      <c r="B250" s="6">
        <v>67.428571428571431</v>
      </c>
    </row>
    <row r="251" spans="1:2" x14ac:dyDescent="0.25">
      <c r="A251" s="5" t="s">
        <v>1245</v>
      </c>
      <c r="B251" s="6">
        <v>53.035714285714285</v>
      </c>
    </row>
    <row r="252" spans="1:2" x14ac:dyDescent="0.25">
      <c r="A252" s="7" t="s">
        <v>1133</v>
      </c>
      <c r="B252" s="6">
        <v>49.285714285714285</v>
      </c>
    </row>
    <row r="253" spans="1:2" x14ac:dyDescent="0.25">
      <c r="A253" s="7" t="s">
        <v>1134</v>
      </c>
      <c r="B253" s="6">
        <v>50.785714285714292</v>
      </c>
    </row>
    <row r="254" spans="1:2" x14ac:dyDescent="0.25">
      <c r="A254" s="7" t="s">
        <v>1135</v>
      </c>
      <c r="B254" s="6">
        <v>52.892857142857146</v>
      </c>
    </row>
    <row r="255" spans="1:2" x14ac:dyDescent="0.25">
      <c r="A255" s="7" t="s">
        <v>1136</v>
      </c>
      <c r="B255" s="6">
        <v>55.285714285714278</v>
      </c>
    </row>
    <row r="256" spans="1:2" x14ac:dyDescent="0.25">
      <c r="A256" s="7" t="s">
        <v>1137</v>
      </c>
      <c r="B256" s="6">
        <v>52.857142857142854</v>
      </c>
    </row>
    <row r="257" spans="1:2" x14ac:dyDescent="0.25">
      <c r="A257" s="5" t="s">
        <v>1305</v>
      </c>
      <c r="B257" s="6">
        <v>53.442857142857136</v>
      </c>
    </row>
    <row r="258" spans="1:2" x14ac:dyDescent="0.25">
      <c r="A258" s="7" t="s">
        <v>1133</v>
      </c>
      <c r="B258" s="6">
        <v>70.142857142857139</v>
      </c>
    </row>
    <row r="259" spans="1:2" x14ac:dyDescent="0.25">
      <c r="A259" s="7" t="s">
        <v>1134</v>
      </c>
      <c r="B259" s="6">
        <v>57.047619047619044</v>
      </c>
    </row>
    <row r="260" spans="1:2" x14ac:dyDescent="0.25">
      <c r="A260" s="7" t="s">
        <v>1135</v>
      </c>
      <c r="B260" s="6">
        <v>48.285714285714285</v>
      </c>
    </row>
    <row r="261" spans="1:2" x14ac:dyDescent="0.25">
      <c r="A261" s="7" t="s">
        <v>1136</v>
      </c>
      <c r="B261" s="6">
        <v>51.242857142857147</v>
      </c>
    </row>
    <row r="262" spans="1:2" x14ac:dyDescent="0.25">
      <c r="A262" s="7" t="s">
        <v>1137</v>
      </c>
      <c r="B262" s="6">
        <v>47.428571428571431</v>
      </c>
    </row>
    <row r="263" spans="1:2" x14ac:dyDescent="0.25">
      <c r="A263" s="5" t="s">
        <v>1306</v>
      </c>
      <c r="B263" s="6">
        <v>39.385714285714286</v>
      </c>
    </row>
    <row r="264" spans="1:2" x14ac:dyDescent="0.25">
      <c r="A264" s="7" t="s">
        <v>1133</v>
      </c>
      <c r="B264" s="6">
        <v>32.952380952380956</v>
      </c>
    </row>
    <row r="265" spans="1:2" x14ac:dyDescent="0.25">
      <c r="A265" s="7" t="s">
        <v>1134</v>
      </c>
      <c r="B265" s="6">
        <v>35.857142857142861</v>
      </c>
    </row>
    <row r="266" spans="1:2" x14ac:dyDescent="0.25">
      <c r="A266" s="7" t="s">
        <v>1135</v>
      </c>
      <c r="B266" s="6">
        <v>59.214285714285715</v>
      </c>
    </row>
    <row r="267" spans="1:2" x14ac:dyDescent="0.25">
      <c r="A267" s="7" t="s">
        <v>1136</v>
      </c>
      <c r="B267" s="6">
        <v>39.342857142857142</v>
      </c>
    </row>
    <row r="268" spans="1:2" x14ac:dyDescent="0.25">
      <c r="A268" s="7" t="s">
        <v>1137</v>
      </c>
      <c r="B268" s="6">
        <v>33.571428571428569</v>
      </c>
    </row>
    <row r="269" spans="1:2" x14ac:dyDescent="0.25">
      <c r="A269" s="5" t="s">
        <v>2677</v>
      </c>
      <c r="B269" s="6">
        <v>70.662337662337663</v>
      </c>
    </row>
    <row r="270" spans="1:2" x14ac:dyDescent="0.25">
      <c r="A270" s="7" t="s">
        <v>1133</v>
      </c>
      <c r="B270" s="6">
        <v>68.285714285714292</v>
      </c>
    </row>
    <row r="271" spans="1:2" x14ac:dyDescent="0.25">
      <c r="A271" s="7" t="s">
        <v>1134</v>
      </c>
      <c r="B271" s="6">
        <v>67.938775510204081</v>
      </c>
    </row>
    <row r="272" spans="1:2" x14ac:dyDescent="0.25">
      <c r="A272" s="7" t="s">
        <v>1135</v>
      </c>
      <c r="B272" s="6">
        <v>74.821428571428569</v>
      </c>
    </row>
    <row r="273" spans="1:2" x14ac:dyDescent="0.25">
      <c r="A273" s="7" t="s">
        <v>1136</v>
      </c>
      <c r="B273" s="6">
        <v>73.428571428571431</v>
      </c>
    </row>
    <row r="274" spans="1:2" x14ac:dyDescent="0.25">
      <c r="A274" s="7" t="s">
        <v>1137</v>
      </c>
      <c r="B274" s="6">
        <v>60.857142857142854</v>
      </c>
    </row>
    <row r="275" spans="1:2" x14ac:dyDescent="0.25">
      <c r="A275" s="5" t="s">
        <v>1242</v>
      </c>
      <c r="B275" s="6">
        <v>69.821428571428569</v>
      </c>
    </row>
    <row r="276" spans="1:2" x14ac:dyDescent="0.25">
      <c r="A276" s="7" t="s">
        <v>1133</v>
      </c>
      <c r="B276" s="6">
        <v>71.071428571428584</v>
      </c>
    </row>
    <row r="277" spans="1:2" x14ac:dyDescent="0.25">
      <c r="A277" s="7" t="s">
        <v>1134</v>
      </c>
      <c r="B277" s="6">
        <v>76.047619047619051</v>
      </c>
    </row>
    <row r="278" spans="1:2" x14ac:dyDescent="0.25">
      <c r="A278" s="7" t="s">
        <v>1135</v>
      </c>
      <c r="B278" s="6">
        <v>67.238095238095241</v>
      </c>
    </row>
    <row r="279" spans="1:2" x14ac:dyDescent="0.25">
      <c r="A279" s="7" t="s">
        <v>1136</v>
      </c>
      <c r="B279" s="6">
        <v>66.732142857142861</v>
      </c>
    </row>
    <row r="280" spans="1:2" x14ac:dyDescent="0.25">
      <c r="A280" s="7" t="s">
        <v>1137</v>
      </c>
      <c r="B280" s="6">
        <v>62.428571428571431</v>
      </c>
    </row>
    <row r="281" spans="1:2" x14ac:dyDescent="0.25">
      <c r="A281" s="5" t="s">
        <v>1285</v>
      </c>
      <c r="B281" s="6">
        <v>91.285714285714292</v>
      </c>
    </row>
    <row r="282" spans="1:2" x14ac:dyDescent="0.25">
      <c r="A282" s="7" t="s">
        <v>1135</v>
      </c>
      <c r="B282" s="6">
        <v>91.285714285714292</v>
      </c>
    </row>
    <row r="283" spans="1:2" x14ac:dyDescent="0.25">
      <c r="A283" s="5" t="s">
        <v>1288</v>
      </c>
      <c r="B283" s="6">
        <v>88</v>
      </c>
    </row>
    <row r="284" spans="1:2" x14ac:dyDescent="0.25">
      <c r="A284" s="7" t="s">
        <v>1135</v>
      </c>
      <c r="B284" s="6">
        <v>88</v>
      </c>
    </row>
    <row r="285" spans="1:2" x14ac:dyDescent="0.25">
      <c r="A285" s="5" t="s">
        <v>1265</v>
      </c>
      <c r="B285" s="6">
        <v>65.124223602484477</v>
      </c>
    </row>
    <row r="286" spans="1:2" x14ac:dyDescent="0.25">
      <c r="A286" s="7" t="s">
        <v>1133</v>
      </c>
      <c r="B286" s="6">
        <v>64.214285714285708</v>
      </c>
    </row>
    <row r="287" spans="1:2" x14ac:dyDescent="0.25">
      <c r="A287" s="7" t="s">
        <v>1134</v>
      </c>
      <c r="B287" s="6">
        <v>62.089285714285715</v>
      </c>
    </row>
    <row r="288" spans="1:2" x14ac:dyDescent="0.25">
      <c r="A288" s="7" t="s">
        <v>1135</v>
      </c>
      <c r="B288" s="6">
        <v>70.666666666666671</v>
      </c>
    </row>
    <row r="289" spans="1:2" x14ac:dyDescent="0.25">
      <c r="A289" s="7" t="s">
        <v>1136</v>
      </c>
      <c r="B289" s="6">
        <v>65.634920634920647</v>
      </c>
    </row>
    <row r="290" spans="1:2" x14ac:dyDescent="0.25">
      <c r="A290" s="7" t="s">
        <v>1137</v>
      </c>
      <c r="B290" s="6">
        <v>70</v>
      </c>
    </row>
    <row r="291" spans="1:2" x14ac:dyDescent="0.25">
      <c r="A291" s="5" t="s">
        <v>1271</v>
      </c>
      <c r="B291" s="6">
        <v>65.111111111111114</v>
      </c>
    </row>
    <row r="292" spans="1:2" x14ac:dyDescent="0.25">
      <c r="A292" s="7" t="s">
        <v>1133</v>
      </c>
      <c r="B292" s="6">
        <v>69.714285714285708</v>
      </c>
    </row>
    <row r="293" spans="1:2" x14ac:dyDescent="0.25">
      <c r="A293" s="7" t="s">
        <v>1134</v>
      </c>
      <c r="B293" s="6">
        <v>68.11904761904762</v>
      </c>
    </row>
    <row r="294" spans="1:2" x14ac:dyDescent="0.25">
      <c r="A294" s="7" t="s">
        <v>1135</v>
      </c>
      <c r="B294" s="6">
        <v>67</v>
      </c>
    </row>
    <row r="295" spans="1:2" x14ac:dyDescent="0.25">
      <c r="A295" s="7" t="s">
        <v>1136</v>
      </c>
      <c r="B295" s="6">
        <v>60.910714285714278</v>
      </c>
    </row>
    <row r="296" spans="1:2" x14ac:dyDescent="0.25">
      <c r="A296" s="7" t="s">
        <v>1137</v>
      </c>
      <c r="B296" s="6">
        <v>72.285714285714292</v>
      </c>
    </row>
    <row r="297" spans="1:2" x14ac:dyDescent="0.25">
      <c r="A297" s="5" t="s">
        <v>1292</v>
      </c>
      <c r="B297" s="6">
        <v>89.285714285714292</v>
      </c>
    </row>
    <row r="298" spans="1:2" x14ac:dyDescent="0.25">
      <c r="A298" s="7" t="s">
        <v>1136</v>
      </c>
      <c r="B298" s="6">
        <v>89.285714285714292</v>
      </c>
    </row>
    <row r="299" spans="1:2" x14ac:dyDescent="0.25">
      <c r="A299" s="5" t="s">
        <v>1331</v>
      </c>
      <c r="B299" s="6">
        <v>83.611111111111114</v>
      </c>
    </row>
    <row r="300" spans="1:2" x14ac:dyDescent="0.25">
      <c r="A300" s="7" t="s">
        <v>1133</v>
      </c>
      <c r="B300" s="6">
        <v>96.714285714285708</v>
      </c>
    </row>
    <row r="301" spans="1:2" x14ac:dyDescent="0.25">
      <c r="A301" s="7" t="s">
        <v>1134</v>
      </c>
      <c r="B301" s="6">
        <v>78.65306122448979</v>
      </c>
    </row>
    <row r="302" spans="1:2" x14ac:dyDescent="0.25">
      <c r="A302" s="7" t="s">
        <v>1135</v>
      </c>
      <c r="B302" s="6">
        <v>84.571428571428569</v>
      </c>
    </row>
    <row r="303" spans="1:2" x14ac:dyDescent="0.25">
      <c r="A303" s="7" t="s">
        <v>1136</v>
      </c>
      <c r="B303" s="6">
        <v>87.142857142857153</v>
      </c>
    </row>
    <row r="304" spans="1:2" x14ac:dyDescent="0.25">
      <c r="A304" s="7" t="s">
        <v>1137</v>
      </c>
      <c r="B304" s="6">
        <v>81.142857142857139</v>
      </c>
    </row>
    <row r="305" spans="1:2" x14ac:dyDescent="0.25">
      <c r="A305" s="5" t="s">
        <v>2686</v>
      </c>
      <c r="B305" s="6">
        <v>62.892857142857132</v>
      </c>
    </row>
    <row r="306" spans="1:2" x14ac:dyDescent="0.25">
      <c r="A306" s="7" t="s">
        <v>1133</v>
      </c>
      <c r="B306" s="6">
        <v>62.142857142857146</v>
      </c>
    </row>
    <row r="307" spans="1:2" x14ac:dyDescent="0.25">
      <c r="A307" s="7" t="s">
        <v>1134</v>
      </c>
      <c r="B307" s="6">
        <v>62.257142857142853</v>
      </c>
    </row>
    <row r="308" spans="1:2" x14ac:dyDescent="0.25">
      <c r="A308" s="7" t="s">
        <v>1135</v>
      </c>
      <c r="B308" s="6">
        <v>68.857142857142861</v>
      </c>
    </row>
    <row r="309" spans="1:2" x14ac:dyDescent="0.25">
      <c r="A309" s="7" t="s">
        <v>1136</v>
      </c>
      <c r="B309" s="6">
        <v>62.242857142857147</v>
      </c>
    </row>
    <row r="310" spans="1:2" x14ac:dyDescent="0.25">
      <c r="A310" s="7" t="s">
        <v>1137</v>
      </c>
      <c r="B310" s="6">
        <v>62.142857142857146</v>
      </c>
    </row>
    <row r="311" spans="1:2" x14ac:dyDescent="0.25">
      <c r="A311" s="5" t="s">
        <v>1248</v>
      </c>
      <c r="B311" s="6">
        <v>65.81547619047619</v>
      </c>
    </row>
    <row r="312" spans="1:2" x14ac:dyDescent="0.25">
      <c r="A312" s="7" t="s">
        <v>1133</v>
      </c>
      <c r="B312" s="6">
        <v>64.333333333333329</v>
      </c>
    </row>
    <row r="313" spans="1:2" x14ac:dyDescent="0.25">
      <c r="A313" s="7" t="s">
        <v>1134</v>
      </c>
      <c r="B313" s="6">
        <v>63.968253968253975</v>
      </c>
    </row>
    <row r="314" spans="1:2" x14ac:dyDescent="0.25">
      <c r="A314" s="7" t="s">
        <v>1135</v>
      </c>
      <c r="B314" s="6">
        <v>69.642857142857139</v>
      </c>
    </row>
    <row r="315" spans="1:2" x14ac:dyDescent="0.25">
      <c r="A315" s="7" t="s">
        <v>1136</v>
      </c>
      <c r="B315" s="6">
        <v>67.428571428571431</v>
      </c>
    </row>
    <row r="316" spans="1:2" x14ac:dyDescent="0.25">
      <c r="A316" s="7" t="s">
        <v>1137</v>
      </c>
      <c r="B316" s="6">
        <v>60.285714285714285</v>
      </c>
    </row>
    <row r="317" spans="1:2" x14ac:dyDescent="0.25">
      <c r="A317" s="5" t="s">
        <v>1332</v>
      </c>
      <c r="B317" s="6">
        <v>68.186335403726702</v>
      </c>
    </row>
    <row r="318" spans="1:2" x14ac:dyDescent="0.25">
      <c r="A318" s="7" t="s">
        <v>1133</v>
      </c>
      <c r="B318" s="6">
        <v>65.857142857142861</v>
      </c>
    </row>
    <row r="319" spans="1:2" x14ac:dyDescent="0.25">
      <c r="A319" s="7" t="s">
        <v>1134</v>
      </c>
      <c r="B319" s="6">
        <v>66.125</v>
      </c>
    </row>
    <row r="320" spans="1:2" x14ac:dyDescent="0.25">
      <c r="A320" s="7" t="s">
        <v>1135</v>
      </c>
      <c r="B320" s="6">
        <v>75.571428571428584</v>
      </c>
    </row>
    <row r="321" spans="1:2" x14ac:dyDescent="0.25">
      <c r="A321" s="7" t="s">
        <v>1136</v>
      </c>
      <c r="B321" s="6">
        <v>66.367346938775512</v>
      </c>
    </row>
    <row r="322" spans="1:2" x14ac:dyDescent="0.25">
      <c r="A322" s="7" t="s">
        <v>1137</v>
      </c>
      <c r="B322" s="6">
        <v>65.142857142857139</v>
      </c>
    </row>
    <row r="323" spans="1:2" x14ac:dyDescent="0.25">
      <c r="A323" s="5" t="s">
        <v>2685</v>
      </c>
      <c r="B323" s="6">
        <v>62.257142857142853</v>
      </c>
    </row>
    <row r="324" spans="1:2" x14ac:dyDescent="0.25">
      <c r="A324" s="7" t="s">
        <v>1133</v>
      </c>
      <c r="B324" s="6">
        <v>49.428571428571431</v>
      </c>
    </row>
    <row r="325" spans="1:2" x14ac:dyDescent="0.25">
      <c r="A325" s="7" t="s">
        <v>1134</v>
      </c>
      <c r="B325" s="6">
        <v>61.885714285714279</v>
      </c>
    </row>
    <row r="326" spans="1:2" x14ac:dyDescent="0.25">
      <c r="A326" s="7" t="s">
        <v>1135</v>
      </c>
      <c r="B326" s="6">
        <v>64.476190476190482</v>
      </c>
    </row>
    <row r="327" spans="1:2" x14ac:dyDescent="0.25">
      <c r="A327" s="7" t="s">
        <v>1136</v>
      </c>
      <c r="B327" s="6">
        <v>62.785714285714292</v>
      </c>
    </row>
    <row r="328" spans="1:2" x14ac:dyDescent="0.25">
      <c r="A328" s="7" t="s">
        <v>1137</v>
      </c>
      <c r="B328" s="6">
        <v>65</v>
      </c>
    </row>
    <row r="329" spans="1:2" x14ac:dyDescent="0.25">
      <c r="A329" s="5" t="s">
        <v>1243</v>
      </c>
      <c r="B329" s="6">
        <v>79.615763546798021</v>
      </c>
    </row>
    <row r="330" spans="1:2" x14ac:dyDescent="0.25">
      <c r="A330" s="7" t="s">
        <v>1133</v>
      </c>
      <c r="B330" s="6">
        <v>80.642857142857139</v>
      </c>
    </row>
    <row r="331" spans="1:2" x14ac:dyDescent="0.25">
      <c r="A331" s="7" t="s">
        <v>1134</v>
      </c>
      <c r="B331" s="6">
        <v>77.825396825396822</v>
      </c>
    </row>
    <row r="332" spans="1:2" x14ac:dyDescent="0.25">
      <c r="A332" s="7" t="s">
        <v>1135</v>
      </c>
      <c r="B332" s="6">
        <v>84.107142857142861</v>
      </c>
    </row>
    <row r="333" spans="1:2" x14ac:dyDescent="0.25">
      <c r="A333" s="7" t="s">
        <v>1136</v>
      </c>
      <c r="B333" s="6">
        <v>79.010989010989007</v>
      </c>
    </row>
    <row r="334" spans="1:2" x14ac:dyDescent="0.25">
      <c r="A334" s="7" t="s">
        <v>1137</v>
      </c>
      <c r="B334" s="6">
        <v>83.571428571428569</v>
      </c>
    </row>
    <row r="335" spans="1:2" x14ac:dyDescent="0.25">
      <c r="A335" s="5" t="s">
        <v>1308</v>
      </c>
      <c r="B335" s="6">
        <v>49.857142857142854</v>
      </c>
    </row>
    <row r="336" spans="1:2" x14ac:dyDescent="0.25">
      <c r="A336" s="7" t="s">
        <v>1133</v>
      </c>
      <c r="B336" s="6">
        <v>47.714285714285715</v>
      </c>
    </row>
    <row r="337" spans="1:2" x14ac:dyDescent="0.25">
      <c r="A337" s="7" t="s">
        <v>1134</v>
      </c>
      <c r="B337" s="6">
        <v>46.738095238095241</v>
      </c>
    </row>
    <row r="338" spans="1:2" x14ac:dyDescent="0.25">
      <c r="A338" s="7" t="s">
        <v>1135</v>
      </c>
      <c r="B338" s="6">
        <v>56.047619047619044</v>
      </c>
    </row>
    <row r="339" spans="1:2" x14ac:dyDescent="0.25">
      <c r="A339" s="7" t="s">
        <v>1136</v>
      </c>
      <c r="B339" s="6">
        <v>51.102040816326529</v>
      </c>
    </row>
    <row r="340" spans="1:2" x14ac:dyDescent="0.25">
      <c r="A340" s="7" t="s">
        <v>1137</v>
      </c>
      <c r="B340" s="6">
        <v>47.714285714285715</v>
      </c>
    </row>
    <row r="341" spans="1:2" x14ac:dyDescent="0.25">
      <c r="A341" s="5" t="s">
        <v>1256</v>
      </c>
      <c r="B341" s="6">
        <v>81.061224489795919</v>
      </c>
    </row>
    <row r="342" spans="1:2" x14ac:dyDescent="0.25">
      <c r="A342" s="7" t="s">
        <v>1133</v>
      </c>
      <c r="B342" s="6">
        <v>80.476190476190482</v>
      </c>
    </row>
    <row r="343" spans="1:2" x14ac:dyDescent="0.25">
      <c r="A343" s="7" t="s">
        <v>1134</v>
      </c>
      <c r="B343" s="6">
        <v>79.904761904761898</v>
      </c>
    </row>
    <row r="344" spans="1:2" x14ac:dyDescent="0.25">
      <c r="A344" s="7" t="s">
        <v>1135</v>
      </c>
      <c r="B344" s="6">
        <v>86</v>
      </c>
    </row>
    <row r="345" spans="1:2" x14ac:dyDescent="0.25">
      <c r="A345" s="7" t="s">
        <v>1136</v>
      </c>
      <c r="B345" s="6">
        <v>80.519480519480524</v>
      </c>
    </row>
    <row r="346" spans="1:2" x14ac:dyDescent="0.25">
      <c r="A346" s="7" t="s">
        <v>1137</v>
      </c>
      <c r="B346" s="6">
        <v>79.428571428571431</v>
      </c>
    </row>
    <row r="347" spans="1:2" x14ac:dyDescent="0.25">
      <c r="A347" s="5" t="s">
        <v>2675</v>
      </c>
      <c r="B347" s="6">
        <v>83.624338624338634</v>
      </c>
    </row>
    <row r="348" spans="1:2" x14ac:dyDescent="0.25">
      <c r="A348" s="7" t="s">
        <v>1133</v>
      </c>
      <c r="B348" s="6">
        <v>80.928571428571431</v>
      </c>
    </row>
    <row r="349" spans="1:2" x14ac:dyDescent="0.25">
      <c r="A349" s="7" t="s">
        <v>1134</v>
      </c>
      <c r="B349" s="6">
        <v>81.625</v>
      </c>
    </row>
    <row r="350" spans="1:2" x14ac:dyDescent="0.25">
      <c r="A350" s="7" t="s">
        <v>1135</v>
      </c>
      <c r="B350" s="6">
        <v>84.357142857142861</v>
      </c>
    </row>
    <row r="351" spans="1:2" x14ac:dyDescent="0.25">
      <c r="A351" s="7" t="s">
        <v>1136</v>
      </c>
      <c r="B351" s="6">
        <v>85.13095238095238</v>
      </c>
    </row>
    <row r="352" spans="1:2" x14ac:dyDescent="0.25">
      <c r="A352" s="7" t="s">
        <v>1137</v>
      </c>
      <c r="B352" s="6">
        <v>84</v>
      </c>
    </row>
    <row r="353" spans="1:2" x14ac:dyDescent="0.25">
      <c r="A353" s="5" t="s">
        <v>1333</v>
      </c>
      <c r="B353" s="6">
        <v>74.123376623376629</v>
      </c>
    </row>
    <row r="354" spans="1:2" x14ac:dyDescent="0.25">
      <c r="A354" s="7" t="s">
        <v>1133</v>
      </c>
      <c r="B354" s="6">
        <v>70.785714285714278</v>
      </c>
    </row>
    <row r="355" spans="1:2" x14ac:dyDescent="0.25">
      <c r="A355" s="7" t="s">
        <v>1134</v>
      </c>
      <c r="B355" s="6">
        <v>72.767857142857153</v>
      </c>
    </row>
    <row r="356" spans="1:2" x14ac:dyDescent="0.25">
      <c r="A356" s="7" t="s">
        <v>1135</v>
      </c>
      <c r="B356" s="6">
        <v>75.571428571428569</v>
      </c>
    </row>
    <row r="357" spans="1:2" x14ac:dyDescent="0.25">
      <c r="A357" s="7" t="s">
        <v>1136</v>
      </c>
      <c r="B357" s="6">
        <v>74.979591836734699</v>
      </c>
    </row>
    <row r="358" spans="1:2" x14ac:dyDescent="0.25">
      <c r="A358" s="7" t="s">
        <v>1137</v>
      </c>
      <c r="B358" s="6">
        <v>79.857142857142861</v>
      </c>
    </row>
    <row r="359" spans="1:2" x14ac:dyDescent="0.25">
      <c r="A359" s="5" t="s">
        <v>1334</v>
      </c>
      <c r="B359" s="6">
        <v>71.551948051948045</v>
      </c>
    </row>
    <row r="360" spans="1:2" x14ac:dyDescent="0.25">
      <c r="A360" s="7" t="s">
        <v>1133</v>
      </c>
      <c r="B360" s="6">
        <v>72.428571428571431</v>
      </c>
    </row>
    <row r="361" spans="1:2" x14ac:dyDescent="0.25">
      <c r="A361" s="7" t="s">
        <v>1134</v>
      </c>
      <c r="B361" s="6">
        <v>67.342857142857156</v>
      </c>
    </row>
    <row r="362" spans="1:2" x14ac:dyDescent="0.25">
      <c r="A362" s="7" t="s">
        <v>1135</v>
      </c>
      <c r="B362" s="6">
        <v>78.942857142857136</v>
      </c>
    </row>
    <row r="363" spans="1:2" x14ac:dyDescent="0.25">
      <c r="A363" s="7" t="s">
        <v>1136</v>
      </c>
      <c r="B363" s="6">
        <v>70.238095238095241</v>
      </c>
    </row>
    <row r="364" spans="1:2" x14ac:dyDescent="0.25">
      <c r="A364" s="7" t="s">
        <v>1137</v>
      </c>
      <c r="B364" s="6">
        <v>65.714285714285708</v>
      </c>
    </row>
    <row r="365" spans="1:2" x14ac:dyDescent="0.25">
      <c r="A365" s="5" t="s">
        <v>1335</v>
      </c>
      <c r="B365" s="6">
        <v>88.037267080745337</v>
      </c>
    </row>
    <row r="366" spans="1:2" x14ac:dyDescent="0.25">
      <c r="A366" s="7" t="s">
        <v>1133</v>
      </c>
      <c r="B366" s="6">
        <v>94.142857142857139</v>
      </c>
    </row>
    <row r="367" spans="1:2" x14ac:dyDescent="0.25">
      <c r="A367" s="7" t="s">
        <v>1134</v>
      </c>
      <c r="B367" s="6">
        <v>84.387755102040828</v>
      </c>
    </row>
    <row r="368" spans="1:2" x14ac:dyDescent="0.25">
      <c r="A368" s="7" t="s">
        <v>1135</v>
      </c>
      <c r="B368" s="6">
        <v>93.678571428571416</v>
      </c>
    </row>
    <row r="369" spans="1:2" x14ac:dyDescent="0.25">
      <c r="A369" s="7" t="s">
        <v>1136</v>
      </c>
      <c r="B369" s="6">
        <v>87.228571428571428</v>
      </c>
    </row>
    <row r="370" spans="1:2" x14ac:dyDescent="0.25">
      <c r="A370" s="7" t="s">
        <v>1137</v>
      </c>
      <c r="B370" s="6">
        <v>93</v>
      </c>
    </row>
    <row r="371" spans="1:2" x14ac:dyDescent="0.25">
      <c r="A371" s="5" t="s">
        <v>1279</v>
      </c>
      <c r="B371" s="6">
        <v>94.142857142857139</v>
      </c>
    </row>
    <row r="372" spans="1:2" x14ac:dyDescent="0.25">
      <c r="A372" s="7" t="s">
        <v>1134</v>
      </c>
      <c r="B372" s="6">
        <v>91.428571428571431</v>
      </c>
    </row>
    <row r="373" spans="1:2" x14ac:dyDescent="0.25">
      <c r="A373" s="7" t="s">
        <v>1136</v>
      </c>
      <c r="B373" s="6">
        <v>96.857142857142861</v>
      </c>
    </row>
    <row r="374" spans="1:2" x14ac:dyDescent="0.25">
      <c r="A374" s="5" t="s">
        <v>1287</v>
      </c>
      <c r="B374" s="6">
        <v>91.285714285714278</v>
      </c>
    </row>
    <row r="375" spans="1:2" x14ac:dyDescent="0.25">
      <c r="A375" s="7" t="s">
        <v>1135</v>
      </c>
      <c r="B375" s="6">
        <v>91.285714285714278</v>
      </c>
    </row>
    <row r="376" spans="1:2" x14ac:dyDescent="0.25">
      <c r="A376" s="5" t="s">
        <v>2376</v>
      </c>
      <c r="B376" s="6">
        <v>37.078571428571429</v>
      </c>
    </row>
    <row r="377" spans="1:2" x14ac:dyDescent="0.25">
      <c r="A377" s="7" t="s">
        <v>1133</v>
      </c>
      <c r="B377" s="6">
        <v>32.952380952380956</v>
      </c>
    </row>
    <row r="378" spans="1:2" x14ac:dyDescent="0.25">
      <c r="A378" s="7" t="s">
        <v>1134</v>
      </c>
      <c r="B378" s="6">
        <v>34.228571428571428</v>
      </c>
    </row>
    <row r="379" spans="1:2" x14ac:dyDescent="0.25">
      <c r="A379" s="7" t="s">
        <v>1135</v>
      </c>
      <c r="B379" s="6">
        <v>44.714285714285722</v>
      </c>
    </row>
    <row r="380" spans="1:2" x14ac:dyDescent="0.25">
      <c r="A380" s="7" t="s">
        <v>1136</v>
      </c>
      <c r="B380" s="6">
        <v>37.982142857142854</v>
      </c>
    </row>
    <row r="381" spans="1:2" x14ac:dyDescent="0.25">
      <c r="A381" s="7" t="s">
        <v>1137</v>
      </c>
      <c r="B381" s="6">
        <v>33.571428571428569</v>
      </c>
    </row>
    <row r="382" spans="1:2" x14ac:dyDescent="0.25">
      <c r="A382" s="5" t="s">
        <v>1272</v>
      </c>
      <c r="B382" s="6">
        <v>63.745341614906827</v>
      </c>
    </row>
    <row r="383" spans="1:2" x14ac:dyDescent="0.25">
      <c r="A383" s="7" t="s">
        <v>1133</v>
      </c>
      <c r="B383" s="6">
        <v>61.428571428571431</v>
      </c>
    </row>
    <row r="384" spans="1:2" x14ac:dyDescent="0.25">
      <c r="A384" s="7" t="s">
        <v>1134</v>
      </c>
      <c r="B384" s="6">
        <v>63.5</v>
      </c>
    </row>
    <row r="385" spans="1:2" x14ac:dyDescent="0.25">
      <c r="A385" s="7" t="s">
        <v>1135</v>
      </c>
      <c r="B385" s="6">
        <v>67.19047619047619</v>
      </c>
    </row>
    <row r="386" spans="1:2" x14ac:dyDescent="0.25">
      <c r="A386" s="7" t="s">
        <v>1136</v>
      </c>
      <c r="B386" s="6">
        <v>62.603174603174608</v>
      </c>
    </row>
    <row r="387" spans="1:2" x14ac:dyDescent="0.25">
      <c r="A387" s="7" t="s">
        <v>1137</v>
      </c>
      <c r="B387" s="6">
        <v>70.285714285714292</v>
      </c>
    </row>
    <row r="388" spans="1:2" x14ac:dyDescent="0.25">
      <c r="A388" s="5" t="s">
        <v>1311</v>
      </c>
      <c r="B388" s="6">
        <v>38.621428571428574</v>
      </c>
    </row>
    <row r="389" spans="1:2" x14ac:dyDescent="0.25">
      <c r="A389" s="7" t="s">
        <v>1133</v>
      </c>
      <c r="B389" s="6">
        <v>32.952380952380956</v>
      </c>
    </row>
    <row r="390" spans="1:2" x14ac:dyDescent="0.25">
      <c r="A390" s="7" t="s">
        <v>1134</v>
      </c>
      <c r="B390" s="6">
        <v>33.428571428571431</v>
      </c>
    </row>
    <row r="391" spans="1:2" x14ac:dyDescent="0.25">
      <c r="A391" s="7" t="s">
        <v>1135</v>
      </c>
      <c r="B391" s="6">
        <v>45.785714285714292</v>
      </c>
    </row>
    <row r="392" spans="1:2" x14ac:dyDescent="0.25">
      <c r="A392" s="7" t="s">
        <v>1136</v>
      </c>
      <c r="B392" s="6">
        <v>41.471428571428575</v>
      </c>
    </row>
    <row r="393" spans="1:2" x14ac:dyDescent="0.25">
      <c r="A393" s="7" t="s">
        <v>1137</v>
      </c>
      <c r="B393" s="6">
        <v>33.571428571428569</v>
      </c>
    </row>
    <row r="394" spans="1:2" x14ac:dyDescent="0.25">
      <c r="A394" s="5" t="s">
        <v>1293</v>
      </c>
      <c r="B394" s="6">
        <v>91.428571428571431</v>
      </c>
    </row>
    <row r="395" spans="1:2" x14ac:dyDescent="0.25">
      <c r="A395" s="7" t="s">
        <v>1136</v>
      </c>
      <c r="B395" s="6">
        <v>91.428571428571431</v>
      </c>
    </row>
    <row r="396" spans="1:2" x14ac:dyDescent="0.25">
      <c r="A396" s="5" t="s">
        <v>1313</v>
      </c>
      <c r="B396" s="6">
        <v>46.367346938775512</v>
      </c>
    </row>
    <row r="397" spans="1:2" x14ac:dyDescent="0.25">
      <c r="A397" s="7" t="s">
        <v>1133</v>
      </c>
      <c r="B397" s="6">
        <v>48.178571428571431</v>
      </c>
    </row>
    <row r="398" spans="1:2" x14ac:dyDescent="0.25">
      <c r="A398" s="7" t="s">
        <v>1134</v>
      </c>
      <c r="B398" s="6">
        <v>42.523809523809526</v>
      </c>
    </row>
    <row r="399" spans="1:2" x14ac:dyDescent="0.25">
      <c r="A399" s="7" t="s">
        <v>1135</v>
      </c>
      <c r="B399" s="6">
        <v>53.809523809523817</v>
      </c>
    </row>
    <row r="400" spans="1:2" x14ac:dyDescent="0.25">
      <c r="A400" s="7" t="s">
        <v>1136</v>
      </c>
      <c r="B400" s="6">
        <v>46</v>
      </c>
    </row>
    <row r="401" spans="1:2" x14ac:dyDescent="0.25">
      <c r="A401" s="7" t="s">
        <v>1137</v>
      </c>
      <c r="B401" s="6">
        <v>42.428571428571431</v>
      </c>
    </row>
    <row r="402" spans="1:2" x14ac:dyDescent="0.25">
      <c r="A402" s="5" t="s">
        <v>1336</v>
      </c>
      <c r="B402" s="6">
        <v>71.906832298136649</v>
      </c>
    </row>
    <row r="403" spans="1:2" x14ac:dyDescent="0.25">
      <c r="A403" s="7" t="s">
        <v>1133</v>
      </c>
      <c r="B403" s="6">
        <v>68.714285714285708</v>
      </c>
    </row>
    <row r="404" spans="1:2" x14ac:dyDescent="0.25">
      <c r="A404" s="7" t="s">
        <v>1134</v>
      </c>
      <c r="B404" s="6">
        <v>68.982142857142861</v>
      </c>
    </row>
    <row r="405" spans="1:2" x14ac:dyDescent="0.25">
      <c r="A405" s="7" t="s">
        <v>1135</v>
      </c>
      <c r="B405" s="6">
        <v>74.238095238095241</v>
      </c>
    </row>
    <row r="406" spans="1:2" x14ac:dyDescent="0.25">
      <c r="A406" s="7" t="s">
        <v>1136</v>
      </c>
      <c r="B406" s="6">
        <v>73.571428571428569</v>
      </c>
    </row>
    <row r="407" spans="1:2" x14ac:dyDescent="0.25">
      <c r="A407" s="7" t="s">
        <v>1137</v>
      </c>
      <c r="B407" s="6">
        <v>79.714285714285708</v>
      </c>
    </row>
    <row r="408" spans="1:2" x14ac:dyDescent="0.25">
      <c r="A408" s="5" t="s">
        <v>1240</v>
      </c>
      <c r="B408" s="6">
        <v>64.987577639751549</v>
      </c>
    </row>
    <row r="409" spans="1:2" x14ac:dyDescent="0.25">
      <c r="A409" s="7" t="s">
        <v>1133</v>
      </c>
      <c r="B409" s="6">
        <v>66.80952380952381</v>
      </c>
    </row>
    <row r="410" spans="1:2" x14ac:dyDescent="0.25">
      <c r="A410" s="7" t="s">
        <v>1134</v>
      </c>
      <c r="B410" s="6">
        <v>63.321428571428569</v>
      </c>
    </row>
    <row r="411" spans="1:2" x14ac:dyDescent="0.25">
      <c r="A411" s="7" t="s">
        <v>1135</v>
      </c>
      <c r="B411" s="6">
        <v>65.678571428571431</v>
      </c>
    </row>
    <row r="412" spans="1:2" x14ac:dyDescent="0.25">
      <c r="A412" s="7" t="s">
        <v>1136</v>
      </c>
      <c r="B412" s="6">
        <v>66.285714285714292</v>
      </c>
    </row>
    <row r="413" spans="1:2" x14ac:dyDescent="0.25">
      <c r="A413" s="7" t="s">
        <v>1137</v>
      </c>
      <c r="B413" s="6">
        <v>61</v>
      </c>
    </row>
    <row r="414" spans="1:2" x14ac:dyDescent="0.25">
      <c r="A414" s="5" t="s">
        <v>1273</v>
      </c>
      <c r="B414" s="6">
        <v>68.306122448979593</v>
      </c>
    </row>
    <row r="415" spans="1:2" x14ac:dyDescent="0.25">
      <c r="A415" s="7" t="s">
        <v>1133</v>
      </c>
      <c r="B415" s="6">
        <v>76.214285714285722</v>
      </c>
    </row>
    <row r="416" spans="1:2" x14ac:dyDescent="0.25">
      <c r="A416" s="7" t="s">
        <v>1134</v>
      </c>
      <c r="B416" s="6">
        <v>65.857142857142847</v>
      </c>
    </row>
    <row r="417" spans="1:2" x14ac:dyDescent="0.25">
      <c r="A417" s="7" t="s">
        <v>1135</v>
      </c>
      <c r="B417" s="6">
        <v>68.095238095238088</v>
      </c>
    </row>
    <row r="418" spans="1:2" x14ac:dyDescent="0.25">
      <c r="A418" s="7" t="s">
        <v>1136</v>
      </c>
      <c r="B418" s="6">
        <v>67.682539682539698</v>
      </c>
    </row>
    <row r="419" spans="1:2" x14ac:dyDescent="0.25">
      <c r="A419" s="7" t="s">
        <v>1137</v>
      </c>
      <c r="B419" s="6">
        <v>73.428571428571431</v>
      </c>
    </row>
    <row r="420" spans="1:2" x14ac:dyDescent="0.25">
      <c r="A420" s="5" t="s">
        <v>1232</v>
      </c>
      <c r="B420" s="6">
        <v>82.307692307692307</v>
      </c>
    </row>
    <row r="421" spans="1:2" x14ac:dyDescent="0.25">
      <c r="A421" s="7" t="s">
        <v>1133</v>
      </c>
      <c r="B421" s="6">
        <v>81.214285714285722</v>
      </c>
    </row>
    <row r="422" spans="1:2" x14ac:dyDescent="0.25">
      <c r="A422" s="7" t="s">
        <v>1134</v>
      </c>
      <c r="B422" s="6">
        <v>83.142857142857139</v>
      </c>
    </row>
    <row r="423" spans="1:2" x14ac:dyDescent="0.25">
      <c r="A423" s="7" t="s">
        <v>1135</v>
      </c>
      <c r="B423" s="6">
        <v>83.452380952380949</v>
      </c>
    </row>
    <row r="424" spans="1:2" x14ac:dyDescent="0.25">
      <c r="A424" s="7" t="s">
        <v>1136</v>
      </c>
      <c r="B424" s="6">
        <v>80.928571428571431</v>
      </c>
    </row>
    <row r="425" spans="1:2" x14ac:dyDescent="0.25">
      <c r="A425" s="7" t="s">
        <v>1137</v>
      </c>
      <c r="B425" s="6">
        <v>85.571428571428569</v>
      </c>
    </row>
    <row r="426" spans="1:2" x14ac:dyDescent="0.25">
      <c r="A426" s="5" t="s">
        <v>1337</v>
      </c>
      <c r="B426" s="6">
        <v>44.95</v>
      </c>
    </row>
    <row r="427" spans="1:2" x14ac:dyDescent="0.25">
      <c r="A427" s="7" t="s">
        <v>1133</v>
      </c>
      <c r="B427" s="6">
        <v>36.523809523809526</v>
      </c>
    </row>
    <row r="428" spans="1:2" x14ac:dyDescent="0.25">
      <c r="A428" s="7" t="s">
        <v>1134</v>
      </c>
      <c r="B428" s="6">
        <v>43.057142857142857</v>
      </c>
    </row>
    <row r="429" spans="1:2" x14ac:dyDescent="0.25">
      <c r="A429" s="7" t="s">
        <v>1135</v>
      </c>
      <c r="B429" s="6">
        <v>56.666666666666664</v>
      </c>
    </row>
    <row r="430" spans="1:2" x14ac:dyDescent="0.25">
      <c r="A430" s="7" t="s">
        <v>1136</v>
      </c>
      <c r="B430" s="6">
        <v>41.107142857142854</v>
      </c>
    </row>
    <row r="431" spans="1:2" x14ac:dyDescent="0.25">
      <c r="A431" s="7" t="s">
        <v>1137</v>
      </c>
      <c r="B431" s="6">
        <v>75.285714285714292</v>
      </c>
    </row>
    <row r="432" spans="1:2" x14ac:dyDescent="0.25">
      <c r="A432" s="5" t="s">
        <v>1338</v>
      </c>
      <c r="B432" s="6">
        <v>61.29285714285713</v>
      </c>
    </row>
    <row r="433" spans="1:2" x14ac:dyDescent="0.25">
      <c r="A433" s="7" t="s">
        <v>1133</v>
      </c>
      <c r="B433" s="6">
        <v>59.714285714285715</v>
      </c>
    </row>
    <row r="434" spans="1:2" x14ac:dyDescent="0.25">
      <c r="A434" s="7" t="s">
        <v>1134</v>
      </c>
      <c r="B434" s="6">
        <v>58.678571428571431</v>
      </c>
    </row>
    <row r="435" spans="1:2" x14ac:dyDescent="0.25">
      <c r="A435" s="7" t="s">
        <v>1135</v>
      </c>
      <c r="B435" s="6">
        <v>62.657142857142858</v>
      </c>
    </row>
    <row r="436" spans="1:2" x14ac:dyDescent="0.25">
      <c r="A436" s="7" t="s">
        <v>1136</v>
      </c>
      <c r="B436" s="6">
        <v>62.535714285714285</v>
      </c>
    </row>
    <row r="437" spans="1:2" x14ac:dyDescent="0.25">
      <c r="A437" s="7" t="s">
        <v>1137</v>
      </c>
      <c r="B437" s="6">
        <v>58.142857142857146</v>
      </c>
    </row>
    <row r="438" spans="1:2" x14ac:dyDescent="0.25">
      <c r="A438" s="5" t="s">
        <v>1291</v>
      </c>
      <c r="B438" s="6">
        <v>96</v>
      </c>
    </row>
    <row r="439" spans="1:2" x14ac:dyDescent="0.25">
      <c r="A439" s="7" t="s">
        <v>1136</v>
      </c>
      <c r="B439" s="6">
        <v>96</v>
      </c>
    </row>
    <row r="440" spans="1:2" x14ac:dyDescent="0.25">
      <c r="A440" s="5" t="s">
        <v>1316</v>
      </c>
      <c r="B440" s="6">
        <v>47.414285714285711</v>
      </c>
    </row>
    <row r="441" spans="1:2" x14ac:dyDescent="0.25">
      <c r="A441" s="7" t="s">
        <v>1133</v>
      </c>
      <c r="B441" s="6">
        <v>45</v>
      </c>
    </row>
    <row r="442" spans="1:2" x14ac:dyDescent="0.25">
      <c r="A442" s="7" t="s">
        <v>1134</v>
      </c>
      <c r="B442" s="6">
        <v>45.171428571428571</v>
      </c>
    </row>
    <row r="443" spans="1:2" x14ac:dyDescent="0.25">
      <c r="A443" s="7" t="s">
        <v>1135</v>
      </c>
      <c r="B443" s="6">
        <v>51</v>
      </c>
    </row>
    <row r="444" spans="1:2" x14ac:dyDescent="0.25">
      <c r="A444" s="7" t="s">
        <v>1136</v>
      </c>
      <c r="B444" s="6">
        <v>48.301587301587304</v>
      </c>
    </row>
    <row r="445" spans="1:2" x14ac:dyDescent="0.25">
      <c r="A445" s="7" t="s">
        <v>1137</v>
      </c>
      <c r="B445" s="6">
        <v>44.714285714285715</v>
      </c>
    </row>
    <row r="446" spans="1:2" x14ac:dyDescent="0.25">
      <c r="A446" s="5" t="s">
        <v>1277</v>
      </c>
      <c r="B446" s="6">
        <v>60.45</v>
      </c>
    </row>
    <row r="447" spans="1:2" x14ac:dyDescent="0.25">
      <c r="A447" s="7" t="s">
        <v>1133</v>
      </c>
      <c r="B447" s="6">
        <v>57.428571428571431</v>
      </c>
    </row>
    <row r="448" spans="1:2" x14ac:dyDescent="0.25">
      <c r="A448" s="7" t="s">
        <v>1134</v>
      </c>
      <c r="B448" s="6">
        <v>60.6</v>
      </c>
    </row>
    <row r="449" spans="1:2" x14ac:dyDescent="0.25">
      <c r="A449" s="7" t="s">
        <v>1135</v>
      </c>
      <c r="B449" s="6">
        <v>59.171428571428578</v>
      </c>
    </row>
    <row r="450" spans="1:2" x14ac:dyDescent="0.25">
      <c r="A450" s="7" t="s">
        <v>1136</v>
      </c>
      <c r="B450" s="6">
        <v>62.267857142857139</v>
      </c>
    </row>
    <row r="451" spans="1:2" x14ac:dyDescent="0.25">
      <c r="A451" s="7" t="s">
        <v>1137</v>
      </c>
      <c r="B451" s="6">
        <v>54.571428571428569</v>
      </c>
    </row>
    <row r="452" spans="1:2" x14ac:dyDescent="0.25">
      <c r="A452" s="5" t="s">
        <v>1339</v>
      </c>
      <c r="B452" s="6">
        <v>55.364285714285721</v>
      </c>
    </row>
    <row r="453" spans="1:2" x14ac:dyDescent="0.25">
      <c r="A453" s="7" t="s">
        <v>1133</v>
      </c>
      <c r="B453" s="6">
        <v>51.285714285714285</v>
      </c>
    </row>
    <row r="454" spans="1:2" x14ac:dyDescent="0.25">
      <c r="A454" s="7" t="s">
        <v>1134</v>
      </c>
      <c r="B454" s="6">
        <v>52.114285714285714</v>
      </c>
    </row>
    <row r="455" spans="1:2" x14ac:dyDescent="0.25">
      <c r="A455" s="7" t="s">
        <v>1135</v>
      </c>
      <c r="B455" s="6">
        <v>59.61904761904762</v>
      </c>
    </row>
    <row r="456" spans="1:2" x14ac:dyDescent="0.25">
      <c r="A456" s="7" t="s">
        <v>1136</v>
      </c>
      <c r="B456" s="6">
        <v>57.839285714285715</v>
      </c>
    </row>
    <row r="457" spans="1:2" x14ac:dyDescent="0.25">
      <c r="A457" s="7" t="s">
        <v>1137</v>
      </c>
      <c r="B457" s="6">
        <v>51.285714285714285</v>
      </c>
    </row>
    <row r="458" spans="1:2" x14ac:dyDescent="0.25">
      <c r="A458" s="5" t="s">
        <v>1282</v>
      </c>
      <c r="B458" s="6">
        <v>80.714285714285708</v>
      </c>
    </row>
    <row r="459" spans="1:2" x14ac:dyDescent="0.25">
      <c r="A459" s="7" t="s">
        <v>1135</v>
      </c>
      <c r="B459" s="6">
        <v>80.714285714285708</v>
      </c>
    </row>
    <row r="460" spans="1:2" x14ac:dyDescent="0.25">
      <c r="A460" s="5" t="s">
        <v>2519</v>
      </c>
      <c r="B460" s="6">
        <v>32.985714285714288</v>
      </c>
    </row>
    <row r="461" spans="1:2" x14ac:dyDescent="0.25">
      <c r="A461" s="7" t="s">
        <v>1133</v>
      </c>
      <c r="B461" s="6">
        <v>29.928571428571431</v>
      </c>
    </row>
    <row r="462" spans="1:2" x14ac:dyDescent="0.25">
      <c r="A462" s="7" t="s">
        <v>1134</v>
      </c>
      <c r="B462" s="6">
        <v>30.500000000000004</v>
      </c>
    </row>
    <row r="463" spans="1:2" x14ac:dyDescent="0.25">
      <c r="A463" s="7" t="s">
        <v>1135</v>
      </c>
      <c r="B463" s="6">
        <v>42.214285714285708</v>
      </c>
    </row>
    <row r="464" spans="1:2" x14ac:dyDescent="0.25">
      <c r="A464" s="7" t="s">
        <v>1136</v>
      </c>
      <c r="B464" s="6">
        <v>33.603174603174608</v>
      </c>
    </row>
    <row r="465" spans="1:2" x14ac:dyDescent="0.25">
      <c r="A465" s="7" t="s">
        <v>1137</v>
      </c>
      <c r="B465" s="6">
        <v>30</v>
      </c>
    </row>
    <row r="466" spans="1:2" x14ac:dyDescent="0.25">
      <c r="A466" s="5" t="s">
        <v>1340</v>
      </c>
      <c r="B466" s="6">
        <v>80.101190476190467</v>
      </c>
    </row>
    <row r="467" spans="1:2" x14ac:dyDescent="0.25">
      <c r="A467" s="7" t="s">
        <v>1133</v>
      </c>
      <c r="B467" s="6">
        <v>83.071428571428569</v>
      </c>
    </row>
    <row r="468" spans="1:2" x14ac:dyDescent="0.25">
      <c r="A468" s="7" t="s">
        <v>1134</v>
      </c>
      <c r="B468" s="6">
        <v>80.448979591836746</v>
      </c>
    </row>
    <row r="469" spans="1:2" x14ac:dyDescent="0.25">
      <c r="A469" s="7" t="s">
        <v>1135</v>
      </c>
      <c r="B469" s="6">
        <v>81.119047619047635</v>
      </c>
    </row>
    <row r="470" spans="1:2" x14ac:dyDescent="0.25">
      <c r="A470" s="7" t="s">
        <v>1136</v>
      </c>
      <c r="B470" s="6">
        <v>77.964285714285722</v>
      </c>
    </row>
    <row r="471" spans="1:2" x14ac:dyDescent="0.25">
      <c r="A471" s="7" t="s">
        <v>1137</v>
      </c>
      <c r="B471" s="6">
        <v>82.714285714285708</v>
      </c>
    </row>
    <row r="472" spans="1:2" x14ac:dyDescent="0.25">
      <c r="A472" s="5" t="s">
        <v>1266</v>
      </c>
      <c r="B472" s="6">
        <v>64.888888888888886</v>
      </c>
    </row>
    <row r="473" spans="1:2" x14ac:dyDescent="0.25">
      <c r="A473" s="7" t="s">
        <v>1133</v>
      </c>
      <c r="B473" s="6">
        <v>62.809523809523803</v>
      </c>
    </row>
    <row r="474" spans="1:2" x14ac:dyDescent="0.25">
      <c r="A474" s="7" t="s">
        <v>1134</v>
      </c>
      <c r="B474" s="6">
        <v>70.142857142857139</v>
      </c>
    </row>
    <row r="475" spans="1:2" x14ac:dyDescent="0.25">
      <c r="A475" s="7" t="s">
        <v>1135</v>
      </c>
      <c r="B475" s="6">
        <v>65.821428571428569</v>
      </c>
    </row>
    <row r="476" spans="1:2" x14ac:dyDescent="0.25">
      <c r="A476" s="7" t="s">
        <v>1136</v>
      </c>
      <c r="B476" s="6">
        <v>61.805194805194795</v>
      </c>
    </row>
    <row r="477" spans="1:2" x14ac:dyDescent="0.25">
      <c r="A477" s="7" t="s">
        <v>1137</v>
      </c>
      <c r="B477" s="6">
        <v>59.285714285714285</v>
      </c>
    </row>
    <row r="478" spans="1:2" x14ac:dyDescent="0.25">
      <c r="A478" s="5" t="s">
        <v>2682</v>
      </c>
      <c r="B478" s="6">
        <v>67.090225563909769</v>
      </c>
    </row>
    <row r="479" spans="1:2" x14ac:dyDescent="0.25">
      <c r="A479" s="7" t="s">
        <v>1133</v>
      </c>
      <c r="B479" s="6">
        <v>62.714285714285708</v>
      </c>
    </row>
    <row r="480" spans="1:2" x14ac:dyDescent="0.25">
      <c r="A480" s="7" t="s">
        <v>1134</v>
      </c>
      <c r="B480" s="6">
        <v>63.885714285714286</v>
      </c>
    </row>
    <row r="481" spans="1:2" x14ac:dyDescent="0.25">
      <c r="A481" s="7" t="s">
        <v>1135</v>
      </c>
      <c r="B481" s="6">
        <v>68.333333333333329</v>
      </c>
    </row>
    <row r="482" spans="1:2" x14ac:dyDescent="0.25">
      <c r="A482" s="7" t="s">
        <v>1136</v>
      </c>
      <c r="B482" s="6">
        <v>69.142857142857139</v>
      </c>
    </row>
    <row r="483" spans="1:2" x14ac:dyDescent="0.25">
      <c r="A483" s="7" t="s">
        <v>1137</v>
      </c>
      <c r="B483" s="6">
        <v>71.714285714285708</v>
      </c>
    </row>
    <row r="484" spans="1:2" x14ac:dyDescent="0.25">
      <c r="A484" s="5" t="s">
        <v>1268</v>
      </c>
      <c r="B484" s="6">
        <v>82.523809523809518</v>
      </c>
    </row>
    <row r="485" spans="1:2" x14ac:dyDescent="0.25">
      <c r="A485" s="7" t="s">
        <v>1133</v>
      </c>
      <c r="B485" s="6">
        <v>95</v>
      </c>
    </row>
    <row r="486" spans="1:2" x14ac:dyDescent="0.25">
      <c r="A486" s="7" t="s">
        <v>1134</v>
      </c>
      <c r="B486" s="6">
        <v>81.214285714285722</v>
      </c>
    </row>
    <row r="487" spans="1:2" x14ac:dyDescent="0.25">
      <c r="A487" s="7" t="s">
        <v>1135</v>
      </c>
      <c r="B487" s="6">
        <v>88.607142857142861</v>
      </c>
    </row>
    <row r="488" spans="1:2" x14ac:dyDescent="0.25">
      <c r="A488" s="7" t="s">
        <v>1136</v>
      </c>
      <c r="B488" s="6">
        <v>79.061224489795919</v>
      </c>
    </row>
    <row r="489" spans="1:2" x14ac:dyDescent="0.25">
      <c r="A489" s="7" t="s">
        <v>1137</v>
      </c>
      <c r="B489" s="6">
        <v>80.428571428571431</v>
      </c>
    </row>
    <row r="490" spans="1:2" x14ac:dyDescent="0.25">
      <c r="A490" s="5" t="s">
        <v>1284</v>
      </c>
      <c r="B490" s="6">
        <v>91.142857142857139</v>
      </c>
    </row>
    <row r="491" spans="1:2" x14ac:dyDescent="0.25">
      <c r="A491" s="7" t="s">
        <v>1135</v>
      </c>
      <c r="B491" s="6">
        <v>92.857142857142861</v>
      </c>
    </row>
    <row r="492" spans="1:2" x14ac:dyDescent="0.25">
      <c r="A492" s="7" t="s">
        <v>1136</v>
      </c>
      <c r="B492" s="6">
        <v>89.428571428571431</v>
      </c>
    </row>
    <row r="493" spans="1:2" x14ac:dyDescent="0.25">
      <c r="A493" s="5" t="s">
        <v>2377</v>
      </c>
      <c r="B493" s="6">
        <v>34.51428571428572</v>
      </c>
    </row>
    <row r="494" spans="1:2" x14ac:dyDescent="0.25">
      <c r="A494" s="7" t="s">
        <v>1133</v>
      </c>
      <c r="B494" s="6">
        <v>29.38095238095238</v>
      </c>
    </row>
    <row r="495" spans="1:2" x14ac:dyDescent="0.25">
      <c r="A495" s="7" t="s">
        <v>1134</v>
      </c>
      <c r="B495" s="6">
        <v>31.714285714285715</v>
      </c>
    </row>
    <row r="496" spans="1:2" x14ac:dyDescent="0.25">
      <c r="A496" s="7" t="s">
        <v>1135</v>
      </c>
      <c r="B496" s="6">
        <v>44.333333333333336</v>
      </c>
    </row>
    <row r="497" spans="1:2" x14ac:dyDescent="0.25">
      <c r="A497" s="7" t="s">
        <v>1136</v>
      </c>
      <c r="B497" s="6">
        <v>35.071428571428569</v>
      </c>
    </row>
    <row r="498" spans="1:2" x14ac:dyDescent="0.25">
      <c r="A498" s="7" t="s">
        <v>1137</v>
      </c>
      <c r="B498" s="6">
        <v>30</v>
      </c>
    </row>
    <row r="499" spans="1:2" x14ac:dyDescent="0.25">
      <c r="A499" s="5" t="s">
        <v>1241</v>
      </c>
      <c r="B499" s="6">
        <v>59.061224489795919</v>
      </c>
    </row>
    <row r="500" spans="1:2" x14ac:dyDescent="0.25">
      <c r="A500" s="7" t="s">
        <v>1133</v>
      </c>
      <c r="B500" s="6">
        <v>63.285714285714285</v>
      </c>
    </row>
    <row r="501" spans="1:2" x14ac:dyDescent="0.25">
      <c r="A501" s="7" t="s">
        <v>1134</v>
      </c>
      <c r="B501" s="6">
        <v>62.04081632653061</v>
      </c>
    </row>
    <row r="502" spans="1:2" x14ac:dyDescent="0.25">
      <c r="A502" s="7" t="s">
        <v>1135</v>
      </c>
      <c r="B502" s="6">
        <v>59.142857142857146</v>
      </c>
    </row>
    <row r="503" spans="1:2" x14ac:dyDescent="0.25">
      <c r="A503" s="7" t="s">
        <v>1136</v>
      </c>
      <c r="B503" s="6">
        <v>56.333333333333329</v>
      </c>
    </row>
    <row r="504" spans="1:2" x14ac:dyDescent="0.25">
      <c r="A504" s="7" t="s">
        <v>1137</v>
      </c>
      <c r="B504" s="6">
        <v>58.285714285714285</v>
      </c>
    </row>
    <row r="505" spans="1:2" x14ac:dyDescent="0.25">
      <c r="A505" s="5" t="s">
        <v>2679</v>
      </c>
      <c r="B505" s="6">
        <v>66.928571428571431</v>
      </c>
    </row>
    <row r="506" spans="1:2" x14ac:dyDescent="0.25">
      <c r="A506" s="7" t="s">
        <v>1133</v>
      </c>
      <c r="B506" s="6">
        <v>64.047619047619051</v>
      </c>
    </row>
    <row r="507" spans="1:2" x14ac:dyDescent="0.25">
      <c r="A507" s="7" t="s">
        <v>1134</v>
      </c>
      <c r="B507" s="6">
        <v>65.342857142857142</v>
      </c>
    </row>
    <row r="508" spans="1:2" x14ac:dyDescent="0.25">
      <c r="A508" s="7" t="s">
        <v>1135</v>
      </c>
      <c r="B508" s="6">
        <v>68.666666666666671</v>
      </c>
    </row>
    <row r="509" spans="1:2" x14ac:dyDescent="0.25">
      <c r="A509" s="7" t="s">
        <v>1136</v>
      </c>
      <c r="B509" s="6">
        <v>68.714285714285722</v>
      </c>
    </row>
    <row r="510" spans="1:2" x14ac:dyDescent="0.25">
      <c r="A510" s="7" t="s">
        <v>1137</v>
      </c>
      <c r="B510" s="6">
        <v>64</v>
      </c>
    </row>
    <row r="511" spans="1:2" x14ac:dyDescent="0.25">
      <c r="A511" s="5" t="s">
        <v>1244</v>
      </c>
      <c r="B511" s="6">
        <v>68.457142857142856</v>
      </c>
    </row>
    <row r="512" spans="1:2" x14ac:dyDescent="0.25">
      <c r="A512" s="7" t="s">
        <v>1133</v>
      </c>
      <c r="B512" s="6">
        <v>73.142857142857139</v>
      </c>
    </row>
    <row r="513" spans="1:2" x14ac:dyDescent="0.25">
      <c r="A513" s="7" t="s">
        <v>1134</v>
      </c>
      <c r="B513" s="6">
        <v>68.771428571428572</v>
      </c>
    </row>
    <row r="514" spans="1:2" x14ac:dyDescent="0.25">
      <c r="A514" s="7" t="s">
        <v>1135</v>
      </c>
      <c r="B514" s="6">
        <v>66.952380952380949</v>
      </c>
    </row>
    <row r="515" spans="1:2" x14ac:dyDescent="0.25">
      <c r="A515" s="7" t="s">
        <v>1136</v>
      </c>
      <c r="B515" s="6">
        <v>66.206349206349216</v>
      </c>
    </row>
    <row r="516" spans="1:2" x14ac:dyDescent="0.25">
      <c r="A516" s="7" t="s">
        <v>1137</v>
      </c>
      <c r="B516" s="6">
        <v>82.285714285714292</v>
      </c>
    </row>
    <row r="517" spans="1:2" x14ac:dyDescent="0.25">
      <c r="A517" s="5" t="s">
        <v>1262</v>
      </c>
      <c r="B517" s="6">
        <v>70.05714285714285</v>
      </c>
    </row>
    <row r="518" spans="1:2" x14ac:dyDescent="0.25">
      <c r="A518" s="7" t="s">
        <v>1133</v>
      </c>
      <c r="B518" s="6">
        <v>80.785714285714278</v>
      </c>
    </row>
    <row r="519" spans="1:2" x14ac:dyDescent="0.25">
      <c r="A519" s="7" t="s">
        <v>1134</v>
      </c>
      <c r="B519" s="6">
        <v>72.05714285714285</v>
      </c>
    </row>
    <row r="520" spans="1:2" x14ac:dyDescent="0.25">
      <c r="A520" s="7" t="s">
        <v>1135</v>
      </c>
      <c r="B520" s="6">
        <v>64.142857142857139</v>
      </c>
    </row>
    <row r="521" spans="1:2" x14ac:dyDescent="0.25">
      <c r="A521" s="7" t="s">
        <v>1136</v>
      </c>
      <c r="B521" s="6">
        <v>68.971428571428561</v>
      </c>
    </row>
    <row r="522" spans="1:2" x14ac:dyDescent="0.25">
      <c r="A522" s="7" t="s">
        <v>1137</v>
      </c>
      <c r="B522" s="6">
        <v>61.285714285714285</v>
      </c>
    </row>
    <row r="523" spans="1:2" x14ac:dyDescent="0.25">
      <c r="A523" s="5" t="s">
        <v>2688</v>
      </c>
      <c r="B523" s="6">
        <v>49.251700680272108</v>
      </c>
    </row>
    <row r="524" spans="1:2" x14ac:dyDescent="0.25">
      <c r="A524" s="7" t="s">
        <v>1133</v>
      </c>
      <c r="B524" s="6">
        <v>55.571428571428569</v>
      </c>
    </row>
    <row r="525" spans="1:2" x14ac:dyDescent="0.25">
      <c r="A525" s="7" t="s">
        <v>1134</v>
      </c>
      <c r="B525" s="6">
        <v>49.877551020408156</v>
      </c>
    </row>
    <row r="526" spans="1:2" x14ac:dyDescent="0.25">
      <c r="A526" s="7" t="s">
        <v>1135</v>
      </c>
      <c r="B526" s="6">
        <v>52.428571428571423</v>
      </c>
    </row>
    <row r="527" spans="1:2" x14ac:dyDescent="0.25">
      <c r="A527" s="7" t="s">
        <v>1136</v>
      </c>
      <c r="B527" s="6">
        <v>47.603174603174608</v>
      </c>
    </row>
    <row r="528" spans="1:2" x14ac:dyDescent="0.25">
      <c r="A528" s="7" t="s">
        <v>1137</v>
      </c>
      <c r="B528" s="6">
        <v>43.857142857142854</v>
      </c>
    </row>
    <row r="529" spans="1:2" x14ac:dyDescent="0.25">
      <c r="A529" s="5" t="s">
        <v>1223</v>
      </c>
      <c r="B529" s="6">
        <v>72.031055900621126</v>
      </c>
    </row>
    <row r="530" spans="1:2" x14ac:dyDescent="0.25">
      <c r="A530" s="7" t="s">
        <v>1133</v>
      </c>
      <c r="B530" s="6">
        <v>68.357142857142861</v>
      </c>
    </row>
    <row r="531" spans="1:2" x14ac:dyDescent="0.25">
      <c r="A531" s="7" t="s">
        <v>1134</v>
      </c>
      <c r="B531" s="6">
        <v>69.095238095238102</v>
      </c>
    </row>
    <row r="532" spans="1:2" x14ac:dyDescent="0.25">
      <c r="A532" s="7" t="s">
        <v>1135</v>
      </c>
      <c r="B532" s="6">
        <v>72</v>
      </c>
    </row>
    <row r="533" spans="1:2" x14ac:dyDescent="0.25">
      <c r="A533" s="7" t="s">
        <v>1136</v>
      </c>
      <c r="B533" s="6">
        <v>77.80952380952381</v>
      </c>
    </row>
    <row r="534" spans="1:2" x14ac:dyDescent="0.25">
      <c r="A534" s="7" t="s">
        <v>1137</v>
      </c>
      <c r="B534" s="6">
        <v>71.285714285714292</v>
      </c>
    </row>
    <row r="535" spans="1:2" x14ac:dyDescent="0.25">
      <c r="A535" s="5" t="s">
        <v>1237</v>
      </c>
      <c r="B535" s="6">
        <v>58.042857142857144</v>
      </c>
    </row>
    <row r="536" spans="1:2" x14ac:dyDescent="0.25">
      <c r="A536" s="7" t="s">
        <v>1133</v>
      </c>
      <c r="B536" s="6">
        <v>62.285714285714292</v>
      </c>
    </row>
    <row r="537" spans="1:2" x14ac:dyDescent="0.25">
      <c r="A537" s="7" t="s">
        <v>1134</v>
      </c>
      <c r="B537" s="6">
        <v>59.38095238095238</v>
      </c>
    </row>
    <row r="538" spans="1:2" x14ac:dyDescent="0.25">
      <c r="A538" s="7" t="s">
        <v>1135</v>
      </c>
      <c r="B538" s="6">
        <v>64.904761904761912</v>
      </c>
    </row>
    <row r="539" spans="1:2" x14ac:dyDescent="0.25">
      <c r="A539" s="7" t="s">
        <v>1136</v>
      </c>
      <c r="B539" s="6">
        <v>54.732142857142854</v>
      </c>
    </row>
    <row r="540" spans="1:2" x14ac:dyDescent="0.25">
      <c r="A540" s="7" t="s">
        <v>1137</v>
      </c>
      <c r="B540" s="6">
        <v>47.428571428571431</v>
      </c>
    </row>
    <row r="541" spans="1:2" x14ac:dyDescent="0.25">
      <c r="A541" s="5" t="s">
        <v>1261</v>
      </c>
      <c r="B541" s="6">
        <v>60.007518796992478</v>
      </c>
    </row>
    <row r="542" spans="1:2" x14ac:dyDescent="0.25">
      <c r="A542" s="7" t="s">
        <v>1133</v>
      </c>
      <c r="B542" s="6">
        <v>65.714285714285722</v>
      </c>
    </row>
    <row r="543" spans="1:2" x14ac:dyDescent="0.25">
      <c r="A543" s="7" t="s">
        <v>1134</v>
      </c>
      <c r="B543" s="6">
        <v>66</v>
      </c>
    </row>
    <row r="544" spans="1:2" x14ac:dyDescent="0.25">
      <c r="A544" s="7" t="s">
        <v>1135</v>
      </c>
      <c r="B544" s="6">
        <v>51.38095238095238</v>
      </c>
    </row>
    <row r="545" spans="1:2" x14ac:dyDescent="0.25">
      <c r="A545" s="7" t="s">
        <v>1136</v>
      </c>
      <c r="B545" s="6">
        <v>53.785714285714285</v>
      </c>
    </row>
    <row r="546" spans="1:2" x14ac:dyDescent="0.25">
      <c r="A546" s="7" t="s">
        <v>1137</v>
      </c>
      <c r="B546" s="6">
        <v>69.857142857142861</v>
      </c>
    </row>
    <row r="547" spans="1:2" x14ac:dyDescent="0.25">
      <c r="A547" s="5" t="s">
        <v>1320</v>
      </c>
      <c r="B547" s="6">
        <v>50.4</v>
      </c>
    </row>
    <row r="548" spans="1:2" x14ac:dyDescent="0.25">
      <c r="A548" s="7" t="s">
        <v>1133</v>
      </c>
      <c r="B548" s="6">
        <v>47.714285714285715</v>
      </c>
    </row>
    <row r="549" spans="1:2" x14ac:dyDescent="0.25">
      <c r="A549" s="7" t="s">
        <v>1134</v>
      </c>
      <c r="B549" s="6">
        <v>48.547619047619044</v>
      </c>
    </row>
    <row r="550" spans="1:2" x14ac:dyDescent="0.25">
      <c r="A550" s="7" t="s">
        <v>1135</v>
      </c>
      <c r="B550" s="6">
        <v>56.047619047619058</v>
      </c>
    </row>
    <row r="551" spans="1:2" x14ac:dyDescent="0.25">
      <c r="A551" s="7" t="s">
        <v>1136</v>
      </c>
      <c r="B551" s="6">
        <v>51.102040816326529</v>
      </c>
    </row>
    <row r="552" spans="1:2" x14ac:dyDescent="0.25">
      <c r="A552" s="7" t="s">
        <v>1137</v>
      </c>
      <c r="B552" s="6">
        <v>47.714285714285715</v>
      </c>
    </row>
    <row r="553" spans="1:2" x14ac:dyDescent="0.25">
      <c r="A553" s="5" t="s">
        <v>1270</v>
      </c>
      <c r="B553" s="6">
        <v>63.844720496894418</v>
      </c>
    </row>
    <row r="554" spans="1:2" x14ac:dyDescent="0.25">
      <c r="A554" s="7" t="s">
        <v>1133</v>
      </c>
      <c r="B554" s="6">
        <v>68.714285714285722</v>
      </c>
    </row>
    <row r="555" spans="1:2" x14ac:dyDescent="0.25">
      <c r="A555" s="7" t="s">
        <v>1134</v>
      </c>
      <c r="B555" s="6">
        <v>62.244897959183675</v>
      </c>
    </row>
    <row r="556" spans="1:2" x14ac:dyDescent="0.25">
      <c r="A556" s="7" t="s">
        <v>1135</v>
      </c>
      <c r="B556" s="6">
        <v>66.095238095238102</v>
      </c>
    </row>
    <row r="557" spans="1:2" x14ac:dyDescent="0.25">
      <c r="A557" s="7" t="s">
        <v>1136</v>
      </c>
      <c r="B557" s="6">
        <v>62.357142857142854</v>
      </c>
    </row>
    <row r="558" spans="1:2" x14ac:dyDescent="0.25">
      <c r="A558" s="7" t="s">
        <v>1137</v>
      </c>
      <c r="B558" s="6">
        <v>73.428571428571431</v>
      </c>
    </row>
    <row r="559" spans="1:2" x14ac:dyDescent="0.25">
      <c r="A559" s="5" t="s">
        <v>1276</v>
      </c>
      <c r="B559" s="6">
        <v>76.074534161490689</v>
      </c>
    </row>
    <row r="560" spans="1:2" x14ac:dyDescent="0.25">
      <c r="A560" s="7" t="s">
        <v>1133</v>
      </c>
      <c r="B560" s="6">
        <v>70.214285714285722</v>
      </c>
    </row>
    <row r="561" spans="1:2" x14ac:dyDescent="0.25">
      <c r="A561" s="7" t="s">
        <v>1134</v>
      </c>
      <c r="B561" s="6">
        <v>74.803571428571431</v>
      </c>
    </row>
    <row r="562" spans="1:2" x14ac:dyDescent="0.25">
      <c r="A562" s="7" t="s">
        <v>1135</v>
      </c>
      <c r="B562" s="6">
        <v>78.071428571428569</v>
      </c>
    </row>
    <row r="563" spans="1:2" x14ac:dyDescent="0.25">
      <c r="A563" s="7" t="s">
        <v>1136</v>
      </c>
      <c r="B563" s="6">
        <v>79.523809523809533</v>
      </c>
    </row>
    <row r="564" spans="1:2" x14ac:dyDescent="0.25">
      <c r="A564" s="7" t="s">
        <v>1137</v>
      </c>
      <c r="B564" s="6">
        <v>65.285714285714292</v>
      </c>
    </row>
    <row r="565" spans="1:2" x14ac:dyDescent="0.25">
      <c r="A565" s="5" t="s">
        <v>1226</v>
      </c>
      <c r="B565" s="6">
        <v>72.095238095238102</v>
      </c>
    </row>
    <row r="566" spans="1:2" x14ac:dyDescent="0.25">
      <c r="A566" s="7" t="s">
        <v>1133</v>
      </c>
      <c r="B566" s="6">
        <v>74.357142857142861</v>
      </c>
    </row>
    <row r="567" spans="1:2" x14ac:dyDescent="0.25">
      <c r="A567" s="7" t="s">
        <v>1134</v>
      </c>
      <c r="B567" s="6">
        <v>71.387755102040813</v>
      </c>
    </row>
    <row r="568" spans="1:2" x14ac:dyDescent="0.25">
      <c r="A568" s="7" t="s">
        <v>1135</v>
      </c>
      <c r="B568" s="6">
        <v>72.071428571428584</v>
      </c>
    </row>
    <row r="569" spans="1:2" x14ac:dyDescent="0.25">
      <c r="A569" s="7" t="s">
        <v>1136</v>
      </c>
      <c r="B569" s="6">
        <v>69.380952380952394</v>
      </c>
    </row>
    <row r="570" spans="1:2" x14ac:dyDescent="0.25">
      <c r="A570" s="7" t="s">
        <v>1137</v>
      </c>
      <c r="B570" s="6">
        <v>88.857142857142861</v>
      </c>
    </row>
    <row r="571" spans="1:2" x14ac:dyDescent="0.25">
      <c r="A571" s="5" t="s">
        <v>2678</v>
      </c>
      <c r="B571" s="6">
        <v>62.521428571428579</v>
      </c>
    </row>
    <row r="572" spans="1:2" x14ac:dyDescent="0.25">
      <c r="A572" s="7" t="s">
        <v>1133</v>
      </c>
      <c r="B572" s="6">
        <v>67.642857142857139</v>
      </c>
    </row>
    <row r="573" spans="1:2" x14ac:dyDescent="0.25">
      <c r="A573" s="7" t="s">
        <v>1134</v>
      </c>
      <c r="B573" s="6">
        <v>59.771428571428579</v>
      </c>
    </row>
    <row r="574" spans="1:2" x14ac:dyDescent="0.25">
      <c r="A574" s="7" t="s">
        <v>1135</v>
      </c>
      <c r="B574" s="6">
        <v>66.642857142857139</v>
      </c>
    </row>
    <row r="575" spans="1:2" x14ac:dyDescent="0.25">
      <c r="A575" s="7" t="s">
        <v>1136</v>
      </c>
      <c r="B575" s="6">
        <v>62.471428571428568</v>
      </c>
    </row>
    <row r="576" spans="1:2" x14ac:dyDescent="0.25">
      <c r="A576" s="7" t="s">
        <v>1137</v>
      </c>
      <c r="B576" s="6">
        <v>58.285714285714285</v>
      </c>
    </row>
    <row r="577" spans="1:2" x14ac:dyDescent="0.25">
      <c r="A577" s="5" t="s">
        <v>1341</v>
      </c>
      <c r="B577" s="6">
        <v>87.351190476190482</v>
      </c>
    </row>
    <row r="578" spans="1:2" x14ac:dyDescent="0.25">
      <c r="A578" s="7" t="s">
        <v>1133</v>
      </c>
      <c r="B578" s="6">
        <v>96.285714285714292</v>
      </c>
    </row>
    <row r="579" spans="1:2" x14ac:dyDescent="0.25">
      <c r="A579" s="7" t="s">
        <v>1134</v>
      </c>
      <c r="B579" s="6">
        <v>83.517857142857139</v>
      </c>
    </row>
    <row r="580" spans="1:2" x14ac:dyDescent="0.25">
      <c r="A580" s="7" t="s">
        <v>1135</v>
      </c>
      <c r="B580" s="6">
        <v>83.392857142857139</v>
      </c>
    </row>
    <row r="581" spans="1:2" x14ac:dyDescent="0.25">
      <c r="A581" s="7" t="s">
        <v>1136</v>
      </c>
      <c r="B581" s="6">
        <v>90.871428571428581</v>
      </c>
    </row>
    <row r="582" spans="1:2" x14ac:dyDescent="0.25">
      <c r="A582" s="7" t="s">
        <v>1137</v>
      </c>
      <c r="B582" s="6">
        <v>89.714285714285708</v>
      </c>
    </row>
    <row r="583" spans="1:2" x14ac:dyDescent="0.25">
      <c r="A583" s="5" t="s">
        <v>1257</v>
      </c>
      <c r="B583" s="6">
        <v>70.805714285714288</v>
      </c>
    </row>
    <row r="584" spans="1:2" x14ac:dyDescent="0.25">
      <c r="A584" s="7" t="s">
        <v>1133</v>
      </c>
      <c r="B584" s="6">
        <v>70.047619047619051</v>
      </c>
    </row>
    <row r="585" spans="1:2" x14ac:dyDescent="0.25">
      <c r="A585" s="7" t="s">
        <v>1134</v>
      </c>
      <c r="B585" s="6">
        <v>69.367346938775498</v>
      </c>
    </row>
    <row r="586" spans="1:2" x14ac:dyDescent="0.25">
      <c r="A586" s="7" t="s">
        <v>1135</v>
      </c>
      <c r="B586" s="6">
        <v>70.80952380952381</v>
      </c>
    </row>
    <row r="587" spans="1:2" x14ac:dyDescent="0.25">
      <c r="A587" s="7" t="s">
        <v>1136</v>
      </c>
      <c r="B587" s="6">
        <v>71.857142857142847</v>
      </c>
    </row>
    <row r="588" spans="1:2" x14ac:dyDescent="0.25">
      <c r="A588" s="7" t="s">
        <v>1137</v>
      </c>
      <c r="B588" s="6">
        <v>71.571428571428569</v>
      </c>
    </row>
    <row r="589" spans="1:2" x14ac:dyDescent="0.25">
      <c r="A589" s="5" t="s">
        <v>1342</v>
      </c>
      <c r="B589" s="6">
        <v>68.957142857142856</v>
      </c>
    </row>
    <row r="590" spans="1:2" x14ac:dyDescent="0.25">
      <c r="A590" s="7" t="s">
        <v>1133</v>
      </c>
      <c r="B590" s="6">
        <v>60.357142857142861</v>
      </c>
    </row>
    <row r="591" spans="1:2" x14ac:dyDescent="0.25">
      <c r="A591" s="7" t="s">
        <v>1134</v>
      </c>
      <c r="B591" s="6">
        <v>73.214285714285708</v>
      </c>
    </row>
    <row r="592" spans="1:2" x14ac:dyDescent="0.25">
      <c r="A592" s="7" t="s">
        <v>1135</v>
      </c>
      <c r="B592" s="6">
        <v>70.523809523809518</v>
      </c>
    </row>
    <row r="593" spans="1:2" x14ac:dyDescent="0.25">
      <c r="A593" s="7" t="s">
        <v>1136</v>
      </c>
      <c r="B593" s="6">
        <v>66.964285714285722</v>
      </c>
    </row>
    <row r="594" spans="1:2" x14ac:dyDescent="0.25">
      <c r="A594" s="7" t="s">
        <v>1137</v>
      </c>
      <c r="B594" s="6">
        <v>71.857142857142861</v>
      </c>
    </row>
    <row r="595" spans="1:2" x14ac:dyDescent="0.25">
      <c r="A595" s="5" t="s">
        <v>1343</v>
      </c>
      <c r="B595" s="6">
        <v>84.928571428571431</v>
      </c>
    </row>
    <row r="596" spans="1:2" x14ac:dyDescent="0.25">
      <c r="A596" s="7" t="s">
        <v>1133</v>
      </c>
      <c r="B596" s="6">
        <v>95.571428571428569</v>
      </c>
    </row>
    <row r="597" spans="1:2" x14ac:dyDescent="0.25">
      <c r="A597" s="7" t="s">
        <v>1134</v>
      </c>
      <c r="B597" s="6">
        <v>82.410714285714278</v>
      </c>
    </row>
    <row r="598" spans="1:2" x14ac:dyDescent="0.25">
      <c r="A598" s="7" t="s">
        <v>1135</v>
      </c>
      <c r="B598" s="6">
        <v>87.464285714285708</v>
      </c>
    </row>
    <row r="599" spans="1:2" x14ac:dyDescent="0.25">
      <c r="A599" s="7" t="s">
        <v>1136</v>
      </c>
      <c r="B599" s="6">
        <v>83.899999999999991</v>
      </c>
    </row>
    <row r="600" spans="1:2" x14ac:dyDescent="0.25">
      <c r="A600" s="7" t="s">
        <v>1137</v>
      </c>
      <c r="B600" s="6">
        <v>94.571428571428569</v>
      </c>
    </row>
    <row r="601" spans="1:2" x14ac:dyDescent="0.25">
      <c r="A601" s="5" t="s">
        <v>1249</v>
      </c>
      <c r="B601" s="6">
        <v>72.571428571428584</v>
      </c>
    </row>
    <row r="602" spans="1:2" x14ac:dyDescent="0.25">
      <c r="A602" s="7" t="s">
        <v>1133</v>
      </c>
      <c r="B602" s="6">
        <v>77.571428571428569</v>
      </c>
    </row>
    <row r="603" spans="1:2" x14ac:dyDescent="0.25">
      <c r="A603" s="7" t="s">
        <v>1134</v>
      </c>
      <c r="B603" s="6">
        <v>68.732142857142861</v>
      </c>
    </row>
    <row r="604" spans="1:2" x14ac:dyDescent="0.25">
      <c r="A604" s="7" t="s">
        <v>1135</v>
      </c>
      <c r="B604" s="6">
        <v>76.785714285714292</v>
      </c>
    </row>
    <row r="605" spans="1:2" x14ac:dyDescent="0.25">
      <c r="A605" s="7" t="s">
        <v>1136</v>
      </c>
      <c r="B605" s="6">
        <v>74.321428571428569</v>
      </c>
    </row>
    <row r="606" spans="1:2" x14ac:dyDescent="0.25">
      <c r="A606" s="7" t="s">
        <v>1137</v>
      </c>
      <c r="B606" s="6">
        <v>61</v>
      </c>
    </row>
    <row r="607" spans="1:2" x14ac:dyDescent="0.25">
      <c r="A607" s="5" t="s">
        <v>1238</v>
      </c>
      <c r="B607" s="6">
        <v>62.613095238095234</v>
      </c>
    </row>
    <row r="608" spans="1:2" x14ac:dyDescent="0.25">
      <c r="A608" s="7" t="s">
        <v>1133</v>
      </c>
      <c r="B608" s="6">
        <v>63.095238095238095</v>
      </c>
    </row>
    <row r="609" spans="1:2" x14ac:dyDescent="0.25">
      <c r="A609" s="7" t="s">
        <v>1134</v>
      </c>
      <c r="B609" s="6">
        <v>58.632653061224481</v>
      </c>
    </row>
    <row r="610" spans="1:2" x14ac:dyDescent="0.25">
      <c r="A610" s="7" t="s">
        <v>1135</v>
      </c>
      <c r="B610" s="6">
        <v>64.952380952380963</v>
      </c>
    </row>
    <row r="611" spans="1:2" x14ac:dyDescent="0.25">
      <c r="A611" s="7" t="s">
        <v>1136</v>
      </c>
      <c r="B611" s="6">
        <v>64.657142857142858</v>
      </c>
    </row>
    <row r="612" spans="1:2" x14ac:dyDescent="0.25">
      <c r="A612" s="7" t="s">
        <v>1137</v>
      </c>
      <c r="B612" s="6">
        <v>61.571428571428569</v>
      </c>
    </row>
    <row r="613" spans="1:2" x14ac:dyDescent="0.25">
      <c r="A613" s="5" t="s">
        <v>1251</v>
      </c>
      <c r="B613" s="6">
        <v>55.25563909774435</v>
      </c>
    </row>
    <row r="614" spans="1:2" x14ac:dyDescent="0.25">
      <c r="A614" s="7" t="s">
        <v>1133</v>
      </c>
      <c r="B614" s="6">
        <v>62.714285714285715</v>
      </c>
    </row>
    <row r="615" spans="1:2" x14ac:dyDescent="0.25">
      <c r="A615" s="7" t="s">
        <v>1134</v>
      </c>
      <c r="B615" s="6">
        <v>57.857142857142854</v>
      </c>
    </row>
    <row r="616" spans="1:2" x14ac:dyDescent="0.25">
      <c r="A616" s="7" t="s">
        <v>1135</v>
      </c>
      <c r="B616" s="6">
        <v>55.214285714285708</v>
      </c>
    </row>
    <row r="617" spans="1:2" x14ac:dyDescent="0.25">
      <c r="A617" s="7" t="s">
        <v>1136</v>
      </c>
      <c r="B617" s="6">
        <v>54.350649350649341</v>
      </c>
    </row>
    <row r="618" spans="1:2" x14ac:dyDescent="0.25">
      <c r="A618" s="7" t="s">
        <v>1137</v>
      </c>
      <c r="B618" s="6">
        <v>47.428571428571431</v>
      </c>
    </row>
    <row r="619" spans="1:2" x14ac:dyDescent="0.25">
      <c r="A619" s="5" t="s">
        <v>1264</v>
      </c>
      <c r="B619" s="6">
        <v>75.118012422360252</v>
      </c>
    </row>
    <row r="620" spans="1:2" x14ac:dyDescent="0.25">
      <c r="A620" s="7" t="s">
        <v>1133</v>
      </c>
      <c r="B620" s="6">
        <v>81.428571428571416</v>
      </c>
    </row>
    <row r="621" spans="1:2" x14ac:dyDescent="0.25">
      <c r="A621" s="7" t="s">
        <v>1134</v>
      </c>
      <c r="B621" s="6">
        <v>76.34693877551021</v>
      </c>
    </row>
    <row r="622" spans="1:2" x14ac:dyDescent="0.25">
      <c r="A622" s="7" t="s">
        <v>1135</v>
      </c>
      <c r="B622" s="6">
        <v>81.714285714285722</v>
      </c>
    </row>
    <row r="623" spans="1:2" x14ac:dyDescent="0.25">
      <c r="A623" s="7" t="s">
        <v>1136</v>
      </c>
      <c r="B623" s="6">
        <v>71.328571428571422</v>
      </c>
    </row>
    <row r="624" spans="1:2" x14ac:dyDescent="0.25">
      <c r="A624" s="7" t="s">
        <v>1137</v>
      </c>
      <c r="B624" s="6">
        <v>72</v>
      </c>
    </row>
    <row r="625" spans="1:2" x14ac:dyDescent="0.25">
      <c r="A625" s="5" t="s">
        <v>1274</v>
      </c>
      <c r="B625" s="6">
        <v>74.896103896103909</v>
      </c>
    </row>
    <row r="626" spans="1:2" x14ac:dyDescent="0.25">
      <c r="A626" s="7" t="s">
        <v>1133</v>
      </c>
      <c r="B626" s="6">
        <v>71.214285714285722</v>
      </c>
    </row>
    <row r="627" spans="1:2" x14ac:dyDescent="0.25">
      <c r="A627" s="7" t="s">
        <v>1134</v>
      </c>
      <c r="B627" s="6">
        <v>72.464285714285722</v>
      </c>
    </row>
    <row r="628" spans="1:2" x14ac:dyDescent="0.25">
      <c r="A628" s="7" t="s">
        <v>1135</v>
      </c>
      <c r="B628" s="6">
        <v>76.857142857142847</v>
      </c>
    </row>
    <row r="629" spans="1:2" x14ac:dyDescent="0.25">
      <c r="A629" s="7" t="s">
        <v>1136</v>
      </c>
      <c r="B629" s="6">
        <v>76.660714285714292</v>
      </c>
    </row>
    <row r="630" spans="1:2" x14ac:dyDescent="0.25">
      <c r="A630" s="7" t="s">
        <v>1137</v>
      </c>
      <c r="B630" s="6">
        <v>81.714285714285708</v>
      </c>
    </row>
    <row r="631" spans="1:2" x14ac:dyDescent="0.25">
      <c r="A631" s="5" t="s">
        <v>1294</v>
      </c>
      <c r="B631" s="6">
        <v>95.857142857142861</v>
      </c>
    </row>
    <row r="632" spans="1:2" x14ac:dyDescent="0.25">
      <c r="A632" s="7" t="s">
        <v>1136</v>
      </c>
      <c r="B632" s="6">
        <v>95.857142857142861</v>
      </c>
    </row>
    <row r="633" spans="1:2" x14ac:dyDescent="0.25">
      <c r="A633" s="5" t="s">
        <v>1283</v>
      </c>
      <c r="B633" s="6">
        <v>90.571428571428569</v>
      </c>
    </row>
    <row r="634" spans="1:2" x14ac:dyDescent="0.25">
      <c r="A634" s="7" t="s">
        <v>1135</v>
      </c>
      <c r="B634" s="6">
        <v>90.571428571428569</v>
      </c>
    </row>
    <row r="635" spans="1:2" x14ac:dyDescent="0.25">
      <c r="A635" s="5" t="s">
        <v>2681</v>
      </c>
      <c r="B635" s="6">
        <v>64.741758241758234</v>
      </c>
    </row>
    <row r="636" spans="1:2" x14ac:dyDescent="0.25">
      <c r="A636" s="7" t="s">
        <v>1133</v>
      </c>
      <c r="B636" s="6">
        <v>64</v>
      </c>
    </row>
    <row r="637" spans="1:2" x14ac:dyDescent="0.25">
      <c r="A637" s="7" t="s">
        <v>1134</v>
      </c>
      <c r="B637" s="6">
        <v>65.535714285714278</v>
      </c>
    </row>
    <row r="638" spans="1:2" x14ac:dyDescent="0.25">
      <c r="A638" s="7" t="s">
        <v>1135</v>
      </c>
      <c r="B638" s="6">
        <v>67.095238095238088</v>
      </c>
    </row>
    <row r="639" spans="1:2" x14ac:dyDescent="0.25">
      <c r="A639" s="7" t="s">
        <v>1136</v>
      </c>
      <c r="B639" s="6">
        <v>62.111111111111114</v>
      </c>
    </row>
    <row r="640" spans="1:2" x14ac:dyDescent="0.25">
      <c r="A640" s="7" t="s">
        <v>1137</v>
      </c>
      <c r="B640" s="6">
        <v>69.428571428571431</v>
      </c>
    </row>
    <row r="641" spans="1:2" x14ac:dyDescent="0.25">
      <c r="A641" s="5" t="s">
        <v>2687</v>
      </c>
      <c r="B641" s="6">
        <v>59.199999999999989</v>
      </c>
    </row>
    <row r="642" spans="1:2" x14ac:dyDescent="0.25">
      <c r="A642" s="7" t="s">
        <v>1133</v>
      </c>
      <c r="B642" s="6">
        <v>52.428571428571431</v>
      </c>
    </row>
    <row r="643" spans="1:2" x14ac:dyDescent="0.25">
      <c r="A643" s="7" t="s">
        <v>1134</v>
      </c>
      <c r="B643" s="6">
        <v>58.392857142857146</v>
      </c>
    </row>
    <row r="644" spans="1:2" x14ac:dyDescent="0.25">
      <c r="A644" s="7" t="s">
        <v>1135</v>
      </c>
      <c r="B644" s="6">
        <v>59.892857142857146</v>
      </c>
    </row>
    <row r="645" spans="1:2" x14ac:dyDescent="0.25">
      <c r="A645" s="7" t="s">
        <v>1136</v>
      </c>
      <c r="B645" s="6">
        <v>61.357142857142861</v>
      </c>
    </row>
    <row r="646" spans="1:2" x14ac:dyDescent="0.25">
      <c r="A646" s="7" t="s">
        <v>1137</v>
      </c>
      <c r="B646" s="6">
        <v>56.714285714285715</v>
      </c>
    </row>
    <row r="647" spans="1:2" x14ac:dyDescent="0.25">
      <c r="A647" s="5" t="s">
        <v>1269</v>
      </c>
      <c r="B647" s="6">
        <v>89.035714285714278</v>
      </c>
    </row>
    <row r="648" spans="1:2" x14ac:dyDescent="0.25">
      <c r="A648" s="7" t="s">
        <v>1133</v>
      </c>
      <c r="B648" s="6">
        <v>86</v>
      </c>
    </row>
    <row r="649" spans="1:2" x14ac:dyDescent="0.25">
      <c r="A649" s="7" t="s">
        <v>1135</v>
      </c>
      <c r="B649" s="6">
        <v>95.285714285714278</v>
      </c>
    </row>
    <row r="650" spans="1:2" x14ac:dyDescent="0.25">
      <c r="A650" s="7" t="s">
        <v>1136</v>
      </c>
      <c r="B650" s="6">
        <v>79.571428571428569</v>
      </c>
    </row>
    <row r="651" spans="1:2" x14ac:dyDescent="0.25">
      <c r="A651" s="5" t="s">
        <v>1231</v>
      </c>
      <c r="B651" s="6">
        <v>67.821428571428584</v>
      </c>
    </row>
    <row r="652" spans="1:2" x14ac:dyDescent="0.25">
      <c r="A652" s="7" t="s">
        <v>1133</v>
      </c>
      <c r="B652" s="6">
        <v>68.571428571428569</v>
      </c>
    </row>
    <row r="653" spans="1:2" x14ac:dyDescent="0.25">
      <c r="A653" s="7" t="s">
        <v>1134</v>
      </c>
      <c r="B653" s="6">
        <v>64.514285714285705</v>
      </c>
    </row>
    <row r="654" spans="1:2" x14ac:dyDescent="0.25">
      <c r="A654" s="7" t="s">
        <v>1135</v>
      </c>
      <c r="B654" s="6">
        <v>71.428571428571431</v>
      </c>
    </row>
    <row r="655" spans="1:2" x14ac:dyDescent="0.25">
      <c r="A655" s="7" t="s">
        <v>1136</v>
      </c>
      <c r="B655" s="6">
        <v>67.842857142857142</v>
      </c>
    </row>
    <row r="656" spans="1:2" x14ac:dyDescent="0.25">
      <c r="A656" s="7" t="s">
        <v>1137</v>
      </c>
      <c r="B656" s="6">
        <v>72.571428571428569</v>
      </c>
    </row>
    <row r="657" spans="1:2" x14ac:dyDescent="0.25">
      <c r="A657" s="5" t="s">
        <v>1247</v>
      </c>
      <c r="B657" s="6">
        <v>81.939560439560438</v>
      </c>
    </row>
    <row r="658" spans="1:2" x14ac:dyDescent="0.25">
      <c r="A658" s="7" t="s">
        <v>1133</v>
      </c>
      <c r="B658" s="6">
        <v>75.785714285714278</v>
      </c>
    </row>
    <row r="659" spans="1:2" x14ac:dyDescent="0.25">
      <c r="A659" s="7" t="s">
        <v>1134</v>
      </c>
      <c r="B659" s="6">
        <v>82.714285714285722</v>
      </c>
    </row>
    <row r="660" spans="1:2" x14ac:dyDescent="0.25">
      <c r="A660" s="7" t="s">
        <v>1135</v>
      </c>
      <c r="B660" s="6">
        <v>81.857142857142847</v>
      </c>
    </row>
    <row r="661" spans="1:2" x14ac:dyDescent="0.25">
      <c r="A661" s="7" t="s">
        <v>1136</v>
      </c>
      <c r="B661" s="6">
        <v>82.158730158730165</v>
      </c>
    </row>
    <row r="662" spans="1:2" x14ac:dyDescent="0.25">
      <c r="A662" s="7" t="s">
        <v>1137</v>
      </c>
      <c r="B662" s="6">
        <v>86.571428571428569</v>
      </c>
    </row>
    <row r="663" spans="1:2" x14ac:dyDescent="0.25">
      <c r="A663" s="5" t="s">
        <v>1235</v>
      </c>
      <c r="B663" s="6">
        <v>65.659863945578238</v>
      </c>
    </row>
    <row r="664" spans="1:2" x14ac:dyDescent="0.25">
      <c r="A664" s="7" t="s">
        <v>1133</v>
      </c>
      <c r="B664" s="6">
        <v>68.714285714285708</v>
      </c>
    </row>
    <row r="665" spans="1:2" x14ac:dyDescent="0.25">
      <c r="A665" s="7" t="s">
        <v>1134</v>
      </c>
      <c r="B665" s="6">
        <v>69.387755102040813</v>
      </c>
    </row>
    <row r="666" spans="1:2" x14ac:dyDescent="0.25">
      <c r="A666" s="7" t="s">
        <v>1135</v>
      </c>
      <c r="B666" s="6">
        <v>71.142857142857153</v>
      </c>
    </row>
    <row r="667" spans="1:2" x14ac:dyDescent="0.25">
      <c r="A667" s="7" t="s">
        <v>1136</v>
      </c>
      <c r="B667" s="6">
        <v>61.238095238095234</v>
      </c>
    </row>
    <row r="668" spans="1:2" x14ac:dyDescent="0.25">
      <c r="A668" s="7" t="s">
        <v>1137</v>
      </c>
      <c r="B668" s="6">
        <v>59.857142857142854</v>
      </c>
    </row>
    <row r="669" spans="1:2" x14ac:dyDescent="0.25">
      <c r="A669" s="5" t="s">
        <v>2539</v>
      </c>
      <c r="B669" s="6">
        <v>77.972125435540093</v>
      </c>
    </row>
    <row r="670" spans="1:2" x14ac:dyDescent="0.25">
      <c r="A670" s="7" t="s">
        <v>1133</v>
      </c>
      <c r="B670" s="6">
        <v>71.047619047619051</v>
      </c>
    </row>
    <row r="671" spans="1:2" x14ac:dyDescent="0.25">
      <c r="A671" s="7" t="s">
        <v>1134</v>
      </c>
      <c r="B671" s="6">
        <v>75.142857142857139</v>
      </c>
    </row>
    <row r="672" spans="1:2" x14ac:dyDescent="0.25">
      <c r="A672" s="7" t="s">
        <v>1135</v>
      </c>
      <c r="B672" s="6">
        <v>76.571428571428569</v>
      </c>
    </row>
    <row r="673" spans="1:2" x14ac:dyDescent="0.25">
      <c r="A673" s="7" t="s">
        <v>1136</v>
      </c>
      <c r="B673" s="6">
        <v>79.339285714285722</v>
      </c>
    </row>
    <row r="674" spans="1:2" x14ac:dyDescent="0.25">
      <c r="A674" s="7" t="s">
        <v>1137</v>
      </c>
      <c r="B674" s="6">
        <v>78.480093676815017</v>
      </c>
    </row>
    <row r="675" spans="1:2" x14ac:dyDescent="0.25">
      <c r="A675" s="7" t="s">
        <v>2539</v>
      </c>
      <c r="B675" s="6"/>
    </row>
    <row r="676" spans="1:2" x14ac:dyDescent="0.25">
      <c r="A676" s="5" t="s">
        <v>1323</v>
      </c>
      <c r="B676" s="6">
        <v>66.411454631603931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36"/>
  <sheetViews>
    <sheetView tabSelected="1" workbookViewId="0">
      <pane ySplit="1" topLeftCell="A2418" activePane="bottomLeft" state="frozen"/>
      <selection pane="bottomLeft" activeCell="M2423" sqref="M2423"/>
    </sheetView>
  </sheetViews>
  <sheetFormatPr defaultRowHeight="15" x14ac:dyDescent="0.25"/>
  <cols>
    <col min="1" max="1" width="18.7109375" customWidth="1"/>
    <col min="2" max="2" width="21.85546875" customWidth="1"/>
    <col min="3" max="3" width="7.7109375" customWidth="1"/>
    <col min="4" max="6" width="5.7109375" customWidth="1"/>
    <col min="7" max="9" width="8.7109375" customWidth="1"/>
    <col min="10" max="11" width="17.7109375" customWidth="1"/>
    <col min="12" max="12" width="6.7109375" customWidth="1"/>
    <col min="13" max="13" width="7.7109375" customWidth="1"/>
    <col min="14" max="21" width="7.42578125" customWidth="1"/>
    <col min="22" max="22" width="9.7109375" customWidth="1"/>
  </cols>
  <sheetData>
    <row r="1" spans="1:27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1325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2" t="s">
        <v>1295</v>
      </c>
      <c r="X1" s="2" t="s">
        <v>1296</v>
      </c>
      <c r="Y1" t="s">
        <v>2694</v>
      </c>
      <c r="Z1" s="8" t="s">
        <v>2695</v>
      </c>
      <c r="AA1" s="8" t="s">
        <v>2697</v>
      </c>
    </row>
    <row r="2" spans="1:27" x14ac:dyDescent="0.25">
      <c r="A2" s="1">
        <v>1</v>
      </c>
      <c r="B2" t="s">
        <v>2121</v>
      </c>
      <c r="C2" t="s">
        <v>1133</v>
      </c>
      <c r="D2" t="s">
        <v>1133</v>
      </c>
      <c r="H2" t="s">
        <v>1200</v>
      </c>
      <c r="I2" t="s">
        <v>1200</v>
      </c>
      <c r="J2" t="s">
        <v>1281</v>
      </c>
      <c r="K2" t="s">
        <v>1212</v>
      </c>
      <c r="M2" s="3">
        <f t="shared" ref="M2:M65" si="0">AVERAGE(N2:T2)</f>
        <v>61.142857142857146</v>
      </c>
      <c r="N2">
        <v>16</v>
      </c>
      <c r="O2">
        <v>77</v>
      </c>
      <c r="P2">
        <v>69</v>
      </c>
      <c r="Q2">
        <v>75</v>
      </c>
      <c r="R2">
        <v>77</v>
      </c>
      <c r="S2">
        <v>79</v>
      </c>
      <c r="T2">
        <v>35</v>
      </c>
      <c r="U2">
        <v>0</v>
      </c>
      <c r="V2" s="3">
        <f t="shared" ref="V2:V65" si="1">ROUNDUP(M2^10/1000000000000 * IF(U2&gt;0,1.5,1),0)</f>
        <v>730226</v>
      </c>
      <c r="W2">
        <v>60852.166666666664</v>
      </c>
      <c r="X2">
        <v>0</v>
      </c>
      <c r="Y2">
        <f t="shared" ref="Y2:Y65" si="2">V2/12</f>
        <v>60852.166666666664</v>
      </c>
      <c r="Z2">
        <f t="shared" ref="Z2:Z65" si="3">ROUND(((W2-Y2)/Y2)*100,2)</f>
        <v>0</v>
      </c>
      <c r="AA2">
        <v>0</v>
      </c>
    </row>
    <row r="3" spans="1:27" x14ac:dyDescent="0.25">
      <c r="A3" s="1">
        <v>2</v>
      </c>
      <c r="B3" t="s">
        <v>2122</v>
      </c>
      <c r="C3" t="s">
        <v>1133</v>
      </c>
      <c r="D3" t="s">
        <v>1133</v>
      </c>
      <c r="H3" t="s">
        <v>1200</v>
      </c>
      <c r="I3" t="s">
        <v>1200</v>
      </c>
      <c r="J3" t="s">
        <v>1281</v>
      </c>
      <c r="K3" t="s">
        <v>1212</v>
      </c>
      <c r="M3" s="3">
        <f t="shared" si="0"/>
        <v>63.571428571428569</v>
      </c>
      <c r="N3">
        <v>18</v>
      </c>
      <c r="O3">
        <v>81</v>
      </c>
      <c r="P3">
        <v>71</v>
      </c>
      <c r="Q3">
        <v>77</v>
      </c>
      <c r="R3">
        <v>79</v>
      </c>
      <c r="S3">
        <v>81</v>
      </c>
      <c r="T3">
        <v>38</v>
      </c>
      <c r="U3">
        <v>0</v>
      </c>
      <c r="V3" s="3">
        <f t="shared" si="1"/>
        <v>1078003</v>
      </c>
      <c r="W3">
        <v>89833.583333333328</v>
      </c>
      <c r="X3">
        <v>0</v>
      </c>
      <c r="Y3">
        <f t="shared" si="2"/>
        <v>89833.583333333328</v>
      </c>
      <c r="Z3">
        <f t="shared" si="3"/>
        <v>0</v>
      </c>
      <c r="AA3">
        <v>0</v>
      </c>
    </row>
    <row r="4" spans="1:27" x14ac:dyDescent="0.25">
      <c r="A4" s="1">
        <v>3</v>
      </c>
      <c r="B4" t="s">
        <v>2124</v>
      </c>
      <c r="C4" t="s">
        <v>1134</v>
      </c>
      <c r="D4" t="s">
        <v>1138</v>
      </c>
      <c r="E4" t="s">
        <v>1139</v>
      </c>
      <c r="H4" t="s">
        <v>1200</v>
      </c>
      <c r="I4" t="s">
        <v>1200</v>
      </c>
      <c r="J4" t="s">
        <v>1281</v>
      </c>
      <c r="K4" t="s">
        <v>1212</v>
      </c>
      <c r="M4" s="3">
        <f t="shared" si="0"/>
        <v>65</v>
      </c>
      <c r="N4">
        <v>21</v>
      </c>
      <c r="O4">
        <v>85</v>
      </c>
      <c r="P4">
        <v>73</v>
      </c>
      <c r="Q4">
        <v>77</v>
      </c>
      <c r="R4">
        <v>79</v>
      </c>
      <c r="S4">
        <v>81</v>
      </c>
      <c r="T4">
        <v>39</v>
      </c>
      <c r="U4">
        <v>0</v>
      </c>
      <c r="V4" s="3">
        <f t="shared" si="1"/>
        <v>1346275</v>
      </c>
      <c r="W4">
        <v>112189.58333333333</v>
      </c>
      <c r="X4">
        <v>0</v>
      </c>
      <c r="Y4">
        <f t="shared" si="2"/>
        <v>112189.58333333333</v>
      </c>
      <c r="Z4">
        <f t="shared" si="3"/>
        <v>0</v>
      </c>
      <c r="AA4">
        <v>0</v>
      </c>
    </row>
    <row r="5" spans="1:27" x14ac:dyDescent="0.25">
      <c r="A5" s="1">
        <v>4</v>
      </c>
      <c r="B5" t="s">
        <v>373</v>
      </c>
      <c r="C5" t="s">
        <v>1134</v>
      </c>
      <c r="D5" t="s">
        <v>1140</v>
      </c>
      <c r="E5" t="s">
        <v>1138</v>
      </c>
      <c r="G5" t="s">
        <v>1200</v>
      </c>
      <c r="H5" t="s">
        <v>1200</v>
      </c>
      <c r="I5" t="s">
        <v>1200</v>
      </c>
      <c r="J5" t="s">
        <v>1281</v>
      </c>
      <c r="K5" t="s">
        <v>1212</v>
      </c>
      <c r="M5" s="3">
        <f t="shared" si="0"/>
        <v>84.142857142857139</v>
      </c>
      <c r="N5">
        <v>70</v>
      </c>
      <c r="O5">
        <v>96</v>
      </c>
      <c r="P5">
        <v>80</v>
      </c>
      <c r="Q5">
        <v>87</v>
      </c>
      <c r="R5">
        <v>86</v>
      </c>
      <c r="S5">
        <v>84</v>
      </c>
      <c r="T5">
        <v>86</v>
      </c>
      <c r="U5">
        <v>27</v>
      </c>
      <c r="V5" s="3">
        <f t="shared" si="1"/>
        <v>26684792</v>
      </c>
      <c r="W5">
        <v>2223732.6666666665</v>
      </c>
      <c r="X5">
        <v>0</v>
      </c>
      <c r="Y5">
        <f t="shared" si="2"/>
        <v>2223732.6666666665</v>
      </c>
      <c r="Z5">
        <f t="shared" si="3"/>
        <v>0</v>
      </c>
      <c r="AA5">
        <v>0</v>
      </c>
    </row>
    <row r="6" spans="1:27" x14ac:dyDescent="0.25">
      <c r="A6" s="1">
        <v>5</v>
      </c>
      <c r="B6" t="s">
        <v>2127</v>
      </c>
      <c r="C6" t="s">
        <v>1134</v>
      </c>
      <c r="D6" t="s">
        <v>1138</v>
      </c>
      <c r="E6" t="s">
        <v>1144</v>
      </c>
      <c r="H6" t="s">
        <v>1200</v>
      </c>
      <c r="I6" t="s">
        <v>1200</v>
      </c>
      <c r="J6" t="s">
        <v>1281</v>
      </c>
      <c r="K6" t="s">
        <v>1212</v>
      </c>
      <c r="M6" s="3">
        <f t="shared" si="0"/>
        <v>60.142857142857146</v>
      </c>
      <c r="N6">
        <v>16</v>
      </c>
      <c r="O6">
        <v>80</v>
      </c>
      <c r="P6">
        <v>67</v>
      </c>
      <c r="Q6">
        <v>73</v>
      </c>
      <c r="R6">
        <v>75</v>
      </c>
      <c r="S6">
        <v>77</v>
      </c>
      <c r="T6">
        <v>33</v>
      </c>
      <c r="U6">
        <v>0</v>
      </c>
      <c r="V6" s="3">
        <f t="shared" si="1"/>
        <v>619214</v>
      </c>
      <c r="W6">
        <v>51601.166666666664</v>
      </c>
      <c r="X6">
        <v>0</v>
      </c>
      <c r="Y6">
        <f t="shared" si="2"/>
        <v>51601.166666666664</v>
      </c>
      <c r="Z6">
        <f t="shared" si="3"/>
        <v>0</v>
      </c>
      <c r="AA6">
        <v>0</v>
      </c>
    </row>
    <row r="7" spans="1:27" x14ac:dyDescent="0.25">
      <c r="A7" s="1">
        <v>6</v>
      </c>
      <c r="B7" t="s">
        <v>2114</v>
      </c>
      <c r="C7" t="s">
        <v>1134</v>
      </c>
      <c r="D7" t="s">
        <v>1139</v>
      </c>
      <c r="E7" t="s">
        <v>1138</v>
      </c>
      <c r="H7" t="s">
        <v>1200</v>
      </c>
      <c r="I7" t="s">
        <v>1200</v>
      </c>
      <c r="J7" t="s">
        <v>1281</v>
      </c>
      <c r="K7" t="s">
        <v>1212</v>
      </c>
      <c r="M7" s="3">
        <f t="shared" si="0"/>
        <v>64.571428571428569</v>
      </c>
      <c r="N7">
        <v>20</v>
      </c>
      <c r="O7">
        <v>84</v>
      </c>
      <c r="P7">
        <v>73</v>
      </c>
      <c r="Q7">
        <v>77</v>
      </c>
      <c r="R7">
        <v>79</v>
      </c>
      <c r="S7">
        <v>81</v>
      </c>
      <c r="T7">
        <v>38</v>
      </c>
      <c r="U7">
        <v>0</v>
      </c>
      <c r="V7" s="3">
        <f t="shared" si="1"/>
        <v>1260097</v>
      </c>
      <c r="W7">
        <v>105008.08333333333</v>
      </c>
      <c r="X7">
        <v>0</v>
      </c>
      <c r="Y7">
        <f t="shared" si="2"/>
        <v>105008.08333333333</v>
      </c>
      <c r="Z7">
        <f t="shared" si="3"/>
        <v>0</v>
      </c>
      <c r="AA7">
        <v>0</v>
      </c>
    </row>
    <row r="8" spans="1:27" x14ac:dyDescent="0.25">
      <c r="A8" s="1">
        <v>7</v>
      </c>
      <c r="B8" t="s">
        <v>2125</v>
      </c>
      <c r="C8" t="s">
        <v>1134</v>
      </c>
      <c r="D8" t="s">
        <v>1140</v>
      </c>
      <c r="E8" t="s">
        <v>1138</v>
      </c>
      <c r="H8" t="s">
        <v>1200</v>
      </c>
      <c r="I8" t="s">
        <v>1200</v>
      </c>
      <c r="J8" t="s">
        <v>1281</v>
      </c>
      <c r="K8" t="s">
        <v>1212</v>
      </c>
      <c r="M8" s="3">
        <f t="shared" si="0"/>
        <v>62.857142857142854</v>
      </c>
      <c r="N8">
        <v>19</v>
      </c>
      <c r="O8">
        <v>83</v>
      </c>
      <c r="P8">
        <v>71</v>
      </c>
      <c r="Q8">
        <v>75</v>
      </c>
      <c r="R8">
        <v>77</v>
      </c>
      <c r="S8">
        <v>79</v>
      </c>
      <c r="T8">
        <v>36</v>
      </c>
      <c r="U8">
        <v>0</v>
      </c>
      <c r="V8" s="3">
        <f t="shared" si="1"/>
        <v>962823</v>
      </c>
      <c r="W8">
        <v>80235.25</v>
      </c>
      <c r="X8">
        <v>0</v>
      </c>
      <c r="Y8">
        <f t="shared" si="2"/>
        <v>80235.25</v>
      </c>
      <c r="Z8">
        <f t="shared" si="3"/>
        <v>0</v>
      </c>
      <c r="AA8">
        <v>0</v>
      </c>
    </row>
    <row r="9" spans="1:27" x14ac:dyDescent="0.25">
      <c r="A9" s="1">
        <v>8</v>
      </c>
      <c r="B9" t="s">
        <v>2115</v>
      </c>
      <c r="C9" t="s">
        <v>1134</v>
      </c>
      <c r="D9" t="s">
        <v>1140</v>
      </c>
      <c r="E9" t="s">
        <v>1139</v>
      </c>
      <c r="H9" t="s">
        <v>1200</v>
      </c>
      <c r="I9" t="s">
        <v>1200</v>
      </c>
      <c r="J9" t="s">
        <v>1281</v>
      </c>
      <c r="K9" t="s">
        <v>1212</v>
      </c>
      <c r="M9" s="3">
        <f t="shared" si="0"/>
        <v>59.857142857142854</v>
      </c>
      <c r="N9">
        <v>16</v>
      </c>
      <c r="O9">
        <v>79</v>
      </c>
      <c r="P9">
        <v>67</v>
      </c>
      <c r="Q9">
        <v>73</v>
      </c>
      <c r="R9">
        <v>75</v>
      </c>
      <c r="S9">
        <v>77</v>
      </c>
      <c r="T9">
        <v>32</v>
      </c>
      <c r="U9">
        <v>0</v>
      </c>
      <c r="V9" s="3">
        <f t="shared" si="1"/>
        <v>590419</v>
      </c>
      <c r="W9">
        <v>49201.583333333336</v>
      </c>
      <c r="X9">
        <v>0</v>
      </c>
      <c r="Y9">
        <f t="shared" si="2"/>
        <v>49201.583333333336</v>
      </c>
      <c r="Z9">
        <f t="shared" si="3"/>
        <v>0</v>
      </c>
      <c r="AA9">
        <v>0</v>
      </c>
    </row>
    <row r="10" spans="1:27" x14ac:dyDescent="0.25">
      <c r="A10" s="1">
        <v>9</v>
      </c>
      <c r="B10" t="s">
        <v>2118</v>
      </c>
      <c r="C10" t="s">
        <v>1135</v>
      </c>
      <c r="D10" t="s">
        <v>1142</v>
      </c>
      <c r="E10" t="s">
        <v>1141</v>
      </c>
      <c r="H10" t="s">
        <v>1200</v>
      </c>
      <c r="I10" t="s">
        <v>1200</v>
      </c>
      <c r="J10" t="s">
        <v>1281</v>
      </c>
      <c r="K10" t="s">
        <v>1212</v>
      </c>
      <c r="M10" s="3">
        <f t="shared" si="0"/>
        <v>60.142857142857146</v>
      </c>
      <c r="N10">
        <v>17</v>
      </c>
      <c r="O10">
        <v>79</v>
      </c>
      <c r="P10">
        <v>67</v>
      </c>
      <c r="Q10">
        <v>73</v>
      </c>
      <c r="R10">
        <v>75</v>
      </c>
      <c r="S10">
        <v>77</v>
      </c>
      <c r="T10">
        <v>33</v>
      </c>
      <c r="U10">
        <v>0</v>
      </c>
      <c r="V10" s="3">
        <f t="shared" si="1"/>
        <v>619214</v>
      </c>
      <c r="W10">
        <v>51601.166666666664</v>
      </c>
      <c r="X10">
        <v>0</v>
      </c>
      <c r="Y10">
        <f t="shared" si="2"/>
        <v>51601.166666666664</v>
      </c>
      <c r="Z10">
        <f t="shared" si="3"/>
        <v>0</v>
      </c>
      <c r="AA10">
        <v>0</v>
      </c>
    </row>
    <row r="11" spans="1:27" x14ac:dyDescent="0.25">
      <c r="A11" s="1">
        <v>10</v>
      </c>
      <c r="B11" t="s">
        <v>2117</v>
      </c>
      <c r="C11" t="s">
        <v>1135</v>
      </c>
      <c r="D11" t="s">
        <v>1142</v>
      </c>
      <c r="E11" t="s">
        <v>1141</v>
      </c>
      <c r="H11" t="s">
        <v>1200</v>
      </c>
      <c r="I11" t="s">
        <v>1200</v>
      </c>
      <c r="J11" t="s">
        <v>1281</v>
      </c>
      <c r="K11" t="s">
        <v>1212</v>
      </c>
      <c r="M11" s="3">
        <f t="shared" si="0"/>
        <v>69</v>
      </c>
      <c r="N11">
        <v>36</v>
      </c>
      <c r="O11">
        <v>81</v>
      </c>
      <c r="P11">
        <v>75</v>
      </c>
      <c r="Q11">
        <v>80</v>
      </c>
      <c r="R11">
        <v>77</v>
      </c>
      <c r="S11">
        <v>79</v>
      </c>
      <c r="T11">
        <v>55</v>
      </c>
      <c r="U11">
        <v>0</v>
      </c>
      <c r="V11" s="3">
        <f t="shared" si="1"/>
        <v>2446195</v>
      </c>
      <c r="W11">
        <v>69941.666666666672</v>
      </c>
      <c r="X11">
        <v>0</v>
      </c>
      <c r="Y11">
        <f t="shared" si="2"/>
        <v>203849.58333333334</v>
      </c>
      <c r="Z11">
        <f t="shared" si="3"/>
        <v>-65.69</v>
      </c>
      <c r="AA11">
        <v>0</v>
      </c>
    </row>
    <row r="12" spans="1:27" x14ac:dyDescent="0.25">
      <c r="A12" s="1">
        <v>11</v>
      </c>
      <c r="B12" t="s">
        <v>2119</v>
      </c>
      <c r="C12" t="s">
        <v>1135</v>
      </c>
      <c r="D12" t="s">
        <v>1141</v>
      </c>
      <c r="E12" t="s">
        <v>1142</v>
      </c>
      <c r="H12" t="s">
        <v>1200</v>
      </c>
      <c r="I12" t="s">
        <v>1200</v>
      </c>
      <c r="J12" t="s">
        <v>1281</v>
      </c>
      <c r="K12" t="s">
        <v>1212</v>
      </c>
      <c r="M12" s="3">
        <f t="shared" si="0"/>
        <v>72.285714285714292</v>
      </c>
      <c r="N12">
        <v>24</v>
      </c>
      <c r="O12">
        <v>90</v>
      </c>
      <c r="P12">
        <v>83</v>
      </c>
      <c r="Q12">
        <v>85</v>
      </c>
      <c r="R12">
        <v>87</v>
      </c>
      <c r="S12">
        <v>89</v>
      </c>
      <c r="T12">
        <v>48</v>
      </c>
      <c r="U12">
        <v>0</v>
      </c>
      <c r="V12" s="3">
        <f t="shared" si="1"/>
        <v>3895156</v>
      </c>
      <c r="W12">
        <v>324596.33333333331</v>
      </c>
      <c r="X12">
        <v>0</v>
      </c>
      <c r="Y12">
        <f t="shared" si="2"/>
        <v>324596.33333333331</v>
      </c>
      <c r="Z12">
        <f t="shared" si="3"/>
        <v>0</v>
      </c>
      <c r="AA12">
        <v>0</v>
      </c>
    </row>
    <row r="13" spans="1:27" x14ac:dyDescent="0.25">
      <c r="A13" s="1">
        <v>12</v>
      </c>
      <c r="B13" t="s">
        <v>842</v>
      </c>
      <c r="C13" t="s">
        <v>1136</v>
      </c>
      <c r="D13" t="s">
        <v>1145</v>
      </c>
      <c r="E13" t="s">
        <v>1141</v>
      </c>
      <c r="F13" t="s">
        <v>1143</v>
      </c>
      <c r="G13" t="s">
        <v>1182</v>
      </c>
      <c r="H13" t="s">
        <v>1182</v>
      </c>
      <c r="I13" t="s">
        <v>1182</v>
      </c>
      <c r="J13" t="s">
        <v>1281</v>
      </c>
      <c r="K13" t="s">
        <v>1212</v>
      </c>
      <c r="M13" s="3">
        <f t="shared" si="0"/>
        <v>95.428571428571431</v>
      </c>
      <c r="N13">
        <v>100</v>
      </c>
      <c r="O13">
        <v>90</v>
      </c>
      <c r="P13">
        <v>100</v>
      </c>
      <c r="Q13">
        <v>100</v>
      </c>
      <c r="R13">
        <v>90</v>
      </c>
      <c r="S13">
        <v>88</v>
      </c>
      <c r="T13">
        <v>100</v>
      </c>
      <c r="U13">
        <v>13</v>
      </c>
      <c r="V13" s="3">
        <f t="shared" si="1"/>
        <v>93945393</v>
      </c>
      <c r="W13">
        <v>7828782.75</v>
      </c>
      <c r="X13">
        <v>0</v>
      </c>
      <c r="Y13">
        <f t="shared" si="2"/>
        <v>7828782.75</v>
      </c>
      <c r="Z13">
        <f t="shared" si="3"/>
        <v>0</v>
      </c>
      <c r="AA13">
        <v>0</v>
      </c>
    </row>
    <row r="14" spans="1:27" x14ac:dyDescent="0.25">
      <c r="A14" s="1">
        <v>13</v>
      </c>
      <c r="B14" t="s">
        <v>2123</v>
      </c>
      <c r="C14" t="s">
        <v>1136</v>
      </c>
      <c r="D14" t="s">
        <v>1144</v>
      </c>
      <c r="E14" t="s">
        <v>1143</v>
      </c>
      <c r="H14" t="s">
        <v>1200</v>
      </c>
      <c r="I14" t="s">
        <v>1200</v>
      </c>
      <c r="J14" t="s">
        <v>1281</v>
      </c>
      <c r="K14" t="s">
        <v>1212</v>
      </c>
      <c r="M14" s="3">
        <f t="shared" si="0"/>
        <v>61.857142857142854</v>
      </c>
      <c r="N14">
        <v>18</v>
      </c>
      <c r="O14">
        <v>81</v>
      </c>
      <c r="P14">
        <v>69</v>
      </c>
      <c r="Q14">
        <v>75</v>
      </c>
      <c r="R14">
        <v>77</v>
      </c>
      <c r="S14">
        <v>79</v>
      </c>
      <c r="T14">
        <v>34</v>
      </c>
      <c r="U14">
        <v>0</v>
      </c>
      <c r="V14" s="3">
        <f t="shared" si="1"/>
        <v>820160</v>
      </c>
      <c r="W14">
        <v>68346.666666666672</v>
      </c>
      <c r="X14">
        <v>0</v>
      </c>
      <c r="Y14">
        <f t="shared" si="2"/>
        <v>68346.666666666672</v>
      </c>
      <c r="Z14">
        <f t="shared" si="3"/>
        <v>0</v>
      </c>
      <c r="AA14">
        <v>0</v>
      </c>
    </row>
    <row r="15" spans="1:27" x14ac:dyDescent="0.25">
      <c r="A15" s="1">
        <v>14</v>
      </c>
      <c r="B15" t="s">
        <v>2126</v>
      </c>
      <c r="C15" t="s">
        <v>1136</v>
      </c>
      <c r="D15" t="s">
        <v>1143</v>
      </c>
      <c r="E15" t="s">
        <v>1144</v>
      </c>
      <c r="H15" t="s">
        <v>1200</v>
      </c>
      <c r="I15" t="s">
        <v>1200</v>
      </c>
      <c r="J15" t="s">
        <v>1281</v>
      </c>
      <c r="K15" t="s">
        <v>1212</v>
      </c>
      <c r="M15" s="3">
        <f t="shared" si="0"/>
        <v>60.857142857142854</v>
      </c>
      <c r="N15">
        <v>17</v>
      </c>
      <c r="O15">
        <v>80</v>
      </c>
      <c r="P15">
        <v>68</v>
      </c>
      <c r="Q15">
        <v>74</v>
      </c>
      <c r="R15">
        <v>76</v>
      </c>
      <c r="S15">
        <v>78</v>
      </c>
      <c r="T15">
        <v>33</v>
      </c>
      <c r="U15">
        <v>0</v>
      </c>
      <c r="V15" s="3">
        <f t="shared" si="1"/>
        <v>696812</v>
      </c>
      <c r="W15">
        <v>58067.666666666664</v>
      </c>
      <c r="X15">
        <v>0</v>
      </c>
      <c r="Y15">
        <f t="shared" si="2"/>
        <v>58067.666666666664</v>
      </c>
      <c r="Z15">
        <f t="shared" si="3"/>
        <v>0</v>
      </c>
      <c r="AA15">
        <v>0</v>
      </c>
    </row>
    <row r="16" spans="1:27" x14ac:dyDescent="0.25">
      <c r="A16" s="1">
        <v>15</v>
      </c>
      <c r="B16" t="s">
        <v>2113</v>
      </c>
      <c r="C16" t="s">
        <v>1136</v>
      </c>
      <c r="D16" t="s">
        <v>1147</v>
      </c>
      <c r="E16" t="s">
        <v>1145</v>
      </c>
      <c r="H16" t="s">
        <v>1200</v>
      </c>
      <c r="I16" t="s">
        <v>1200</v>
      </c>
      <c r="J16" t="s">
        <v>1281</v>
      </c>
      <c r="K16" t="s">
        <v>1212</v>
      </c>
      <c r="M16" s="3">
        <f t="shared" si="0"/>
        <v>68.857142857142861</v>
      </c>
      <c r="N16">
        <v>22</v>
      </c>
      <c r="O16">
        <v>88</v>
      </c>
      <c r="P16">
        <v>79</v>
      </c>
      <c r="Q16">
        <v>81</v>
      </c>
      <c r="R16">
        <v>83</v>
      </c>
      <c r="S16">
        <v>85</v>
      </c>
      <c r="T16">
        <v>44</v>
      </c>
      <c r="U16">
        <v>0</v>
      </c>
      <c r="V16" s="3">
        <f t="shared" si="1"/>
        <v>2396018</v>
      </c>
      <c r="W16">
        <v>199668.16666666666</v>
      </c>
      <c r="X16">
        <v>0</v>
      </c>
      <c r="Y16">
        <f t="shared" si="2"/>
        <v>199668.16666666666</v>
      </c>
      <c r="Z16">
        <f t="shared" si="3"/>
        <v>0</v>
      </c>
      <c r="AA16">
        <v>0</v>
      </c>
    </row>
    <row r="17" spans="1:27" x14ac:dyDescent="0.25">
      <c r="A17" s="1">
        <v>16</v>
      </c>
      <c r="B17" t="s">
        <v>2111</v>
      </c>
      <c r="C17" t="s">
        <v>1136</v>
      </c>
      <c r="D17" t="s">
        <v>1145</v>
      </c>
      <c r="E17" t="s">
        <v>1143</v>
      </c>
      <c r="H17" t="s">
        <v>1200</v>
      </c>
      <c r="I17" t="s">
        <v>1200</v>
      </c>
      <c r="J17" t="s">
        <v>1281</v>
      </c>
      <c r="K17" t="s">
        <v>1212</v>
      </c>
      <c r="M17" s="3">
        <f t="shared" si="0"/>
        <v>64.714285714285708</v>
      </c>
      <c r="N17">
        <v>19</v>
      </c>
      <c r="O17">
        <v>85</v>
      </c>
      <c r="P17">
        <v>72</v>
      </c>
      <c r="Q17">
        <v>78</v>
      </c>
      <c r="R17">
        <v>80</v>
      </c>
      <c r="S17">
        <v>82</v>
      </c>
      <c r="T17">
        <v>37</v>
      </c>
      <c r="U17">
        <v>0</v>
      </c>
      <c r="V17" s="3">
        <f t="shared" si="1"/>
        <v>1288255</v>
      </c>
      <c r="W17">
        <v>107354.58333333333</v>
      </c>
      <c r="X17">
        <v>0</v>
      </c>
      <c r="Y17">
        <f t="shared" si="2"/>
        <v>107354.58333333333</v>
      </c>
      <c r="Z17">
        <f t="shared" si="3"/>
        <v>0</v>
      </c>
      <c r="AA17">
        <v>0</v>
      </c>
    </row>
    <row r="18" spans="1:27" x14ac:dyDescent="0.25">
      <c r="A18" s="1">
        <v>17</v>
      </c>
      <c r="B18" t="s">
        <v>2112</v>
      </c>
      <c r="C18" t="s">
        <v>1136</v>
      </c>
      <c r="D18" t="s">
        <v>1146</v>
      </c>
      <c r="E18" t="s">
        <v>1144</v>
      </c>
      <c r="H18" t="s">
        <v>1200</v>
      </c>
      <c r="I18" t="s">
        <v>1200</v>
      </c>
      <c r="J18" t="s">
        <v>1281</v>
      </c>
      <c r="K18" t="s">
        <v>1212</v>
      </c>
      <c r="M18" s="3">
        <f t="shared" si="0"/>
        <v>58.285714285714285</v>
      </c>
      <c r="N18">
        <v>16</v>
      </c>
      <c r="O18">
        <v>77</v>
      </c>
      <c r="P18">
        <v>65</v>
      </c>
      <c r="Q18">
        <v>71</v>
      </c>
      <c r="R18">
        <v>73</v>
      </c>
      <c r="S18">
        <v>75</v>
      </c>
      <c r="T18">
        <v>31</v>
      </c>
      <c r="U18">
        <v>0</v>
      </c>
      <c r="V18" s="3">
        <f t="shared" si="1"/>
        <v>452503</v>
      </c>
      <c r="W18">
        <v>37708.583333333336</v>
      </c>
      <c r="X18">
        <v>0</v>
      </c>
      <c r="Y18">
        <f t="shared" si="2"/>
        <v>37708.583333333336</v>
      </c>
      <c r="Z18">
        <f t="shared" si="3"/>
        <v>0</v>
      </c>
      <c r="AA18">
        <v>0</v>
      </c>
    </row>
    <row r="19" spans="1:27" x14ac:dyDescent="0.25">
      <c r="A19" s="1">
        <v>18</v>
      </c>
      <c r="B19" t="s">
        <v>2110</v>
      </c>
      <c r="C19" t="s">
        <v>1136</v>
      </c>
      <c r="D19" t="s">
        <v>1144</v>
      </c>
      <c r="E19" t="s">
        <v>1138</v>
      </c>
      <c r="H19" t="s">
        <v>1200</v>
      </c>
      <c r="I19" t="s">
        <v>1200</v>
      </c>
      <c r="J19" t="s">
        <v>1281</v>
      </c>
      <c r="K19" t="s">
        <v>1212</v>
      </c>
      <c r="M19" s="3">
        <f t="shared" si="0"/>
        <v>70.142857142857139</v>
      </c>
      <c r="N19">
        <v>23</v>
      </c>
      <c r="O19">
        <v>89</v>
      </c>
      <c r="P19">
        <v>79</v>
      </c>
      <c r="Q19">
        <v>83</v>
      </c>
      <c r="R19">
        <v>85</v>
      </c>
      <c r="S19">
        <v>87</v>
      </c>
      <c r="T19">
        <v>45</v>
      </c>
      <c r="U19">
        <v>0</v>
      </c>
      <c r="V19" s="3">
        <f t="shared" si="1"/>
        <v>2882933</v>
      </c>
      <c r="W19">
        <v>240244.41666666666</v>
      </c>
      <c r="X19">
        <v>0</v>
      </c>
      <c r="Y19">
        <f t="shared" si="2"/>
        <v>240244.41666666666</v>
      </c>
      <c r="Z19">
        <f t="shared" si="3"/>
        <v>0</v>
      </c>
      <c r="AA19">
        <v>0</v>
      </c>
    </row>
    <row r="20" spans="1:27" x14ac:dyDescent="0.25">
      <c r="A20" s="1">
        <v>19</v>
      </c>
      <c r="B20" t="s">
        <v>2116</v>
      </c>
      <c r="C20" t="s">
        <v>1136</v>
      </c>
      <c r="D20" t="s">
        <v>1146</v>
      </c>
      <c r="E20" t="s">
        <v>1143</v>
      </c>
      <c r="H20" t="s">
        <v>1200</v>
      </c>
      <c r="I20" t="s">
        <v>1200</v>
      </c>
      <c r="J20" t="s">
        <v>1281</v>
      </c>
      <c r="K20" t="s">
        <v>1212</v>
      </c>
      <c r="M20" s="3">
        <f t="shared" si="0"/>
        <v>62.285714285714285</v>
      </c>
      <c r="N20">
        <v>18</v>
      </c>
      <c r="O20">
        <v>83</v>
      </c>
      <c r="P20">
        <v>69</v>
      </c>
      <c r="Q20">
        <v>75</v>
      </c>
      <c r="R20">
        <v>77</v>
      </c>
      <c r="S20">
        <v>79</v>
      </c>
      <c r="T20">
        <v>35</v>
      </c>
      <c r="U20">
        <v>0</v>
      </c>
      <c r="V20" s="3">
        <f t="shared" si="1"/>
        <v>878789</v>
      </c>
      <c r="W20">
        <v>73232.416666666672</v>
      </c>
      <c r="X20">
        <v>0</v>
      </c>
      <c r="Y20">
        <f t="shared" si="2"/>
        <v>73232.416666666672</v>
      </c>
      <c r="Z20">
        <f t="shared" si="3"/>
        <v>0</v>
      </c>
      <c r="AA20">
        <v>0</v>
      </c>
    </row>
    <row r="21" spans="1:27" x14ac:dyDescent="0.25">
      <c r="A21" s="1">
        <v>20</v>
      </c>
      <c r="B21" t="s">
        <v>2120</v>
      </c>
      <c r="C21" t="s">
        <v>1137</v>
      </c>
      <c r="D21" t="s">
        <v>1137</v>
      </c>
      <c r="H21" t="s">
        <v>1200</v>
      </c>
      <c r="I21" t="s">
        <v>1200</v>
      </c>
      <c r="J21" t="s">
        <v>1281</v>
      </c>
      <c r="K21" t="s">
        <v>1212</v>
      </c>
      <c r="M21" s="3">
        <f t="shared" si="0"/>
        <v>62.285714285714285</v>
      </c>
      <c r="N21">
        <v>17</v>
      </c>
      <c r="O21">
        <v>79</v>
      </c>
      <c r="P21">
        <v>70</v>
      </c>
      <c r="Q21">
        <v>76</v>
      </c>
      <c r="R21">
        <v>78</v>
      </c>
      <c r="S21">
        <v>80</v>
      </c>
      <c r="T21">
        <v>36</v>
      </c>
      <c r="U21">
        <v>0</v>
      </c>
      <c r="V21" s="3">
        <f t="shared" si="1"/>
        <v>878789</v>
      </c>
      <c r="W21">
        <v>73232.416666666672</v>
      </c>
      <c r="X21">
        <v>0</v>
      </c>
      <c r="Y21">
        <f t="shared" si="2"/>
        <v>73232.416666666672</v>
      </c>
      <c r="Z21">
        <f t="shared" si="3"/>
        <v>0</v>
      </c>
      <c r="AA21">
        <v>0</v>
      </c>
    </row>
    <row r="22" spans="1:27" x14ac:dyDescent="0.25">
      <c r="A22" s="1">
        <v>21</v>
      </c>
      <c r="B22" t="s">
        <v>2061</v>
      </c>
      <c r="C22" t="s">
        <v>1133</v>
      </c>
      <c r="D22" t="s">
        <v>1133</v>
      </c>
      <c r="H22" t="s">
        <v>1151</v>
      </c>
      <c r="I22" t="s">
        <v>1151</v>
      </c>
      <c r="J22" t="s">
        <v>1227</v>
      </c>
      <c r="K22" t="s">
        <v>1212</v>
      </c>
      <c r="M22" s="3">
        <f t="shared" si="0"/>
        <v>65.571428571428569</v>
      </c>
      <c r="N22">
        <v>24</v>
      </c>
      <c r="O22">
        <v>75</v>
      </c>
      <c r="P22">
        <v>73</v>
      </c>
      <c r="Q22">
        <v>79</v>
      </c>
      <c r="R22">
        <v>81</v>
      </c>
      <c r="S22">
        <v>83</v>
      </c>
      <c r="T22">
        <v>44</v>
      </c>
      <c r="U22">
        <v>0</v>
      </c>
      <c r="V22" s="3">
        <f t="shared" si="1"/>
        <v>1469422</v>
      </c>
      <c r="W22">
        <v>122451.83333333333</v>
      </c>
      <c r="X22">
        <v>0</v>
      </c>
      <c r="Y22">
        <f t="shared" si="2"/>
        <v>122451.83333333333</v>
      </c>
      <c r="Z22">
        <f t="shared" si="3"/>
        <v>0</v>
      </c>
      <c r="AA22">
        <v>0</v>
      </c>
    </row>
    <row r="23" spans="1:27" x14ac:dyDescent="0.25">
      <c r="A23" s="1">
        <v>22</v>
      </c>
      <c r="B23" t="s">
        <v>24</v>
      </c>
      <c r="C23" t="s">
        <v>1133</v>
      </c>
      <c r="D23" t="s">
        <v>1133</v>
      </c>
      <c r="G23" t="s">
        <v>1151</v>
      </c>
      <c r="H23" t="s">
        <v>1151</v>
      </c>
      <c r="I23" t="s">
        <v>1151</v>
      </c>
      <c r="J23" t="s">
        <v>1227</v>
      </c>
      <c r="K23" t="s">
        <v>1212</v>
      </c>
      <c r="M23" s="3">
        <f t="shared" si="0"/>
        <v>76.142857142857139</v>
      </c>
      <c r="N23">
        <v>47</v>
      </c>
      <c r="O23">
        <v>76</v>
      </c>
      <c r="P23">
        <v>80</v>
      </c>
      <c r="Q23">
        <v>80</v>
      </c>
      <c r="R23">
        <v>85</v>
      </c>
      <c r="S23">
        <v>85</v>
      </c>
      <c r="T23">
        <v>80</v>
      </c>
      <c r="U23">
        <v>30</v>
      </c>
      <c r="V23" s="3">
        <f t="shared" si="1"/>
        <v>9826141</v>
      </c>
      <c r="W23">
        <v>818845.08333333337</v>
      </c>
      <c r="X23">
        <v>0</v>
      </c>
      <c r="Y23">
        <f t="shared" si="2"/>
        <v>818845.08333333337</v>
      </c>
      <c r="Z23">
        <f t="shared" si="3"/>
        <v>0</v>
      </c>
      <c r="AA23">
        <v>0</v>
      </c>
    </row>
    <row r="24" spans="1:27" x14ac:dyDescent="0.25">
      <c r="A24" s="1">
        <v>23</v>
      </c>
      <c r="B24" t="s">
        <v>2063</v>
      </c>
      <c r="C24" t="s">
        <v>1134</v>
      </c>
      <c r="D24" t="s">
        <v>1138</v>
      </c>
      <c r="E24" t="s">
        <v>1144</v>
      </c>
      <c r="H24" t="s">
        <v>1151</v>
      </c>
      <c r="I24" t="s">
        <v>1151</v>
      </c>
      <c r="J24" t="s">
        <v>1227</v>
      </c>
      <c r="K24" t="s">
        <v>1212</v>
      </c>
      <c r="M24" s="3">
        <f t="shared" si="0"/>
        <v>61.285714285714285</v>
      </c>
      <c r="N24">
        <v>21</v>
      </c>
      <c r="O24">
        <v>77</v>
      </c>
      <c r="P24">
        <v>70</v>
      </c>
      <c r="Q24">
        <v>73</v>
      </c>
      <c r="R24">
        <v>75</v>
      </c>
      <c r="S24">
        <v>77</v>
      </c>
      <c r="T24">
        <v>36</v>
      </c>
      <c r="U24">
        <v>0</v>
      </c>
      <c r="V24" s="3">
        <f t="shared" si="1"/>
        <v>747468</v>
      </c>
      <c r="W24">
        <v>62289</v>
      </c>
      <c r="X24">
        <v>0</v>
      </c>
      <c r="Y24">
        <f t="shared" si="2"/>
        <v>62289</v>
      </c>
      <c r="Z24">
        <f t="shared" si="3"/>
        <v>0</v>
      </c>
      <c r="AA24">
        <v>0</v>
      </c>
    </row>
    <row r="25" spans="1:27" x14ac:dyDescent="0.25">
      <c r="A25" s="1">
        <v>24</v>
      </c>
      <c r="B25" t="s">
        <v>2065</v>
      </c>
      <c r="C25" t="s">
        <v>1134</v>
      </c>
      <c r="D25" t="s">
        <v>1140</v>
      </c>
      <c r="E25" t="s">
        <v>1138</v>
      </c>
      <c r="H25" t="s">
        <v>1151</v>
      </c>
      <c r="I25" t="s">
        <v>1151</v>
      </c>
      <c r="J25" t="s">
        <v>1227</v>
      </c>
      <c r="K25" t="s">
        <v>1212</v>
      </c>
      <c r="M25" s="3">
        <f t="shared" si="0"/>
        <v>63.142857142857146</v>
      </c>
      <c r="N25">
        <v>22</v>
      </c>
      <c r="O25">
        <v>80</v>
      </c>
      <c r="P25">
        <v>72</v>
      </c>
      <c r="Q25">
        <v>75</v>
      </c>
      <c r="R25">
        <v>77</v>
      </c>
      <c r="S25">
        <v>79</v>
      </c>
      <c r="T25">
        <v>37</v>
      </c>
      <c r="U25">
        <v>0</v>
      </c>
      <c r="V25" s="3">
        <f t="shared" si="1"/>
        <v>1007494</v>
      </c>
      <c r="W25">
        <v>83957.833333333328</v>
      </c>
      <c r="X25">
        <v>0</v>
      </c>
      <c r="Y25">
        <f t="shared" si="2"/>
        <v>83957.833333333328</v>
      </c>
      <c r="Z25">
        <f t="shared" si="3"/>
        <v>0</v>
      </c>
      <c r="AA25">
        <v>0</v>
      </c>
    </row>
    <row r="26" spans="1:27" x14ac:dyDescent="0.25">
      <c r="A26" s="1">
        <v>25</v>
      </c>
      <c r="B26" t="s">
        <v>2066</v>
      </c>
      <c r="C26" t="s">
        <v>1134</v>
      </c>
      <c r="D26" t="s">
        <v>1139</v>
      </c>
      <c r="E26" t="s">
        <v>1138</v>
      </c>
      <c r="H26" t="s">
        <v>1151</v>
      </c>
      <c r="I26" t="s">
        <v>1151</v>
      </c>
      <c r="J26" t="s">
        <v>1227</v>
      </c>
      <c r="K26" t="s">
        <v>1212</v>
      </c>
      <c r="M26" s="3">
        <f t="shared" si="0"/>
        <v>61.428571428571431</v>
      </c>
      <c r="N26">
        <v>21</v>
      </c>
      <c r="O26">
        <v>79</v>
      </c>
      <c r="P26">
        <v>70</v>
      </c>
      <c r="Q26">
        <v>73</v>
      </c>
      <c r="R26">
        <v>75</v>
      </c>
      <c r="S26">
        <v>77</v>
      </c>
      <c r="T26">
        <v>35</v>
      </c>
      <c r="U26">
        <v>0</v>
      </c>
      <c r="V26" s="3">
        <f t="shared" si="1"/>
        <v>765076</v>
      </c>
      <c r="W26">
        <v>63756.333333333336</v>
      </c>
      <c r="X26">
        <v>0</v>
      </c>
      <c r="Y26">
        <f t="shared" si="2"/>
        <v>63756.333333333336</v>
      </c>
      <c r="Z26">
        <f t="shared" si="3"/>
        <v>0</v>
      </c>
      <c r="AA26">
        <v>0</v>
      </c>
    </row>
    <row r="27" spans="1:27" x14ac:dyDescent="0.25">
      <c r="A27" s="1">
        <v>26</v>
      </c>
      <c r="B27" t="s">
        <v>2064</v>
      </c>
      <c r="C27" t="s">
        <v>1134</v>
      </c>
      <c r="D27" t="s">
        <v>1140</v>
      </c>
      <c r="E27" t="s">
        <v>1138</v>
      </c>
      <c r="H27" t="s">
        <v>1151</v>
      </c>
      <c r="I27" t="s">
        <v>1151</v>
      </c>
      <c r="J27" t="s">
        <v>1227</v>
      </c>
      <c r="K27" t="s">
        <v>1212</v>
      </c>
      <c r="M27" s="3">
        <f t="shared" si="0"/>
        <v>65.142857142857139</v>
      </c>
      <c r="N27">
        <v>23</v>
      </c>
      <c r="O27">
        <v>83</v>
      </c>
      <c r="P27">
        <v>74</v>
      </c>
      <c r="Q27">
        <v>77</v>
      </c>
      <c r="R27">
        <v>79</v>
      </c>
      <c r="S27">
        <v>81</v>
      </c>
      <c r="T27">
        <v>39</v>
      </c>
      <c r="U27">
        <v>0</v>
      </c>
      <c r="V27" s="3">
        <f t="shared" si="1"/>
        <v>1376158</v>
      </c>
      <c r="W27">
        <v>114679.83333333333</v>
      </c>
      <c r="X27">
        <v>0</v>
      </c>
      <c r="Y27">
        <f t="shared" si="2"/>
        <v>114679.83333333333</v>
      </c>
      <c r="Z27">
        <f t="shared" si="3"/>
        <v>0</v>
      </c>
      <c r="AA27">
        <v>0</v>
      </c>
    </row>
    <row r="28" spans="1:27" x14ac:dyDescent="0.25">
      <c r="A28" s="1">
        <v>27</v>
      </c>
      <c r="B28" t="s">
        <v>336</v>
      </c>
      <c r="C28" t="s">
        <v>1134</v>
      </c>
      <c r="D28" t="s">
        <v>1138</v>
      </c>
      <c r="E28" t="s">
        <v>1139</v>
      </c>
      <c r="F28" t="s">
        <v>1144</v>
      </c>
      <c r="G28" t="s">
        <v>1192</v>
      </c>
      <c r="H28" t="s">
        <v>1192</v>
      </c>
      <c r="I28" t="s">
        <v>1192</v>
      </c>
      <c r="J28" t="s">
        <v>1227</v>
      </c>
      <c r="K28" t="s">
        <v>1212</v>
      </c>
      <c r="M28" s="3">
        <f t="shared" si="0"/>
        <v>86.714285714285708</v>
      </c>
      <c r="N28">
        <v>80</v>
      </c>
      <c r="O28">
        <v>83</v>
      </c>
      <c r="P28">
        <v>90</v>
      </c>
      <c r="Q28">
        <v>89</v>
      </c>
      <c r="R28">
        <v>92</v>
      </c>
      <c r="S28">
        <v>91</v>
      </c>
      <c r="T28">
        <v>82</v>
      </c>
      <c r="U28">
        <v>26</v>
      </c>
      <c r="V28" s="3">
        <f t="shared" si="1"/>
        <v>36057680</v>
      </c>
      <c r="W28">
        <v>2186265.4166666665</v>
      </c>
      <c r="X28">
        <v>0</v>
      </c>
      <c r="Y28">
        <f t="shared" si="2"/>
        <v>3004806.6666666665</v>
      </c>
      <c r="Z28">
        <f t="shared" si="3"/>
        <v>-27.24</v>
      </c>
      <c r="AA28">
        <v>0</v>
      </c>
    </row>
    <row r="29" spans="1:27" x14ac:dyDescent="0.25">
      <c r="A29" s="1">
        <v>28</v>
      </c>
      <c r="B29" t="s">
        <v>2074</v>
      </c>
      <c r="C29" t="s">
        <v>1135</v>
      </c>
      <c r="D29" t="s">
        <v>1142</v>
      </c>
      <c r="E29" t="s">
        <v>1141</v>
      </c>
      <c r="H29" t="s">
        <v>1151</v>
      </c>
      <c r="I29" t="s">
        <v>1151</v>
      </c>
      <c r="J29" t="s">
        <v>1227</v>
      </c>
      <c r="K29" t="s">
        <v>1212</v>
      </c>
      <c r="M29" s="3">
        <f t="shared" si="0"/>
        <v>63</v>
      </c>
      <c r="N29">
        <v>21</v>
      </c>
      <c r="O29">
        <v>77</v>
      </c>
      <c r="P29">
        <v>70</v>
      </c>
      <c r="Q29">
        <v>77</v>
      </c>
      <c r="R29">
        <v>79</v>
      </c>
      <c r="S29">
        <v>81</v>
      </c>
      <c r="T29">
        <v>36</v>
      </c>
      <c r="U29">
        <v>0</v>
      </c>
      <c r="V29" s="3">
        <f t="shared" si="1"/>
        <v>984931</v>
      </c>
      <c r="W29">
        <v>82077.583333333328</v>
      </c>
      <c r="X29">
        <v>0</v>
      </c>
      <c r="Y29">
        <f t="shared" si="2"/>
        <v>82077.583333333328</v>
      </c>
      <c r="Z29">
        <f t="shared" si="3"/>
        <v>0</v>
      </c>
      <c r="AA29">
        <v>0</v>
      </c>
    </row>
    <row r="30" spans="1:27" x14ac:dyDescent="0.25">
      <c r="A30" s="1">
        <v>29</v>
      </c>
      <c r="B30" t="s">
        <v>2075</v>
      </c>
      <c r="C30" t="s">
        <v>1135</v>
      </c>
      <c r="D30" t="s">
        <v>1141</v>
      </c>
      <c r="E30" t="s">
        <v>1142</v>
      </c>
      <c r="H30" t="s">
        <v>1151</v>
      </c>
      <c r="I30" t="s">
        <v>1151</v>
      </c>
      <c r="J30" t="s">
        <v>1227</v>
      </c>
      <c r="K30" t="s">
        <v>1212</v>
      </c>
      <c r="M30" s="3">
        <f t="shared" si="0"/>
        <v>67.571428571428569</v>
      </c>
      <c r="N30">
        <v>24</v>
      </c>
      <c r="O30">
        <v>83</v>
      </c>
      <c r="P30">
        <v>76</v>
      </c>
      <c r="Q30">
        <v>81</v>
      </c>
      <c r="R30">
        <v>83</v>
      </c>
      <c r="S30">
        <v>85</v>
      </c>
      <c r="T30">
        <v>41</v>
      </c>
      <c r="U30">
        <v>0</v>
      </c>
      <c r="V30" s="3">
        <f t="shared" si="1"/>
        <v>1984409</v>
      </c>
      <c r="W30">
        <v>165367.41666666666</v>
      </c>
      <c r="X30">
        <v>0</v>
      </c>
      <c r="Y30">
        <f t="shared" si="2"/>
        <v>165367.41666666666</v>
      </c>
      <c r="Z30">
        <f t="shared" si="3"/>
        <v>0</v>
      </c>
      <c r="AA30">
        <v>0</v>
      </c>
    </row>
    <row r="31" spans="1:27" x14ac:dyDescent="0.25">
      <c r="A31" s="1">
        <v>30</v>
      </c>
      <c r="B31" t="s">
        <v>620</v>
      </c>
      <c r="C31" t="s">
        <v>1135</v>
      </c>
      <c r="D31" t="s">
        <v>1141</v>
      </c>
      <c r="E31" t="s">
        <v>1142</v>
      </c>
      <c r="G31" t="s">
        <v>1209</v>
      </c>
      <c r="H31" t="s">
        <v>1151</v>
      </c>
      <c r="I31" t="s">
        <v>1151</v>
      </c>
      <c r="J31" t="s">
        <v>1227</v>
      </c>
      <c r="K31" t="s">
        <v>1212</v>
      </c>
      <c r="M31" s="3">
        <f t="shared" si="0"/>
        <v>79.571428571428569</v>
      </c>
      <c r="N31">
        <v>75</v>
      </c>
      <c r="O31">
        <v>85</v>
      </c>
      <c r="P31">
        <v>83</v>
      </c>
      <c r="Q31">
        <v>80</v>
      </c>
      <c r="R31">
        <v>80</v>
      </c>
      <c r="S31">
        <v>86</v>
      </c>
      <c r="T31">
        <v>68</v>
      </c>
      <c r="U31">
        <v>0</v>
      </c>
      <c r="V31" s="3">
        <f t="shared" si="1"/>
        <v>10175871</v>
      </c>
      <c r="W31">
        <v>847989.25</v>
      </c>
      <c r="X31">
        <v>0</v>
      </c>
      <c r="Y31">
        <f t="shared" si="2"/>
        <v>847989.25</v>
      </c>
      <c r="Z31">
        <f t="shared" si="3"/>
        <v>0</v>
      </c>
      <c r="AA31">
        <v>0</v>
      </c>
    </row>
    <row r="32" spans="1:27" x14ac:dyDescent="0.25">
      <c r="A32" s="1">
        <v>31</v>
      </c>
      <c r="B32" t="s">
        <v>2072</v>
      </c>
      <c r="C32" t="s">
        <v>1136</v>
      </c>
      <c r="D32" t="s">
        <v>1146</v>
      </c>
      <c r="E32" t="s">
        <v>1143</v>
      </c>
      <c r="H32" t="s">
        <v>1151</v>
      </c>
      <c r="I32" t="s">
        <v>1151</v>
      </c>
      <c r="J32" t="s">
        <v>1227</v>
      </c>
      <c r="K32" t="s">
        <v>1212</v>
      </c>
      <c r="M32" s="3">
        <f t="shared" si="0"/>
        <v>62.285714285714285</v>
      </c>
      <c r="N32">
        <v>22</v>
      </c>
      <c r="O32">
        <v>80</v>
      </c>
      <c r="P32">
        <v>70</v>
      </c>
      <c r="Q32">
        <v>75</v>
      </c>
      <c r="R32">
        <v>77</v>
      </c>
      <c r="S32">
        <v>79</v>
      </c>
      <c r="T32">
        <v>33</v>
      </c>
      <c r="U32">
        <v>0</v>
      </c>
      <c r="V32" s="3">
        <f t="shared" si="1"/>
        <v>878789</v>
      </c>
      <c r="W32">
        <v>73232.416666666672</v>
      </c>
      <c r="X32">
        <v>0</v>
      </c>
      <c r="Y32">
        <f t="shared" si="2"/>
        <v>73232.416666666672</v>
      </c>
      <c r="Z32">
        <f t="shared" si="3"/>
        <v>0</v>
      </c>
      <c r="AA32">
        <v>0</v>
      </c>
    </row>
    <row r="33" spans="1:27" x14ac:dyDescent="0.25">
      <c r="A33" s="1">
        <v>32</v>
      </c>
      <c r="B33" t="s">
        <v>2582</v>
      </c>
      <c r="C33" t="s">
        <v>1136</v>
      </c>
      <c r="D33" t="s">
        <v>1147</v>
      </c>
      <c r="E33" t="s">
        <v>1146</v>
      </c>
      <c r="H33" t="s">
        <v>1151</v>
      </c>
      <c r="I33" t="s">
        <v>1151</v>
      </c>
      <c r="J33" t="s">
        <v>1227</v>
      </c>
      <c r="K33" t="s">
        <v>1212</v>
      </c>
      <c r="M33" s="3">
        <f t="shared" si="0"/>
        <v>70.285714285714292</v>
      </c>
      <c r="N33">
        <v>27</v>
      </c>
      <c r="O33">
        <v>88</v>
      </c>
      <c r="P33">
        <v>80</v>
      </c>
      <c r="Q33">
        <v>83</v>
      </c>
      <c r="R33">
        <v>85</v>
      </c>
      <c r="S33">
        <v>87</v>
      </c>
      <c r="T33">
        <v>42</v>
      </c>
      <c r="U33">
        <v>0</v>
      </c>
      <c r="V33" s="3">
        <f t="shared" si="1"/>
        <v>2942190</v>
      </c>
      <c r="W33">
        <v>245182.5</v>
      </c>
      <c r="X33">
        <v>0</v>
      </c>
      <c r="Y33">
        <f t="shared" si="2"/>
        <v>245182.5</v>
      </c>
      <c r="Z33">
        <f t="shared" si="3"/>
        <v>0</v>
      </c>
      <c r="AA33">
        <v>0</v>
      </c>
    </row>
    <row r="34" spans="1:27" x14ac:dyDescent="0.25">
      <c r="A34" s="1">
        <v>33</v>
      </c>
      <c r="B34" t="s">
        <v>1008</v>
      </c>
      <c r="C34" t="s">
        <v>1136</v>
      </c>
      <c r="D34" t="s">
        <v>1144</v>
      </c>
      <c r="G34" t="s">
        <v>1209</v>
      </c>
      <c r="H34" t="s">
        <v>1209</v>
      </c>
      <c r="I34" t="s">
        <v>1209</v>
      </c>
      <c r="J34" t="s">
        <v>1227</v>
      </c>
      <c r="K34" t="s">
        <v>1212</v>
      </c>
      <c r="M34" s="3">
        <f t="shared" si="0"/>
        <v>54.285714285714285</v>
      </c>
      <c r="N34">
        <v>54</v>
      </c>
      <c r="O34">
        <v>62</v>
      </c>
      <c r="P34">
        <v>52</v>
      </c>
      <c r="Q34">
        <v>52</v>
      </c>
      <c r="R34">
        <v>66</v>
      </c>
      <c r="S34">
        <v>59</v>
      </c>
      <c r="T34">
        <v>35</v>
      </c>
      <c r="U34">
        <v>0</v>
      </c>
      <c r="V34" s="3">
        <f t="shared" si="1"/>
        <v>222258</v>
      </c>
      <c r="W34">
        <v>18521.5</v>
      </c>
      <c r="X34">
        <v>0</v>
      </c>
      <c r="Y34">
        <f t="shared" si="2"/>
        <v>18521.5</v>
      </c>
      <c r="Z34">
        <f t="shared" si="3"/>
        <v>0</v>
      </c>
      <c r="AA34">
        <v>0</v>
      </c>
    </row>
    <row r="35" spans="1:27" x14ac:dyDescent="0.25">
      <c r="A35" s="1">
        <v>34</v>
      </c>
      <c r="B35" t="s">
        <v>2069</v>
      </c>
      <c r="C35" t="s">
        <v>1136</v>
      </c>
      <c r="D35" t="s">
        <v>1145</v>
      </c>
      <c r="E35" t="s">
        <v>1143</v>
      </c>
      <c r="H35" t="s">
        <v>1151</v>
      </c>
      <c r="I35" t="s">
        <v>1151</v>
      </c>
      <c r="J35" t="s">
        <v>1227</v>
      </c>
      <c r="K35" t="s">
        <v>1212</v>
      </c>
      <c r="M35" s="3">
        <f t="shared" si="0"/>
        <v>63</v>
      </c>
      <c r="N35">
        <v>21</v>
      </c>
      <c r="O35">
        <v>77</v>
      </c>
      <c r="P35">
        <v>72</v>
      </c>
      <c r="Q35">
        <v>77</v>
      </c>
      <c r="R35">
        <v>79</v>
      </c>
      <c r="S35">
        <v>81</v>
      </c>
      <c r="T35">
        <v>34</v>
      </c>
      <c r="U35">
        <v>0</v>
      </c>
      <c r="V35" s="3">
        <f t="shared" si="1"/>
        <v>984931</v>
      </c>
      <c r="W35">
        <v>82077.583333333328</v>
      </c>
      <c r="X35">
        <v>0</v>
      </c>
      <c r="Y35">
        <f t="shared" si="2"/>
        <v>82077.583333333328</v>
      </c>
      <c r="Z35">
        <f t="shared" si="3"/>
        <v>0</v>
      </c>
      <c r="AA35">
        <v>0</v>
      </c>
    </row>
    <row r="36" spans="1:27" x14ac:dyDescent="0.25">
      <c r="A36" s="1">
        <v>35</v>
      </c>
      <c r="B36" t="s">
        <v>2070</v>
      </c>
      <c r="C36" t="s">
        <v>1136</v>
      </c>
      <c r="D36" t="s">
        <v>1145</v>
      </c>
      <c r="E36" t="s">
        <v>1147</v>
      </c>
      <c r="H36" t="s">
        <v>1151</v>
      </c>
      <c r="I36" t="s">
        <v>1151</v>
      </c>
      <c r="J36" t="s">
        <v>1227</v>
      </c>
      <c r="K36" t="s">
        <v>1212</v>
      </c>
      <c r="M36" s="3">
        <f t="shared" si="0"/>
        <v>70</v>
      </c>
      <c r="N36">
        <v>26</v>
      </c>
      <c r="O36">
        <v>86</v>
      </c>
      <c r="P36">
        <v>80</v>
      </c>
      <c r="Q36">
        <v>83</v>
      </c>
      <c r="R36">
        <v>85</v>
      </c>
      <c r="S36">
        <v>87</v>
      </c>
      <c r="T36">
        <v>43</v>
      </c>
      <c r="U36">
        <v>0</v>
      </c>
      <c r="V36" s="3">
        <f t="shared" si="1"/>
        <v>2824753</v>
      </c>
      <c r="W36">
        <v>235396.08333333334</v>
      </c>
      <c r="X36">
        <v>0</v>
      </c>
      <c r="Y36">
        <f t="shared" si="2"/>
        <v>235396.08333333334</v>
      </c>
      <c r="Z36">
        <f t="shared" si="3"/>
        <v>0</v>
      </c>
      <c r="AA36">
        <v>0</v>
      </c>
    </row>
    <row r="37" spans="1:27" x14ac:dyDescent="0.25">
      <c r="A37" s="1">
        <v>36</v>
      </c>
      <c r="B37" t="s">
        <v>2073</v>
      </c>
      <c r="C37" t="s">
        <v>1136</v>
      </c>
      <c r="D37" t="s">
        <v>1147</v>
      </c>
      <c r="E37" t="s">
        <v>1145</v>
      </c>
      <c r="H37" t="s">
        <v>1151</v>
      </c>
      <c r="I37" t="s">
        <v>1151</v>
      </c>
      <c r="J37" t="s">
        <v>1227</v>
      </c>
      <c r="K37" t="s">
        <v>1212</v>
      </c>
      <c r="M37" s="3">
        <f t="shared" si="0"/>
        <v>60.857142857142854</v>
      </c>
      <c r="N37">
        <v>20</v>
      </c>
      <c r="O37">
        <v>75</v>
      </c>
      <c r="P37">
        <v>68</v>
      </c>
      <c r="Q37">
        <v>75</v>
      </c>
      <c r="R37">
        <v>77</v>
      </c>
      <c r="S37">
        <v>79</v>
      </c>
      <c r="T37">
        <v>32</v>
      </c>
      <c r="U37">
        <v>0</v>
      </c>
      <c r="V37" s="3">
        <f t="shared" si="1"/>
        <v>696812</v>
      </c>
      <c r="W37">
        <v>58067.666666666664</v>
      </c>
      <c r="X37">
        <v>0</v>
      </c>
      <c r="Y37">
        <f t="shared" si="2"/>
        <v>58067.666666666664</v>
      </c>
      <c r="Z37">
        <f t="shared" si="3"/>
        <v>0</v>
      </c>
      <c r="AA37">
        <v>0</v>
      </c>
    </row>
    <row r="38" spans="1:27" x14ac:dyDescent="0.25">
      <c r="A38" s="1">
        <v>37</v>
      </c>
      <c r="B38" t="s">
        <v>2071</v>
      </c>
      <c r="C38" t="s">
        <v>1136</v>
      </c>
      <c r="D38" t="s">
        <v>1146</v>
      </c>
      <c r="E38" t="s">
        <v>1144</v>
      </c>
      <c r="H38" t="s">
        <v>1151</v>
      </c>
      <c r="I38" t="s">
        <v>1151</v>
      </c>
      <c r="J38" t="s">
        <v>1227</v>
      </c>
      <c r="K38" t="s">
        <v>1212</v>
      </c>
      <c r="M38" s="3">
        <f t="shared" si="0"/>
        <v>72.142857142857139</v>
      </c>
      <c r="N38">
        <v>28</v>
      </c>
      <c r="O38">
        <v>89</v>
      </c>
      <c r="P38">
        <v>82</v>
      </c>
      <c r="Q38">
        <v>85</v>
      </c>
      <c r="R38">
        <v>87</v>
      </c>
      <c r="S38">
        <v>89</v>
      </c>
      <c r="T38">
        <v>45</v>
      </c>
      <c r="U38">
        <v>0</v>
      </c>
      <c r="V38" s="3">
        <f t="shared" si="1"/>
        <v>3818857</v>
      </c>
      <c r="W38">
        <v>318238.08333333331</v>
      </c>
      <c r="X38">
        <v>0</v>
      </c>
      <c r="Y38">
        <f t="shared" si="2"/>
        <v>318238.08333333331</v>
      </c>
      <c r="Z38">
        <f t="shared" si="3"/>
        <v>0</v>
      </c>
      <c r="AA38">
        <v>0</v>
      </c>
    </row>
    <row r="39" spans="1:27" x14ac:dyDescent="0.25">
      <c r="A39" s="1">
        <v>38</v>
      </c>
      <c r="B39" t="s">
        <v>2067</v>
      </c>
      <c r="C39" t="s">
        <v>1136</v>
      </c>
      <c r="D39" t="s">
        <v>1143</v>
      </c>
      <c r="E39" t="s">
        <v>1144</v>
      </c>
      <c r="H39" t="s">
        <v>1151</v>
      </c>
      <c r="I39" t="s">
        <v>1151</v>
      </c>
      <c r="J39" t="s">
        <v>1227</v>
      </c>
      <c r="K39" t="s">
        <v>1212</v>
      </c>
      <c r="M39" s="3">
        <f t="shared" si="0"/>
        <v>65.571428571428569</v>
      </c>
      <c r="N39">
        <v>23</v>
      </c>
      <c r="O39">
        <v>81</v>
      </c>
      <c r="P39">
        <v>76</v>
      </c>
      <c r="Q39">
        <v>81</v>
      </c>
      <c r="R39">
        <v>79</v>
      </c>
      <c r="S39">
        <v>81</v>
      </c>
      <c r="T39">
        <v>38</v>
      </c>
      <c r="U39">
        <v>0</v>
      </c>
      <c r="V39" s="3">
        <f t="shared" si="1"/>
        <v>1469422</v>
      </c>
      <c r="W39">
        <v>122451.83333333333</v>
      </c>
      <c r="X39">
        <v>0</v>
      </c>
      <c r="Y39">
        <f t="shared" si="2"/>
        <v>122451.83333333333</v>
      </c>
      <c r="Z39">
        <f t="shared" si="3"/>
        <v>0</v>
      </c>
      <c r="AA39">
        <v>0</v>
      </c>
    </row>
    <row r="40" spans="1:27" x14ac:dyDescent="0.25">
      <c r="A40" s="1">
        <v>39</v>
      </c>
      <c r="B40" t="s">
        <v>2068</v>
      </c>
      <c r="C40" t="s">
        <v>1136</v>
      </c>
      <c r="D40" t="s">
        <v>1143</v>
      </c>
      <c r="E40" t="s">
        <v>1144</v>
      </c>
      <c r="H40" t="s">
        <v>1151</v>
      </c>
      <c r="I40" t="s">
        <v>1151</v>
      </c>
      <c r="J40" t="s">
        <v>1227</v>
      </c>
      <c r="K40" t="s">
        <v>1212</v>
      </c>
      <c r="M40" s="3">
        <f t="shared" si="0"/>
        <v>68.142857142857139</v>
      </c>
      <c r="N40">
        <v>21</v>
      </c>
      <c r="O40">
        <v>83</v>
      </c>
      <c r="P40">
        <v>79</v>
      </c>
      <c r="Q40">
        <v>84</v>
      </c>
      <c r="R40">
        <v>86</v>
      </c>
      <c r="S40">
        <v>88</v>
      </c>
      <c r="T40">
        <v>36</v>
      </c>
      <c r="U40">
        <v>0</v>
      </c>
      <c r="V40" s="3">
        <f t="shared" si="1"/>
        <v>2158756</v>
      </c>
      <c r="W40">
        <v>179896.33333333334</v>
      </c>
      <c r="X40">
        <v>0</v>
      </c>
      <c r="Y40">
        <f t="shared" si="2"/>
        <v>179896.33333333334</v>
      </c>
      <c r="Z40">
        <f t="shared" si="3"/>
        <v>0</v>
      </c>
      <c r="AA40">
        <v>0</v>
      </c>
    </row>
    <row r="41" spans="1:27" x14ac:dyDescent="0.25">
      <c r="A41" s="1">
        <v>40</v>
      </c>
      <c r="B41" t="s">
        <v>2062</v>
      </c>
      <c r="C41" t="s">
        <v>1137</v>
      </c>
      <c r="D41" t="s">
        <v>1137</v>
      </c>
      <c r="H41" t="s">
        <v>1151</v>
      </c>
      <c r="I41" t="s">
        <v>1151</v>
      </c>
      <c r="J41" t="s">
        <v>1227</v>
      </c>
      <c r="K41" t="s">
        <v>1212</v>
      </c>
      <c r="M41" s="3">
        <f t="shared" si="0"/>
        <v>63.285714285714285</v>
      </c>
      <c r="N41">
        <v>22</v>
      </c>
      <c r="O41">
        <v>73</v>
      </c>
      <c r="P41">
        <v>70</v>
      </c>
      <c r="Q41">
        <v>77</v>
      </c>
      <c r="R41">
        <v>79</v>
      </c>
      <c r="S41">
        <v>81</v>
      </c>
      <c r="T41">
        <v>41</v>
      </c>
      <c r="U41">
        <v>0</v>
      </c>
      <c r="V41" s="3">
        <f t="shared" si="1"/>
        <v>1030522</v>
      </c>
      <c r="W41">
        <v>85876.833333333328</v>
      </c>
      <c r="X41">
        <v>0</v>
      </c>
      <c r="Y41">
        <f t="shared" si="2"/>
        <v>85876.833333333328</v>
      </c>
      <c r="Z41">
        <f t="shared" si="3"/>
        <v>0</v>
      </c>
      <c r="AA41">
        <v>0</v>
      </c>
    </row>
    <row r="42" spans="1:27" x14ac:dyDescent="0.25">
      <c r="A42" s="1">
        <v>41</v>
      </c>
      <c r="B42" t="s">
        <v>1505</v>
      </c>
      <c r="C42" t="s">
        <v>1133</v>
      </c>
      <c r="D42" t="s">
        <v>1133</v>
      </c>
      <c r="H42" t="s">
        <v>1176</v>
      </c>
      <c r="I42" t="s">
        <v>1176</v>
      </c>
      <c r="J42" t="s">
        <v>1250</v>
      </c>
      <c r="K42" t="s">
        <v>1212</v>
      </c>
      <c r="M42" s="3">
        <f t="shared" si="0"/>
        <v>70.714285714285708</v>
      </c>
      <c r="N42">
        <v>38</v>
      </c>
      <c r="O42">
        <v>73</v>
      </c>
      <c r="P42">
        <v>74</v>
      </c>
      <c r="Q42">
        <v>78</v>
      </c>
      <c r="R42">
        <v>82</v>
      </c>
      <c r="S42">
        <v>79</v>
      </c>
      <c r="T42">
        <v>71</v>
      </c>
      <c r="U42">
        <v>0</v>
      </c>
      <c r="V42" s="3">
        <f t="shared" si="1"/>
        <v>3126595</v>
      </c>
      <c r="W42">
        <v>260549.58333333334</v>
      </c>
      <c r="X42">
        <v>0</v>
      </c>
      <c r="Y42">
        <f t="shared" si="2"/>
        <v>260549.58333333334</v>
      </c>
      <c r="Z42">
        <f t="shared" si="3"/>
        <v>0</v>
      </c>
      <c r="AA42">
        <v>0</v>
      </c>
    </row>
    <row r="43" spans="1:27" x14ac:dyDescent="0.25">
      <c r="A43" s="1">
        <v>42</v>
      </c>
      <c r="B43" t="s">
        <v>62</v>
      </c>
      <c r="C43" t="s">
        <v>1133</v>
      </c>
      <c r="D43" t="s">
        <v>1133</v>
      </c>
      <c r="G43" t="s">
        <v>1176</v>
      </c>
      <c r="H43" t="s">
        <v>1176</v>
      </c>
      <c r="I43" t="s">
        <v>1176</v>
      </c>
      <c r="J43" t="s">
        <v>1250</v>
      </c>
      <c r="K43" t="s">
        <v>1212</v>
      </c>
      <c r="M43" s="3">
        <f t="shared" si="0"/>
        <v>80.571428571428569</v>
      </c>
      <c r="N43">
        <v>70</v>
      </c>
      <c r="O43">
        <v>80</v>
      </c>
      <c r="P43">
        <v>86</v>
      </c>
      <c r="Q43">
        <v>80</v>
      </c>
      <c r="R43">
        <v>85</v>
      </c>
      <c r="S43">
        <v>84</v>
      </c>
      <c r="T43">
        <v>79</v>
      </c>
      <c r="U43">
        <v>31</v>
      </c>
      <c r="V43" s="3">
        <f t="shared" si="1"/>
        <v>17294257</v>
      </c>
      <c r="W43">
        <v>1441188.0833333333</v>
      </c>
      <c r="X43">
        <v>0</v>
      </c>
      <c r="Y43">
        <f t="shared" si="2"/>
        <v>1441188.0833333333</v>
      </c>
      <c r="Z43">
        <f t="shared" si="3"/>
        <v>0</v>
      </c>
      <c r="AA43">
        <v>0</v>
      </c>
    </row>
    <row r="44" spans="1:27" x14ac:dyDescent="0.25">
      <c r="A44" s="1">
        <v>43</v>
      </c>
      <c r="B44" t="s">
        <v>2553</v>
      </c>
      <c r="C44" t="s">
        <v>1134</v>
      </c>
      <c r="D44" t="s">
        <v>1140</v>
      </c>
      <c r="E44" t="s">
        <v>1138</v>
      </c>
      <c r="H44" t="s">
        <v>1176</v>
      </c>
      <c r="I44" t="s">
        <v>1176</v>
      </c>
      <c r="J44" t="s">
        <v>1250</v>
      </c>
      <c r="K44" t="s">
        <v>1212</v>
      </c>
      <c r="M44" s="3">
        <f t="shared" si="0"/>
        <v>72.571428571428569</v>
      </c>
      <c r="N44">
        <v>42</v>
      </c>
      <c r="O44">
        <v>76</v>
      </c>
      <c r="P44">
        <v>81</v>
      </c>
      <c r="Q44">
        <v>79</v>
      </c>
      <c r="R44">
        <v>77</v>
      </c>
      <c r="S44">
        <v>80</v>
      </c>
      <c r="T44">
        <v>73</v>
      </c>
      <c r="U44">
        <v>0</v>
      </c>
      <c r="V44" s="3">
        <f t="shared" si="1"/>
        <v>4051882</v>
      </c>
      <c r="W44">
        <v>337656.83333333331</v>
      </c>
      <c r="X44">
        <v>0</v>
      </c>
      <c r="Y44">
        <f t="shared" si="2"/>
        <v>337656.83333333331</v>
      </c>
      <c r="Z44">
        <f t="shared" si="3"/>
        <v>0</v>
      </c>
      <c r="AA44">
        <v>0</v>
      </c>
    </row>
    <row r="45" spans="1:27" x14ac:dyDescent="0.25">
      <c r="A45" s="1">
        <v>44</v>
      </c>
      <c r="B45" t="s">
        <v>260</v>
      </c>
      <c r="C45" t="s">
        <v>1134</v>
      </c>
      <c r="D45" t="s">
        <v>1138</v>
      </c>
      <c r="E45" t="s">
        <v>1140</v>
      </c>
      <c r="G45" t="s">
        <v>1176</v>
      </c>
      <c r="H45" t="s">
        <v>1176</v>
      </c>
      <c r="I45" t="s">
        <v>1176</v>
      </c>
      <c r="J45" t="s">
        <v>1250</v>
      </c>
      <c r="K45" t="s">
        <v>1212</v>
      </c>
      <c r="M45" s="3">
        <f t="shared" si="0"/>
        <v>81.285714285714292</v>
      </c>
      <c r="N45">
        <v>78</v>
      </c>
      <c r="O45">
        <v>76</v>
      </c>
      <c r="P45">
        <v>83</v>
      </c>
      <c r="Q45">
        <v>84</v>
      </c>
      <c r="R45">
        <v>88</v>
      </c>
      <c r="S45">
        <v>90</v>
      </c>
      <c r="T45">
        <v>70</v>
      </c>
      <c r="U45">
        <v>26</v>
      </c>
      <c r="V45" s="3">
        <f t="shared" si="1"/>
        <v>18890069</v>
      </c>
      <c r="W45">
        <v>1574172.4166666667</v>
      </c>
      <c r="X45">
        <v>0</v>
      </c>
      <c r="Y45">
        <f t="shared" si="2"/>
        <v>1574172.4166666667</v>
      </c>
      <c r="Z45">
        <f t="shared" si="3"/>
        <v>0</v>
      </c>
      <c r="AA45">
        <v>0</v>
      </c>
    </row>
    <row r="46" spans="1:27" x14ac:dyDescent="0.25">
      <c r="A46" s="1">
        <v>45</v>
      </c>
      <c r="B46" t="s">
        <v>353</v>
      </c>
      <c r="C46" t="s">
        <v>1134</v>
      </c>
      <c r="D46" t="s">
        <v>1139</v>
      </c>
      <c r="E46" t="s">
        <v>1138</v>
      </c>
      <c r="G46" t="s">
        <v>1195</v>
      </c>
      <c r="H46" t="s">
        <v>1195</v>
      </c>
      <c r="I46" t="s">
        <v>1195</v>
      </c>
      <c r="J46" t="s">
        <v>1250</v>
      </c>
      <c r="K46" t="s">
        <v>1212</v>
      </c>
      <c r="M46" s="3">
        <f t="shared" si="0"/>
        <v>88</v>
      </c>
      <c r="N46">
        <v>86</v>
      </c>
      <c r="O46">
        <v>90</v>
      </c>
      <c r="P46">
        <v>84</v>
      </c>
      <c r="Q46">
        <v>93</v>
      </c>
      <c r="R46">
        <v>89</v>
      </c>
      <c r="S46">
        <v>86</v>
      </c>
      <c r="T46">
        <v>88</v>
      </c>
      <c r="U46">
        <v>28</v>
      </c>
      <c r="V46" s="3">
        <f t="shared" si="1"/>
        <v>41775147</v>
      </c>
      <c r="W46">
        <v>3481262.25</v>
      </c>
      <c r="X46">
        <v>0</v>
      </c>
      <c r="Y46">
        <f t="shared" si="2"/>
        <v>3481262.25</v>
      </c>
      <c r="Z46">
        <f t="shared" si="3"/>
        <v>0</v>
      </c>
      <c r="AA46">
        <v>0</v>
      </c>
    </row>
    <row r="47" spans="1:27" x14ac:dyDescent="0.25">
      <c r="A47" s="1">
        <v>46</v>
      </c>
      <c r="B47" t="s">
        <v>1508</v>
      </c>
      <c r="C47" t="s">
        <v>1134</v>
      </c>
      <c r="D47" t="s">
        <v>1140</v>
      </c>
      <c r="E47" t="s">
        <v>1139</v>
      </c>
      <c r="H47" t="s">
        <v>1176</v>
      </c>
      <c r="I47" t="s">
        <v>1176</v>
      </c>
      <c r="J47" t="s">
        <v>1250</v>
      </c>
      <c r="K47" t="s">
        <v>1212</v>
      </c>
      <c r="M47" s="3">
        <f t="shared" si="0"/>
        <v>70.714285714285708</v>
      </c>
      <c r="N47">
        <v>31</v>
      </c>
      <c r="O47">
        <v>77</v>
      </c>
      <c r="P47">
        <v>80</v>
      </c>
      <c r="Q47">
        <v>79</v>
      </c>
      <c r="R47">
        <v>77</v>
      </c>
      <c r="S47">
        <v>81</v>
      </c>
      <c r="T47">
        <v>70</v>
      </c>
      <c r="U47">
        <v>0</v>
      </c>
      <c r="V47" s="3">
        <f t="shared" si="1"/>
        <v>3126595</v>
      </c>
      <c r="W47">
        <v>260549.58333333334</v>
      </c>
      <c r="X47">
        <v>0</v>
      </c>
      <c r="Y47">
        <f t="shared" si="2"/>
        <v>260549.58333333334</v>
      </c>
      <c r="Z47">
        <f t="shared" si="3"/>
        <v>0</v>
      </c>
      <c r="AA47">
        <v>0</v>
      </c>
    </row>
    <row r="48" spans="1:27" x14ac:dyDescent="0.25">
      <c r="A48" s="1">
        <v>47</v>
      </c>
      <c r="B48" t="s">
        <v>315</v>
      </c>
      <c r="C48" t="s">
        <v>1134</v>
      </c>
      <c r="D48" t="s">
        <v>1138</v>
      </c>
      <c r="E48" t="s">
        <v>1140</v>
      </c>
      <c r="G48" t="s">
        <v>1187</v>
      </c>
      <c r="H48" t="s">
        <v>1187</v>
      </c>
      <c r="I48" t="s">
        <v>1187</v>
      </c>
      <c r="J48" t="s">
        <v>1250</v>
      </c>
      <c r="K48" t="s">
        <v>1212</v>
      </c>
      <c r="M48" s="3">
        <f t="shared" si="0"/>
        <v>87.142857142857139</v>
      </c>
      <c r="N48">
        <v>80</v>
      </c>
      <c r="O48">
        <v>84</v>
      </c>
      <c r="P48">
        <v>88</v>
      </c>
      <c r="Q48">
        <v>84</v>
      </c>
      <c r="R48">
        <v>95</v>
      </c>
      <c r="S48">
        <v>92</v>
      </c>
      <c r="T48">
        <v>87</v>
      </c>
      <c r="U48">
        <v>26</v>
      </c>
      <c r="V48" s="3">
        <f t="shared" si="1"/>
        <v>37879934</v>
      </c>
      <c r="W48">
        <v>3156661.1666666665</v>
      </c>
      <c r="X48">
        <v>0</v>
      </c>
      <c r="Y48">
        <f t="shared" si="2"/>
        <v>3156661.1666666665</v>
      </c>
      <c r="Z48">
        <f t="shared" si="3"/>
        <v>0</v>
      </c>
      <c r="AA48">
        <v>0</v>
      </c>
    </row>
    <row r="49" spans="1:27" x14ac:dyDescent="0.25">
      <c r="A49" s="1">
        <v>48</v>
      </c>
      <c r="B49" t="s">
        <v>261</v>
      </c>
      <c r="C49" t="s">
        <v>1134</v>
      </c>
      <c r="D49" t="s">
        <v>1138</v>
      </c>
      <c r="E49" t="s">
        <v>1144</v>
      </c>
      <c r="G49" t="s">
        <v>1176</v>
      </c>
      <c r="H49" t="s">
        <v>1176</v>
      </c>
      <c r="I49" t="s">
        <v>1176</v>
      </c>
      <c r="J49" t="s">
        <v>1250</v>
      </c>
      <c r="K49" t="s">
        <v>1212</v>
      </c>
      <c r="M49" s="3">
        <f t="shared" si="0"/>
        <v>80.857142857142861</v>
      </c>
      <c r="N49">
        <v>79</v>
      </c>
      <c r="O49">
        <v>77</v>
      </c>
      <c r="P49">
        <v>80</v>
      </c>
      <c r="Q49">
        <v>82</v>
      </c>
      <c r="R49">
        <v>90</v>
      </c>
      <c r="S49">
        <v>86</v>
      </c>
      <c r="T49">
        <v>72</v>
      </c>
      <c r="U49">
        <v>26</v>
      </c>
      <c r="V49" s="3">
        <f t="shared" si="1"/>
        <v>17917408</v>
      </c>
      <c r="W49">
        <v>1493117.3333333333</v>
      </c>
      <c r="X49">
        <v>0</v>
      </c>
      <c r="Y49">
        <f t="shared" si="2"/>
        <v>1493117.3333333333</v>
      </c>
      <c r="Z49">
        <f t="shared" si="3"/>
        <v>0</v>
      </c>
      <c r="AA49">
        <v>0</v>
      </c>
    </row>
    <row r="50" spans="1:27" x14ac:dyDescent="0.25">
      <c r="A50" s="1">
        <v>49</v>
      </c>
      <c r="B50" t="s">
        <v>1506</v>
      </c>
      <c r="C50" t="s">
        <v>1134</v>
      </c>
      <c r="D50" t="s">
        <v>1139</v>
      </c>
      <c r="E50" t="s">
        <v>1138</v>
      </c>
      <c r="H50" t="s">
        <v>1176</v>
      </c>
      <c r="I50" t="s">
        <v>1176</v>
      </c>
      <c r="J50" t="s">
        <v>1250</v>
      </c>
      <c r="K50" t="s">
        <v>1212</v>
      </c>
      <c r="M50" s="3">
        <f t="shared" si="0"/>
        <v>71.428571428571431</v>
      </c>
      <c r="N50">
        <v>35</v>
      </c>
      <c r="O50">
        <v>78</v>
      </c>
      <c r="P50">
        <v>79</v>
      </c>
      <c r="Q50">
        <v>81</v>
      </c>
      <c r="R50">
        <v>76</v>
      </c>
      <c r="S50">
        <v>82</v>
      </c>
      <c r="T50">
        <v>69</v>
      </c>
      <c r="U50">
        <v>0</v>
      </c>
      <c r="V50" s="3">
        <f t="shared" si="1"/>
        <v>3457162</v>
      </c>
      <c r="W50">
        <v>288096.83333333331</v>
      </c>
      <c r="X50">
        <v>0</v>
      </c>
      <c r="Y50">
        <f t="shared" si="2"/>
        <v>288096.83333333331</v>
      </c>
      <c r="Z50">
        <f t="shared" si="3"/>
        <v>0</v>
      </c>
      <c r="AA50">
        <v>0</v>
      </c>
    </row>
    <row r="51" spans="1:27" x14ac:dyDescent="0.25">
      <c r="A51" s="1">
        <v>50</v>
      </c>
      <c r="B51" t="s">
        <v>1507</v>
      </c>
      <c r="C51" t="s">
        <v>1134</v>
      </c>
      <c r="D51" t="s">
        <v>1138</v>
      </c>
      <c r="E51" t="s">
        <v>1144</v>
      </c>
      <c r="H51" t="s">
        <v>1176</v>
      </c>
      <c r="I51" t="s">
        <v>1176</v>
      </c>
      <c r="J51" t="s">
        <v>1250</v>
      </c>
      <c r="K51" t="s">
        <v>1212</v>
      </c>
      <c r="M51" s="3">
        <f t="shared" si="0"/>
        <v>73</v>
      </c>
      <c r="N51">
        <v>47</v>
      </c>
      <c r="O51">
        <v>74</v>
      </c>
      <c r="P51">
        <v>80</v>
      </c>
      <c r="Q51">
        <v>78</v>
      </c>
      <c r="R51">
        <v>81</v>
      </c>
      <c r="S51">
        <v>79</v>
      </c>
      <c r="T51">
        <v>72</v>
      </c>
      <c r="U51">
        <v>0</v>
      </c>
      <c r="V51" s="3">
        <f t="shared" si="1"/>
        <v>4297626</v>
      </c>
      <c r="W51">
        <v>358135.5</v>
      </c>
      <c r="X51">
        <v>0</v>
      </c>
      <c r="Y51">
        <f t="shared" si="2"/>
        <v>358135.5</v>
      </c>
      <c r="Z51">
        <f t="shared" si="3"/>
        <v>0</v>
      </c>
      <c r="AA51">
        <v>0</v>
      </c>
    </row>
    <row r="52" spans="1:27" x14ac:dyDescent="0.25">
      <c r="A52" s="1">
        <v>51</v>
      </c>
      <c r="B52" t="s">
        <v>254</v>
      </c>
      <c r="C52" t="s">
        <v>1134</v>
      </c>
      <c r="D52" t="s">
        <v>1138</v>
      </c>
      <c r="E52" t="s">
        <v>1139</v>
      </c>
      <c r="G52" t="s">
        <v>1176</v>
      </c>
      <c r="H52" t="s">
        <v>1176</v>
      </c>
      <c r="I52" t="s">
        <v>1176</v>
      </c>
      <c r="J52" t="s">
        <v>1250</v>
      </c>
      <c r="K52" t="s">
        <v>1212</v>
      </c>
      <c r="M52" s="3">
        <f t="shared" si="0"/>
        <v>83.285714285714292</v>
      </c>
      <c r="N52">
        <v>80</v>
      </c>
      <c r="O52">
        <v>76</v>
      </c>
      <c r="P52">
        <v>90</v>
      </c>
      <c r="Q52">
        <v>80</v>
      </c>
      <c r="R52">
        <v>88</v>
      </c>
      <c r="S52">
        <v>89</v>
      </c>
      <c r="T52">
        <v>80</v>
      </c>
      <c r="U52">
        <v>28</v>
      </c>
      <c r="V52" s="3">
        <f t="shared" si="1"/>
        <v>24087760</v>
      </c>
      <c r="W52">
        <v>2007313.3333333333</v>
      </c>
      <c r="X52">
        <v>0</v>
      </c>
      <c r="Y52">
        <f t="shared" si="2"/>
        <v>2007313.3333333333</v>
      </c>
      <c r="Z52">
        <f t="shared" si="3"/>
        <v>0</v>
      </c>
      <c r="AA52">
        <v>0</v>
      </c>
    </row>
    <row r="53" spans="1:27" x14ac:dyDescent="0.25">
      <c r="A53" s="1">
        <v>52</v>
      </c>
      <c r="B53" t="s">
        <v>523</v>
      </c>
      <c r="C53" t="s">
        <v>1135</v>
      </c>
      <c r="D53" t="s">
        <v>1141</v>
      </c>
      <c r="E53" t="s">
        <v>1145</v>
      </c>
      <c r="G53" t="s">
        <v>1176</v>
      </c>
      <c r="H53" t="s">
        <v>1176</v>
      </c>
      <c r="I53" t="s">
        <v>1176</v>
      </c>
      <c r="J53" t="s">
        <v>1250</v>
      </c>
      <c r="K53" t="s">
        <v>1212</v>
      </c>
      <c r="M53" s="3">
        <f t="shared" si="0"/>
        <v>90.571428571428569</v>
      </c>
      <c r="N53">
        <v>90</v>
      </c>
      <c r="O53">
        <v>92</v>
      </c>
      <c r="P53">
        <v>93</v>
      </c>
      <c r="Q53">
        <v>90</v>
      </c>
      <c r="R53">
        <v>87</v>
      </c>
      <c r="S53">
        <v>91</v>
      </c>
      <c r="T53">
        <v>91</v>
      </c>
      <c r="U53">
        <v>12</v>
      </c>
      <c r="V53" s="3">
        <f t="shared" si="1"/>
        <v>55719016</v>
      </c>
      <c r="W53">
        <v>4643251.333333333</v>
      </c>
      <c r="X53">
        <v>0</v>
      </c>
      <c r="Y53">
        <f t="shared" si="2"/>
        <v>4643251.333333333</v>
      </c>
      <c r="Z53">
        <f t="shared" si="3"/>
        <v>0</v>
      </c>
      <c r="AA53">
        <v>0</v>
      </c>
    </row>
    <row r="54" spans="1:27" x14ac:dyDescent="0.25">
      <c r="A54" s="1">
        <v>53</v>
      </c>
      <c r="B54" t="s">
        <v>522</v>
      </c>
      <c r="C54" t="s">
        <v>1135</v>
      </c>
      <c r="D54" t="s">
        <v>1141</v>
      </c>
      <c r="E54" t="s">
        <v>1142</v>
      </c>
      <c r="G54" t="s">
        <v>1176</v>
      </c>
      <c r="H54" t="s">
        <v>1176</v>
      </c>
      <c r="I54" t="s">
        <v>1176</v>
      </c>
      <c r="J54" t="s">
        <v>1250</v>
      </c>
      <c r="K54" t="s">
        <v>1212</v>
      </c>
      <c r="M54" s="3">
        <f t="shared" si="0"/>
        <v>88.428571428571431</v>
      </c>
      <c r="N54">
        <v>88</v>
      </c>
      <c r="O54">
        <v>86</v>
      </c>
      <c r="P54">
        <v>90</v>
      </c>
      <c r="Q54">
        <v>85</v>
      </c>
      <c r="R54">
        <v>95</v>
      </c>
      <c r="S54">
        <v>90</v>
      </c>
      <c r="T54">
        <v>85</v>
      </c>
      <c r="U54">
        <v>11</v>
      </c>
      <c r="V54" s="3">
        <f t="shared" si="1"/>
        <v>43854822</v>
      </c>
      <c r="W54">
        <v>3654568.5</v>
      </c>
      <c r="X54">
        <v>0</v>
      </c>
      <c r="Y54">
        <f t="shared" si="2"/>
        <v>3654568.5</v>
      </c>
      <c r="Z54">
        <f t="shared" si="3"/>
        <v>0</v>
      </c>
      <c r="AA54">
        <v>0</v>
      </c>
    </row>
    <row r="55" spans="1:27" x14ac:dyDescent="0.25">
      <c r="A55" s="1">
        <v>54</v>
      </c>
      <c r="B55" t="s">
        <v>521</v>
      </c>
      <c r="C55" t="s">
        <v>1135</v>
      </c>
      <c r="D55" t="s">
        <v>1142</v>
      </c>
      <c r="E55" t="s">
        <v>1147</v>
      </c>
      <c r="G55" t="s">
        <v>1176</v>
      </c>
      <c r="H55" t="s">
        <v>1176</v>
      </c>
      <c r="I55" t="s">
        <v>1176</v>
      </c>
      <c r="J55" t="s">
        <v>1250</v>
      </c>
      <c r="K55" t="s">
        <v>1212</v>
      </c>
      <c r="M55" s="3">
        <f t="shared" si="0"/>
        <v>87.857142857142861</v>
      </c>
      <c r="N55">
        <v>83</v>
      </c>
      <c r="O55">
        <v>87</v>
      </c>
      <c r="P55">
        <v>92</v>
      </c>
      <c r="Q55">
        <v>94</v>
      </c>
      <c r="R55">
        <v>85</v>
      </c>
      <c r="S55">
        <v>84</v>
      </c>
      <c r="T55">
        <v>90</v>
      </c>
      <c r="U55">
        <v>8</v>
      </c>
      <c r="V55" s="3">
        <f t="shared" si="1"/>
        <v>41101912</v>
      </c>
      <c r="W55">
        <v>3425159.3333333335</v>
      </c>
      <c r="X55">
        <v>0</v>
      </c>
      <c r="Y55">
        <f t="shared" si="2"/>
        <v>3425159.3333333335</v>
      </c>
      <c r="Z55">
        <f t="shared" si="3"/>
        <v>0</v>
      </c>
      <c r="AA55">
        <v>0</v>
      </c>
    </row>
    <row r="56" spans="1:27" x14ac:dyDescent="0.25">
      <c r="A56" s="1">
        <v>55</v>
      </c>
      <c r="B56" t="s">
        <v>1515</v>
      </c>
      <c r="C56" t="s">
        <v>1135</v>
      </c>
      <c r="D56" t="s">
        <v>1141</v>
      </c>
      <c r="E56" t="s">
        <v>1142</v>
      </c>
      <c r="H56" t="s">
        <v>1176</v>
      </c>
      <c r="I56" t="s">
        <v>1176</v>
      </c>
      <c r="J56" t="s">
        <v>1250</v>
      </c>
      <c r="K56" t="s">
        <v>1212</v>
      </c>
      <c r="M56" s="3">
        <f t="shared" si="0"/>
        <v>73.285714285714292</v>
      </c>
      <c r="N56">
        <v>46</v>
      </c>
      <c r="O56">
        <v>74</v>
      </c>
      <c r="P56">
        <v>82</v>
      </c>
      <c r="Q56">
        <v>80</v>
      </c>
      <c r="R56">
        <v>84</v>
      </c>
      <c r="S56">
        <v>76</v>
      </c>
      <c r="T56">
        <v>71</v>
      </c>
      <c r="U56">
        <v>0</v>
      </c>
      <c r="V56" s="3">
        <f t="shared" si="1"/>
        <v>4468825</v>
      </c>
      <c r="W56">
        <v>372402.08333333331</v>
      </c>
      <c r="X56">
        <v>0</v>
      </c>
      <c r="Y56">
        <f t="shared" si="2"/>
        <v>372402.08333333331</v>
      </c>
      <c r="Z56">
        <f t="shared" si="3"/>
        <v>0</v>
      </c>
      <c r="AA56">
        <v>0</v>
      </c>
    </row>
    <row r="57" spans="1:27" x14ac:dyDescent="0.25">
      <c r="A57" s="1">
        <v>56</v>
      </c>
      <c r="B57" t="s">
        <v>1513</v>
      </c>
      <c r="C57" t="s">
        <v>1136</v>
      </c>
      <c r="D57" t="s">
        <v>1143</v>
      </c>
      <c r="E57" t="s">
        <v>1147</v>
      </c>
      <c r="H57" t="s">
        <v>1176</v>
      </c>
      <c r="I57" t="s">
        <v>1176</v>
      </c>
      <c r="J57" t="s">
        <v>1250</v>
      </c>
      <c r="K57" t="s">
        <v>1212</v>
      </c>
      <c r="M57" s="3">
        <f t="shared" si="0"/>
        <v>72.857142857142861</v>
      </c>
      <c r="N57">
        <v>37</v>
      </c>
      <c r="O57">
        <v>79</v>
      </c>
      <c r="P57">
        <v>83</v>
      </c>
      <c r="Q57">
        <v>81</v>
      </c>
      <c r="R57">
        <v>80</v>
      </c>
      <c r="S57">
        <v>79</v>
      </c>
      <c r="T57">
        <v>71</v>
      </c>
      <c r="U57">
        <v>0</v>
      </c>
      <c r="V57" s="3">
        <f t="shared" si="1"/>
        <v>4214261</v>
      </c>
      <c r="W57">
        <v>351188.41666666669</v>
      </c>
      <c r="X57">
        <v>0</v>
      </c>
      <c r="Y57">
        <f t="shared" si="2"/>
        <v>351188.41666666669</v>
      </c>
      <c r="Z57">
        <f t="shared" si="3"/>
        <v>0</v>
      </c>
      <c r="AA57">
        <v>0</v>
      </c>
    </row>
    <row r="58" spans="1:27" x14ac:dyDescent="0.25">
      <c r="A58" s="1">
        <v>57</v>
      </c>
      <c r="B58" t="s">
        <v>1510</v>
      </c>
      <c r="C58" t="s">
        <v>1136</v>
      </c>
      <c r="D58" t="s">
        <v>1143</v>
      </c>
      <c r="E58" t="s">
        <v>1145</v>
      </c>
      <c r="H58" t="s">
        <v>1176</v>
      </c>
      <c r="I58" t="s">
        <v>1176</v>
      </c>
      <c r="J58" t="s">
        <v>1250</v>
      </c>
      <c r="K58" t="s">
        <v>1212</v>
      </c>
      <c r="M58" s="3">
        <f t="shared" si="0"/>
        <v>71.857142857142861</v>
      </c>
      <c r="N58">
        <v>39</v>
      </c>
      <c r="O58">
        <v>82</v>
      </c>
      <c r="P58">
        <v>78</v>
      </c>
      <c r="Q58">
        <v>81</v>
      </c>
      <c r="R58">
        <v>75</v>
      </c>
      <c r="S58">
        <v>78</v>
      </c>
      <c r="T58">
        <v>70</v>
      </c>
      <c r="U58">
        <v>0</v>
      </c>
      <c r="V58" s="3">
        <f t="shared" si="1"/>
        <v>3670283</v>
      </c>
      <c r="W58">
        <v>305856.91666666669</v>
      </c>
      <c r="X58">
        <v>0</v>
      </c>
      <c r="Y58">
        <f t="shared" si="2"/>
        <v>305856.91666666669</v>
      </c>
      <c r="Z58">
        <f t="shared" si="3"/>
        <v>0</v>
      </c>
      <c r="AA58">
        <v>0</v>
      </c>
    </row>
    <row r="59" spans="1:27" x14ac:dyDescent="0.25">
      <c r="A59" s="1">
        <v>58</v>
      </c>
      <c r="B59" t="s">
        <v>1512</v>
      </c>
      <c r="C59" t="s">
        <v>1136</v>
      </c>
      <c r="D59" t="s">
        <v>1146</v>
      </c>
      <c r="E59" t="s">
        <v>1143</v>
      </c>
      <c r="H59" t="s">
        <v>1176</v>
      </c>
      <c r="I59" t="s">
        <v>1176</v>
      </c>
      <c r="J59" t="s">
        <v>1250</v>
      </c>
      <c r="K59" t="s">
        <v>1212</v>
      </c>
      <c r="M59" s="3">
        <f t="shared" si="0"/>
        <v>73.142857142857139</v>
      </c>
      <c r="N59">
        <v>48</v>
      </c>
      <c r="O59">
        <v>81</v>
      </c>
      <c r="P59">
        <v>78</v>
      </c>
      <c r="Q59">
        <v>80</v>
      </c>
      <c r="R59">
        <v>76</v>
      </c>
      <c r="S59">
        <v>80</v>
      </c>
      <c r="T59">
        <v>69</v>
      </c>
      <c r="U59">
        <v>0</v>
      </c>
      <c r="V59" s="3">
        <f t="shared" si="1"/>
        <v>4382473</v>
      </c>
      <c r="W59">
        <v>365206.08333333331</v>
      </c>
      <c r="X59">
        <v>0</v>
      </c>
      <c r="Y59">
        <f t="shared" si="2"/>
        <v>365206.08333333331</v>
      </c>
      <c r="Z59">
        <f t="shared" si="3"/>
        <v>0</v>
      </c>
      <c r="AA59">
        <v>0</v>
      </c>
    </row>
    <row r="60" spans="1:27" x14ac:dyDescent="0.25">
      <c r="A60" s="1">
        <v>59</v>
      </c>
      <c r="B60" t="s">
        <v>795</v>
      </c>
      <c r="C60" t="s">
        <v>1136</v>
      </c>
      <c r="D60" t="s">
        <v>1143</v>
      </c>
      <c r="E60" t="s">
        <v>1145</v>
      </c>
      <c r="G60" t="s">
        <v>1176</v>
      </c>
      <c r="H60" t="s">
        <v>1176</v>
      </c>
      <c r="I60" t="s">
        <v>1176</v>
      </c>
      <c r="J60" t="s">
        <v>1250</v>
      </c>
      <c r="K60" t="s">
        <v>1212</v>
      </c>
      <c r="M60" s="3">
        <f t="shared" si="0"/>
        <v>91.571428571428569</v>
      </c>
      <c r="N60">
        <v>86</v>
      </c>
      <c r="O60">
        <v>84</v>
      </c>
      <c r="P60">
        <v>93</v>
      </c>
      <c r="Q60">
        <v>98</v>
      </c>
      <c r="R60">
        <v>97</v>
      </c>
      <c r="S60">
        <v>95</v>
      </c>
      <c r="T60">
        <v>88</v>
      </c>
      <c r="U60">
        <v>18</v>
      </c>
      <c r="V60" s="3">
        <f t="shared" si="1"/>
        <v>62185790</v>
      </c>
      <c r="W60">
        <v>5182149.166666667</v>
      </c>
      <c r="X60">
        <v>0</v>
      </c>
      <c r="Y60">
        <f t="shared" si="2"/>
        <v>5182149.166666667</v>
      </c>
      <c r="Z60">
        <f t="shared" si="3"/>
        <v>0</v>
      </c>
      <c r="AA60">
        <v>0</v>
      </c>
    </row>
    <row r="61" spans="1:27" x14ac:dyDescent="0.25">
      <c r="A61" s="1">
        <v>60</v>
      </c>
      <c r="B61" t="s">
        <v>796</v>
      </c>
      <c r="C61" t="s">
        <v>1136</v>
      </c>
      <c r="D61" t="s">
        <v>1143</v>
      </c>
      <c r="E61" t="s">
        <v>1144</v>
      </c>
      <c r="G61" t="s">
        <v>1176</v>
      </c>
      <c r="H61" t="s">
        <v>1176</v>
      </c>
      <c r="I61" t="s">
        <v>1176</v>
      </c>
      <c r="J61" t="s">
        <v>1250</v>
      </c>
      <c r="K61" t="s">
        <v>1212</v>
      </c>
      <c r="M61" s="3">
        <f t="shared" si="0"/>
        <v>89.571428571428569</v>
      </c>
      <c r="N61">
        <v>85</v>
      </c>
      <c r="O61">
        <v>89</v>
      </c>
      <c r="P61">
        <v>89</v>
      </c>
      <c r="Q61">
        <v>94</v>
      </c>
      <c r="R61">
        <v>91</v>
      </c>
      <c r="S61">
        <v>89</v>
      </c>
      <c r="T61">
        <v>90</v>
      </c>
      <c r="U61">
        <v>22</v>
      </c>
      <c r="V61" s="3">
        <f t="shared" si="1"/>
        <v>49863903</v>
      </c>
      <c r="W61">
        <v>4155325.25</v>
      </c>
      <c r="X61">
        <v>0</v>
      </c>
      <c r="Y61">
        <f t="shared" si="2"/>
        <v>4155325.25</v>
      </c>
      <c r="Z61">
        <f t="shared" si="3"/>
        <v>0</v>
      </c>
      <c r="AA61">
        <v>0</v>
      </c>
    </row>
    <row r="62" spans="1:27" x14ac:dyDescent="0.25">
      <c r="A62" s="1">
        <v>61</v>
      </c>
      <c r="B62" t="s">
        <v>797</v>
      </c>
      <c r="C62" t="s">
        <v>1136</v>
      </c>
      <c r="D62" t="s">
        <v>1144</v>
      </c>
      <c r="E62" t="s">
        <v>1143</v>
      </c>
      <c r="F62" t="s">
        <v>1138</v>
      </c>
      <c r="G62" t="s">
        <v>1176</v>
      </c>
      <c r="H62" t="s">
        <v>1176</v>
      </c>
      <c r="I62" t="s">
        <v>1176</v>
      </c>
      <c r="J62" t="s">
        <v>1250</v>
      </c>
      <c r="K62" t="s">
        <v>1212</v>
      </c>
      <c r="M62" s="3">
        <f t="shared" si="0"/>
        <v>90</v>
      </c>
      <c r="N62">
        <v>90</v>
      </c>
      <c r="O62">
        <v>92</v>
      </c>
      <c r="P62">
        <v>86</v>
      </c>
      <c r="Q62">
        <v>91</v>
      </c>
      <c r="R62">
        <v>90</v>
      </c>
      <c r="S62">
        <v>88</v>
      </c>
      <c r="T62">
        <v>93</v>
      </c>
      <c r="U62">
        <v>23</v>
      </c>
      <c r="V62" s="3">
        <f t="shared" si="1"/>
        <v>52301767</v>
      </c>
      <c r="W62">
        <v>4358480.583333333</v>
      </c>
      <c r="X62">
        <v>0</v>
      </c>
      <c r="Y62">
        <f t="shared" si="2"/>
        <v>4358480.583333333</v>
      </c>
      <c r="Z62">
        <f t="shared" si="3"/>
        <v>0</v>
      </c>
      <c r="AA62">
        <v>0</v>
      </c>
    </row>
    <row r="63" spans="1:27" x14ac:dyDescent="0.25">
      <c r="A63" s="1">
        <v>62</v>
      </c>
      <c r="B63" t="s">
        <v>1509</v>
      </c>
      <c r="C63" t="s">
        <v>1136</v>
      </c>
      <c r="D63" t="s">
        <v>1144</v>
      </c>
      <c r="E63" t="s">
        <v>1143</v>
      </c>
      <c r="H63" t="s">
        <v>1176</v>
      </c>
      <c r="I63" t="s">
        <v>1176</v>
      </c>
      <c r="J63" t="s">
        <v>1250</v>
      </c>
      <c r="K63" t="s">
        <v>1212</v>
      </c>
      <c r="M63" s="3">
        <f t="shared" si="0"/>
        <v>74.857142857142861</v>
      </c>
      <c r="N63">
        <v>44</v>
      </c>
      <c r="O63">
        <v>80</v>
      </c>
      <c r="P63">
        <v>84</v>
      </c>
      <c r="Q63">
        <v>82</v>
      </c>
      <c r="R63">
        <v>81</v>
      </c>
      <c r="S63">
        <v>80</v>
      </c>
      <c r="T63">
        <v>73</v>
      </c>
      <c r="U63">
        <v>0</v>
      </c>
      <c r="V63" s="3">
        <f t="shared" si="1"/>
        <v>5525003</v>
      </c>
      <c r="W63">
        <v>460416.91666666669</v>
      </c>
      <c r="X63">
        <v>0</v>
      </c>
      <c r="Y63">
        <f t="shared" si="2"/>
        <v>460416.91666666669</v>
      </c>
      <c r="Z63">
        <f t="shared" si="3"/>
        <v>0</v>
      </c>
      <c r="AA63">
        <v>0</v>
      </c>
    </row>
    <row r="64" spans="1:27" x14ac:dyDescent="0.25">
      <c r="A64" s="1">
        <v>63</v>
      </c>
      <c r="B64" t="s">
        <v>798</v>
      </c>
      <c r="C64" t="s">
        <v>1136</v>
      </c>
      <c r="D64" t="s">
        <v>1146</v>
      </c>
      <c r="E64" t="s">
        <v>1144</v>
      </c>
      <c r="G64" t="s">
        <v>1176</v>
      </c>
      <c r="H64" t="s">
        <v>1176</v>
      </c>
      <c r="I64" t="s">
        <v>1176</v>
      </c>
      <c r="J64" t="s">
        <v>1250</v>
      </c>
      <c r="K64" t="s">
        <v>1212</v>
      </c>
      <c r="M64" s="3">
        <f t="shared" si="0"/>
        <v>93.571428571428569</v>
      </c>
      <c r="N64">
        <v>95</v>
      </c>
      <c r="O64">
        <v>98</v>
      </c>
      <c r="P64">
        <v>92</v>
      </c>
      <c r="Q64">
        <v>95</v>
      </c>
      <c r="R64">
        <v>88</v>
      </c>
      <c r="S64">
        <v>91</v>
      </c>
      <c r="T64">
        <v>96</v>
      </c>
      <c r="U64">
        <v>10</v>
      </c>
      <c r="V64" s="3">
        <f t="shared" si="1"/>
        <v>77183392</v>
      </c>
      <c r="W64">
        <v>6431949.333333333</v>
      </c>
      <c r="X64">
        <v>0</v>
      </c>
      <c r="Y64">
        <f t="shared" si="2"/>
        <v>6431949.333333333</v>
      </c>
      <c r="Z64">
        <f t="shared" si="3"/>
        <v>0</v>
      </c>
      <c r="AA64">
        <v>0</v>
      </c>
    </row>
    <row r="65" spans="1:27" x14ac:dyDescent="0.25">
      <c r="A65" s="1">
        <v>64</v>
      </c>
      <c r="B65" t="s">
        <v>1511</v>
      </c>
      <c r="C65" t="s">
        <v>1136</v>
      </c>
      <c r="D65" t="s">
        <v>1147</v>
      </c>
      <c r="E65" t="s">
        <v>1145</v>
      </c>
      <c r="H65" t="s">
        <v>1176</v>
      </c>
      <c r="I65" t="s">
        <v>1176</v>
      </c>
      <c r="J65" t="s">
        <v>1250</v>
      </c>
      <c r="K65" t="s">
        <v>1212</v>
      </c>
      <c r="M65" s="3">
        <f t="shared" si="0"/>
        <v>70.428571428571431</v>
      </c>
      <c r="N65">
        <v>33</v>
      </c>
      <c r="O65">
        <v>80</v>
      </c>
      <c r="P65">
        <v>77</v>
      </c>
      <c r="Q65">
        <v>81</v>
      </c>
      <c r="R65">
        <v>75</v>
      </c>
      <c r="S65">
        <v>79</v>
      </c>
      <c r="T65">
        <v>68</v>
      </c>
      <c r="U65">
        <v>0</v>
      </c>
      <c r="V65" s="3">
        <f t="shared" si="1"/>
        <v>3002540</v>
      </c>
      <c r="W65">
        <v>250211.66666666666</v>
      </c>
      <c r="X65">
        <v>0</v>
      </c>
      <c r="Y65">
        <f t="shared" si="2"/>
        <v>250211.66666666666</v>
      </c>
      <c r="Z65">
        <f t="shared" si="3"/>
        <v>0</v>
      </c>
      <c r="AA65">
        <v>0</v>
      </c>
    </row>
    <row r="66" spans="1:27" x14ac:dyDescent="0.25">
      <c r="A66" s="1">
        <v>65</v>
      </c>
      <c r="B66" t="s">
        <v>799</v>
      </c>
      <c r="C66" t="s">
        <v>1136</v>
      </c>
      <c r="D66" t="s">
        <v>1143</v>
      </c>
      <c r="E66" t="s">
        <v>1147</v>
      </c>
      <c r="F66" t="s">
        <v>1144</v>
      </c>
      <c r="G66" t="s">
        <v>1176</v>
      </c>
      <c r="H66" t="s">
        <v>1176</v>
      </c>
      <c r="I66" t="s">
        <v>1176</v>
      </c>
      <c r="J66" t="s">
        <v>1250</v>
      </c>
      <c r="K66" t="s">
        <v>1212</v>
      </c>
      <c r="M66" s="3">
        <f t="shared" ref="M66:M129" si="4">AVERAGE(N66:T66)</f>
        <v>83.857142857142861</v>
      </c>
      <c r="N66">
        <v>73</v>
      </c>
      <c r="O66">
        <v>84</v>
      </c>
      <c r="P66">
        <v>85</v>
      </c>
      <c r="Q66">
        <v>87</v>
      </c>
      <c r="R66">
        <v>85</v>
      </c>
      <c r="S66">
        <v>88</v>
      </c>
      <c r="T66">
        <v>85</v>
      </c>
      <c r="U66">
        <v>18</v>
      </c>
      <c r="V66" s="3">
        <f t="shared" ref="V66:V129" si="5">ROUNDUP(M66^10/1000000000000 * IF(U66&gt;0,1.5,1),0)</f>
        <v>25792407</v>
      </c>
      <c r="W66">
        <v>1718100.4166666667</v>
      </c>
      <c r="X66">
        <v>0</v>
      </c>
      <c r="Y66">
        <f t="shared" ref="Y66:Y129" si="6">V66/12</f>
        <v>2149367.25</v>
      </c>
      <c r="Z66">
        <f t="shared" ref="Z66:Z129" si="7">ROUND(((W66-Y66)/Y66)*100,2)</f>
        <v>-20.059999999999999</v>
      </c>
      <c r="AA66">
        <v>0</v>
      </c>
    </row>
    <row r="67" spans="1:27" x14ac:dyDescent="0.25">
      <c r="A67" s="1">
        <v>66</v>
      </c>
      <c r="B67" t="s">
        <v>1514</v>
      </c>
      <c r="C67" t="s">
        <v>1136</v>
      </c>
      <c r="D67" t="s">
        <v>1144</v>
      </c>
      <c r="E67" t="s">
        <v>1138</v>
      </c>
      <c r="H67" t="s">
        <v>1176</v>
      </c>
      <c r="I67" t="s">
        <v>1176</v>
      </c>
      <c r="J67" t="s">
        <v>1250</v>
      </c>
      <c r="K67" t="s">
        <v>1212</v>
      </c>
      <c r="M67" s="3">
        <f t="shared" si="4"/>
        <v>72.285714285714292</v>
      </c>
      <c r="N67">
        <v>41</v>
      </c>
      <c r="O67">
        <v>81</v>
      </c>
      <c r="P67">
        <v>79</v>
      </c>
      <c r="Q67">
        <v>80</v>
      </c>
      <c r="R67">
        <v>77</v>
      </c>
      <c r="S67">
        <v>78</v>
      </c>
      <c r="T67">
        <v>70</v>
      </c>
      <c r="U67">
        <v>0</v>
      </c>
      <c r="V67" s="3">
        <f t="shared" si="5"/>
        <v>3895156</v>
      </c>
      <c r="W67">
        <v>324596.33333333331</v>
      </c>
      <c r="X67">
        <v>0</v>
      </c>
      <c r="Y67">
        <f t="shared" si="6"/>
        <v>324596.33333333331</v>
      </c>
      <c r="Z67">
        <f t="shared" si="7"/>
        <v>0</v>
      </c>
      <c r="AA67">
        <v>0</v>
      </c>
    </row>
    <row r="68" spans="1:27" x14ac:dyDescent="0.25">
      <c r="A68" s="1">
        <v>67</v>
      </c>
      <c r="B68" t="s">
        <v>1109</v>
      </c>
      <c r="C68" t="s">
        <v>1137</v>
      </c>
      <c r="D68" t="s">
        <v>1137</v>
      </c>
      <c r="H68" t="s">
        <v>1176</v>
      </c>
      <c r="I68" t="s">
        <v>1176</v>
      </c>
      <c r="J68" t="s">
        <v>1250</v>
      </c>
      <c r="K68" t="s">
        <v>1212</v>
      </c>
      <c r="M68" s="3">
        <f t="shared" si="4"/>
        <v>87.857142857142861</v>
      </c>
      <c r="N68">
        <v>73</v>
      </c>
      <c r="O68">
        <v>88</v>
      </c>
      <c r="P68">
        <v>94</v>
      </c>
      <c r="Q68">
        <v>92</v>
      </c>
      <c r="R68">
        <v>96</v>
      </c>
      <c r="S68">
        <v>91</v>
      </c>
      <c r="T68">
        <v>81</v>
      </c>
      <c r="U68">
        <v>0</v>
      </c>
      <c r="V68" s="3">
        <f t="shared" si="5"/>
        <v>27401275</v>
      </c>
      <c r="W68">
        <v>2283439.5833333335</v>
      </c>
      <c r="X68">
        <v>0</v>
      </c>
      <c r="Y68">
        <f t="shared" si="6"/>
        <v>2283439.5833333335</v>
      </c>
      <c r="Z68">
        <f t="shared" si="7"/>
        <v>0</v>
      </c>
      <c r="AA68">
        <v>0</v>
      </c>
    </row>
    <row r="69" spans="1:27" x14ac:dyDescent="0.25">
      <c r="A69" s="1">
        <v>68</v>
      </c>
      <c r="B69" t="s">
        <v>31</v>
      </c>
      <c r="C69" t="s">
        <v>1133</v>
      </c>
      <c r="D69" t="s">
        <v>1133</v>
      </c>
      <c r="G69" t="s">
        <v>1155</v>
      </c>
      <c r="H69" t="s">
        <v>1155</v>
      </c>
      <c r="I69" t="s">
        <v>1155</v>
      </c>
      <c r="J69" t="s">
        <v>1230</v>
      </c>
      <c r="K69" t="s">
        <v>1212</v>
      </c>
      <c r="M69" s="3">
        <f t="shared" si="4"/>
        <v>80.142857142857139</v>
      </c>
      <c r="N69">
        <v>70</v>
      </c>
      <c r="O69">
        <v>80</v>
      </c>
      <c r="P69">
        <v>80</v>
      </c>
      <c r="Q69">
        <v>80</v>
      </c>
      <c r="R69">
        <v>87</v>
      </c>
      <c r="S69">
        <v>89</v>
      </c>
      <c r="T69">
        <v>75</v>
      </c>
      <c r="U69">
        <v>0</v>
      </c>
      <c r="V69" s="3">
        <f t="shared" si="5"/>
        <v>10930706</v>
      </c>
      <c r="W69">
        <v>910892.16666666663</v>
      </c>
      <c r="X69">
        <v>0</v>
      </c>
      <c r="Y69">
        <f t="shared" si="6"/>
        <v>910892.16666666663</v>
      </c>
      <c r="Z69">
        <f t="shared" si="7"/>
        <v>0</v>
      </c>
      <c r="AA69">
        <v>0</v>
      </c>
    </row>
    <row r="70" spans="1:27" x14ac:dyDescent="0.25">
      <c r="A70" s="1">
        <v>69</v>
      </c>
      <c r="B70" t="s">
        <v>1472</v>
      </c>
      <c r="C70" t="s">
        <v>1133</v>
      </c>
      <c r="D70" t="s">
        <v>1133</v>
      </c>
      <c r="G70" t="s">
        <v>1155</v>
      </c>
      <c r="H70" t="s">
        <v>1155</v>
      </c>
      <c r="I70" t="s">
        <v>1155</v>
      </c>
      <c r="J70" t="s">
        <v>1230</v>
      </c>
      <c r="K70" t="s">
        <v>1212</v>
      </c>
      <c r="M70" s="3">
        <f t="shared" si="4"/>
        <v>75.571428571428569</v>
      </c>
      <c r="N70">
        <v>69</v>
      </c>
      <c r="O70">
        <v>74</v>
      </c>
      <c r="P70">
        <v>75</v>
      </c>
      <c r="Q70">
        <v>79</v>
      </c>
      <c r="R70">
        <v>82</v>
      </c>
      <c r="S70">
        <v>78</v>
      </c>
      <c r="T70">
        <v>72</v>
      </c>
      <c r="U70">
        <v>0</v>
      </c>
      <c r="V70" s="3">
        <f t="shared" si="5"/>
        <v>6075421</v>
      </c>
      <c r="W70">
        <v>506285.08333333331</v>
      </c>
      <c r="X70">
        <v>0</v>
      </c>
      <c r="Y70">
        <f t="shared" si="6"/>
        <v>506285.08333333331</v>
      </c>
      <c r="Z70">
        <f t="shared" si="7"/>
        <v>0</v>
      </c>
      <c r="AA70">
        <v>0</v>
      </c>
    </row>
    <row r="71" spans="1:27" x14ac:dyDescent="0.25">
      <c r="A71" s="1">
        <v>70</v>
      </c>
      <c r="B71" t="s">
        <v>63</v>
      </c>
      <c r="C71" t="s">
        <v>1133</v>
      </c>
      <c r="D71" t="s">
        <v>1133</v>
      </c>
      <c r="G71" t="s">
        <v>1177</v>
      </c>
      <c r="H71" t="s">
        <v>1153</v>
      </c>
      <c r="I71" t="s">
        <v>1153</v>
      </c>
      <c r="J71" t="s">
        <v>1230</v>
      </c>
      <c r="K71" t="s">
        <v>1212</v>
      </c>
      <c r="M71" s="3">
        <f t="shared" si="4"/>
        <v>86.428571428571431</v>
      </c>
      <c r="N71">
        <v>75</v>
      </c>
      <c r="O71">
        <v>85</v>
      </c>
      <c r="P71">
        <v>87</v>
      </c>
      <c r="Q71">
        <v>85</v>
      </c>
      <c r="R71">
        <v>90</v>
      </c>
      <c r="S71">
        <v>92</v>
      </c>
      <c r="T71">
        <v>91</v>
      </c>
      <c r="U71">
        <v>31</v>
      </c>
      <c r="V71" s="3">
        <f t="shared" si="5"/>
        <v>34887079</v>
      </c>
      <c r="W71">
        <v>2907256.5833333335</v>
      </c>
      <c r="X71">
        <v>0</v>
      </c>
      <c r="Y71">
        <f t="shared" si="6"/>
        <v>2907256.5833333335</v>
      </c>
      <c r="Z71">
        <f t="shared" si="7"/>
        <v>0</v>
      </c>
      <c r="AA71">
        <v>0</v>
      </c>
    </row>
    <row r="72" spans="1:27" x14ac:dyDescent="0.25">
      <c r="A72" s="1">
        <v>71</v>
      </c>
      <c r="B72" t="s">
        <v>224</v>
      </c>
      <c r="C72" t="s">
        <v>1134</v>
      </c>
      <c r="D72" t="s">
        <v>1138</v>
      </c>
      <c r="E72" t="s">
        <v>1140</v>
      </c>
      <c r="G72" t="s">
        <v>1169</v>
      </c>
      <c r="H72" t="s">
        <v>1169</v>
      </c>
      <c r="I72" t="s">
        <v>1169</v>
      </c>
      <c r="J72" t="s">
        <v>1230</v>
      </c>
      <c r="K72" t="s">
        <v>1212</v>
      </c>
      <c r="M72" s="3">
        <f t="shared" si="4"/>
        <v>91.285714285714292</v>
      </c>
      <c r="N72">
        <v>90</v>
      </c>
      <c r="O72">
        <v>84</v>
      </c>
      <c r="P72">
        <v>100</v>
      </c>
      <c r="Q72">
        <v>87</v>
      </c>
      <c r="R72">
        <v>94</v>
      </c>
      <c r="S72">
        <v>91</v>
      </c>
      <c r="T72">
        <v>93</v>
      </c>
      <c r="U72">
        <v>1</v>
      </c>
      <c r="V72" s="3">
        <f t="shared" si="5"/>
        <v>60272533</v>
      </c>
      <c r="W72">
        <v>5022711.083333333</v>
      </c>
      <c r="X72">
        <v>0</v>
      </c>
      <c r="Y72">
        <f t="shared" si="6"/>
        <v>5022711.083333333</v>
      </c>
      <c r="Z72">
        <f t="shared" si="7"/>
        <v>0</v>
      </c>
      <c r="AA72">
        <v>0</v>
      </c>
    </row>
    <row r="73" spans="1:27" x14ac:dyDescent="0.25">
      <c r="A73" s="1">
        <v>72</v>
      </c>
      <c r="B73" t="s">
        <v>158</v>
      </c>
      <c r="C73" t="s">
        <v>1134</v>
      </c>
      <c r="D73" t="s">
        <v>1138</v>
      </c>
      <c r="E73" t="s">
        <v>1144</v>
      </c>
      <c r="F73" t="s">
        <v>1139</v>
      </c>
      <c r="G73" t="s">
        <v>1155</v>
      </c>
      <c r="H73" t="s">
        <v>1155</v>
      </c>
      <c r="I73" t="s">
        <v>1155</v>
      </c>
      <c r="J73" t="s">
        <v>1230</v>
      </c>
      <c r="K73" t="s">
        <v>1212</v>
      </c>
      <c r="M73" s="3">
        <f t="shared" si="4"/>
        <v>87.714285714285708</v>
      </c>
      <c r="N73">
        <v>81</v>
      </c>
      <c r="O73">
        <v>80</v>
      </c>
      <c r="P73">
        <v>97</v>
      </c>
      <c r="Q73">
        <v>90</v>
      </c>
      <c r="R73">
        <v>87</v>
      </c>
      <c r="S73">
        <v>99</v>
      </c>
      <c r="T73">
        <v>80</v>
      </c>
      <c r="U73">
        <v>1</v>
      </c>
      <c r="V73" s="3">
        <f t="shared" si="5"/>
        <v>40438457</v>
      </c>
      <c r="W73">
        <v>3369871.4166666665</v>
      </c>
      <c r="X73">
        <v>0</v>
      </c>
      <c r="Y73">
        <f t="shared" si="6"/>
        <v>3369871.4166666665</v>
      </c>
      <c r="Z73">
        <f t="shared" si="7"/>
        <v>0</v>
      </c>
      <c r="AA73">
        <v>0</v>
      </c>
    </row>
    <row r="74" spans="1:27" x14ac:dyDescent="0.25">
      <c r="A74" s="1">
        <v>73</v>
      </c>
      <c r="B74" t="s">
        <v>1474</v>
      </c>
      <c r="C74" t="s">
        <v>1134</v>
      </c>
      <c r="D74" t="s">
        <v>1139</v>
      </c>
      <c r="E74" t="s">
        <v>1138</v>
      </c>
      <c r="G74" t="s">
        <v>1155</v>
      </c>
      <c r="H74" t="s">
        <v>1155</v>
      </c>
      <c r="I74" t="s">
        <v>1155</v>
      </c>
      <c r="J74" t="s">
        <v>1230</v>
      </c>
      <c r="K74" t="s">
        <v>1212</v>
      </c>
      <c r="M74" s="3">
        <f t="shared" si="4"/>
        <v>77.285714285714292</v>
      </c>
      <c r="N74">
        <v>70</v>
      </c>
      <c r="O74">
        <v>79</v>
      </c>
      <c r="P74">
        <v>80</v>
      </c>
      <c r="Q74">
        <v>82</v>
      </c>
      <c r="R74">
        <v>77</v>
      </c>
      <c r="S74">
        <v>83</v>
      </c>
      <c r="T74">
        <v>70</v>
      </c>
      <c r="U74">
        <v>0</v>
      </c>
      <c r="V74" s="3">
        <f t="shared" si="5"/>
        <v>7603128</v>
      </c>
      <c r="W74">
        <v>633594</v>
      </c>
      <c r="X74">
        <v>0</v>
      </c>
      <c r="Y74">
        <f t="shared" si="6"/>
        <v>633594</v>
      </c>
      <c r="Z74">
        <f t="shared" si="7"/>
        <v>0</v>
      </c>
      <c r="AA74">
        <v>0</v>
      </c>
    </row>
    <row r="75" spans="1:27" x14ac:dyDescent="0.25">
      <c r="A75" s="1">
        <v>74</v>
      </c>
      <c r="B75" t="s">
        <v>157</v>
      </c>
      <c r="C75" t="s">
        <v>1134</v>
      </c>
      <c r="D75" t="s">
        <v>1138</v>
      </c>
      <c r="E75" t="s">
        <v>1139</v>
      </c>
      <c r="G75" t="s">
        <v>1155</v>
      </c>
      <c r="H75" t="s">
        <v>1155</v>
      </c>
      <c r="I75" t="s">
        <v>1155</v>
      </c>
      <c r="J75" t="s">
        <v>1230</v>
      </c>
      <c r="K75" t="s">
        <v>1212</v>
      </c>
      <c r="M75" s="3">
        <f t="shared" si="4"/>
        <v>89.714285714285708</v>
      </c>
      <c r="N75">
        <v>82</v>
      </c>
      <c r="O75">
        <v>82</v>
      </c>
      <c r="P75">
        <v>92</v>
      </c>
      <c r="Q75">
        <v>93</v>
      </c>
      <c r="R75">
        <v>94</v>
      </c>
      <c r="S75">
        <v>95</v>
      </c>
      <c r="T75">
        <v>90</v>
      </c>
      <c r="U75">
        <v>26</v>
      </c>
      <c r="V75" s="3">
        <f t="shared" si="5"/>
        <v>50664913</v>
      </c>
      <c r="W75">
        <v>4222076.083333333</v>
      </c>
      <c r="X75">
        <v>0</v>
      </c>
      <c r="Y75">
        <f t="shared" si="6"/>
        <v>4222076.083333333</v>
      </c>
      <c r="Z75">
        <f t="shared" si="7"/>
        <v>0</v>
      </c>
      <c r="AA75">
        <v>0</v>
      </c>
    </row>
    <row r="76" spans="1:27" x14ac:dyDescent="0.25">
      <c r="A76" s="1">
        <v>75</v>
      </c>
      <c r="B76" t="s">
        <v>1475</v>
      </c>
      <c r="C76" t="s">
        <v>1134</v>
      </c>
      <c r="D76" t="s">
        <v>1138</v>
      </c>
      <c r="E76" t="s">
        <v>1144</v>
      </c>
      <c r="G76" t="s">
        <v>1155</v>
      </c>
      <c r="H76" t="s">
        <v>1155</v>
      </c>
      <c r="I76" t="s">
        <v>1155</v>
      </c>
      <c r="J76" t="s">
        <v>1230</v>
      </c>
      <c r="K76" t="s">
        <v>1212</v>
      </c>
      <c r="M76" s="3">
        <f t="shared" si="4"/>
        <v>77.285714285714292</v>
      </c>
      <c r="N76">
        <v>71</v>
      </c>
      <c r="O76">
        <v>75</v>
      </c>
      <c r="P76">
        <v>81</v>
      </c>
      <c r="Q76">
        <v>79</v>
      </c>
      <c r="R76">
        <v>82</v>
      </c>
      <c r="S76">
        <v>80</v>
      </c>
      <c r="T76">
        <v>73</v>
      </c>
      <c r="U76">
        <v>0</v>
      </c>
      <c r="V76" s="3">
        <f t="shared" si="5"/>
        <v>7603128</v>
      </c>
      <c r="W76">
        <v>633594</v>
      </c>
      <c r="X76">
        <v>0</v>
      </c>
      <c r="Y76">
        <f t="shared" si="6"/>
        <v>633594</v>
      </c>
      <c r="Z76">
        <f t="shared" si="7"/>
        <v>0</v>
      </c>
      <c r="AA76">
        <v>0</v>
      </c>
    </row>
    <row r="77" spans="1:27" x14ac:dyDescent="0.25">
      <c r="A77" s="1">
        <v>76</v>
      </c>
      <c r="B77" t="s">
        <v>1473</v>
      </c>
      <c r="C77" t="s">
        <v>1134</v>
      </c>
      <c r="D77" t="s">
        <v>1140</v>
      </c>
      <c r="E77" t="s">
        <v>1138</v>
      </c>
      <c r="G77" t="s">
        <v>1155</v>
      </c>
      <c r="H77" t="s">
        <v>1155</v>
      </c>
      <c r="I77" t="s">
        <v>1155</v>
      </c>
      <c r="J77" t="s">
        <v>1230</v>
      </c>
      <c r="K77" t="s">
        <v>1212</v>
      </c>
      <c r="M77" s="3">
        <f t="shared" si="4"/>
        <v>77.857142857142861</v>
      </c>
      <c r="N77">
        <v>73</v>
      </c>
      <c r="O77">
        <v>77</v>
      </c>
      <c r="P77">
        <v>82</v>
      </c>
      <c r="Q77">
        <v>80</v>
      </c>
      <c r="R77">
        <v>78</v>
      </c>
      <c r="S77">
        <v>81</v>
      </c>
      <c r="T77">
        <v>74</v>
      </c>
      <c r="U77">
        <v>0</v>
      </c>
      <c r="V77" s="3">
        <f t="shared" si="5"/>
        <v>8184359</v>
      </c>
      <c r="W77">
        <v>682029.91666666663</v>
      </c>
      <c r="X77">
        <v>0</v>
      </c>
      <c r="Y77">
        <f t="shared" si="6"/>
        <v>682029.91666666663</v>
      </c>
      <c r="Z77">
        <f t="shared" si="7"/>
        <v>0</v>
      </c>
      <c r="AA77">
        <v>0</v>
      </c>
    </row>
    <row r="78" spans="1:27" x14ac:dyDescent="0.25">
      <c r="A78" s="1">
        <v>77</v>
      </c>
      <c r="B78" t="s">
        <v>156</v>
      </c>
      <c r="C78" t="s">
        <v>1134</v>
      </c>
      <c r="D78" t="s">
        <v>1139</v>
      </c>
      <c r="E78" t="s">
        <v>1140</v>
      </c>
      <c r="G78" t="s">
        <v>1155</v>
      </c>
      <c r="H78" t="s">
        <v>1155</v>
      </c>
      <c r="I78" t="s">
        <v>1155</v>
      </c>
      <c r="J78" t="s">
        <v>1230</v>
      </c>
      <c r="K78" t="s">
        <v>1212</v>
      </c>
      <c r="M78" s="3">
        <f t="shared" si="4"/>
        <v>83</v>
      </c>
      <c r="N78">
        <v>72</v>
      </c>
      <c r="O78">
        <v>89</v>
      </c>
      <c r="P78">
        <v>92</v>
      </c>
      <c r="Q78">
        <v>81</v>
      </c>
      <c r="R78">
        <v>84</v>
      </c>
      <c r="S78">
        <v>88</v>
      </c>
      <c r="T78">
        <v>75</v>
      </c>
      <c r="U78">
        <v>26</v>
      </c>
      <c r="V78" s="3">
        <f t="shared" si="5"/>
        <v>23274062</v>
      </c>
      <c r="W78">
        <v>1939505.1666666667</v>
      </c>
      <c r="X78">
        <v>0</v>
      </c>
      <c r="Y78">
        <f t="shared" si="6"/>
        <v>1939505.1666666667</v>
      </c>
      <c r="Z78">
        <f t="shared" si="7"/>
        <v>0</v>
      </c>
      <c r="AA78">
        <v>0</v>
      </c>
    </row>
    <row r="79" spans="1:27" x14ac:dyDescent="0.25">
      <c r="A79" s="1">
        <v>78</v>
      </c>
      <c r="B79" t="s">
        <v>159</v>
      </c>
      <c r="C79" t="s">
        <v>1134</v>
      </c>
      <c r="D79" t="s">
        <v>1138</v>
      </c>
      <c r="E79" t="s">
        <v>1140</v>
      </c>
      <c r="G79" t="s">
        <v>1155</v>
      </c>
      <c r="H79" t="s">
        <v>1155</v>
      </c>
      <c r="I79" t="s">
        <v>1155</v>
      </c>
      <c r="J79" t="s">
        <v>1230</v>
      </c>
      <c r="K79" t="s">
        <v>1212</v>
      </c>
      <c r="M79" s="3">
        <f t="shared" si="4"/>
        <v>81.571428571428569</v>
      </c>
      <c r="N79">
        <v>65</v>
      </c>
      <c r="O79">
        <v>85</v>
      </c>
      <c r="P79">
        <v>90</v>
      </c>
      <c r="Q79">
        <v>82</v>
      </c>
      <c r="R79">
        <v>85</v>
      </c>
      <c r="S79">
        <v>90</v>
      </c>
      <c r="T79">
        <v>74</v>
      </c>
      <c r="U79">
        <v>26</v>
      </c>
      <c r="V79" s="3">
        <f t="shared" si="5"/>
        <v>19564644</v>
      </c>
      <c r="W79">
        <v>1630387</v>
      </c>
      <c r="X79">
        <v>0</v>
      </c>
      <c r="Y79">
        <f t="shared" si="6"/>
        <v>1630387</v>
      </c>
      <c r="Z79">
        <f t="shared" si="7"/>
        <v>0</v>
      </c>
      <c r="AA79">
        <v>0</v>
      </c>
    </row>
    <row r="80" spans="1:27" x14ac:dyDescent="0.25">
      <c r="A80" s="1">
        <v>79</v>
      </c>
      <c r="B80" t="s">
        <v>1476</v>
      </c>
      <c r="C80" t="s">
        <v>1134</v>
      </c>
      <c r="D80" t="s">
        <v>1140</v>
      </c>
      <c r="E80" t="s">
        <v>1139</v>
      </c>
      <c r="G80" t="s">
        <v>1155</v>
      </c>
      <c r="H80" t="s">
        <v>1155</v>
      </c>
      <c r="I80" t="s">
        <v>1155</v>
      </c>
      <c r="J80" t="s">
        <v>1230</v>
      </c>
      <c r="K80" t="s">
        <v>1212</v>
      </c>
      <c r="M80" s="3">
        <f t="shared" si="4"/>
        <v>75.142857142857139</v>
      </c>
      <c r="N80">
        <v>68</v>
      </c>
      <c r="O80">
        <v>76</v>
      </c>
      <c r="P80">
        <v>79</v>
      </c>
      <c r="Q80">
        <v>78</v>
      </c>
      <c r="R80">
        <v>76</v>
      </c>
      <c r="S80">
        <v>80</v>
      </c>
      <c r="T80">
        <v>69</v>
      </c>
      <c r="U80">
        <v>0</v>
      </c>
      <c r="V80" s="3">
        <f t="shared" si="5"/>
        <v>5739540</v>
      </c>
      <c r="W80">
        <v>478295</v>
      </c>
      <c r="X80">
        <v>0</v>
      </c>
      <c r="Y80">
        <f t="shared" si="6"/>
        <v>478295</v>
      </c>
      <c r="Z80">
        <f t="shared" si="7"/>
        <v>0</v>
      </c>
      <c r="AA80">
        <v>0</v>
      </c>
    </row>
    <row r="81" spans="1:27" x14ac:dyDescent="0.25">
      <c r="A81" s="1">
        <v>80</v>
      </c>
      <c r="B81" t="s">
        <v>458</v>
      </c>
      <c r="C81" t="s">
        <v>1135</v>
      </c>
      <c r="D81" t="s">
        <v>1142</v>
      </c>
      <c r="E81" t="s">
        <v>1146</v>
      </c>
      <c r="G81" t="s">
        <v>1155</v>
      </c>
      <c r="H81" t="s">
        <v>1155</v>
      </c>
      <c r="I81" t="s">
        <v>1155</v>
      </c>
      <c r="J81" t="s">
        <v>1230</v>
      </c>
      <c r="K81" t="s">
        <v>1212</v>
      </c>
      <c r="M81" s="3">
        <f t="shared" si="4"/>
        <v>89</v>
      </c>
      <c r="N81">
        <v>85</v>
      </c>
      <c r="O81">
        <v>92</v>
      </c>
      <c r="P81">
        <v>90</v>
      </c>
      <c r="Q81">
        <v>91</v>
      </c>
      <c r="R81">
        <v>93</v>
      </c>
      <c r="S81">
        <v>83</v>
      </c>
      <c r="T81">
        <v>89</v>
      </c>
      <c r="U81">
        <v>11</v>
      </c>
      <c r="V81" s="3">
        <f t="shared" si="5"/>
        <v>46772580</v>
      </c>
      <c r="W81">
        <v>3897715</v>
      </c>
      <c r="X81">
        <v>0</v>
      </c>
      <c r="Y81">
        <f t="shared" si="6"/>
        <v>3897715</v>
      </c>
      <c r="Z81">
        <f t="shared" si="7"/>
        <v>0</v>
      </c>
      <c r="AA81">
        <v>0</v>
      </c>
    </row>
    <row r="82" spans="1:27" x14ac:dyDescent="0.25">
      <c r="A82" s="1">
        <v>81</v>
      </c>
      <c r="B82" t="s">
        <v>1481</v>
      </c>
      <c r="C82" t="s">
        <v>1135</v>
      </c>
      <c r="D82" t="s">
        <v>1141</v>
      </c>
      <c r="E82" t="s">
        <v>1142</v>
      </c>
      <c r="G82" t="s">
        <v>1155</v>
      </c>
      <c r="H82" t="s">
        <v>1155</v>
      </c>
      <c r="I82" t="s">
        <v>1155</v>
      </c>
      <c r="J82" t="s">
        <v>1230</v>
      </c>
      <c r="K82" t="s">
        <v>1212</v>
      </c>
      <c r="M82" s="3">
        <f t="shared" si="4"/>
        <v>76.714285714285708</v>
      </c>
      <c r="N82">
        <v>73</v>
      </c>
      <c r="O82">
        <v>75</v>
      </c>
      <c r="P82">
        <v>81</v>
      </c>
      <c r="Q82">
        <v>79</v>
      </c>
      <c r="R82">
        <v>83</v>
      </c>
      <c r="S82">
        <v>76</v>
      </c>
      <c r="T82">
        <v>70</v>
      </c>
      <c r="U82">
        <v>0</v>
      </c>
      <c r="V82" s="3">
        <f t="shared" si="5"/>
        <v>7059314</v>
      </c>
      <c r="W82">
        <v>588276.16666666663</v>
      </c>
      <c r="X82">
        <v>0</v>
      </c>
      <c r="Y82">
        <f t="shared" si="6"/>
        <v>588276.16666666663</v>
      </c>
      <c r="Z82">
        <f t="shared" si="7"/>
        <v>0</v>
      </c>
      <c r="AA82">
        <v>0</v>
      </c>
    </row>
    <row r="83" spans="1:27" x14ac:dyDescent="0.25">
      <c r="A83" s="1">
        <v>82</v>
      </c>
      <c r="B83" t="s">
        <v>460</v>
      </c>
      <c r="C83" t="s">
        <v>1135</v>
      </c>
      <c r="D83" t="s">
        <v>1141</v>
      </c>
      <c r="G83" t="s">
        <v>1155</v>
      </c>
      <c r="H83" t="s">
        <v>1155</v>
      </c>
      <c r="I83" t="s">
        <v>1155</v>
      </c>
      <c r="J83" t="s">
        <v>1230</v>
      </c>
      <c r="K83" t="s">
        <v>1212</v>
      </c>
      <c r="M83" s="3">
        <f t="shared" si="4"/>
        <v>80.142857142857139</v>
      </c>
      <c r="N83">
        <v>72</v>
      </c>
      <c r="O83">
        <v>80</v>
      </c>
      <c r="P83">
        <v>86</v>
      </c>
      <c r="Q83">
        <v>81</v>
      </c>
      <c r="R83">
        <v>90</v>
      </c>
      <c r="S83">
        <v>92</v>
      </c>
      <c r="T83">
        <v>60</v>
      </c>
      <c r="U83">
        <v>6</v>
      </c>
      <c r="V83" s="3">
        <f t="shared" si="5"/>
        <v>16396059</v>
      </c>
      <c r="W83">
        <v>882414.16666666663</v>
      </c>
      <c r="X83">
        <v>0</v>
      </c>
      <c r="Y83">
        <f t="shared" si="6"/>
        <v>1366338.25</v>
      </c>
      <c r="Z83">
        <f t="shared" si="7"/>
        <v>-35.42</v>
      </c>
      <c r="AA83">
        <v>0</v>
      </c>
    </row>
    <row r="84" spans="1:27" x14ac:dyDescent="0.25">
      <c r="A84" s="1">
        <v>83</v>
      </c>
      <c r="B84" t="s">
        <v>459</v>
      </c>
      <c r="C84" t="s">
        <v>1135</v>
      </c>
      <c r="D84" t="s">
        <v>1141</v>
      </c>
      <c r="E84" t="s">
        <v>1145</v>
      </c>
      <c r="F84" t="s">
        <v>1142</v>
      </c>
      <c r="G84" t="s">
        <v>1155</v>
      </c>
      <c r="H84" t="s">
        <v>1155</v>
      </c>
      <c r="I84" t="s">
        <v>1155</v>
      </c>
      <c r="J84" t="s">
        <v>1230</v>
      </c>
      <c r="K84" t="s">
        <v>1212</v>
      </c>
      <c r="M84" s="3">
        <f t="shared" si="4"/>
        <v>88.857142857142861</v>
      </c>
      <c r="N84">
        <v>84</v>
      </c>
      <c r="O84">
        <v>85</v>
      </c>
      <c r="P84">
        <v>94</v>
      </c>
      <c r="Q84">
        <v>90</v>
      </c>
      <c r="R84">
        <v>85</v>
      </c>
      <c r="S84">
        <v>91</v>
      </c>
      <c r="T84">
        <v>93</v>
      </c>
      <c r="U84">
        <v>7</v>
      </c>
      <c r="V84" s="3">
        <f t="shared" si="5"/>
        <v>46027216</v>
      </c>
      <c r="W84">
        <v>3835601.3333333335</v>
      </c>
      <c r="X84">
        <v>0</v>
      </c>
      <c r="Y84">
        <f t="shared" si="6"/>
        <v>3835601.3333333335</v>
      </c>
      <c r="Z84">
        <f t="shared" si="7"/>
        <v>0</v>
      </c>
      <c r="AA84">
        <v>0</v>
      </c>
    </row>
    <row r="85" spans="1:27" x14ac:dyDescent="0.25">
      <c r="A85" s="1">
        <v>84</v>
      </c>
      <c r="B85" t="s">
        <v>457</v>
      </c>
      <c r="C85" t="s">
        <v>1135</v>
      </c>
      <c r="D85" t="s">
        <v>1141</v>
      </c>
      <c r="G85" t="s">
        <v>1155</v>
      </c>
      <c r="H85" t="s">
        <v>1155</v>
      </c>
      <c r="I85" t="s">
        <v>1155</v>
      </c>
      <c r="J85" t="s">
        <v>1230</v>
      </c>
      <c r="K85" t="s">
        <v>1212</v>
      </c>
      <c r="M85" s="3">
        <f t="shared" si="4"/>
        <v>82.571428571428569</v>
      </c>
      <c r="N85">
        <v>70</v>
      </c>
      <c r="O85">
        <v>82</v>
      </c>
      <c r="P85">
        <v>92</v>
      </c>
      <c r="Q85">
        <v>80</v>
      </c>
      <c r="R85">
        <v>94</v>
      </c>
      <c r="S85">
        <v>95</v>
      </c>
      <c r="T85">
        <v>65</v>
      </c>
      <c r="U85">
        <v>6</v>
      </c>
      <c r="V85" s="3">
        <f t="shared" si="5"/>
        <v>22099846</v>
      </c>
      <c r="W85">
        <v>1519708.25</v>
      </c>
      <c r="X85">
        <v>0</v>
      </c>
      <c r="Y85">
        <f t="shared" si="6"/>
        <v>1841653.8333333333</v>
      </c>
      <c r="Z85">
        <f t="shared" si="7"/>
        <v>-17.48</v>
      </c>
      <c r="AA85">
        <v>0</v>
      </c>
    </row>
    <row r="86" spans="1:27" x14ac:dyDescent="0.25">
      <c r="A86" s="1">
        <v>85</v>
      </c>
      <c r="B86" t="s">
        <v>1477</v>
      </c>
      <c r="C86" t="s">
        <v>1136</v>
      </c>
      <c r="D86" t="s">
        <v>1144</v>
      </c>
      <c r="E86" t="s">
        <v>1143</v>
      </c>
      <c r="G86" t="s">
        <v>1155</v>
      </c>
      <c r="H86" t="s">
        <v>1155</v>
      </c>
      <c r="I86" t="s">
        <v>1155</v>
      </c>
      <c r="J86" t="s">
        <v>1230</v>
      </c>
      <c r="K86" t="s">
        <v>1212</v>
      </c>
      <c r="M86" s="3">
        <f t="shared" si="4"/>
        <v>80.142857142857139</v>
      </c>
      <c r="N86">
        <v>75</v>
      </c>
      <c r="O86">
        <v>81</v>
      </c>
      <c r="P86">
        <v>85</v>
      </c>
      <c r="Q86">
        <v>83</v>
      </c>
      <c r="R86">
        <v>82</v>
      </c>
      <c r="S86">
        <v>81</v>
      </c>
      <c r="T86">
        <v>74</v>
      </c>
      <c r="U86">
        <v>0</v>
      </c>
      <c r="V86" s="3">
        <f t="shared" si="5"/>
        <v>10930706</v>
      </c>
      <c r="W86">
        <v>910892.16666666663</v>
      </c>
      <c r="X86">
        <v>0</v>
      </c>
      <c r="Y86">
        <f t="shared" si="6"/>
        <v>910892.16666666663</v>
      </c>
      <c r="Z86">
        <f t="shared" si="7"/>
        <v>0</v>
      </c>
      <c r="AA86">
        <v>0</v>
      </c>
    </row>
    <row r="87" spans="1:27" x14ac:dyDescent="0.25">
      <c r="A87" s="1">
        <v>86</v>
      </c>
      <c r="B87" t="s">
        <v>680</v>
      </c>
      <c r="C87" t="s">
        <v>1136</v>
      </c>
      <c r="D87" t="s">
        <v>1144</v>
      </c>
      <c r="E87" t="s">
        <v>1143</v>
      </c>
      <c r="F87" t="s">
        <v>1138</v>
      </c>
      <c r="G87" t="s">
        <v>1155</v>
      </c>
      <c r="H87" t="s">
        <v>1155</v>
      </c>
      <c r="I87" t="s">
        <v>1155</v>
      </c>
      <c r="J87" t="s">
        <v>1230</v>
      </c>
      <c r="K87" t="s">
        <v>1212</v>
      </c>
      <c r="M87" s="3">
        <f t="shared" si="4"/>
        <v>91.428571428571431</v>
      </c>
      <c r="N87">
        <v>90</v>
      </c>
      <c r="O87">
        <v>88</v>
      </c>
      <c r="P87">
        <v>91</v>
      </c>
      <c r="Q87">
        <v>90</v>
      </c>
      <c r="R87">
        <v>98</v>
      </c>
      <c r="S87">
        <v>97</v>
      </c>
      <c r="T87">
        <v>86</v>
      </c>
      <c r="U87">
        <v>18</v>
      </c>
      <c r="V87" s="3">
        <f t="shared" si="5"/>
        <v>61222435</v>
      </c>
      <c r="W87">
        <v>5101869.583333333</v>
      </c>
      <c r="X87">
        <v>0</v>
      </c>
      <c r="Y87">
        <f t="shared" si="6"/>
        <v>5101869.583333333</v>
      </c>
      <c r="Z87">
        <f t="shared" si="7"/>
        <v>0</v>
      </c>
      <c r="AA87">
        <v>0</v>
      </c>
    </row>
    <row r="88" spans="1:27" x14ac:dyDescent="0.25">
      <c r="A88" s="1">
        <v>87</v>
      </c>
      <c r="B88" t="s">
        <v>681</v>
      </c>
      <c r="C88" t="s">
        <v>1136</v>
      </c>
      <c r="D88" t="s">
        <v>1144</v>
      </c>
      <c r="E88" t="s">
        <v>1138</v>
      </c>
      <c r="G88" t="s">
        <v>1155</v>
      </c>
      <c r="H88" t="s">
        <v>1155</v>
      </c>
      <c r="I88" t="s">
        <v>1155</v>
      </c>
      <c r="J88" t="s">
        <v>1230</v>
      </c>
      <c r="K88" t="s">
        <v>1212</v>
      </c>
      <c r="M88" s="3">
        <f t="shared" si="4"/>
        <v>90</v>
      </c>
      <c r="N88">
        <v>89</v>
      </c>
      <c r="O88">
        <v>89</v>
      </c>
      <c r="P88">
        <v>90</v>
      </c>
      <c r="Q88">
        <v>91</v>
      </c>
      <c r="R88">
        <v>94</v>
      </c>
      <c r="S88">
        <v>93</v>
      </c>
      <c r="T88">
        <v>84</v>
      </c>
      <c r="U88">
        <v>17</v>
      </c>
      <c r="V88" s="3">
        <f t="shared" si="5"/>
        <v>52301767</v>
      </c>
      <c r="W88">
        <v>4358480.583333333</v>
      </c>
      <c r="X88">
        <v>0</v>
      </c>
      <c r="Y88">
        <f t="shared" si="6"/>
        <v>4358480.583333333</v>
      </c>
      <c r="Z88">
        <f t="shared" si="7"/>
        <v>0</v>
      </c>
      <c r="AA88">
        <v>0</v>
      </c>
    </row>
    <row r="89" spans="1:27" x14ac:dyDescent="0.25">
      <c r="A89" s="1">
        <v>88</v>
      </c>
      <c r="B89" t="s">
        <v>1478</v>
      </c>
      <c r="C89" t="s">
        <v>1136</v>
      </c>
      <c r="D89" t="s">
        <v>1143</v>
      </c>
      <c r="E89" t="s">
        <v>1145</v>
      </c>
      <c r="G89" t="s">
        <v>1155</v>
      </c>
      <c r="H89" t="s">
        <v>1155</v>
      </c>
      <c r="I89" t="s">
        <v>1155</v>
      </c>
      <c r="J89" t="s">
        <v>1230</v>
      </c>
      <c r="K89" t="s">
        <v>1212</v>
      </c>
      <c r="M89" s="3">
        <f t="shared" si="4"/>
        <v>77.714285714285708</v>
      </c>
      <c r="N89">
        <v>74</v>
      </c>
      <c r="O89">
        <v>83</v>
      </c>
      <c r="P89">
        <v>79</v>
      </c>
      <c r="Q89">
        <v>82</v>
      </c>
      <c r="R89">
        <v>76</v>
      </c>
      <c r="S89">
        <v>79</v>
      </c>
      <c r="T89">
        <v>71</v>
      </c>
      <c r="U89">
        <v>0</v>
      </c>
      <c r="V89" s="3">
        <f t="shared" si="5"/>
        <v>8035421</v>
      </c>
      <c r="W89">
        <v>669618.41666666663</v>
      </c>
      <c r="X89">
        <v>0</v>
      </c>
      <c r="Y89">
        <f t="shared" si="6"/>
        <v>669618.41666666663</v>
      </c>
      <c r="Z89">
        <f t="shared" si="7"/>
        <v>0</v>
      </c>
      <c r="AA89">
        <v>0</v>
      </c>
    </row>
    <row r="90" spans="1:27" x14ac:dyDescent="0.25">
      <c r="A90" s="1">
        <v>89</v>
      </c>
      <c r="B90" t="s">
        <v>1480</v>
      </c>
      <c r="C90" t="s">
        <v>1136</v>
      </c>
      <c r="D90" t="s">
        <v>1146</v>
      </c>
      <c r="E90" t="s">
        <v>1143</v>
      </c>
      <c r="G90" t="s">
        <v>1155</v>
      </c>
      <c r="H90" t="s">
        <v>1155</v>
      </c>
      <c r="I90" t="s">
        <v>1155</v>
      </c>
      <c r="J90" t="s">
        <v>1230</v>
      </c>
      <c r="K90" t="s">
        <v>1212</v>
      </c>
      <c r="M90" s="3">
        <f t="shared" si="4"/>
        <v>76.571428571428569</v>
      </c>
      <c r="N90">
        <v>72</v>
      </c>
      <c r="O90">
        <v>81</v>
      </c>
      <c r="P90">
        <v>78</v>
      </c>
      <c r="Q90">
        <v>80</v>
      </c>
      <c r="R90">
        <v>76</v>
      </c>
      <c r="S90">
        <v>80</v>
      </c>
      <c r="T90">
        <v>69</v>
      </c>
      <c r="U90">
        <v>0</v>
      </c>
      <c r="V90" s="3">
        <f t="shared" si="5"/>
        <v>6928952</v>
      </c>
      <c r="W90">
        <v>577412.66666666663</v>
      </c>
      <c r="X90">
        <v>0</v>
      </c>
      <c r="Y90">
        <f t="shared" si="6"/>
        <v>577412.66666666663</v>
      </c>
      <c r="Z90">
        <f t="shared" si="7"/>
        <v>0</v>
      </c>
      <c r="AA90">
        <v>0</v>
      </c>
    </row>
    <row r="91" spans="1:27" x14ac:dyDescent="0.25">
      <c r="A91" s="1">
        <v>90</v>
      </c>
      <c r="B91" t="s">
        <v>832</v>
      </c>
      <c r="C91" t="s">
        <v>1136</v>
      </c>
      <c r="D91" t="s">
        <v>1144</v>
      </c>
      <c r="E91" t="s">
        <v>1138</v>
      </c>
      <c r="F91" t="s">
        <v>1143</v>
      </c>
      <c r="G91" t="s">
        <v>1180</v>
      </c>
      <c r="H91" t="s">
        <v>1180</v>
      </c>
      <c r="I91" t="s">
        <v>1180</v>
      </c>
      <c r="J91" t="s">
        <v>1230</v>
      </c>
      <c r="K91" t="s">
        <v>1212</v>
      </c>
      <c r="M91" s="3">
        <f t="shared" si="4"/>
        <v>77.571428571428569</v>
      </c>
      <c r="N91">
        <v>50</v>
      </c>
      <c r="O91">
        <v>84</v>
      </c>
      <c r="P91">
        <v>82</v>
      </c>
      <c r="Q91">
        <v>82</v>
      </c>
      <c r="R91">
        <v>88</v>
      </c>
      <c r="S91">
        <v>82</v>
      </c>
      <c r="T91">
        <v>75</v>
      </c>
      <c r="U91">
        <v>26</v>
      </c>
      <c r="V91" s="3">
        <f t="shared" si="5"/>
        <v>11833390</v>
      </c>
      <c r="W91">
        <v>986115.83333333337</v>
      </c>
      <c r="X91">
        <v>0</v>
      </c>
      <c r="Y91">
        <f t="shared" si="6"/>
        <v>986115.83333333337</v>
      </c>
      <c r="Z91">
        <f t="shared" si="7"/>
        <v>0</v>
      </c>
      <c r="AA91">
        <v>0</v>
      </c>
    </row>
    <row r="92" spans="1:27" x14ac:dyDescent="0.25">
      <c r="A92" s="1">
        <v>91</v>
      </c>
      <c r="B92" t="s">
        <v>790</v>
      </c>
      <c r="C92" t="s">
        <v>1136</v>
      </c>
      <c r="D92" t="s">
        <v>1147</v>
      </c>
      <c r="E92" t="s">
        <v>1144</v>
      </c>
      <c r="G92" t="s">
        <v>1175</v>
      </c>
      <c r="H92" t="s">
        <v>1175</v>
      </c>
      <c r="I92" t="s">
        <v>1175</v>
      </c>
      <c r="J92" t="s">
        <v>1230</v>
      </c>
      <c r="K92" t="s">
        <v>1212</v>
      </c>
      <c r="M92" s="3">
        <f t="shared" si="4"/>
        <v>81</v>
      </c>
      <c r="N92">
        <v>60</v>
      </c>
      <c r="O92">
        <v>90</v>
      </c>
      <c r="P92">
        <v>88</v>
      </c>
      <c r="Q92">
        <v>80</v>
      </c>
      <c r="R92">
        <v>88</v>
      </c>
      <c r="S92">
        <v>85</v>
      </c>
      <c r="T92">
        <v>76</v>
      </c>
      <c r="U92">
        <v>19</v>
      </c>
      <c r="V92" s="3">
        <f t="shared" si="5"/>
        <v>18236499</v>
      </c>
      <c r="W92">
        <v>1519708.25</v>
      </c>
      <c r="X92">
        <v>0</v>
      </c>
      <c r="Y92">
        <f t="shared" si="6"/>
        <v>1519708.25</v>
      </c>
      <c r="Z92">
        <f t="shared" si="7"/>
        <v>0</v>
      </c>
      <c r="AA92">
        <v>0</v>
      </c>
    </row>
    <row r="93" spans="1:27" x14ac:dyDescent="0.25">
      <c r="A93" s="1">
        <v>92</v>
      </c>
      <c r="B93" t="s">
        <v>1479</v>
      </c>
      <c r="C93" t="s">
        <v>1136</v>
      </c>
      <c r="D93" t="s">
        <v>1147</v>
      </c>
      <c r="E93" t="s">
        <v>1145</v>
      </c>
      <c r="G93" t="s">
        <v>1155</v>
      </c>
      <c r="H93" t="s">
        <v>1155</v>
      </c>
      <c r="I93" t="s">
        <v>1155</v>
      </c>
      <c r="J93" t="s">
        <v>1230</v>
      </c>
      <c r="K93" t="s">
        <v>1212</v>
      </c>
      <c r="M93" s="3">
        <f t="shared" si="4"/>
        <v>75.571428571428569</v>
      </c>
      <c r="N93">
        <v>69</v>
      </c>
      <c r="O93">
        <v>80</v>
      </c>
      <c r="P93">
        <v>77</v>
      </c>
      <c r="Q93">
        <v>81</v>
      </c>
      <c r="R93">
        <v>75</v>
      </c>
      <c r="S93">
        <v>79</v>
      </c>
      <c r="T93">
        <v>68</v>
      </c>
      <c r="U93">
        <v>0</v>
      </c>
      <c r="V93" s="3">
        <f t="shared" si="5"/>
        <v>6075421</v>
      </c>
      <c r="W93">
        <v>506285.08333333331</v>
      </c>
      <c r="X93">
        <v>0</v>
      </c>
      <c r="Y93">
        <f t="shared" si="6"/>
        <v>506285.08333333331</v>
      </c>
      <c r="Z93">
        <f t="shared" si="7"/>
        <v>0</v>
      </c>
      <c r="AA93">
        <v>0</v>
      </c>
    </row>
    <row r="94" spans="1:27" x14ac:dyDescent="0.25">
      <c r="A94" s="1">
        <v>93</v>
      </c>
      <c r="B94" t="s">
        <v>1116</v>
      </c>
      <c r="C94" t="s">
        <v>1137</v>
      </c>
      <c r="D94" t="s">
        <v>1137</v>
      </c>
      <c r="H94" t="s">
        <v>1155</v>
      </c>
      <c r="I94" t="s">
        <v>1155</v>
      </c>
      <c r="J94" t="s">
        <v>1230</v>
      </c>
      <c r="K94" t="s">
        <v>1212</v>
      </c>
      <c r="M94" s="3">
        <f t="shared" si="4"/>
        <v>88</v>
      </c>
      <c r="N94">
        <v>75</v>
      </c>
      <c r="O94">
        <v>84</v>
      </c>
      <c r="P94">
        <v>88</v>
      </c>
      <c r="Q94">
        <v>90</v>
      </c>
      <c r="R94">
        <v>98</v>
      </c>
      <c r="S94">
        <v>93</v>
      </c>
      <c r="T94">
        <v>88</v>
      </c>
      <c r="U94">
        <v>0</v>
      </c>
      <c r="V94" s="3">
        <f t="shared" si="5"/>
        <v>27850098</v>
      </c>
      <c r="W94">
        <v>2320841.5</v>
      </c>
      <c r="X94">
        <v>0</v>
      </c>
      <c r="Y94">
        <f t="shared" si="6"/>
        <v>2320841.5</v>
      </c>
      <c r="Z94">
        <f t="shared" si="7"/>
        <v>0</v>
      </c>
      <c r="AA94">
        <v>0</v>
      </c>
    </row>
    <row r="95" spans="1:27" x14ac:dyDescent="0.25">
      <c r="A95" s="1">
        <v>94</v>
      </c>
      <c r="B95" t="s">
        <v>2290</v>
      </c>
      <c r="C95" t="s">
        <v>1133</v>
      </c>
      <c r="D95" t="s">
        <v>1133</v>
      </c>
      <c r="H95" t="s">
        <v>1184</v>
      </c>
      <c r="I95" t="s">
        <v>1184</v>
      </c>
      <c r="J95" t="s">
        <v>2691</v>
      </c>
      <c r="K95" t="s">
        <v>1212</v>
      </c>
      <c r="M95" s="3">
        <f t="shared" si="4"/>
        <v>52.714285714285715</v>
      </c>
      <c r="N95">
        <v>10</v>
      </c>
      <c r="O95">
        <v>67</v>
      </c>
      <c r="P95">
        <v>59</v>
      </c>
      <c r="Q95">
        <v>65</v>
      </c>
      <c r="R95">
        <v>67</v>
      </c>
      <c r="S95">
        <v>69</v>
      </c>
      <c r="T95">
        <v>32</v>
      </c>
      <c r="U95">
        <v>0</v>
      </c>
      <c r="V95" s="3">
        <f t="shared" si="5"/>
        <v>165686</v>
      </c>
      <c r="W95">
        <v>13807.166666666666</v>
      </c>
      <c r="X95">
        <v>0</v>
      </c>
      <c r="Y95">
        <f t="shared" si="6"/>
        <v>13807.166666666666</v>
      </c>
      <c r="Z95">
        <f t="shared" si="7"/>
        <v>0</v>
      </c>
      <c r="AA95">
        <v>0</v>
      </c>
    </row>
    <row r="96" spans="1:27" x14ac:dyDescent="0.25">
      <c r="A96" s="1">
        <v>95</v>
      </c>
      <c r="B96" t="s">
        <v>2291</v>
      </c>
      <c r="C96" t="s">
        <v>1133</v>
      </c>
      <c r="D96" t="s">
        <v>1133</v>
      </c>
      <c r="H96" t="s">
        <v>1184</v>
      </c>
      <c r="I96" t="s">
        <v>1184</v>
      </c>
      <c r="J96" t="s">
        <v>2691</v>
      </c>
      <c r="K96" t="s">
        <v>1212</v>
      </c>
      <c r="M96" s="3">
        <f t="shared" si="4"/>
        <v>50.285714285714285</v>
      </c>
      <c r="N96">
        <v>8</v>
      </c>
      <c r="O96">
        <v>64</v>
      </c>
      <c r="P96">
        <v>56</v>
      </c>
      <c r="Q96">
        <v>63</v>
      </c>
      <c r="R96">
        <v>65</v>
      </c>
      <c r="S96">
        <v>67</v>
      </c>
      <c r="T96">
        <v>29</v>
      </c>
      <c r="U96">
        <v>0</v>
      </c>
      <c r="V96" s="3">
        <f t="shared" si="5"/>
        <v>103383</v>
      </c>
      <c r="W96">
        <v>8615.25</v>
      </c>
      <c r="X96">
        <v>0</v>
      </c>
      <c r="Y96">
        <f t="shared" si="6"/>
        <v>8615.25</v>
      </c>
      <c r="Z96">
        <f t="shared" si="7"/>
        <v>0</v>
      </c>
      <c r="AA96">
        <v>0</v>
      </c>
    </row>
    <row r="97" spans="1:27" x14ac:dyDescent="0.25">
      <c r="A97" s="1">
        <v>96</v>
      </c>
      <c r="B97" t="s">
        <v>2307</v>
      </c>
      <c r="C97" t="s">
        <v>1133</v>
      </c>
      <c r="D97" t="s">
        <v>1133</v>
      </c>
      <c r="H97" t="s">
        <v>1184</v>
      </c>
      <c r="I97" t="s">
        <v>1184</v>
      </c>
      <c r="J97" t="s">
        <v>2691</v>
      </c>
      <c r="K97" t="s">
        <v>1212</v>
      </c>
      <c r="M97" s="3">
        <f t="shared" si="4"/>
        <v>50.857142857142854</v>
      </c>
      <c r="N97">
        <v>8</v>
      </c>
      <c r="O97">
        <v>65</v>
      </c>
      <c r="P97">
        <v>58</v>
      </c>
      <c r="Q97">
        <v>63</v>
      </c>
      <c r="R97">
        <v>65</v>
      </c>
      <c r="S97">
        <v>67</v>
      </c>
      <c r="T97">
        <v>30</v>
      </c>
      <c r="U97">
        <v>0</v>
      </c>
      <c r="V97" s="3">
        <f t="shared" si="5"/>
        <v>115750</v>
      </c>
      <c r="W97">
        <v>9645.8333333333339</v>
      </c>
      <c r="X97">
        <v>0</v>
      </c>
      <c r="Y97">
        <f t="shared" si="6"/>
        <v>9645.8333333333339</v>
      </c>
      <c r="Z97">
        <f t="shared" si="7"/>
        <v>0</v>
      </c>
      <c r="AA97">
        <v>0</v>
      </c>
    </row>
    <row r="98" spans="1:27" x14ac:dyDescent="0.25">
      <c r="A98" s="1">
        <v>97</v>
      </c>
      <c r="B98" t="s">
        <v>2296</v>
      </c>
      <c r="C98" t="s">
        <v>1134</v>
      </c>
      <c r="D98" t="s">
        <v>1139</v>
      </c>
      <c r="E98" t="s">
        <v>1138</v>
      </c>
      <c r="H98" t="s">
        <v>1184</v>
      </c>
      <c r="I98" t="s">
        <v>1184</v>
      </c>
      <c r="J98" t="s">
        <v>2691</v>
      </c>
      <c r="K98" t="s">
        <v>1212</v>
      </c>
      <c r="M98" s="3">
        <f t="shared" si="4"/>
        <v>53.857142857142854</v>
      </c>
      <c r="N98">
        <v>31</v>
      </c>
      <c r="O98">
        <v>65</v>
      </c>
      <c r="P98">
        <v>58</v>
      </c>
      <c r="Q98">
        <v>63</v>
      </c>
      <c r="R98">
        <v>65</v>
      </c>
      <c r="S98">
        <v>67</v>
      </c>
      <c r="T98">
        <v>28</v>
      </c>
      <c r="U98">
        <v>0</v>
      </c>
      <c r="V98" s="3">
        <f t="shared" si="5"/>
        <v>205321</v>
      </c>
      <c r="W98">
        <v>8863.1666666666661</v>
      </c>
      <c r="X98">
        <v>0</v>
      </c>
      <c r="Y98">
        <f t="shared" si="6"/>
        <v>17110.083333333332</v>
      </c>
      <c r="Z98">
        <f t="shared" si="7"/>
        <v>-48.2</v>
      </c>
      <c r="AA98">
        <v>0</v>
      </c>
    </row>
    <row r="99" spans="1:27" x14ac:dyDescent="0.25">
      <c r="A99" s="1">
        <v>98</v>
      </c>
      <c r="B99" t="s">
        <v>2294</v>
      </c>
      <c r="C99" t="s">
        <v>1134</v>
      </c>
      <c r="D99" t="s">
        <v>1138</v>
      </c>
      <c r="E99" t="s">
        <v>1139</v>
      </c>
      <c r="H99" t="s">
        <v>1184</v>
      </c>
      <c r="I99" t="s">
        <v>1184</v>
      </c>
      <c r="J99" t="s">
        <v>2691</v>
      </c>
      <c r="K99" t="s">
        <v>1212</v>
      </c>
      <c r="M99" s="3">
        <f t="shared" si="4"/>
        <v>55.428571428571431</v>
      </c>
      <c r="N99">
        <v>12</v>
      </c>
      <c r="O99">
        <v>71</v>
      </c>
      <c r="P99">
        <v>63</v>
      </c>
      <c r="Q99">
        <v>67</v>
      </c>
      <c r="R99">
        <v>69</v>
      </c>
      <c r="S99">
        <v>71</v>
      </c>
      <c r="T99">
        <v>35</v>
      </c>
      <c r="U99">
        <v>0</v>
      </c>
      <c r="V99" s="3">
        <f t="shared" si="5"/>
        <v>273740</v>
      </c>
      <c r="W99">
        <v>22811.666666666668</v>
      </c>
      <c r="X99">
        <v>0</v>
      </c>
      <c r="Y99">
        <f t="shared" si="6"/>
        <v>22811.666666666668</v>
      </c>
      <c r="Z99">
        <f t="shared" si="7"/>
        <v>0</v>
      </c>
      <c r="AA99">
        <v>0</v>
      </c>
    </row>
    <row r="100" spans="1:27" x14ac:dyDescent="0.25">
      <c r="A100" s="1">
        <v>99</v>
      </c>
      <c r="B100" t="s">
        <v>2293</v>
      </c>
      <c r="C100" t="s">
        <v>1134</v>
      </c>
      <c r="D100" t="s">
        <v>1138</v>
      </c>
      <c r="E100" t="s">
        <v>1144</v>
      </c>
      <c r="H100" t="s">
        <v>1184</v>
      </c>
      <c r="I100" t="s">
        <v>1184</v>
      </c>
      <c r="J100" t="s">
        <v>2691</v>
      </c>
      <c r="K100" t="s">
        <v>1212</v>
      </c>
      <c r="M100" s="3">
        <f t="shared" si="4"/>
        <v>47.428571428571431</v>
      </c>
      <c r="N100">
        <v>6</v>
      </c>
      <c r="O100">
        <v>61</v>
      </c>
      <c r="P100">
        <v>54</v>
      </c>
      <c r="Q100">
        <v>60</v>
      </c>
      <c r="R100">
        <v>62</v>
      </c>
      <c r="S100">
        <v>64</v>
      </c>
      <c r="T100">
        <v>25</v>
      </c>
      <c r="U100">
        <v>0</v>
      </c>
      <c r="V100" s="3">
        <f t="shared" si="5"/>
        <v>57598</v>
      </c>
      <c r="W100">
        <v>4799.833333333333</v>
      </c>
      <c r="X100">
        <v>0</v>
      </c>
      <c r="Y100">
        <f t="shared" si="6"/>
        <v>4799.833333333333</v>
      </c>
      <c r="Z100">
        <f t="shared" si="7"/>
        <v>0</v>
      </c>
      <c r="AA100">
        <v>0</v>
      </c>
    </row>
    <row r="101" spans="1:27" x14ac:dyDescent="0.25">
      <c r="A101" s="1">
        <v>100</v>
      </c>
      <c r="B101" t="s">
        <v>1302</v>
      </c>
      <c r="C101" t="s">
        <v>1134</v>
      </c>
      <c r="D101" t="s">
        <v>1139</v>
      </c>
      <c r="E101" t="s">
        <v>1140</v>
      </c>
      <c r="H101" t="s">
        <v>1153</v>
      </c>
      <c r="I101" t="s">
        <v>1153</v>
      </c>
      <c r="J101" t="s">
        <v>2691</v>
      </c>
      <c r="K101" t="s">
        <v>1212</v>
      </c>
      <c r="M101" s="3">
        <f t="shared" si="4"/>
        <v>52.428571428571431</v>
      </c>
      <c r="N101">
        <v>21</v>
      </c>
      <c r="O101">
        <v>66</v>
      </c>
      <c r="P101">
        <v>45</v>
      </c>
      <c r="Q101">
        <v>47</v>
      </c>
      <c r="R101">
        <v>78</v>
      </c>
      <c r="S101">
        <v>88</v>
      </c>
      <c r="T101">
        <v>22</v>
      </c>
      <c r="U101">
        <v>0</v>
      </c>
      <c r="V101" s="3">
        <f t="shared" si="5"/>
        <v>156921</v>
      </c>
      <c r="W101">
        <v>1924.3333333333333</v>
      </c>
      <c r="X101">
        <v>0</v>
      </c>
      <c r="Y101">
        <f t="shared" si="6"/>
        <v>13076.75</v>
      </c>
      <c r="Z101">
        <f t="shared" si="7"/>
        <v>-85.28</v>
      </c>
      <c r="AA101">
        <v>0</v>
      </c>
    </row>
    <row r="102" spans="1:27" x14ac:dyDescent="0.25">
      <c r="A102" s="1">
        <v>101</v>
      </c>
      <c r="B102" t="s">
        <v>2295</v>
      </c>
      <c r="C102" t="s">
        <v>1134</v>
      </c>
      <c r="D102" t="s">
        <v>1140</v>
      </c>
      <c r="E102" t="s">
        <v>1138</v>
      </c>
      <c r="H102" t="s">
        <v>1184</v>
      </c>
      <c r="I102" t="s">
        <v>1184</v>
      </c>
      <c r="J102" t="s">
        <v>2691</v>
      </c>
      <c r="K102" t="s">
        <v>1212</v>
      </c>
      <c r="M102" s="3">
        <f t="shared" si="4"/>
        <v>60.142857142857146</v>
      </c>
      <c r="N102">
        <v>40</v>
      </c>
      <c r="O102">
        <v>69</v>
      </c>
      <c r="P102">
        <v>80</v>
      </c>
      <c r="Q102">
        <v>65</v>
      </c>
      <c r="R102">
        <v>67</v>
      </c>
      <c r="S102">
        <v>69</v>
      </c>
      <c r="T102">
        <v>31</v>
      </c>
      <c r="U102">
        <v>16</v>
      </c>
      <c r="V102" s="3">
        <f t="shared" si="5"/>
        <v>928821</v>
      </c>
      <c r="W102">
        <v>14185.916666666666</v>
      </c>
      <c r="X102">
        <v>0</v>
      </c>
      <c r="Y102">
        <f t="shared" si="6"/>
        <v>77401.75</v>
      </c>
      <c r="Z102">
        <f t="shared" si="7"/>
        <v>-81.67</v>
      </c>
      <c r="AA102">
        <v>0</v>
      </c>
    </row>
    <row r="103" spans="1:27" x14ac:dyDescent="0.25">
      <c r="A103" s="1">
        <v>102</v>
      </c>
      <c r="B103" t="s">
        <v>2305</v>
      </c>
      <c r="C103" t="s">
        <v>1135</v>
      </c>
      <c r="D103" t="s">
        <v>1141</v>
      </c>
      <c r="E103" t="s">
        <v>1142</v>
      </c>
      <c r="H103" t="s">
        <v>1184</v>
      </c>
      <c r="I103" t="s">
        <v>1184</v>
      </c>
      <c r="J103" t="s">
        <v>2691</v>
      </c>
      <c r="K103" t="s">
        <v>1212</v>
      </c>
      <c r="M103" s="3">
        <f t="shared" si="4"/>
        <v>63.857142857142854</v>
      </c>
      <c r="N103">
        <v>15</v>
      </c>
      <c r="O103">
        <v>75</v>
      </c>
      <c r="P103">
        <v>80</v>
      </c>
      <c r="Q103">
        <v>75</v>
      </c>
      <c r="R103">
        <v>77</v>
      </c>
      <c r="S103">
        <v>80</v>
      </c>
      <c r="T103">
        <v>45</v>
      </c>
      <c r="U103">
        <v>0</v>
      </c>
      <c r="V103" s="3">
        <f t="shared" si="5"/>
        <v>1127444</v>
      </c>
      <c r="W103">
        <v>93953.666666666672</v>
      </c>
      <c r="X103">
        <v>0</v>
      </c>
      <c r="Y103">
        <f t="shared" si="6"/>
        <v>93953.666666666672</v>
      </c>
      <c r="Z103">
        <f t="shared" si="7"/>
        <v>0</v>
      </c>
      <c r="AA103">
        <v>0</v>
      </c>
    </row>
    <row r="104" spans="1:27" x14ac:dyDescent="0.25">
      <c r="A104" s="1">
        <v>103</v>
      </c>
      <c r="B104" t="s">
        <v>2304</v>
      </c>
      <c r="C104" t="s">
        <v>1135</v>
      </c>
      <c r="D104" t="s">
        <v>1142</v>
      </c>
      <c r="E104" t="s">
        <v>1141</v>
      </c>
      <c r="H104" t="s">
        <v>1184</v>
      </c>
      <c r="I104" t="s">
        <v>1184</v>
      </c>
      <c r="J104" t="s">
        <v>2691</v>
      </c>
      <c r="K104" t="s">
        <v>1212</v>
      </c>
      <c r="M104" s="3">
        <f t="shared" si="4"/>
        <v>55</v>
      </c>
      <c r="N104">
        <v>10</v>
      </c>
      <c r="O104">
        <v>70</v>
      </c>
      <c r="P104">
        <v>63</v>
      </c>
      <c r="Q104">
        <v>68</v>
      </c>
      <c r="R104">
        <v>70</v>
      </c>
      <c r="S104">
        <v>72</v>
      </c>
      <c r="T104">
        <v>32</v>
      </c>
      <c r="U104">
        <v>0</v>
      </c>
      <c r="V104" s="3">
        <f t="shared" si="5"/>
        <v>253296</v>
      </c>
      <c r="W104">
        <v>21108</v>
      </c>
      <c r="X104">
        <v>0</v>
      </c>
      <c r="Y104">
        <f t="shared" si="6"/>
        <v>21108</v>
      </c>
      <c r="Z104">
        <f t="shared" si="7"/>
        <v>0</v>
      </c>
      <c r="AA104">
        <v>0</v>
      </c>
    </row>
    <row r="105" spans="1:27" x14ac:dyDescent="0.25">
      <c r="A105" s="1">
        <v>104</v>
      </c>
      <c r="B105" t="s">
        <v>2303</v>
      </c>
      <c r="C105" t="s">
        <v>1135</v>
      </c>
      <c r="D105" t="s">
        <v>1142</v>
      </c>
      <c r="E105" t="s">
        <v>1141</v>
      </c>
      <c r="H105" t="s">
        <v>1184</v>
      </c>
      <c r="I105" t="s">
        <v>1184</v>
      </c>
      <c r="J105" t="s">
        <v>2691</v>
      </c>
      <c r="K105" t="s">
        <v>1212</v>
      </c>
      <c r="M105" s="3">
        <f t="shared" si="4"/>
        <v>60</v>
      </c>
      <c r="N105">
        <v>14</v>
      </c>
      <c r="O105">
        <v>75</v>
      </c>
      <c r="P105">
        <v>68</v>
      </c>
      <c r="Q105">
        <v>73</v>
      </c>
      <c r="R105">
        <v>75</v>
      </c>
      <c r="S105">
        <v>77</v>
      </c>
      <c r="T105">
        <v>38</v>
      </c>
      <c r="U105">
        <v>0</v>
      </c>
      <c r="V105" s="3">
        <f t="shared" si="5"/>
        <v>604662</v>
      </c>
      <c r="W105">
        <v>50388.5</v>
      </c>
      <c r="X105">
        <v>0</v>
      </c>
      <c r="Y105">
        <f t="shared" si="6"/>
        <v>50388.5</v>
      </c>
      <c r="Z105">
        <f t="shared" si="7"/>
        <v>0</v>
      </c>
      <c r="AA105">
        <v>0</v>
      </c>
    </row>
    <row r="106" spans="1:27" x14ac:dyDescent="0.25">
      <c r="A106" s="1">
        <v>105</v>
      </c>
      <c r="B106" t="s">
        <v>2298</v>
      </c>
      <c r="C106" t="s">
        <v>1136</v>
      </c>
      <c r="D106" t="s">
        <v>1144</v>
      </c>
      <c r="E106" t="s">
        <v>1138</v>
      </c>
      <c r="H106" t="s">
        <v>1184</v>
      </c>
      <c r="I106" t="s">
        <v>1184</v>
      </c>
      <c r="J106" t="s">
        <v>2691</v>
      </c>
      <c r="K106" t="s">
        <v>1212</v>
      </c>
      <c r="M106" s="3">
        <f t="shared" si="4"/>
        <v>53.428571428571431</v>
      </c>
      <c r="N106">
        <v>9</v>
      </c>
      <c r="O106">
        <v>68</v>
      </c>
      <c r="P106">
        <v>60</v>
      </c>
      <c r="Q106">
        <v>67</v>
      </c>
      <c r="R106">
        <v>69</v>
      </c>
      <c r="S106">
        <v>71</v>
      </c>
      <c r="T106">
        <v>30</v>
      </c>
      <c r="U106">
        <v>0</v>
      </c>
      <c r="V106" s="3">
        <f t="shared" si="5"/>
        <v>189556</v>
      </c>
      <c r="W106">
        <v>15796.333333333334</v>
      </c>
      <c r="X106">
        <v>0</v>
      </c>
      <c r="Y106">
        <f t="shared" si="6"/>
        <v>15796.333333333334</v>
      </c>
      <c r="Z106">
        <f t="shared" si="7"/>
        <v>0</v>
      </c>
      <c r="AA106">
        <v>0</v>
      </c>
    </row>
    <row r="107" spans="1:27" x14ac:dyDescent="0.25">
      <c r="A107" s="1">
        <v>106</v>
      </c>
      <c r="B107" t="s">
        <v>2301</v>
      </c>
      <c r="C107" t="s">
        <v>1136</v>
      </c>
      <c r="D107" t="s">
        <v>1145</v>
      </c>
      <c r="E107" t="s">
        <v>1143</v>
      </c>
      <c r="H107" t="s">
        <v>1184</v>
      </c>
      <c r="I107" t="s">
        <v>1184</v>
      </c>
      <c r="J107" t="s">
        <v>2691</v>
      </c>
      <c r="K107" t="s">
        <v>1212</v>
      </c>
      <c r="M107" s="3">
        <f t="shared" si="4"/>
        <v>64.285714285714292</v>
      </c>
      <c r="N107">
        <v>33</v>
      </c>
      <c r="O107">
        <v>80</v>
      </c>
      <c r="P107">
        <v>70</v>
      </c>
      <c r="Q107">
        <v>67</v>
      </c>
      <c r="R107">
        <v>69</v>
      </c>
      <c r="S107">
        <v>71</v>
      </c>
      <c r="T107">
        <v>60</v>
      </c>
      <c r="U107">
        <v>19</v>
      </c>
      <c r="V107" s="3">
        <f t="shared" si="5"/>
        <v>1808157</v>
      </c>
      <c r="W107">
        <v>19014.666666666668</v>
      </c>
      <c r="X107">
        <v>0</v>
      </c>
      <c r="Y107">
        <f t="shared" si="6"/>
        <v>150679.75</v>
      </c>
      <c r="Z107">
        <f t="shared" si="7"/>
        <v>-87.38</v>
      </c>
      <c r="AA107">
        <v>0</v>
      </c>
    </row>
    <row r="108" spans="1:27" x14ac:dyDescent="0.25">
      <c r="A108" s="1">
        <v>107</v>
      </c>
      <c r="B108" t="s">
        <v>2300</v>
      </c>
      <c r="C108" t="s">
        <v>1136</v>
      </c>
      <c r="D108" t="s">
        <v>1143</v>
      </c>
      <c r="E108" t="s">
        <v>1146</v>
      </c>
      <c r="H108" t="s">
        <v>1184</v>
      </c>
      <c r="I108" t="s">
        <v>1184</v>
      </c>
      <c r="J108" t="s">
        <v>2691</v>
      </c>
      <c r="K108" t="s">
        <v>1212</v>
      </c>
      <c r="M108" s="3">
        <f t="shared" si="4"/>
        <v>52</v>
      </c>
      <c r="N108">
        <v>34</v>
      </c>
      <c r="O108">
        <v>60</v>
      </c>
      <c r="P108">
        <v>54</v>
      </c>
      <c r="Q108">
        <v>62</v>
      </c>
      <c r="R108">
        <v>64</v>
      </c>
      <c r="S108">
        <v>66</v>
      </c>
      <c r="T108">
        <v>24</v>
      </c>
      <c r="U108">
        <v>0</v>
      </c>
      <c r="V108" s="3">
        <f t="shared" si="5"/>
        <v>144556</v>
      </c>
      <c r="W108">
        <v>5410.5</v>
      </c>
      <c r="X108">
        <v>0</v>
      </c>
      <c r="Y108">
        <f t="shared" si="6"/>
        <v>12046.333333333334</v>
      </c>
      <c r="Z108">
        <f t="shared" si="7"/>
        <v>-55.09</v>
      </c>
      <c r="AA108">
        <v>0</v>
      </c>
    </row>
    <row r="109" spans="1:27" x14ac:dyDescent="0.25">
      <c r="A109" s="1">
        <v>108</v>
      </c>
      <c r="B109" t="s">
        <v>2302</v>
      </c>
      <c r="C109" t="s">
        <v>1136</v>
      </c>
      <c r="D109" t="s">
        <v>1145</v>
      </c>
      <c r="E109" t="s">
        <v>1147</v>
      </c>
      <c r="H109" t="s">
        <v>1184</v>
      </c>
      <c r="I109" t="s">
        <v>1184</v>
      </c>
      <c r="J109" t="s">
        <v>2691</v>
      </c>
      <c r="K109" t="s">
        <v>1212</v>
      </c>
      <c r="M109" s="3">
        <f t="shared" si="4"/>
        <v>49.857142857142854</v>
      </c>
      <c r="N109">
        <v>7</v>
      </c>
      <c r="O109">
        <v>64</v>
      </c>
      <c r="P109">
        <v>57</v>
      </c>
      <c r="Q109">
        <v>63</v>
      </c>
      <c r="R109">
        <v>65</v>
      </c>
      <c r="S109">
        <v>67</v>
      </c>
      <c r="T109">
        <v>26</v>
      </c>
      <c r="U109">
        <v>0</v>
      </c>
      <c r="V109" s="3">
        <f t="shared" si="5"/>
        <v>94902</v>
      </c>
      <c r="W109">
        <v>7908.5</v>
      </c>
      <c r="X109">
        <v>0</v>
      </c>
      <c r="Y109">
        <f t="shared" si="6"/>
        <v>7908.5</v>
      </c>
      <c r="Z109">
        <f t="shared" si="7"/>
        <v>0</v>
      </c>
      <c r="AA109">
        <v>0</v>
      </c>
    </row>
    <row r="110" spans="1:27" x14ac:dyDescent="0.25">
      <c r="A110" s="1">
        <v>109</v>
      </c>
      <c r="B110" t="s">
        <v>2614</v>
      </c>
      <c r="C110" t="s">
        <v>1136</v>
      </c>
      <c r="D110" t="s">
        <v>1146</v>
      </c>
      <c r="E110" t="s">
        <v>1144</v>
      </c>
      <c r="H110" t="s">
        <v>1184</v>
      </c>
      <c r="I110" t="s">
        <v>1184</v>
      </c>
      <c r="J110" t="s">
        <v>2691</v>
      </c>
      <c r="K110" t="s">
        <v>1212</v>
      </c>
      <c r="M110" s="3">
        <f t="shared" si="4"/>
        <v>56.142857142857146</v>
      </c>
      <c r="N110">
        <v>11</v>
      </c>
      <c r="O110">
        <v>71</v>
      </c>
      <c r="P110">
        <v>64</v>
      </c>
      <c r="Q110">
        <v>69</v>
      </c>
      <c r="R110">
        <v>71</v>
      </c>
      <c r="S110">
        <v>73</v>
      </c>
      <c r="T110">
        <v>34</v>
      </c>
      <c r="U110">
        <v>0</v>
      </c>
      <c r="V110" s="3">
        <f t="shared" si="5"/>
        <v>311133</v>
      </c>
      <c r="W110">
        <v>25927.75</v>
      </c>
      <c r="X110">
        <v>0</v>
      </c>
      <c r="Y110">
        <f t="shared" si="6"/>
        <v>25927.75</v>
      </c>
      <c r="Z110">
        <f t="shared" si="7"/>
        <v>0</v>
      </c>
      <c r="AA110">
        <v>0</v>
      </c>
    </row>
    <row r="111" spans="1:27" x14ac:dyDescent="0.25">
      <c r="A111" s="1">
        <v>110</v>
      </c>
      <c r="B111" t="s">
        <v>2306</v>
      </c>
      <c r="C111" t="s">
        <v>1136</v>
      </c>
      <c r="D111" t="s">
        <v>1147</v>
      </c>
      <c r="E111" t="s">
        <v>1145</v>
      </c>
      <c r="H111" t="s">
        <v>1184</v>
      </c>
      <c r="I111" t="s">
        <v>1184</v>
      </c>
      <c r="J111" t="s">
        <v>2691</v>
      </c>
      <c r="K111" t="s">
        <v>1212</v>
      </c>
      <c r="M111" s="3">
        <f t="shared" si="4"/>
        <v>62.571428571428569</v>
      </c>
      <c r="N111">
        <v>14</v>
      </c>
      <c r="O111">
        <v>73</v>
      </c>
      <c r="P111">
        <v>77</v>
      </c>
      <c r="Q111">
        <v>75</v>
      </c>
      <c r="R111">
        <v>77</v>
      </c>
      <c r="S111">
        <v>79</v>
      </c>
      <c r="T111">
        <v>43</v>
      </c>
      <c r="U111">
        <v>0</v>
      </c>
      <c r="V111" s="3">
        <f t="shared" si="5"/>
        <v>919943</v>
      </c>
      <c r="W111">
        <v>76661.916666666672</v>
      </c>
      <c r="X111">
        <v>0</v>
      </c>
      <c r="Y111">
        <f t="shared" si="6"/>
        <v>76661.916666666672</v>
      </c>
      <c r="Z111">
        <f t="shared" si="7"/>
        <v>0</v>
      </c>
      <c r="AA111">
        <v>0</v>
      </c>
    </row>
    <row r="112" spans="1:27" x14ac:dyDescent="0.25">
      <c r="A112" s="1">
        <v>111</v>
      </c>
      <c r="B112" t="s">
        <v>2297</v>
      </c>
      <c r="C112" t="s">
        <v>1136</v>
      </c>
      <c r="D112" t="s">
        <v>1144</v>
      </c>
      <c r="E112" t="s">
        <v>1143</v>
      </c>
      <c r="H112" t="s">
        <v>1184</v>
      </c>
      <c r="I112" t="s">
        <v>1184</v>
      </c>
      <c r="J112" t="s">
        <v>2691</v>
      </c>
      <c r="K112" t="s">
        <v>1212</v>
      </c>
      <c r="M112" s="3">
        <f t="shared" si="4"/>
        <v>54.428571428571431</v>
      </c>
      <c r="N112">
        <v>11</v>
      </c>
      <c r="O112">
        <v>70</v>
      </c>
      <c r="P112">
        <v>62</v>
      </c>
      <c r="Q112">
        <v>66</v>
      </c>
      <c r="R112">
        <v>68</v>
      </c>
      <c r="S112">
        <v>70</v>
      </c>
      <c r="T112">
        <v>34</v>
      </c>
      <c r="U112">
        <v>0</v>
      </c>
      <c r="V112" s="3">
        <f t="shared" si="5"/>
        <v>228176</v>
      </c>
      <c r="W112">
        <v>19014.666666666668</v>
      </c>
      <c r="X112">
        <v>0</v>
      </c>
      <c r="Y112">
        <f t="shared" si="6"/>
        <v>19014.666666666668</v>
      </c>
      <c r="Z112">
        <f t="shared" si="7"/>
        <v>0</v>
      </c>
      <c r="AA112">
        <v>0</v>
      </c>
    </row>
    <row r="113" spans="1:27" x14ac:dyDescent="0.25">
      <c r="A113" s="1">
        <v>112</v>
      </c>
      <c r="B113" t="s">
        <v>2299</v>
      </c>
      <c r="C113" t="s">
        <v>1136</v>
      </c>
      <c r="D113" t="s">
        <v>1143</v>
      </c>
      <c r="E113" t="s">
        <v>1144</v>
      </c>
      <c r="H113" t="s">
        <v>1184</v>
      </c>
      <c r="I113" t="s">
        <v>1184</v>
      </c>
      <c r="J113" t="s">
        <v>2691</v>
      </c>
      <c r="K113" t="s">
        <v>1212</v>
      </c>
      <c r="M113" s="3">
        <f t="shared" si="4"/>
        <v>58.285714285714285</v>
      </c>
      <c r="N113">
        <v>13</v>
      </c>
      <c r="O113">
        <v>73</v>
      </c>
      <c r="P113">
        <v>66</v>
      </c>
      <c r="Q113">
        <v>71</v>
      </c>
      <c r="R113">
        <v>73</v>
      </c>
      <c r="S113">
        <v>75</v>
      </c>
      <c r="T113">
        <v>37</v>
      </c>
      <c r="U113">
        <v>0</v>
      </c>
      <c r="V113" s="3">
        <f t="shared" si="5"/>
        <v>452503</v>
      </c>
      <c r="W113">
        <v>37708.583333333336</v>
      </c>
      <c r="X113">
        <v>0</v>
      </c>
      <c r="Y113">
        <f t="shared" si="6"/>
        <v>37708.583333333336</v>
      </c>
      <c r="Z113">
        <f t="shared" si="7"/>
        <v>0</v>
      </c>
      <c r="AA113">
        <v>0</v>
      </c>
    </row>
    <row r="114" spans="1:27" x14ac:dyDescent="0.25">
      <c r="A114" s="1">
        <v>113</v>
      </c>
      <c r="B114" t="s">
        <v>2292</v>
      </c>
      <c r="C114" t="s">
        <v>1137</v>
      </c>
      <c r="D114" t="s">
        <v>1137</v>
      </c>
      <c r="H114" t="s">
        <v>1184</v>
      </c>
      <c r="I114" t="s">
        <v>1184</v>
      </c>
      <c r="J114" t="s">
        <v>2691</v>
      </c>
      <c r="K114" t="s">
        <v>1212</v>
      </c>
      <c r="M114" s="3">
        <f t="shared" si="4"/>
        <v>51.285714285714285</v>
      </c>
      <c r="N114">
        <v>9</v>
      </c>
      <c r="O114">
        <v>65</v>
      </c>
      <c r="P114">
        <v>57</v>
      </c>
      <c r="Q114">
        <v>64</v>
      </c>
      <c r="R114">
        <v>66</v>
      </c>
      <c r="S114">
        <v>68</v>
      </c>
      <c r="T114">
        <v>30</v>
      </c>
      <c r="U114">
        <v>0</v>
      </c>
      <c r="V114" s="3">
        <f t="shared" si="5"/>
        <v>125883</v>
      </c>
      <c r="W114">
        <v>10490.25</v>
      </c>
      <c r="X114">
        <v>0</v>
      </c>
      <c r="Y114">
        <f t="shared" si="6"/>
        <v>10490.25</v>
      </c>
      <c r="Z114">
        <f t="shared" si="7"/>
        <v>0</v>
      </c>
      <c r="AA114">
        <v>0</v>
      </c>
    </row>
    <row r="115" spans="1:27" x14ac:dyDescent="0.25">
      <c r="A115" s="1">
        <v>114</v>
      </c>
      <c r="B115" t="s">
        <v>77</v>
      </c>
      <c r="C115" t="s">
        <v>1133</v>
      </c>
      <c r="D115" t="s">
        <v>1133</v>
      </c>
      <c r="G115" t="s">
        <v>1189</v>
      </c>
      <c r="H115" t="s">
        <v>1189</v>
      </c>
      <c r="I115" t="s">
        <v>1189</v>
      </c>
      <c r="J115" t="s">
        <v>1259</v>
      </c>
      <c r="K115" t="s">
        <v>1212</v>
      </c>
      <c r="M115" s="3">
        <f t="shared" si="4"/>
        <v>69.714285714285708</v>
      </c>
      <c r="N115">
        <v>51</v>
      </c>
      <c r="O115">
        <v>82</v>
      </c>
      <c r="P115">
        <v>78</v>
      </c>
      <c r="Q115">
        <v>80</v>
      </c>
      <c r="R115">
        <v>70</v>
      </c>
      <c r="S115">
        <v>67</v>
      </c>
      <c r="T115">
        <v>60</v>
      </c>
      <c r="U115">
        <v>0</v>
      </c>
      <c r="V115" s="3">
        <f t="shared" si="5"/>
        <v>2711552</v>
      </c>
      <c r="W115">
        <v>19519.666666666668</v>
      </c>
      <c r="X115">
        <v>0</v>
      </c>
      <c r="Y115">
        <f t="shared" si="6"/>
        <v>225962.66666666666</v>
      </c>
      <c r="Z115">
        <f t="shared" si="7"/>
        <v>-91.36</v>
      </c>
      <c r="AA115">
        <v>0</v>
      </c>
    </row>
    <row r="116" spans="1:27" x14ac:dyDescent="0.25">
      <c r="A116" s="1">
        <v>115</v>
      </c>
      <c r="B116" t="s">
        <v>2093</v>
      </c>
      <c r="C116" t="s">
        <v>1133</v>
      </c>
      <c r="D116" t="s">
        <v>1133</v>
      </c>
      <c r="H116" t="s">
        <v>1162</v>
      </c>
      <c r="I116" t="s">
        <v>1162</v>
      </c>
      <c r="J116" t="s">
        <v>1259</v>
      </c>
      <c r="K116" t="s">
        <v>1212</v>
      </c>
      <c r="M116" s="3">
        <f t="shared" si="4"/>
        <v>56.285714285714285</v>
      </c>
      <c r="N116">
        <v>10</v>
      </c>
      <c r="O116">
        <v>72</v>
      </c>
      <c r="P116">
        <v>64</v>
      </c>
      <c r="Q116">
        <v>70</v>
      </c>
      <c r="R116">
        <v>72</v>
      </c>
      <c r="S116">
        <v>74</v>
      </c>
      <c r="T116">
        <v>32</v>
      </c>
      <c r="U116">
        <v>0</v>
      </c>
      <c r="V116" s="3">
        <f t="shared" si="5"/>
        <v>319141</v>
      </c>
      <c r="W116">
        <v>26595.083333333332</v>
      </c>
      <c r="X116">
        <v>0</v>
      </c>
      <c r="Y116">
        <f t="shared" si="6"/>
        <v>26595.083333333332</v>
      </c>
      <c r="Z116">
        <f t="shared" si="7"/>
        <v>0</v>
      </c>
      <c r="AA116">
        <v>0</v>
      </c>
    </row>
    <row r="117" spans="1:27" x14ac:dyDescent="0.25">
      <c r="A117" s="1">
        <v>116</v>
      </c>
      <c r="B117" t="s">
        <v>2098</v>
      </c>
      <c r="C117" t="s">
        <v>1134</v>
      </c>
      <c r="D117" t="s">
        <v>1140</v>
      </c>
      <c r="E117" t="s">
        <v>1139</v>
      </c>
      <c r="H117" t="s">
        <v>1162</v>
      </c>
      <c r="I117" t="s">
        <v>1162</v>
      </c>
      <c r="J117" t="s">
        <v>1259</v>
      </c>
      <c r="K117" t="s">
        <v>1212</v>
      </c>
      <c r="M117" s="3">
        <f t="shared" si="4"/>
        <v>54</v>
      </c>
      <c r="N117">
        <v>7</v>
      </c>
      <c r="O117">
        <v>70</v>
      </c>
      <c r="P117">
        <v>63</v>
      </c>
      <c r="Q117">
        <v>68</v>
      </c>
      <c r="R117">
        <v>70</v>
      </c>
      <c r="S117">
        <v>72</v>
      </c>
      <c r="T117">
        <v>28</v>
      </c>
      <c r="U117">
        <v>0</v>
      </c>
      <c r="V117" s="3">
        <f t="shared" si="5"/>
        <v>210833</v>
      </c>
      <c r="W117">
        <v>17569.416666666668</v>
      </c>
      <c r="X117">
        <v>0</v>
      </c>
      <c r="Y117">
        <f t="shared" si="6"/>
        <v>17569.416666666668</v>
      </c>
      <c r="Z117">
        <f t="shared" si="7"/>
        <v>0</v>
      </c>
      <c r="AA117">
        <v>0</v>
      </c>
    </row>
    <row r="118" spans="1:27" x14ac:dyDescent="0.25">
      <c r="A118" s="1">
        <v>117</v>
      </c>
      <c r="B118" t="s">
        <v>2095</v>
      </c>
      <c r="C118" t="s">
        <v>1134</v>
      </c>
      <c r="D118" t="s">
        <v>1138</v>
      </c>
      <c r="E118" t="s">
        <v>1144</v>
      </c>
      <c r="H118" t="s">
        <v>1162</v>
      </c>
      <c r="I118" t="s">
        <v>1162</v>
      </c>
      <c r="J118" t="s">
        <v>1259</v>
      </c>
      <c r="K118" t="s">
        <v>1212</v>
      </c>
      <c r="M118" s="3">
        <f t="shared" si="4"/>
        <v>51</v>
      </c>
      <c r="N118">
        <v>6</v>
      </c>
      <c r="O118">
        <v>66</v>
      </c>
      <c r="P118">
        <v>59</v>
      </c>
      <c r="Q118">
        <v>65</v>
      </c>
      <c r="R118">
        <v>67</v>
      </c>
      <c r="S118">
        <v>69</v>
      </c>
      <c r="T118">
        <v>25</v>
      </c>
      <c r="U118">
        <v>0</v>
      </c>
      <c r="V118" s="3">
        <f t="shared" si="5"/>
        <v>119043</v>
      </c>
      <c r="W118">
        <v>9920.25</v>
      </c>
      <c r="X118">
        <v>0</v>
      </c>
      <c r="Y118">
        <f t="shared" si="6"/>
        <v>9920.25</v>
      </c>
      <c r="Z118">
        <f t="shared" si="7"/>
        <v>0</v>
      </c>
      <c r="AA118">
        <v>0</v>
      </c>
    </row>
    <row r="119" spans="1:27" x14ac:dyDescent="0.25">
      <c r="A119" s="1">
        <v>118</v>
      </c>
      <c r="B119" t="s">
        <v>2099</v>
      </c>
      <c r="C119" t="s">
        <v>1134</v>
      </c>
      <c r="D119" t="s">
        <v>1139</v>
      </c>
      <c r="E119" t="s">
        <v>1138</v>
      </c>
      <c r="H119" t="s">
        <v>1162</v>
      </c>
      <c r="I119" t="s">
        <v>1162</v>
      </c>
      <c r="J119" t="s">
        <v>1259</v>
      </c>
      <c r="K119" t="s">
        <v>1212</v>
      </c>
      <c r="M119" s="3">
        <f t="shared" si="4"/>
        <v>58</v>
      </c>
      <c r="N119">
        <v>11</v>
      </c>
      <c r="O119">
        <v>75</v>
      </c>
      <c r="P119">
        <v>67</v>
      </c>
      <c r="Q119">
        <v>71</v>
      </c>
      <c r="R119">
        <v>73</v>
      </c>
      <c r="S119">
        <v>75</v>
      </c>
      <c r="T119">
        <v>34</v>
      </c>
      <c r="U119">
        <v>0</v>
      </c>
      <c r="V119" s="3">
        <f t="shared" si="5"/>
        <v>430805</v>
      </c>
      <c r="W119">
        <v>35900.416666666664</v>
      </c>
      <c r="X119">
        <v>0</v>
      </c>
      <c r="Y119">
        <f t="shared" si="6"/>
        <v>35900.416666666664</v>
      </c>
      <c r="Z119">
        <f t="shared" si="7"/>
        <v>0</v>
      </c>
      <c r="AA119">
        <v>0</v>
      </c>
    </row>
    <row r="120" spans="1:27" x14ac:dyDescent="0.25">
      <c r="A120" s="1">
        <v>119</v>
      </c>
      <c r="B120" t="s">
        <v>2097</v>
      </c>
      <c r="C120" t="s">
        <v>1134</v>
      </c>
      <c r="D120" t="s">
        <v>1140</v>
      </c>
      <c r="E120" t="s">
        <v>1138</v>
      </c>
      <c r="H120" t="s">
        <v>1162</v>
      </c>
      <c r="I120" t="s">
        <v>1162</v>
      </c>
      <c r="J120" t="s">
        <v>1259</v>
      </c>
      <c r="K120" t="s">
        <v>1212</v>
      </c>
      <c r="M120" s="3">
        <f t="shared" si="4"/>
        <v>56.428571428571431</v>
      </c>
      <c r="N120">
        <v>9</v>
      </c>
      <c r="O120">
        <v>74</v>
      </c>
      <c r="P120">
        <v>65</v>
      </c>
      <c r="Q120">
        <v>70</v>
      </c>
      <c r="R120">
        <v>72</v>
      </c>
      <c r="S120">
        <v>74</v>
      </c>
      <c r="T120">
        <v>31</v>
      </c>
      <c r="U120">
        <v>0</v>
      </c>
      <c r="V120" s="3">
        <f t="shared" si="5"/>
        <v>327334</v>
      </c>
      <c r="W120">
        <v>27277.833333333332</v>
      </c>
      <c r="X120">
        <v>0</v>
      </c>
      <c r="Y120">
        <f t="shared" si="6"/>
        <v>27277.833333333332</v>
      </c>
      <c r="Z120">
        <f t="shared" si="7"/>
        <v>0</v>
      </c>
      <c r="AA120">
        <v>0</v>
      </c>
    </row>
    <row r="121" spans="1:27" x14ac:dyDescent="0.25">
      <c r="A121" s="1">
        <v>120</v>
      </c>
      <c r="B121" t="s">
        <v>2096</v>
      </c>
      <c r="C121" t="s">
        <v>1134</v>
      </c>
      <c r="D121" t="s">
        <v>1138</v>
      </c>
      <c r="E121" t="s">
        <v>1139</v>
      </c>
      <c r="H121" t="s">
        <v>1162</v>
      </c>
      <c r="I121" t="s">
        <v>1162</v>
      </c>
      <c r="J121" t="s">
        <v>1259</v>
      </c>
      <c r="K121" t="s">
        <v>1212</v>
      </c>
      <c r="M121" s="3">
        <f t="shared" si="4"/>
        <v>59</v>
      </c>
      <c r="N121">
        <v>12</v>
      </c>
      <c r="O121">
        <v>76</v>
      </c>
      <c r="P121">
        <v>68</v>
      </c>
      <c r="Q121">
        <v>72</v>
      </c>
      <c r="R121">
        <v>74</v>
      </c>
      <c r="S121">
        <v>76</v>
      </c>
      <c r="T121">
        <v>35</v>
      </c>
      <c r="U121">
        <v>0</v>
      </c>
      <c r="V121" s="3">
        <f t="shared" si="5"/>
        <v>511117</v>
      </c>
      <c r="W121">
        <v>42593.083333333336</v>
      </c>
      <c r="X121">
        <v>0</v>
      </c>
      <c r="Y121">
        <f t="shared" si="6"/>
        <v>42593.083333333336</v>
      </c>
      <c r="Z121">
        <f t="shared" si="7"/>
        <v>0</v>
      </c>
      <c r="AA121">
        <v>0</v>
      </c>
    </row>
    <row r="122" spans="1:27" x14ac:dyDescent="0.25">
      <c r="A122" s="1">
        <v>121</v>
      </c>
      <c r="B122" t="s">
        <v>2108</v>
      </c>
      <c r="C122" t="s">
        <v>1135</v>
      </c>
      <c r="D122" t="s">
        <v>1141</v>
      </c>
      <c r="H122" t="s">
        <v>1162</v>
      </c>
      <c r="I122" t="s">
        <v>1162</v>
      </c>
      <c r="J122" t="s">
        <v>1259</v>
      </c>
      <c r="K122" t="s">
        <v>1212</v>
      </c>
      <c r="M122" s="3">
        <f t="shared" si="4"/>
        <v>59.714285714285715</v>
      </c>
      <c r="N122">
        <v>11</v>
      </c>
      <c r="O122">
        <v>76</v>
      </c>
      <c r="P122">
        <v>69</v>
      </c>
      <c r="Q122">
        <v>74</v>
      </c>
      <c r="R122">
        <v>76</v>
      </c>
      <c r="S122">
        <v>78</v>
      </c>
      <c r="T122">
        <v>34</v>
      </c>
      <c r="U122">
        <v>0</v>
      </c>
      <c r="V122" s="3">
        <f t="shared" si="5"/>
        <v>576478</v>
      </c>
      <c r="W122">
        <v>48039.833333333336</v>
      </c>
      <c r="X122">
        <v>0</v>
      </c>
      <c r="Y122">
        <f t="shared" si="6"/>
        <v>48039.833333333336</v>
      </c>
      <c r="Z122">
        <f t="shared" si="7"/>
        <v>0</v>
      </c>
      <c r="AA122">
        <v>0</v>
      </c>
    </row>
    <row r="123" spans="1:27" x14ac:dyDescent="0.25">
      <c r="A123" s="1">
        <v>122</v>
      </c>
      <c r="B123" t="s">
        <v>2106</v>
      </c>
      <c r="C123" t="s">
        <v>1135</v>
      </c>
      <c r="D123" t="s">
        <v>1142</v>
      </c>
      <c r="E123" t="s">
        <v>1141</v>
      </c>
      <c r="H123" t="s">
        <v>1162</v>
      </c>
      <c r="I123" t="s">
        <v>1162</v>
      </c>
      <c r="J123" t="s">
        <v>1259</v>
      </c>
      <c r="K123" t="s">
        <v>1212</v>
      </c>
      <c r="M123" s="3">
        <f t="shared" si="4"/>
        <v>63.571428571428569</v>
      </c>
      <c r="N123">
        <v>14</v>
      </c>
      <c r="O123">
        <v>80</v>
      </c>
      <c r="P123">
        <v>73</v>
      </c>
      <c r="Q123">
        <v>78</v>
      </c>
      <c r="R123">
        <v>80</v>
      </c>
      <c r="S123">
        <v>82</v>
      </c>
      <c r="T123">
        <v>38</v>
      </c>
      <c r="U123">
        <v>0</v>
      </c>
      <c r="V123" s="3">
        <f t="shared" si="5"/>
        <v>1078003</v>
      </c>
      <c r="W123">
        <v>89833.583333333328</v>
      </c>
      <c r="X123">
        <v>0</v>
      </c>
      <c r="Y123">
        <f t="shared" si="6"/>
        <v>89833.583333333328</v>
      </c>
      <c r="Z123">
        <f t="shared" si="7"/>
        <v>0</v>
      </c>
      <c r="AA123">
        <v>0</v>
      </c>
    </row>
    <row r="124" spans="1:27" x14ac:dyDescent="0.25">
      <c r="A124" s="1">
        <v>123</v>
      </c>
      <c r="B124" t="s">
        <v>2107</v>
      </c>
      <c r="C124" t="s">
        <v>1135</v>
      </c>
      <c r="D124" t="s">
        <v>1141</v>
      </c>
      <c r="E124" t="s">
        <v>1142</v>
      </c>
      <c r="H124" t="s">
        <v>1162</v>
      </c>
      <c r="I124" t="s">
        <v>1162</v>
      </c>
      <c r="J124" t="s">
        <v>1259</v>
      </c>
      <c r="K124" t="s">
        <v>1212</v>
      </c>
      <c r="M124" s="3">
        <f t="shared" si="4"/>
        <v>58.571428571428569</v>
      </c>
      <c r="N124">
        <v>10</v>
      </c>
      <c r="O124">
        <v>75</v>
      </c>
      <c r="P124">
        <v>68</v>
      </c>
      <c r="Q124">
        <v>73</v>
      </c>
      <c r="R124">
        <v>75</v>
      </c>
      <c r="S124">
        <v>77</v>
      </c>
      <c r="T124">
        <v>32</v>
      </c>
      <c r="U124">
        <v>0</v>
      </c>
      <c r="V124" s="3">
        <f t="shared" si="5"/>
        <v>475181</v>
      </c>
      <c r="W124">
        <v>39598.416666666664</v>
      </c>
      <c r="X124">
        <v>0</v>
      </c>
      <c r="Y124">
        <f t="shared" si="6"/>
        <v>39598.416666666664</v>
      </c>
      <c r="Z124">
        <f t="shared" si="7"/>
        <v>0</v>
      </c>
      <c r="AA124">
        <v>0</v>
      </c>
    </row>
    <row r="125" spans="1:27" x14ac:dyDescent="0.25">
      <c r="A125" s="1">
        <v>124</v>
      </c>
      <c r="B125" t="s">
        <v>561</v>
      </c>
      <c r="C125" t="s">
        <v>1135</v>
      </c>
      <c r="D125" t="s">
        <v>1142</v>
      </c>
      <c r="G125" t="s">
        <v>1189</v>
      </c>
      <c r="H125" t="s">
        <v>1189</v>
      </c>
      <c r="I125" t="s">
        <v>1189</v>
      </c>
      <c r="J125" t="s">
        <v>1259</v>
      </c>
      <c r="K125" t="s">
        <v>1212</v>
      </c>
      <c r="M125" s="3">
        <f t="shared" si="4"/>
        <v>45.857142857142854</v>
      </c>
      <c r="N125">
        <v>12</v>
      </c>
      <c r="O125">
        <v>52</v>
      </c>
      <c r="P125">
        <v>58</v>
      </c>
      <c r="Q125">
        <v>61</v>
      </c>
      <c r="R125">
        <v>53</v>
      </c>
      <c r="S125">
        <v>64</v>
      </c>
      <c r="T125">
        <v>21</v>
      </c>
      <c r="U125">
        <v>0</v>
      </c>
      <c r="V125" s="3">
        <f t="shared" si="5"/>
        <v>41122</v>
      </c>
      <c r="W125">
        <v>3426.8333333333335</v>
      </c>
      <c r="X125">
        <v>0</v>
      </c>
      <c r="Y125">
        <f t="shared" si="6"/>
        <v>3426.8333333333335</v>
      </c>
      <c r="Z125">
        <f t="shared" si="7"/>
        <v>0</v>
      </c>
      <c r="AA125">
        <v>0</v>
      </c>
    </row>
    <row r="126" spans="1:27" x14ac:dyDescent="0.25">
      <c r="A126" s="1">
        <v>125</v>
      </c>
      <c r="B126" t="s">
        <v>720</v>
      </c>
      <c r="C126" t="s">
        <v>1136</v>
      </c>
      <c r="D126" t="s">
        <v>1143</v>
      </c>
      <c r="E126" t="s">
        <v>1146</v>
      </c>
      <c r="F126" t="s">
        <v>1145</v>
      </c>
      <c r="G126" t="s">
        <v>1162</v>
      </c>
      <c r="H126" t="s">
        <v>1162</v>
      </c>
      <c r="I126" t="s">
        <v>1162</v>
      </c>
      <c r="J126" t="s">
        <v>1259</v>
      </c>
      <c r="K126" t="s">
        <v>1212</v>
      </c>
      <c r="M126" s="3">
        <f t="shared" si="4"/>
        <v>83.428571428571431</v>
      </c>
      <c r="N126">
        <v>81</v>
      </c>
      <c r="O126">
        <v>85</v>
      </c>
      <c r="P126">
        <v>87</v>
      </c>
      <c r="Q126">
        <v>87</v>
      </c>
      <c r="R126">
        <v>80</v>
      </c>
      <c r="S126">
        <v>83</v>
      </c>
      <c r="T126">
        <v>81</v>
      </c>
      <c r="U126">
        <v>22</v>
      </c>
      <c r="V126" s="3">
        <f t="shared" si="5"/>
        <v>24504133</v>
      </c>
      <c r="W126">
        <v>2042011.0833333333</v>
      </c>
      <c r="X126">
        <v>0</v>
      </c>
      <c r="Y126">
        <f t="shared" si="6"/>
        <v>2042011.0833333333</v>
      </c>
      <c r="Z126">
        <f t="shared" si="7"/>
        <v>0</v>
      </c>
      <c r="AA126">
        <v>0</v>
      </c>
    </row>
    <row r="127" spans="1:27" x14ac:dyDescent="0.25">
      <c r="A127" s="1">
        <v>126</v>
      </c>
      <c r="B127" t="s">
        <v>2101</v>
      </c>
      <c r="C127" t="s">
        <v>1136</v>
      </c>
      <c r="D127" t="s">
        <v>1143</v>
      </c>
      <c r="E127" t="s">
        <v>1144</v>
      </c>
      <c r="H127" t="s">
        <v>1162</v>
      </c>
      <c r="I127" t="s">
        <v>1162</v>
      </c>
      <c r="J127" t="s">
        <v>1259</v>
      </c>
      <c r="K127" t="s">
        <v>1212</v>
      </c>
      <c r="M127" s="3">
        <f t="shared" si="4"/>
        <v>61.857142857142854</v>
      </c>
      <c r="N127">
        <v>13</v>
      </c>
      <c r="O127">
        <v>78</v>
      </c>
      <c r="P127">
        <v>71</v>
      </c>
      <c r="Q127">
        <v>76</v>
      </c>
      <c r="R127">
        <v>78</v>
      </c>
      <c r="S127">
        <v>80</v>
      </c>
      <c r="T127">
        <v>37</v>
      </c>
      <c r="U127">
        <v>0</v>
      </c>
      <c r="V127" s="3">
        <f t="shared" si="5"/>
        <v>820160</v>
      </c>
      <c r="W127">
        <v>68346.666666666672</v>
      </c>
      <c r="X127">
        <v>0</v>
      </c>
      <c r="Y127">
        <f t="shared" si="6"/>
        <v>68346.666666666672</v>
      </c>
      <c r="Z127">
        <f t="shared" si="7"/>
        <v>0</v>
      </c>
      <c r="AA127">
        <v>0</v>
      </c>
    </row>
    <row r="128" spans="1:27" x14ac:dyDescent="0.25">
      <c r="A128" s="1">
        <v>127</v>
      </c>
      <c r="B128" t="s">
        <v>2104</v>
      </c>
      <c r="C128" t="s">
        <v>1136</v>
      </c>
      <c r="D128" t="s">
        <v>1145</v>
      </c>
      <c r="E128" t="s">
        <v>1143</v>
      </c>
      <c r="H128" t="s">
        <v>1162</v>
      </c>
      <c r="I128" t="s">
        <v>1162</v>
      </c>
      <c r="J128" t="s">
        <v>1259</v>
      </c>
      <c r="K128" t="s">
        <v>1212</v>
      </c>
      <c r="M128" s="3">
        <f t="shared" si="4"/>
        <v>55.571428571428569</v>
      </c>
      <c r="N128">
        <v>8</v>
      </c>
      <c r="O128">
        <v>72</v>
      </c>
      <c r="P128">
        <v>64</v>
      </c>
      <c r="Q128">
        <v>70</v>
      </c>
      <c r="R128">
        <v>72</v>
      </c>
      <c r="S128">
        <v>74</v>
      </c>
      <c r="T128">
        <v>29</v>
      </c>
      <c r="U128">
        <v>0</v>
      </c>
      <c r="V128" s="3">
        <f t="shared" si="5"/>
        <v>280877</v>
      </c>
      <c r="W128">
        <v>23406.416666666668</v>
      </c>
      <c r="X128">
        <v>0</v>
      </c>
      <c r="Y128">
        <f t="shared" si="6"/>
        <v>23406.416666666668</v>
      </c>
      <c r="Z128">
        <f t="shared" si="7"/>
        <v>0</v>
      </c>
      <c r="AA128">
        <v>0</v>
      </c>
    </row>
    <row r="129" spans="1:27" x14ac:dyDescent="0.25">
      <c r="A129" s="1">
        <v>128</v>
      </c>
      <c r="B129" t="s">
        <v>2102</v>
      </c>
      <c r="C129" t="s">
        <v>1136</v>
      </c>
      <c r="D129" t="s">
        <v>1147</v>
      </c>
      <c r="E129" t="s">
        <v>1145</v>
      </c>
      <c r="H129" t="s">
        <v>1162</v>
      </c>
      <c r="I129" t="s">
        <v>1162</v>
      </c>
      <c r="J129" t="s">
        <v>1259</v>
      </c>
      <c r="K129" t="s">
        <v>1212</v>
      </c>
      <c r="M129" s="3">
        <f t="shared" si="4"/>
        <v>69.857142857142861</v>
      </c>
      <c r="N129">
        <v>44</v>
      </c>
      <c r="O129">
        <v>80</v>
      </c>
      <c r="P129">
        <v>80</v>
      </c>
      <c r="Q129">
        <v>80</v>
      </c>
      <c r="R129">
        <v>78</v>
      </c>
      <c r="S129">
        <v>87</v>
      </c>
      <c r="T129">
        <v>40</v>
      </c>
      <c r="U129">
        <v>0</v>
      </c>
      <c r="V129" s="3">
        <f t="shared" si="5"/>
        <v>2767632</v>
      </c>
      <c r="W129">
        <v>230636</v>
      </c>
      <c r="X129">
        <v>0</v>
      </c>
      <c r="Y129">
        <f t="shared" si="6"/>
        <v>230636</v>
      </c>
      <c r="Z129">
        <f t="shared" si="7"/>
        <v>0</v>
      </c>
      <c r="AA129">
        <v>0</v>
      </c>
    </row>
    <row r="130" spans="1:27" x14ac:dyDescent="0.25">
      <c r="A130" s="1">
        <v>129</v>
      </c>
      <c r="B130" t="s">
        <v>2105</v>
      </c>
      <c r="C130" t="s">
        <v>1136</v>
      </c>
      <c r="D130" t="s">
        <v>1146</v>
      </c>
      <c r="E130" t="s">
        <v>1144</v>
      </c>
      <c r="H130" t="s">
        <v>1162</v>
      </c>
      <c r="I130" t="s">
        <v>1162</v>
      </c>
      <c r="J130" t="s">
        <v>1259</v>
      </c>
      <c r="K130" t="s">
        <v>1212</v>
      </c>
      <c r="M130" s="3">
        <f t="shared" ref="M130:M193" si="8">AVERAGE(N130:T130)</f>
        <v>53.428571428571431</v>
      </c>
      <c r="N130">
        <v>7</v>
      </c>
      <c r="O130">
        <v>69</v>
      </c>
      <c r="P130">
        <v>62</v>
      </c>
      <c r="Q130">
        <v>68</v>
      </c>
      <c r="R130">
        <v>70</v>
      </c>
      <c r="S130">
        <v>72</v>
      </c>
      <c r="T130">
        <v>26</v>
      </c>
      <c r="U130">
        <v>0</v>
      </c>
      <c r="V130" s="3">
        <f t="shared" ref="V130:V193" si="9">ROUNDUP(M130^10/1000000000000 * IF(U130&gt;0,1.5,1),0)</f>
        <v>189556</v>
      </c>
      <c r="W130">
        <v>15796.333333333334</v>
      </c>
      <c r="X130">
        <v>0</v>
      </c>
      <c r="Y130">
        <f t="shared" ref="Y130:Y193" si="10">V130/12</f>
        <v>15796.333333333334</v>
      </c>
      <c r="Z130">
        <f t="shared" ref="Z130:Z193" si="11">ROUND(((W130-Y130)/Y130)*100,2)</f>
        <v>0</v>
      </c>
      <c r="AA130">
        <v>0</v>
      </c>
    </row>
    <row r="131" spans="1:27" x14ac:dyDescent="0.25">
      <c r="A131" s="1">
        <v>130</v>
      </c>
      <c r="B131" t="s">
        <v>2109</v>
      </c>
      <c r="C131" t="s">
        <v>1136</v>
      </c>
      <c r="D131" t="s">
        <v>1144</v>
      </c>
      <c r="E131" t="s">
        <v>1138</v>
      </c>
      <c r="H131" t="s">
        <v>1162</v>
      </c>
      <c r="I131" t="s">
        <v>1162</v>
      </c>
      <c r="J131" t="s">
        <v>1259</v>
      </c>
      <c r="K131" t="s">
        <v>1212</v>
      </c>
      <c r="M131" s="3">
        <f t="shared" si="8"/>
        <v>59.714285714285715</v>
      </c>
      <c r="N131">
        <v>11</v>
      </c>
      <c r="O131">
        <v>76</v>
      </c>
      <c r="P131">
        <v>69</v>
      </c>
      <c r="Q131">
        <v>74</v>
      </c>
      <c r="R131">
        <v>76</v>
      </c>
      <c r="S131">
        <v>78</v>
      </c>
      <c r="T131">
        <v>34</v>
      </c>
      <c r="U131">
        <v>0</v>
      </c>
      <c r="V131" s="3">
        <f t="shared" si="9"/>
        <v>576478</v>
      </c>
      <c r="W131">
        <v>48039.833333333336</v>
      </c>
      <c r="X131">
        <v>0</v>
      </c>
      <c r="Y131">
        <f t="shared" si="10"/>
        <v>48039.833333333336</v>
      </c>
      <c r="Z131">
        <f t="shared" si="11"/>
        <v>0</v>
      </c>
      <c r="AA131">
        <v>0</v>
      </c>
    </row>
    <row r="132" spans="1:27" x14ac:dyDescent="0.25">
      <c r="A132" s="1">
        <v>131</v>
      </c>
      <c r="B132" t="s">
        <v>2100</v>
      </c>
      <c r="C132" t="s">
        <v>1136</v>
      </c>
      <c r="D132" t="s">
        <v>1144</v>
      </c>
      <c r="E132" t="s">
        <v>1143</v>
      </c>
      <c r="H132" t="s">
        <v>1162</v>
      </c>
      <c r="I132" t="s">
        <v>1162</v>
      </c>
      <c r="J132" t="s">
        <v>1259</v>
      </c>
      <c r="K132" t="s">
        <v>1212</v>
      </c>
      <c r="M132" s="3">
        <f t="shared" si="8"/>
        <v>57</v>
      </c>
      <c r="N132">
        <v>9</v>
      </c>
      <c r="O132">
        <v>73</v>
      </c>
      <c r="P132">
        <v>65</v>
      </c>
      <c r="Q132">
        <v>72</v>
      </c>
      <c r="R132">
        <v>74</v>
      </c>
      <c r="S132">
        <v>76</v>
      </c>
      <c r="T132">
        <v>30</v>
      </c>
      <c r="U132">
        <v>0</v>
      </c>
      <c r="V132" s="3">
        <f t="shared" si="9"/>
        <v>362034</v>
      </c>
      <c r="W132">
        <v>30169.5</v>
      </c>
      <c r="X132">
        <v>0</v>
      </c>
      <c r="Y132">
        <f t="shared" si="10"/>
        <v>30169.5</v>
      </c>
      <c r="Z132">
        <f t="shared" si="11"/>
        <v>0</v>
      </c>
      <c r="AA132">
        <v>0</v>
      </c>
    </row>
    <row r="133" spans="1:27" x14ac:dyDescent="0.25">
      <c r="A133" s="1">
        <v>132</v>
      </c>
      <c r="B133" t="s">
        <v>2103</v>
      </c>
      <c r="C133" t="s">
        <v>1136</v>
      </c>
      <c r="D133" t="s">
        <v>1147</v>
      </c>
      <c r="E133" t="s">
        <v>1146</v>
      </c>
      <c r="H133" t="s">
        <v>1162</v>
      </c>
      <c r="I133" t="s">
        <v>1162</v>
      </c>
      <c r="J133" t="s">
        <v>1259</v>
      </c>
      <c r="K133" t="s">
        <v>1212</v>
      </c>
      <c r="M133" s="3">
        <f t="shared" si="8"/>
        <v>58</v>
      </c>
      <c r="N133">
        <v>10</v>
      </c>
      <c r="O133">
        <v>74</v>
      </c>
      <c r="P133">
        <v>67</v>
      </c>
      <c r="Q133">
        <v>72</v>
      </c>
      <c r="R133">
        <v>74</v>
      </c>
      <c r="S133">
        <v>76</v>
      </c>
      <c r="T133">
        <v>33</v>
      </c>
      <c r="U133">
        <v>0</v>
      </c>
      <c r="V133" s="3">
        <f t="shared" si="9"/>
        <v>430805</v>
      </c>
      <c r="W133">
        <v>35900.416666666664</v>
      </c>
      <c r="X133">
        <v>0</v>
      </c>
      <c r="Y133">
        <f t="shared" si="10"/>
        <v>35900.416666666664</v>
      </c>
      <c r="Z133">
        <f t="shared" si="11"/>
        <v>0</v>
      </c>
      <c r="AA133">
        <v>0</v>
      </c>
    </row>
    <row r="134" spans="1:27" x14ac:dyDescent="0.25">
      <c r="A134" s="1">
        <v>133</v>
      </c>
      <c r="B134" t="s">
        <v>2094</v>
      </c>
      <c r="C134" t="s">
        <v>1137</v>
      </c>
      <c r="D134" t="s">
        <v>1137</v>
      </c>
      <c r="H134" t="s">
        <v>1162</v>
      </c>
      <c r="I134" t="s">
        <v>1162</v>
      </c>
      <c r="J134" t="s">
        <v>1259</v>
      </c>
      <c r="K134" t="s">
        <v>1212</v>
      </c>
      <c r="M134" s="3">
        <f t="shared" si="8"/>
        <v>53.857142857142854</v>
      </c>
      <c r="N134">
        <v>8</v>
      </c>
      <c r="O134">
        <v>69</v>
      </c>
      <c r="P134">
        <v>61</v>
      </c>
      <c r="Q134">
        <v>68</v>
      </c>
      <c r="R134">
        <v>70</v>
      </c>
      <c r="S134">
        <v>72</v>
      </c>
      <c r="T134">
        <v>29</v>
      </c>
      <c r="U134">
        <v>0</v>
      </c>
      <c r="V134" s="3">
        <f t="shared" si="9"/>
        <v>205321</v>
      </c>
      <c r="W134">
        <v>17110.083333333332</v>
      </c>
      <c r="X134">
        <v>0</v>
      </c>
      <c r="Y134">
        <f t="shared" si="10"/>
        <v>17110.083333333332</v>
      </c>
      <c r="Z134">
        <f t="shared" si="11"/>
        <v>0</v>
      </c>
      <c r="AA134">
        <v>0</v>
      </c>
    </row>
    <row r="135" spans="1:27" x14ac:dyDescent="0.25">
      <c r="A135" s="1">
        <v>134</v>
      </c>
      <c r="B135" t="s">
        <v>25</v>
      </c>
      <c r="C135" t="s">
        <v>1133</v>
      </c>
      <c r="D135" t="s">
        <v>1133</v>
      </c>
      <c r="G135" t="s">
        <v>1151</v>
      </c>
      <c r="H135" t="s">
        <v>1151</v>
      </c>
      <c r="I135" t="s">
        <v>1151</v>
      </c>
      <c r="J135" t="s">
        <v>1228</v>
      </c>
      <c r="K135" t="s">
        <v>1212</v>
      </c>
      <c r="M135" s="3">
        <f t="shared" si="8"/>
        <v>80.285714285714292</v>
      </c>
      <c r="N135">
        <v>67</v>
      </c>
      <c r="O135">
        <v>75</v>
      </c>
      <c r="P135">
        <v>75</v>
      </c>
      <c r="Q135">
        <v>85</v>
      </c>
      <c r="R135">
        <v>90</v>
      </c>
      <c r="S135">
        <v>90</v>
      </c>
      <c r="T135">
        <v>80</v>
      </c>
      <c r="U135">
        <v>29</v>
      </c>
      <c r="V135" s="3">
        <f t="shared" si="9"/>
        <v>16690680</v>
      </c>
      <c r="W135">
        <v>1390890</v>
      </c>
      <c r="X135">
        <v>0</v>
      </c>
      <c r="Y135">
        <f t="shared" si="10"/>
        <v>1390890</v>
      </c>
      <c r="Z135">
        <f t="shared" si="11"/>
        <v>0</v>
      </c>
      <c r="AA135">
        <v>0</v>
      </c>
    </row>
    <row r="136" spans="1:27" x14ac:dyDescent="0.25">
      <c r="A136" s="1">
        <v>135</v>
      </c>
      <c r="B136" t="s">
        <v>1675</v>
      </c>
      <c r="C136" t="s">
        <v>1133</v>
      </c>
      <c r="D136" t="s">
        <v>1133</v>
      </c>
      <c r="H136" t="s">
        <v>1151</v>
      </c>
      <c r="I136" t="s">
        <v>1151</v>
      </c>
      <c r="J136" t="s">
        <v>1228</v>
      </c>
      <c r="K136" t="s">
        <v>1212</v>
      </c>
      <c r="M136" s="3">
        <f t="shared" si="8"/>
        <v>73.857142857142861</v>
      </c>
      <c r="N136">
        <v>31</v>
      </c>
      <c r="O136">
        <v>78</v>
      </c>
      <c r="P136">
        <v>79</v>
      </c>
      <c r="Q136">
        <v>88</v>
      </c>
      <c r="R136">
        <v>92</v>
      </c>
      <c r="S136">
        <v>93</v>
      </c>
      <c r="T136">
        <v>56</v>
      </c>
      <c r="U136">
        <v>0</v>
      </c>
      <c r="V136" s="3">
        <f t="shared" si="9"/>
        <v>4829755</v>
      </c>
      <c r="W136">
        <v>402479.58333333331</v>
      </c>
      <c r="X136">
        <v>0</v>
      </c>
      <c r="Y136">
        <f t="shared" si="10"/>
        <v>402479.58333333331</v>
      </c>
      <c r="Z136">
        <f t="shared" si="11"/>
        <v>0</v>
      </c>
      <c r="AA136">
        <v>0</v>
      </c>
    </row>
    <row r="137" spans="1:27" x14ac:dyDescent="0.25">
      <c r="A137" s="1">
        <v>136</v>
      </c>
      <c r="B137" t="s">
        <v>132</v>
      </c>
      <c r="C137" t="s">
        <v>1134</v>
      </c>
      <c r="D137" t="s">
        <v>1138</v>
      </c>
      <c r="G137" t="s">
        <v>1151</v>
      </c>
      <c r="H137" t="s">
        <v>1151</v>
      </c>
      <c r="I137" t="s">
        <v>1151</v>
      </c>
      <c r="J137" t="s">
        <v>1228</v>
      </c>
      <c r="K137" t="s">
        <v>1212</v>
      </c>
      <c r="M137" s="3">
        <f t="shared" si="8"/>
        <v>70.571428571428569</v>
      </c>
      <c r="N137">
        <v>36</v>
      </c>
      <c r="O137">
        <v>75</v>
      </c>
      <c r="P137">
        <v>77</v>
      </c>
      <c r="Q137">
        <v>85</v>
      </c>
      <c r="R137">
        <v>81</v>
      </c>
      <c r="S137">
        <v>80</v>
      </c>
      <c r="T137">
        <v>60</v>
      </c>
      <c r="U137">
        <v>26</v>
      </c>
      <c r="V137" s="3">
        <f t="shared" si="9"/>
        <v>4596004</v>
      </c>
      <c r="W137">
        <v>383000.33333333331</v>
      </c>
      <c r="X137">
        <v>0</v>
      </c>
      <c r="Y137">
        <f t="shared" si="10"/>
        <v>383000.33333333331</v>
      </c>
      <c r="Z137">
        <f t="shared" si="11"/>
        <v>0</v>
      </c>
      <c r="AA137">
        <v>0</v>
      </c>
    </row>
    <row r="138" spans="1:27" x14ac:dyDescent="0.25">
      <c r="A138" s="1">
        <v>137</v>
      </c>
      <c r="B138" t="s">
        <v>2551</v>
      </c>
      <c r="C138" t="s">
        <v>1134</v>
      </c>
      <c r="D138" t="s">
        <v>1138</v>
      </c>
      <c r="E138" t="s">
        <v>1144</v>
      </c>
      <c r="H138" t="s">
        <v>1151</v>
      </c>
      <c r="I138" t="s">
        <v>1151</v>
      </c>
      <c r="J138" t="s">
        <v>1228</v>
      </c>
      <c r="K138" t="s">
        <v>1212</v>
      </c>
      <c r="M138" s="3">
        <f t="shared" si="8"/>
        <v>68.428571428571431</v>
      </c>
      <c r="N138">
        <v>28</v>
      </c>
      <c r="O138">
        <v>82</v>
      </c>
      <c r="P138">
        <v>68</v>
      </c>
      <c r="Q138">
        <v>80</v>
      </c>
      <c r="R138">
        <v>85</v>
      </c>
      <c r="S138">
        <v>86</v>
      </c>
      <c r="T138">
        <v>50</v>
      </c>
      <c r="U138">
        <v>0</v>
      </c>
      <c r="V138" s="3">
        <f t="shared" si="9"/>
        <v>2250997</v>
      </c>
      <c r="W138">
        <v>187583.08333333334</v>
      </c>
      <c r="X138">
        <v>0</v>
      </c>
      <c r="Y138">
        <f t="shared" si="10"/>
        <v>187583.08333333334</v>
      </c>
      <c r="Z138">
        <f t="shared" si="11"/>
        <v>0</v>
      </c>
      <c r="AA138">
        <v>0</v>
      </c>
    </row>
    <row r="139" spans="1:27" x14ac:dyDescent="0.25">
      <c r="A139" s="1">
        <v>138</v>
      </c>
      <c r="B139" t="s">
        <v>1676</v>
      </c>
      <c r="C139" t="s">
        <v>1134</v>
      </c>
      <c r="D139" t="s">
        <v>1138</v>
      </c>
      <c r="E139" t="s">
        <v>1144</v>
      </c>
      <c r="H139" t="s">
        <v>1151</v>
      </c>
      <c r="I139" t="s">
        <v>1151</v>
      </c>
      <c r="J139" t="s">
        <v>1228</v>
      </c>
      <c r="K139" t="s">
        <v>1212</v>
      </c>
      <c r="M139" s="3">
        <f t="shared" si="8"/>
        <v>71</v>
      </c>
      <c r="N139">
        <v>36</v>
      </c>
      <c r="O139">
        <v>77</v>
      </c>
      <c r="P139">
        <v>72</v>
      </c>
      <c r="Q139">
        <v>86</v>
      </c>
      <c r="R139">
        <v>87</v>
      </c>
      <c r="S139">
        <v>88</v>
      </c>
      <c r="T139">
        <v>51</v>
      </c>
      <c r="U139">
        <v>0</v>
      </c>
      <c r="V139" s="3">
        <f t="shared" si="9"/>
        <v>3255244</v>
      </c>
      <c r="W139">
        <v>271270.33333333331</v>
      </c>
      <c r="X139">
        <v>0</v>
      </c>
      <c r="Y139">
        <f t="shared" si="10"/>
        <v>271270.33333333331</v>
      </c>
      <c r="Z139">
        <f t="shared" si="11"/>
        <v>0</v>
      </c>
      <c r="AA139">
        <v>0</v>
      </c>
    </row>
    <row r="140" spans="1:27" x14ac:dyDescent="0.25">
      <c r="A140" s="1">
        <v>139</v>
      </c>
      <c r="B140" t="s">
        <v>416</v>
      </c>
      <c r="C140" t="s">
        <v>1134</v>
      </c>
      <c r="D140" t="s">
        <v>1138</v>
      </c>
      <c r="G140" t="s">
        <v>1209</v>
      </c>
      <c r="H140" t="s">
        <v>1209</v>
      </c>
      <c r="I140" t="s">
        <v>1209</v>
      </c>
      <c r="J140" t="s">
        <v>1228</v>
      </c>
      <c r="K140" t="s">
        <v>1212</v>
      </c>
      <c r="M140" s="3">
        <f t="shared" si="8"/>
        <v>66.714285714285708</v>
      </c>
      <c r="N140">
        <v>50</v>
      </c>
      <c r="O140">
        <v>63</v>
      </c>
      <c r="P140">
        <v>75</v>
      </c>
      <c r="Q140">
        <v>70</v>
      </c>
      <c r="R140">
        <v>73</v>
      </c>
      <c r="S140">
        <v>84</v>
      </c>
      <c r="T140">
        <v>52</v>
      </c>
      <c r="U140">
        <v>0</v>
      </c>
      <c r="V140" s="3">
        <f t="shared" si="9"/>
        <v>1746580</v>
      </c>
      <c r="W140">
        <v>145548.33333333334</v>
      </c>
      <c r="X140">
        <v>0</v>
      </c>
      <c r="Y140">
        <f t="shared" si="10"/>
        <v>145548.33333333334</v>
      </c>
      <c r="Z140">
        <f t="shared" si="11"/>
        <v>0</v>
      </c>
      <c r="AA140">
        <v>0</v>
      </c>
    </row>
    <row r="141" spans="1:27" x14ac:dyDescent="0.25">
      <c r="A141" s="1">
        <v>140</v>
      </c>
      <c r="B141" t="s">
        <v>1677</v>
      </c>
      <c r="C141" t="s">
        <v>1134</v>
      </c>
      <c r="D141" t="s">
        <v>1138</v>
      </c>
      <c r="E141" t="s">
        <v>1139</v>
      </c>
      <c r="H141" t="s">
        <v>1151</v>
      </c>
      <c r="I141" t="s">
        <v>1151</v>
      </c>
      <c r="J141" t="s">
        <v>1228</v>
      </c>
      <c r="K141" t="s">
        <v>1212</v>
      </c>
      <c r="M141" s="3">
        <f t="shared" si="8"/>
        <v>67</v>
      </c>
      <c r="N141">
        <v>24</v>
      </c>
      <c r="O141">
        <v>80</v>
      </c>
      <c r="P141">
        <v>66</v>
      </c>
      <c r="Q141">
        <v>82</v>
      </c>
      <c r="R141">
        <v>84</v>
      </c>
      <c r="S141">
        <v>85</v>
      </c>
      <c r="T141">
        <v>48</v>
      </c>
      <c r="U141">
        <v>0</v>
      </c>
      <c r="V141" s="3">
        <f t="shared" si="9"/>
        <v>1822838</v>
      </c>
      <c r="W141">
        <v>151903.16666666666</v>
      </c>
      <c r="X141">
        <v>0</v>
      </c>
      <c r="Y141">
        <f t="shared" si="10"/>
        <v>151903.16666666666</v>
      </c>
      <c r="Z141">
        <f t="shared" si="11"/>
        <v>0</v>
      </c>
      <c r="AA141">
        <v>0</v>
      </c>
    </row>
    <row r="142" spans="1:27" x14ac:dyDescent="0.25">
      <c r="A142" s="1">
        <v>141</v>
      </c>
      <c r="B142" t="s">
        <v>131</v>
      </c>
      <c r="C142" t="s">
        <v>1134</v>
      </c>
      <c r="D142" t="s">
        <v>1138</v>
      </c>
      <c r="E142" t="s">
        <v>1144</v>
      </c>
      <c r="G142" t="s">
        <v>1151</v>
      </c>
      <c r="H142" t="s">
        <v>1151</v>
      </c>
      <c r="I142" t="s">
        <v>1151</v>
      </c>
      <c r="J142" t="s">
        <v>1228</v>
      </c>
      <c r="K142" t="s">
        <v>1212</v>
      </c>
      <c r="M142" s="3">
        <f t="shared" si="8"/>
        <v>70</v>
      </c>
      <c r="N142">
        <v>41</v>
      </c>
      <c r="O142">
        <v>74</v>
      </c>
      <c r="P142">
        <v>73</v>
      </c>
      <c r="Q142">
        <v>88</v>
      </c>
      <c r="R142">
        <v>80</v>
      </c>
      <c r="S142">
        <v>79</v>
      </c>
      <c r="T142">
        <v>55</v>
      </c>
      <c r="U142">
        <v>0</v>
      </c>
      <c r="V142" s="3">
        <f t="shared" si="9"/>
        <v>2824753</v>
      </c>
      <c r="W142">
        <v>235396.08333333334</v>
      </c>
      <c r="X142">
        <v>0</v>
      </c>
      <c r="Y142">
        <f t="shared" si="10"/>
        <v>235396.08333333334</v>
      </c>
      <c r="Z142">
        <f t="shared" si="11"/>
        <v>0</v>
      </c>
      <c r="AA142">
        <v>0</v>
      </c>
    </row>
    <row r="143" spans="1:27" x14ac:dyDescent="0.25">
      <c r="A143" s="1">
        <v>142</v>
      </c>
      <c r="B143" t="s">
        <v>1678</v>
      </c>
      <c r="C143" t="s">
        <v>1134</v>
      </c>
      <c r="D143" t="s">
        <v>1138</v>
      </c>
      <c r="H143" t="s">
        <v>1151</v>
      </c>
      <c r="I143" t="s">
        <v>1151</v>
      </c>
      <c r="J143" t="s">
        <v>1228</v>
      </c>
      <c r="K143" t="s">
        <v>1212</v>
      </c>
      <c r="M143" s="3">
        <f t="shared" si="8"/>
        <v>67</v>
      </c>
      <c r="N143">
        <v>24</v>
      </c>
      <c r="O143">
        <v>80</v>
      </c>
      <c r="P143">
        <v>66</v>
      </c>
      <c r="Q143">
        <v>82</v>
      </c>
      <c r="R143">
        <v>84</v>
      </c>
      <c r="S143">
        <v>85</v>
      </c>
      <c r="T143">
        <v>48</v>
      </c>
      <c r="U143">
        <v>0</v>
      </c>
      <c r="V143" s="3">
        <f t="shared" si="9"/>
        <v>1822838</v>
      </c>
      <c r="W143">
        <v>151903.16666666666</v>
      </c>
      <c r="X143">
        <v>0</v>
      </c>
      <c r="Y143">
        <f t="shared" si="10"/>
        <v>151903.16666666666</v>
      </c>
      <c r="Z143">
        <f t="shared" si="11"/>
        <v>0</v>
      </c>
      <c r="AA143">
        <v>0</v>
      </c>
    </row>
    <row r="144" spans="1:27" x14ac:dyDescent="0.25">
      <c r="A144" s="1">
        <v>143</v>
      </c>
      <c r="B144" t="s">
        <v>163</v>
      </c>
      <c r="C144" t="s">
        <v>1134</v>
      </c>
      <c r="D144" t="s">
        <v>1138</v>
      </c>
      <c r="E144" t="s">
        <v>1144</v>
      </c>
      <c r="G144" t="s">
        <v>1157</v>
      </c>
      <c r="H144" t="s">
        <v>1157</v>
      </c>
      <c r="I144" t="s">
        <v>1157</v>
      </c>
      <c r="J144" t="s">
        <v>1228</v>
      </c>
      <c r="K144" t="s">
        <v>1212</v>
      </c>
      <c r="M144" s="3">
        <f t="shared" si="8"/>
        <v>73.285714285714292</v>
      </c>
      <c r="N144">
        <v>70</v>
      </c>
      <c r="O144">
        <v>72</v>
      </c>
      <c r="P144">
        <v>76</v>
      </c>
      <c r="Q144">
        <v>70</v>
      </c>
      <c r="R144">
        <v>72</v>
      </c>
      <c r="S144">
        <v>82</v>
      </c>
      <c r="T144">
        <v>71</v>
      </c>
      <c r="U144">
        <v>0</v>
      </c>
      <c r="V144" s="3">
        <f t="shared" si="9"/>
        <v>4468825</v>
      </c>
      <c r="W144">
        <v>372402.08333333331</v>
      </c>
      <c r="X144">
        <v>0</v>
      </c>
      <c r="Y144">
        <f t="shared" si="10"/>
        <v>372402.08333333331</v>
      </c>
      <c r="Z144">
        <f t="shared" si="11"/>
        <v>0</v>
      </c>
      <c r="AA144">
        <v>0</v>
      </c>
    </row>
    <row r="145" spans="1:27" x14ac:dyDescent="0.25">
      <c r="A145" s="1">
        <v>144</v>
      </c>
      <c r="B145" t="s">
        <v>503</v>
      </c>
      <c r="C145" t="s">
        <v>1135</v>
      </c>
      <c r="D145" t="s">
        <v>1141</v>
      </c>
      <c r="E145" t="s">
        <v>1145</v>
      </c>
      <c r="G145" t="s">
        <v>1170</v>
      </c>
      <c r="H145" t="s">
        <v>1221</v>
      </c>
      <c r="I145" t="s">
        <v>1221</v>
      </c>
      <c r="J145" t="s">
        <v>1228</v>
      </c>
      <c r="K145" t="s">
        <v>1212</v>
      </c>
      <c r="M145" s="3">
        <f t="shared" si="8"/>
        <v>85.142857142857139</v>
      </c>
      <c r="N145">
        <v>83</v>
      </c>
      <c r="O145">
        <v>91</v>
      </c>
      <c r="P145">
        <v>89</v>
      </c>
      <c r="Q145">
        <v>88</v>
      </c>
      <c r="R145">
        <v>81</v>
      </c>
      <c r="S145">
        <v>75</v>
      </c>
      <c r="T145">
        <v>89</v>
      </c>
      <c r="U145">
        <v>9</v>
      </c>
      <c r="V145" s="3">
        <f t="shared" si="9"/>
        <v>30031254</v>
      </c>
      <c r="W145">
        <v>2502604.5</v>
      </c>
      <c r="X145">
        <v>0</v>
      </c>
      <c r="Y145">
        <f t="shared" si="10"/>
        <v>2502604.5</v>
      </c>
      <c r="Z145">
        <f t="shared" si="11"/>
        <v>0</v>
      </c>
      <c r="AA145">
        <v>0</v>
      </c>
    </row>
    <row r="146" spans="1:27" x14ac:dyDescent="0.25">
      <c r="A146" s="1">
        <v>145</v>
      </c>
      <c r="B146" t="s">
        <v>442</v>
      </c>
      <c r="C146" t="s">
        <v>1135</v>
      </c>
      <c r="D146" t="s">
        <v>1141</v>
      </c>
      <c r="E146" t="s">
        <v>1145</v>
      </c>
      <c r="G146" t="s">
        <v>1151</v>
      </c>
      <c r="H146" t="s">
        <v>1151</v>
      </c>
      <c r="I146" t="s">
        <v>1151</v>
      </c>
      <c r="J146" t="s">
        <v>1228</v>
      </c>
      <c r="K146" t="s">
        <v>1212</v>
      </c>
      <c r="M146" s="3">
        <f t="shared" si="8"/>
        <v>81.428571428571431</v>
      </c>
      <c r="N146">
        <v>70</v>
      </c>
      <c r="O146">
        <v>82</v>
      </c>
      <c r="P146">
        <v>88</v>
      </c>
      <c r="Q146">
        <v>84</v>
      </c>
      <c r="R146">
        <v>88</v>
      </c>
      <c r="S146">
        <v>88</v>
      </c>
      <c r="T146">
        <v>70</v>
      </c>
      <c r="U146">
        <v>16</v>
      </c>
      <c r="V146" s="3">
        <f t="shared" si="9"/>
        <v>19224694</v>
      </c>
      <c r="W146">
        <v>1602057.8333333333</v>
      </c>
      <c r="X146">
        <v>0</v>
      </c>
      <c r="Y146">
        <f t="shared" si="10"/>
        <v>1602057.8333333333</v>
      </c>
      <c r="Z146">
        <f t="shared" si="11"/>
        <v>0</v>
      </c>
      <c r="AA146">
        <v>0</v>
      </c>
    </row>
    <row r="147" spans="1:27" x14ac:dyDescent="0.25">
      <c r="A147" s="1">
        <v>146</v>
      </c>
      <c r="B147" t="s">
        <v>2627</v>
      </c>
      <c r="C147" t="s">
        <v>1135</v>
      </c>
      <c r="D147" t="s">
        <v>1141</v>
      </c>
      <c r="E147" t="s">
        <v>1145</v>
      </c>
      <c r="H147" t="s">
        <v>1151</v>
      </c>
      <c r="I147" t="s">
        <v>1151</v>
      </c>
      <c r="J147" t="s">
        <v>1228</v>
      </c>
      <c r="K147" t="s">
        <v>1212</v>
      </c>
      <c r="M147" s="3">
        <f t="shared" si="8"/>
        <v>73.714285714285708</v>
      </c>
      <c r="N147">
        <v>37</v>
      </c>
      <c r="O147">
        <v>80</v>
      </c>
      <c r="P147">
        <v>83</v>
      </c>
      <c r="Q147">
        <v>82</v>
      </c>
      <c r="R147">
        <v>88</v>
      </c>
      <c r="S147">
        <v>89</v>
      </c>
      <c r="T147">
        <v>57</v>
      </c>
      <c r="U147">
        <v>0</v>
      </c>
      <c r="V147" s="3">
        <f t="shared" si="9"/>
        <v>4737145</v>
      </c>
      <c r="W147">
        <v>394762.08333333331</v>
      </c>
      <c r="X147">
        <v>0</v>
      </c>
      <c r="Y147">
        <f t="shared" si="10"/>
        <v>394762.08333333331</v>
      </c>
      <c r="Z147">
        <f t="shared" si="11"/>
        <v>0</v>
      </c>
      <c r="AA147">
        <v>0</v>
      </c>
    </row>
    <row r="148" spans="1:27" x14ac:dyDescent="0.25">
      <c r="A148" s="1">
        <v>147</v>
      </c>
      <c r="B148" t="s">
        <v>1680</v>
      </c>
      <c r="C148" t="s">
        <v>1135</v>
      </c>
      <c r="D148" t="s">
        <v>1141</v>
      </c>
      <c r="E148" t="s">
        <v>1145</v>
      </c>
      <c r="H148" t="s">
        <v>1151</v>
      </c>
      <c r="I148" t="s">
        <v>1151</v>
      </c>
      <c r="J148" t="s">
        <v>1228</v>
      </c>
      <c r="K148" t="s">
        <v>1212</v>
      </c>
      <c r="M148" s="3">
        <f t="shared" si="8"/>
        <v>68.714285714285708</v>
      </c>
      <c r="N148">
        <v>25</v>
      </c>
      <c r="O148">
        <v>76</v>
      </c>
      <c r="P148">
        <v>78</v>
      </c>
      <c r="Q148">
        <v>80</v>
      </c>
      <c r="R148">
        <v>84</v>
      </c>
      <c r="S148">
        <v>86</v>
      </c>
      <c r="T148">
        <v>52</v>
      </c>
      <c r="U148">
        <v>0</v>
      </c>
      <c r="V148" s="3">
        <f t="shared" si="9"/>
        <v>2346770</v>
      </c>
      <c r="W148">
        <v>195564.16666666666</v>
      </c>
      <c r="X148">
        <v>0</v>
      </c>
      <c r="Y148">
        <f t="shared" si="10"/>
        <v>195564.16666666666</v>
      </c>
      <c r="Z148">
        <f t="shared" si="11"/>
        <v>0</v>
      </c>
      <c r="AA148">
        <v>0</v>
      </c>
    </row>
    <row r="149" spans="1:27" x14ac:dyDescent="0.25">
      <c r="A149" s="1">
        <v>148</v>
      </c>
      <c r="B149" t="s">
        <v>628</v>
      </c>
      <c r="C149" t="s">
        <v>1136</v>
      </c>
      <c r="D149" t="s">
        <v>1143</v>
      </c>
      <c r="E149" t="s">
        <v>1145</v>
      </c>
      <c r="F149" t="s">
        <v>1146</v>
      </c>
      <c r="G149" t="s">
        <v>1148</v>
      </c>
      <c r="H149" t="s">
        <v>1148</v>
      </c>
      <c r="I149" t="s">
        <v>1148</v>
      </c>
      <c r="J149" t="s">
        <v>1228</v>
      </c>
      <c r="K149" t="s">
        <v>1212</v>
      </c>
      <c r="M149" s="3">
        <f t="shared" si="8"/>
        <v>91.571428571428569</v>
      </c>
      <c r="N149">
        <v>86</v>
      </c>
      <c r="O149">
        <v>91</v>
      </c>
      <c r="P149">
        <v>95</v>
      </c>
      <c r="Q149">
        <v>98</v>
      </c>
      <c r="R149">
        <v>90</v>
      </c>
      <c r="S149">
        <v>87</v>
      </c>
      <c r="T149">
        <v>94</v>
      </c>
      <c r="U149">
        <v>22</v>
      </c>
      <c r="V149" s="3">
        <f t="shared" si="9"/>
        <v>62185790</v>
      </c>
      <c r="W149">
        <v>5182149.166666667</v>
      </c>
      <c r="X149">
        <v>0</v>
      </c>
      <c r="Y149">
        <f t="shared" si="10"/>
        <v>5182149.166666667</v>
      </c>
      <c r="Z149">
        <f t="shared" si="11"/>
        <v>0</v>
      </c>
      <c r="AA149">
        <v>0</v>
      </c>
    </row>
    <row r="150" spans="1:27" x14ac:dyDescent="0.25">
      <c r="A150" s="1">
        <v>149</v>
      </c>
      <c r="B150" t="s">
        <v>674</v>
      </c>
      <c r="C150" t="s">
        <v>1136</v>
      </c>
      <c r="D150" t="s">
        <v>1144</v>
      </c>
      <c r="E150" t="s">
        <v>1143</v>
      </c>
      <c r="G150" t="s">
        <v>1155</v>
      </c>
      <c r="H150" t="s">
        <v>1155</v>
      </c>
      <c r="I150" t="s">
        <v>1155</v>
      </c>
      <c r="J150" t="s">
        <v>1228</v>
      </c>
      <c r="K150" t="s">
        <v>1212</v>
      </c>
      <c r="M150" s="3">
        <f t="shared" si="8"/>
        <v>89.142857142857139</v>
      </c>
      <c r="N150">
        <v>86</v>
      </c>
      <c r="O150">
        <v>85</v>
      </c>
      <c r="P150">
        <v>92</v>
      </c>
      <c r="Q150">
        <v>93</v>
      </c>
      <c r="R150">
        <v>96</v>
      </c>
      <c r="S150">
        <v>88</v>
      </c>
      <c r="T150">
        <v>84</v>
      </c>
      <c r="U150">
        <v>18</v>
      </c>
      <c r="V150" s="3">
        <f t="shared" si="9"/>
        <v>47528790</v>
      </c>
      <c r="W150">
        <v>3960732.5</v>
      </c>
      <c r="X150">
        <v>0</v>
      </c>
      <c r="Y150">
        <f t="shared" si="10"/>
        <v>3960732.5</v>
      </c>
      <c r="Z150">
        <f t="shared" si="11"/>
        <v>0</v>
      </c>
      <c r="AA150">
        <v>0</v>
      </c>
    </row>
    <row r="151" spans="1:27" x14ac:dyDescent="0.25">
      <c r="A151" s="1">
        <v>150</v>
      </c>
      <c r="B151" t="s">
        <v>1681</v>
      </c>
      <c r="C151" t="s">
        <v>1136</v>
      </c>
      <c r="D151" t="s">
        <v>1144</v>
      </c>
      <c r="E151" t="s">
        <v>1143</v>
      </c>
      <c r="H151" t="s">
        <v>1151</v>
      </c>
      <c r="I151" t="s">
        <v>1151</v>
      </c>
      <c r="J151" t="s">
        <v>1228</v>
      </c>
      <c r="K151" t="s">
        <v>1212</v>
      </c>
      <c r="M151" s="3">
        <f t="shared" si="8"/>
        <v>72.142857142857139</v>
      </c>
      <c r="N151">
        <v>33</v>
      </c>
      <c r="O151">
        <v>79</v>
      </c>
      <c r="P151">
        <v>76</v>
      </c>
      <c r="Q151">
        <v>87</v>
      </c>
      <c r="R151">
        <v>88</v>
      </c>
      <c r="S151">
        <v>87</v>
      </c>
      <c r="T151">
        <v>55</v>
      </c>
      <c r="U151">
        <v>0</v>
      </c>
      <c r="V151" s="3">
        <f t="shared" si="9"/>
        <v>3818857</v>
      </c>
      <c r="W151">
        <v>318238.08333333331</v>
      </c>
      <c r="X151">
        <v>0</v>
      </c>
      <c r="Y151">
        <f t="shared" si="10"/>
        <v>318238.08333333331</v>
      </c>
      <c r="Z151">
        <f t="shared" si="11"/>
        <v>0</v>
      </c>
      <c r="AA151">
        <v>0</v>
      </c>
    </row>
    <row r="152" spans="1:27" x14ac:dyDescent="0.25">
      <c r="A152" s="1">
        <v>151</v>
      </c>
      <c r="B152" t="s">
        <v>987</v>
      </c>
      <c r="C152" t="s">
        <v>1136</v>
      </c>
      <c r="D152" t="s">
        <v>1144</v>
      </c>
      <c r="E152" t="s">
        <v>1138</v>
      </c>
      <c r="F152" t="s">
        <v>1143</v>
      </c>
      <c r="G152" t="s">
        <v>1205</v>
      </c>
      <c r="H152" t="s">
        <v>1205</v>
      </c>
      <c r="I152" t="s">
        <v>1205</v>
      </c>
      <c r="J152" t="s">
        <v>1228</v>
      </c>
      <c r="K152" t="s">
        <v>1212</v>
      </c>
      <c r="M152" s="3">
        <f t="shared" si="8"/>
        <v>89.142857142857139</v>
      </c>
      <c r="N152">
        <v>89</v>
      </c>
      <c r="O152">
        <v>87</v>
      </c>
      <c r="P152">
        <v>88</v>
      </c>
      <c r="Q152">
        <v>90</v>
      </c>
      <c r="R152">
        <v>91</v>
      </c>
      <c r="S152">
        <v>94</v>
      </c>
      <c r="T152">
        <v>85</v>
      </c>
      <c r="U152">
        <v>22</v>
      </c>
      <c r="V152" s="3">
        <f t="shared" si="9"/>
        <v>47528790</v>
      </c>
      <c r="W152">
        <v>3960732.5</v>
      </c>
      <c r="X152">
        <v>0</v>
      </c>
      <c r="Y152">
        <f t="shared" si="10"/>
        <v>3960732.5</v>
      </c>
      <c r="Z152">
        <f t="shared" si="11"/>
        <v>0</v>
      </c>
      <c r="AA152">
        <v>0</v>
      </c>
    </row>
    <row r="153" spans="1:27" x14ac:dyDescent="0.25">
      <c r="A153" s="1">
        <v>152</v>
      </c>
      <c r="B153" t="s">
        <v>1682</v>
      </c>
      <c r="C153" t="s">
        <v>1136</v>
      </c>
      <c r="D153" t="s">
        <v>1143</v>
      </c>
      <c r="E153" t="s">
        <v>1145</v>
      </c>
      <c r="H153" t="s">
        <v>1151</v>
      </c>
      <c r="I153" t="s">
        <v>1151</v>
      </c>
      <c r="J153" t="s">
        <v>1228</v>
      </c>
      <c r="K153" t="s">
        <v>1212</v>
      </c>
      <c r="M153" s="3">
        <f t="shared" si="8"/>
        <v>65.857142857142861</v>
      </c>
      <c r="N153">
        <v>22</v>
      </c>
      <c r="O153">
        <v>75</v>
      </c>
      <c r="P153">
        <v>70</v>
      </c>
      <c r="Q153">
        <v>78</v>
      </c>
      <c r="R153">
        <v>84</v>
      </c>
      <c r="S153">
        <v>83</v>
      </c>
      <c r="T153">
        <v>49</v>
      </c>
      <c r="U153">
        <v>0</v>
      </c>
      <c r="V153" s="3">
        <f t="shared" si="9"/>
        <v>1534719</v>
      </c>
      <c r="W153">
        <v>127893.25</v>
      </c>
      <c r="X153">
        <v>0</v>
      </c>
      <c r="Y153">
        <f t="shared" si="10"/>
        <v>127893.25</v>
      </c>
      <c r="Z153">
        <f t="shared" si="11"/>
        <v>0</v>
      </c>
      <c r="AA153">
        <v>0</v>
      </c>
    </row>
    <row r="154" spans="1:27" x14ac:dyDescent="0.25">
      <c r="A154" s="1">
        <v>153</v>
      </c>
      <c r="B154" t="s">
        <v>647</v>
      </c>
      <c r="C154" t="s">
        <v>1136</v>
      </c>
      <c r="D154" t="s">
        <v>1144</v>
      </c>
      <c r="E154" t="s">
        <v>1138</v>
      </c>
      <c r="F154" t="s">
        <v>1143</v>
      </c>
      <c r="G154" t="s">
        <v>1151</v>
      </c>
      <c r="H154" t="s">
        <v>1151</v>
      </c>
      <c r="I154" t="s">
        <v>1151</v>
      </c>
      <c r="J154" t="s">
        <v>1228</v>
      </c>
      <c r="K154" t="s">
        <v>1212</v>
      </c>
      <c r="M154" s="3">
        <f t="shared" si="8"/>
        <v>82.714285714285708</v>
      </c>
      <c r="N154">
        <v>75</v>
      </c>
      <c r="O154">
        <v>81</v>
      </c>
      <c r="P154">
        <v>85</v>
      </c>
      <c r="Q154">
        <v>88</v>
      </c>
      <c r="R154">
        <v>85</v>
      </c>
      <c r="S154">
        <v>92</v>
      </c>
      <c r="T154">
        <v>73</v>
      </c>
      <c r="U154">
        <v>25</v>
      </c>
      <c r="V154" s="3">
        <f t="shared" si="9"/>
        <v>22485187</v>
      </c>
      <c r="W154">
        <v>1873765.5833333333</v>
      </c>
      <c r="X154">
        <v>0</v>
      </c>
      <c r="Y154">
        <f t="shared" si="10"/>
        <v>1873765.5833333333</v>
      </c>
      <c r="Z154">
        <f t="shared" si="11"/>
        <v>0</v>
      </c>
      <c r="AA154">
        <v>0</v>
      </c>
    </row>
    <row r="155" spans="1:27" x14ac:dyDescent="0.25">
      <c r="A155" s="1">
        <v>154</v>
      </c>
      <c r="B155" t="s">
        <v>1683</v>
      </c>
      <c r="C155" t="s">
        <v>1136</v>
      </c>
      <c r="D155" t="s">
        <v>1146</v>
      </c>
      <c r="E155" t="s">
        <v>1144</v>
      </c>
      <c r="H155" t="s">
        <v>1151</v>
      </c>
      <c r="I155" t="s">
        <v>1151</v>
      </c>
      <c r="J155" t="s">
        <v>1228</v>
      </c>
      <c r="K155" t="s">
        <v>1212</v>
      </c>
      <c r="M155" s="3">
        <f t="shared" si="8"/>
        <v>65.428571428571431</v>
      </c>
      <c r="N155">
        <v>20</v>
      </c>
      <c r="O155">
        <v>84</v>
      </c>
      <c r="P155">
        <v>65</v>
      </c>
      <c r="Q155">
        <v>79</v>
      </c>
      <c r="R155">
        <v>82</v>
      </c>
      <c r="S155">
        <v>81</v>
      </c>
      <c r="T155">
        <v>47</v>
      </c>
      <c r="U155">
        <v>0</v>
      </c>
      <c r="V155" s="3">
        <f t="shared" si="9"/>
        <v>1437721</v>
      </c>
      <c r="W155">
        <v>119810.08333333333</v>
      </c>
      <c r="X155">
        <v>0</v>
      </c>
      <c r="Y155">
        <f t="shared" si="10"/>
        <v>119810.08333333333</v>
      </c>
      <c r="Z155">
        <f t="shared" si="11"/>
        <v>0</v>
      </c>
      <c r="AA155">
        <v>0</v>
      </c>
    </row>
    <row r="156" spans="1:27" x14ac:dyDescent="0.25">
      <c r="A156" s="1">
        <v>155</v>
      </c>
      <c r="B156" t="s">
        <v>1091</v>
      </c>
      <c r="C156" t="s">
        <v>1137</v>
      </c>
      <c r="D156" t="s">
        <v>1137</v>
      </c>
      <c r="H156" t="s">
        <v>1151</v>
      </c>
      <c r="I156" t="s">
        <v>1151</v>
      </c>
      <c r="J156" t="s">
        <v>1228</v>
      </c>
      <c r="K156" t="s">
        <v>1212</v>
      </c>
      <c r="M156" s="3">
        <f t="shared" si="8"/>
        <v>67.571428571428569</v>
      </c>
      <c r="N156">
        <v>47</v>
      </c>
      <c r="O156">
        <v>84</v>
      </c>
      <c r="P156">
        <v>71</v>
      </c>
      <c r="Q156">
        <v>65</v>
      </c>
      <c r="R156">
        <v>69</v>
      </c>
      <c r="S156">
        <v>67</v>
      </c>
      <c r="T156">
        <v>70</v>
      </c>
      <c r="U156">
        <v>0</v>
      </c>
      <c r="V156" s="3">
        <f t="shared" si="9"/>
        <v>1984409</v>
      </c>
      <c r="W156">
        <v>165367.41666666666</v>
      </c>
      <c r="X156">
        <v>0</v>
      </c>
      <c r="Y156">
        <f t="shared" si="10"/>
        <v>165367.41666666666</v>
      </c>
      <c r="Z156">
        <f t="shared" si="11"/>
        <v>0</v>
      </c>
      <c r="AA156">
        <v>0</v>
      </c>
    </row>
    <row r="157" spans="1:27" x14ac:dyDescent="0.25">
      <c r="A157" s="1">
        <v>156</v>
      </c>
      <c r="B157" t="s">
        <v>1628</v>
      </c>
      <c r="C157" t="s">
        <v>1133</v>
      </c>
      <c r="D157" t="s">
        <v>1133</v>
      </c>
      <c r="H157" t="s">
        <v>1186</v>
      </c>
      <c r="I157" t="s">
        <v>1186</v>
      </c>
      <c r="J157" t="s">
        <v>1258</v>
      </c>
      <c r="K157" t="s">
        <v>1212</v>
      </c>
      <c r="M157" s="3">
        <f t="shared" si="8"/>
        <v>62.142857142857146</v>
      </c>
      <c r="N157">
        <v>22</v>
      </c>
      <c r="O157">
        <v>71</v>
      </c>
      <c r="P157">
        <v>82</v>
      </c>
      <c r="Q157">
        <v>73</v>
      </c>
      <c r="R157">
        <v>79</v>
      </c>
      <c r="S157">
        <v>74</v>
      </c>
      <c r="T157">
        <v>34</v>
      </c>
      <c r="U157">
        <v>0</v>
      </c>
      <c r="V157" s="3">
        <f t="shared" si="9"/>
        <v>858840</v>
      </c>
      <c r="W157">
        <v>71570</v>
      </c>
      <c r="X157">
        <v>0</v>
      </c>
      <c r="Y157">
        <f t="shared" si="10"/>
        <v>71570</v>
      </c>
      <c r="Z157">
        <f t="shared" si="11"/>
        <v>0</v>
      </c>
      <c r="AA157">
        <v>0</v>
      </c>
    </row>
    <row r="158" spans="1:27" x14ac:dyDescent="0.25">
      <c r="A158" s="1">
        <v>157</v>
      </c>
      <c r="B158" t="s">
        <v>74</v>
      </c>
      <c r="C158" t="s">
        <v>1133</v>
      </c>
      <c r="D158" t="s">
        <v>1133</v>
      </c>
      <c r="G158" t="s">
        <v>1186</v>
      </c>
      <c r="H158" t="s">
        <v>1186</v>
      </c>
      <c r="I158" t="s">
        <v>1186</v>
      </c>
      <c r="J158" t="s">
        <v>1258</v>
      </c>
      <c r="K158" t="s">
        <v>1212</v>
      </c>
      <c r="M158" s="3">
        <f t="shared" si="8"/>
        <v>70.285714285714292</v>
      </c>
      <c r="N158">
        <v>53</v>
      </c>
      <c r="O158">
        <v>77</v>
      </c>
      <c r="P158">
        <v>85</v>
      </c>
      <c r="Q158">
        <v>76</v>
      </c>
      <c r="R158">
        <v>82</v>
      </c>
      <c r="S158">
        <v>77</v>
      </c>
      <c r="T158">
        <v>42</v>
      </c>
      <c r="U158">
        <v>0</v>
      </c>
      <c r="V158" s="3">
        <f t="shared" si="9"/>
        <v>2942190</v>
      </c>
      <c r="W158">
        <v>245182.5</v>
      </c>
      <c r="X158">
        <v>0</v>
      </c>
      <c r="Y158">
        <f t="shared" si="10"/>
        <v>245182.5</v>
      </c>
      <c r="Z158">
        <f t="shared" si="11"/>
        <v>0</v>
      </c>
      <c r="AA158">
        <v>0</v>
      </c>
    </row>
    <row r="159" spans="1:27" x14ac:dyDescent="0.25">
      <c r="A159" s="1">
        <v>158</v>
      </c>
      <c r="B159" t="s">
        <v>1631</v>
      </c>
      <c r="C159" t="s">
        <v>1134</v>
      </c>
      <c r="D159" t="s">
        <v>1140</v>
      </c>
      <c r="E159" t="s">
        <v>1139</v>
      </c>
      <c r="H159" t="s">
        <v>1186</v>
      </c>
      <c r="I159" t="s">
        <v>1186</v>
      </c>
      <c r="J159" t="s">
        <v>1258</v>
      </c>
      <c r="K159" t="s">
        <v>1212</v>
      </c>
      <c r="M159" s="3">
        <f t="shared" si="8"/>
        <v>63.142857142857146</v>
      </c>
      <c r="N159">
        <v>27</v>
      </c>
      <c r="O159">
        <v>81</v>
      </c>
      <c r="P159">
        <v>70</v>
      </c>
      <c r="Q159">
        <v>72</v>
      </c>
      <c r="R159">
        <v>71</v>
      </c>
      <c r="S159">
        <v>79</v>
      </c>
      <c r="T159">
        <v>42</v>
      </c>
      <c r="U159">
        <v>0</v>
      </c>
      <c r="V159" s="3">
        <f t="shared" si="9"/>
        <v>1007494</v>
      </c>
      <c r="W159">
        <v>83957.833333333328</v>
      </c>
      <c r="X159">
        <v>0</v>
      </c>
      <c r="Y159">
        <f t="shared" si="10"/>
        <v>83957.833333333328</v>
      </c>
      <c r="Z159">
        <f t="shared" si="11"/>
        <v>0</v>
      </c>
      <c r="AA159">
        <v>0</v>
      </c>
    </row>
    <row r="160" spans="1:27" x14ac:dyDescent="0.25">
      <c r="A160" s="1">
        <v>159</v>
      </c>
      <c r="B160" t="s">
        <v>308</v>
      </c>
      <c r="C160" t="s">
        <v>1134</v>
      </c>
      <c r="D160" t="s">
        <v>1138</v>
      </c>
      <c r="G160" t="s">
        <v>1186</v>
      </c>
      <c r="H160" t="s">
        <v>1186</v>
      </c>
      <c r="I160" t="s">
        <v>1186</v>
      </c>
      <c r="J160" t="s">
        <v>1258</v>
      </c>
      <c r="K160" t="s">
        <v>1212</v>
      </c>
      <c r="M160" s="3">
        <f t="shared" si="8"/>
        <v>61</v>
      </c>
      <c r="N160">
        <v>36</v>
      </c>
      <c r="O160">
        <v>64</v>
      </c>
      <c r="P160">
        <v>79</v>
      </c>
      <c r="Q160">
        <v>65</v>
      </c>
      <c r="R160">
        <v>68</v>
      </c>
      <c r="S160">
        <v>85</v>
      </c>
      <c r="T160">
        <v>30</v>
      </c>
      <c r="U160">
        <v>0</v>
      </c>
      <c r="V160" s="3">
        <f t="shared" si="9"/>
        <v>713343</v>
      </c>
      <c r="W160">
        <v>59445.25</v>
      </c>
      <c r="X160">
        <v>0</v>
      </c>
      <c r="Y160">
        <f t="shared" si="10"/>
        <v>59445.25</v>
      </c>
      <c r="Z160">
        <f t="shared" si="11"/>
        <v>0</v>
      </c>
      <c r="AA160">
        <v>0</v>
      </c>
    </row>
    <row r="161" spans="1:27" x14ac:dyDescent="0.25">
      <c r="A161" s="1">
        <v>160</v>
      </c>
      <c r="B161" t="s">
        <v>1632</v>
      </c>
      <c r="C161" t="s">
        <v>1134</v>
      </c>
      <c r="D161" t="s">
        <v>1138</v>
      </c>
      <c r="E161" t="s">
        <v>1144</v>
      </c>
      <c r="H161" t="s">
        <v>1186</v>
      </c>
      <c r="I161" t="s">
        <v>1186</v>
      </c>
      <c r="J161" t="s">
        <v>1258</v>
      </c>
      <c r="K161" t="s">
        <v>1212</v>
      </c>
      <c r="M161" s="3">
        <f t="shared" si="8"/>
        <v>62.571428571428569</v>
      </c>
      <c r="N161">
        <v>25</v>
      </c>
      <c r="O161">
        <v>63</v>
      </c>
      <c r="P161">
        <v>68</v>
      </c>
      <c r="Q161">
        <v>80</v>
      </c>
      <c r="R161">
        <v>83</v>
      </c>
      <c r="S161">
        <v>81</v>
      </c>
      <c r="T161">
        <v>38</v>
      </c>
      <c r="U161">
        <v>0</v>
      </c>
      <c r="V161" s="3">
        <f t="shared" si="9"/>
        <v>919943</v>
      </c>
      <c r="W161">
        <v>76661.916666666672</v>
      </c>
      <c r="X161">
        <v>0</v>
      </c>
      <c r="Y161">
        <f t="shared" si="10"/>
        <v>76661.916666666672</v>
      </c>
      <c r="Z161">
        <f t="shared" si="11"/>
        <v>0</v>
      </c>
      <c r="AA161">
        <v>0</v>
      </c>
    </row>
    <row r="162" spans="1:27" x14ac:dyDescent="0.25">
      <c r="A162" s="1">
        <v>161</v>
      </c>
      <c r="B162" t="s">
        <v>1629</v>
      </c>
      <c r="C162" t="s">
        <v>1134</v>
      </c>
      <c r="D162" t="s">
        <v>1138</v>
      </c>
      <c r="E162" t="s">
        <v>1139</v>
      </c>
      <c r="G162" t="s">
        <v>1186</v>
      </c>
      <c r="H162" t="s">
        <v>1186</v>
      </c>
      <c r="I162" t="s">
        <v>1186</v>
      </c>
      <c r="J162" t="s">
        <v>1258</v>
      </c>
      <c r="K162" t="s">
        <v>1212</v>
      </c>
      <c r="M162" s="3">
        <f t="shared" si="8"/>
        <v>68.857142857142861</v>
      </c>
      <c r="N162">
        <v>29</v>
      </c>
      <c r="O162">
        <v>76</v>
      </c>
      <c r="P162">
        <v>78</v>
      </c>
      <c r="Q162">
        <v>86</v>
      </c>
      <c r="R162">
        <v>84</v>
      </c>
      <c r="S162">
        <v>82</v>
      </c>
      <c r="T162">
        <v>47</v>
      </c>
      <c r="U162">
        <v>0</v>
      </c>
      <c r="V162" s="3">
        <f t="shared" si="9"/>
        <v>2396018</v>
      </c>
      <c r="W162">
        <v>199668.16666666666</v>
      </c>
      <c r="X162">
        <v>0</v>
      </c>
      <c r="Y162">
        <f t="shared" si="10"/>
        <v>199668.16666666666</v>
      </c>
      <c r="Z162">
        <f t="shared" si="11"/>
        <v>0</v>
      </c>
      <c r="AA162">
        <v>0</v>
      </c>
    </row>
    <row r="163" spans="1:27" x14ac:dyDescent="0.25">
      <c r="A163" s="1">
        <v>162</v>
      </c>
      <c r="B163" t="s">
        <v>305</v>
      </c>
      <c r="C163" t="s">
        <v>1134</v>
      </c>
      <c r="D163" t="s">
        <v>1138</v>
      </c>
      <c r="E163" t="s">
        <v>1139</v>
      </c>
      <c r="G163" t="s">
        <v>1186</v>
      </c>
      <c r="H163" t="s">
        <v>1186</v>
      </c>
      <c r="I163" t="s">
        <v>1186</v>
      </c>
      <c r="J163" t="s">
        <v>1258</v>
      </c>
      <c r="K163" t="s">
        <v>1212</v>
      </c>
      <c r="M163" s="3">
        <f t="shared" si="8"/>
        <v>77.714285714285708</v>
      </c>
      <c r="N163">
        <v>71</v>
      </c>
      <c r="O163">
        <v>72</v>
      </c>
      <c r="P163">
        <v>80</v>
      </c>
      <c r="Q163">
        <v>85</v>
      </c>
      <c r="R163">
        <v>82</v>
      </c>
      <c r="S163">
        <v>84</v>
      </c>
      <c r="T163">
        <v>70</v>
      </c>
      <c r="U163">
        <v>0</v>
      </c>
      <c r="V163" s="3">
        <f t="shared" si="9"/>
        <v>8035421</v>
      </c>
      <c r="W163">
        <v>669618.41666666663</v>
      </c>
      <c r="X163">
        <v>0</v>
      </c>
      <c r="Y163">
        <f t="shared" si="10"/>
        <v>669618.41666666663</v>
      </c>
      <c r="Z163">
        <f t="shared" si="11"/>
        <v>0</v>
      </c>
      <c r="AA163">
        <v>0</v>
      </c>
    </row>
    <row r="164" spans="1:27" x14ac:dyDescent="0.25">
      <c r="A164" s="1">
        <v>163</v>
      </c>
      <c r="B164" t="s">
        <v>1630</v>
      </c>
      <c r="C164" t="s">
        <v>1134</v>
      </c>
      <c r="D164" t="s">
        <v>1138</v>
      </c>
      <c r="E164" t="s">
        <v>1140</v>
      </c>
      <c r="H164" t="s">
        <v>1186</v>
      </c>
      <c r="I164" t="s">
        <v>1186</v>
      </c>
      <c r="J164" t="s">
        <v>1258</v>
      </c>
      <c r="K164" t="s">
        <v>1212</v>
      </c>
      <c r="M164" s="3">
        <f t="shared" si="8"/>
        <v>54.285714285714285</v>
      </c>
      <c r="N164">
        <v>21</v>
      </c>
      <c r="O164">
        <v>58</v>
      </c>
      <c r="P164">
        <v>63</v>
      </c>
      <c r="Q164">
        <v>64</v>
      </c>
      <c r="R164">
        <v>66</v>
      </c>
      <c r="S164">
        <v>77</v>
      </c>
      <c r="T164">
        <v>31</v>
      </c>
      <c r="U164">
        <v>0</v>
      </c>
      <c r="V164" s="3">
        <f t="shared" si="9"/>
        <v>222258</v>
      </c>
      <c r="W164">
        <v>18521.5</v>
      </c>
      <c r="X164">
        <v>0</v>
      </c>
      <c r="Y164">
        <f t="shared" si="10"/>
        <v>18521.5</v>
      </c>
      <c r="Z164">
        <f t="shared" si="11"/>
        <v>0</v>
      </c>
      <c r="AA164">
        <v>0</v>
      </c>
    </row>
    <row r="165" spans="1:27" x14ac:dyDescent="0.25">
      <c r="A165" s="1">
        <v>164</v>
      </c>
      <c r="B165" t="s">
        <v>309</v>
      </c>
      <c r="C165" t="s">
        <v>1134</v>
      </c>
      <c r="D165" t="s">
        <v>1138</v>
      </c>
      <c r="G165" t="s">
        <v>1186</v>
      </c>
      <c r="H165" t="s">
        <v>1186</v>
      </c>
      <c r="I165" t="s">
        <v>1186</v>
      </c>
      <c r="J165" t="s">
        <v>1258</v>
      </c>
      <c r="K165" t="s">
        <v>1212</v>
      </c>
      <c r="M165" s="3">
        <f t="shared" si="8"/>
        <v>65.857142857142861</v>
      </c>
      <c r="N165">
        <v>36</v>
      </c>
      <c r="O165">
        <v>73</v>
      </c>
      <c r="P165">
        <v>74</v>
      </c>
      <c r="Q165">
        <v>68</v>
      </c>
      <c r="R165">
        <v>71</v>
      </c>
      <c r="S165">
        <v>95</v>
      </c>
      <c r="T165">
        <v>44</v>
      </c>
      <c r="U165">
        <v>0</v>
      </c>
      <c r="V165" s="3">
        <f t="shared" si="9"/>
        <v>1534719</v>
      </c>
      <c r="W165">
        <v>127893.25</v>
      </c>
      <c r="X165">
        <v>0</v>
      </c>
      <c r="Y165">
        <f t="shared" si="10"/>
        <v>127893.25</v>
      </c>
      <c r="Z165">
        <f t="shared" si="11"/>
        <v>0</v>
      </c>
      <c r="AA165">
        <v>0</v>
      </c>
    </row>
    <row r="166" spans="1:27" x14ac:dyDescent="0.25">
      <c r="A166" s="1">
        <v>165</v>
      </c>
      <c r="B166" t="s">
        <v>306</v>
      </c>
      <c r="C166" t="s">
        <v>1134</v>
      </c>
      <c r="D166" t="s">
        <v>1138</v>
      </c>
      <c r="E166" t="s">
        <v>1140</v>
      </c>
      <c r="G166" t="s">
        <v>1186</v>
      </c>
      <c r="H166" t="s">
        <v>1186</v>
      </c>
      <c r="I166" t="s">
        <v>1186</v>
      </c>
      <c r="J166" t="s">
        <v>1258</v>
      </c>
      <c r="K166" t="s">
        <v>1212</v>
      </c>
      <c r="M166" s="3">
        <f t="shared" si="8"/>
        <v>67.428571428571431</v>
      </c>
      <c r="N166">
        <v>51</v>
      </c>
      <c r="O166">
        <v>67</v>
      </c>
      <c r="P166">
        <v>74</v>
      </c>
      <c r="Q166">
        <v>74</v>
      </c>
      <c r="R166">
        <v>73</v>
      </c>
      <c r="S166">
        <v>83</v>
      </c>
      <c r="T166">
        <v>50</v>
      </c>
      <c r="U166">
        <v>0</v>
      </c>
      <c r="V166" s="3">
        <f t="shared" si="9"/>
        <v>1942852</v>
      </c>
      <c r="W166">
        <v>161904.33333333334</v>
      </c>
      <c r="X166">
        <v>0</v>
      </c>
      <c r="Y166">
        <f t="shared" si="10"/>
        <v>161904.33333333334</v>
      </c>
      <c r="Z166">
        <f t="shared" si="11"/>
        <v>0</v>
      </c>
      <c r="AA166">
        <v>0</v>
      </c>
    </row>
    <row r="167" spans="1:27" x14ac:dyDescent="0.25">
      <c r="A167" s="1">
        <v>166</v>
      </c>
      <c r="B167" t="s">
        <v>307</v>
      </c>
      <c r="C167" t="s">
        <v>1134</v>
      </c>
      <c r="D167" t="s">
        <v>1138</v>
      </c>
      <c r="G167" t="s">
        <v>1186</v>
      </c>
      <c r="H167" t="s">
        <v>1186</v>
      </c>
      <c r="I167" t="s">
        <v>1186</v>
      </c>
      <c r="J167" t="s">
        <v>1258</v>
      </c>
      <c r="K167" t="s">
        <v>1212</v>
      </c>
      <c r="M167" s="3">
        <f t="shared" si="8"/>
        <v>66.428571428571431</v>
      </c>
      <c r="N167">
        <v>48</v>
      </c>
      <c r="O167">
        <v>61</v>
      </c>
      <c r="P167">
        <v>85</v>
      </c>
      <c r="Q167">
        <v>70</v>
      </c>
      <c r="R167">
        <v>70</v>
      </c>
      <c r="S167">
        <v>91</v>
      </c>
      <c r="T167">
        <v>40</v>
      </c>
      <c r="U167">
        <v>0</v>
      </c>
      <c r="V167" s="3">
        <f t="shared" si="9"/>
        <v>1673205</v>
      </c>
      <c r="W167">
        <v>139433.75</v>
      </c>
      <c r="X167">
        <v>0</v>
      </c>
      <c r="Y167">
        <f t="shared" si="10"/>
        <v>139433.75</v>
      </c>
      <c r="Z167">
        <f t="shared" si="11"/>
        <v>0</v>
      </c>
      <c r="AA167">
        <v>0</v>
      </c>
    </row>
    <row r="168" spans="1:27" x14ac:dyDescent="0.25">
      <c r="A168" s="1">
        <v>167</v>
      </c>
      <c r="B168" t="s">
        <v>1633</v>
      </c>
      <c r="C168" t="s">
        <v>1135</v>
      </c>
      <c r="D168" t="s">
        <v>1141</v>
      </c>
      <c r="E168" t="s">
        <v>1142</v>
      </c>
      <c r="H168" t="s">
        <v>1186</v>
      </c>
      <c r="I168" t="s">
        <v>1186</v>
      </c>
      <c r="J168" t="s">
        <v>1258</v>
      </c>
      <c r="K168" t="s">
        <v>1212</v>
      </c>
      <c r="M168" s="3">
        <f t="shared" si="8"/>
        <v>66.571428571428569</v>
      </c>
      <c r="N168">
        <v>28</v>
      </c>
      <c r="O168">
        <v>78</v>
      </c>
      <c r="P168">
        <v>74</v>
      </c>
      <c r="Q168">
        <v>75</v>
      </c>
      <c r="R168">
        <v>80</v>
      </c>
      <c r="S168">
        <v>86</v>
      </c>
      <c r="T168">
        <v>45</v>
      </c>
      <c r="U168">
        <v>0</v>
      </c>
      <c r="V168" s="3">
        <f t="shared" si="9"/>
        <v>1709539</v>
      </c>
      <c r="W168">
        <v>142461.58333333334</v>
      </c>
      <c r="X168">
        <v>0</v>
      </c>
      <c r="Y168">
        <f t="shared" si="10"/>
        <v>142461.58333333334</v>
      </c>
      <c r="Z168">
        <f t="shared" si="11"/>
        <v>0</v>
      </c>
      <c r="AA168">
        <v>0</v>
      </c>
    </row>
    <row r="169" spans="1:27" x14ac:dyDescent="0.25">
      <c r="A169" s="1">
        <v>168</v>
      </c>
      <c r="B169" t="s">
        <v>555</v>
      </c>
      <c r="C169" t="s">
        <v>1135</v>
      </c>
      <c r="D169" t="s">
        <v>1142</v>
      </c>
      <c r="E169" t="s">
        <v>1147</v>
      </c>
      <c r="G169" t="s">
        <v>1186</v>
      </c>
      <c r="H169" t="s">
        <v>1186</v>
      </c>
      <c r="I169" t="s">
        <v>1186</v>
      </c>
      <c r="J169" t="s">
        <v>1258</v>
      </c>
      <c r="K169" t="s">
        <v>1212</v>
      </c>
      <c r="M169" s="3">
        <f t="shared" si="8"/>
        <v>68.428571428571431</v>
      </c>
      <c r="N169">
        <v>46</v>
      </c>
      <c r="O169">
        <v>74</v>
      </c>
      <c r="P169">
        <v>70</v>
      </c>
      <c r="Q169">
        <v>77</v>
      </c>
      <c r="R169">
        <v>83</v>
      </c>
      <c r="S169">
        <v>76</v>
      </c>
      <c r="T169">
        <v>53</v>
      </c>
      <c r="U169">
        <v>0</v>
      </c>
      <c r="V169" s="3">
        <f t="shared" si="9"/>
        <v>2250997</v>
      </c>
      <c r="W169">
        <v>187583.08333333334</v>
      </c>
      <c r="X169">
        <v>0</v>
      </c>
      <c r="Y169">
        <f t="shared" si="10"/>
        <v>187583.08333333334</v>
      </c>
      <c r="Z169">
        <f t="shared" si="11"/>
        <v>0</v>
      </c>
      <c r="AA169">
        <v>0</v>
      </c>
    </row>
    <row r="170" spans="1:27" x14ac:dyDescent="0.25">
      <c r="A170" s="1">
        <v>169</v>
      </c>
      <c r="B170" t="s">
        <v>1634</v>
      </c>
      <c r="C170" t="s">
        <v>1135</v>
      </c>
      <c r="D170" t="s">
        <v>1141</v>
      </c>
      <c r="H170" t="s">
        <v>1186</v>
      </c>
      <c r="I170" t="s">
        <v>1186</v>
      </c>
      <c r="J170" t="s">
        <v>1258</v>
      </c>
      <c r="K170" t="s">
        <v>1212</v>
      </c>
      <c r="M170" s="3">
        <f t="shared" si="8"/>
        <v>66.571428571428569</v>
      </c>
      <c r="N170">
        <v>28</v>
      </c>
      <c r="O170">
        <v>78</v>
      </c>
      <c r="P170">
        <v>74</v>
      </c>
      <c r="Q170">
        <v>75</v>
      </c>
      <c r="R170">
        <v>80</v>
      </c>
      <c r="S170">
        <v>86</v>
      </c>
      <c r="T170">
        <v>45</v>
      </c>
      <c r="U170">
        <v>0</v>
      </c>
      <c r="V170" s="3">
        <f t="shared" si="9"/>
        <v>1709539</v>
      </c>
      <c r="W170">
        <v>142461.58333333334</v>
      </c>
      <c r="X170">
        <v>0</v>
      </c>
      <c r="Y170">
        <f t="shared" si="10"/>
        <v>142461.58333333334</v>
      </c>
      <c r="Z170">
        <f t="shared" si="11"/>
        <v>0</v>
      </c>
      <c r="AA170">
        <v>0</v>
      </c>
    </row>
    <row r="171" spans="1:27" x14ac:dyDescent="0.25">
      <c r="A171" s="1">
        <v>170</v>
      </c>
      <c r="B171" t="s">
        <v>553</v>
      </c>
      <c r="C171" t="s">
        <v>1135</v>
      </c>
      <c r="D171" t="s">
        <v>1141</v>
      </c>
      <c r="G171" t="s">
        <v>1186</v>
      </c>
      <c r="H171" t="s">
        <v>1186</v>
      </c>
      <c r="I171" t="s">
        <v>1186</v>
      </c>
      <c r="J171" t="s">
        <v>1258</v>
      </c>
      <c r="K171" t="s">
        <v>1212</v>
      </c>
      <c r="M171" s="3">
        <f t="shared" si="8"/>
        <v>78</v>
      </c>
      <c r="N171">
        <v>63</v>
      </c>
      <c r="O171">
        <v>79</v>
      </c>
      <c r="P171">
        <v>81</v>
      </c>
      <c r="Q171">
        <v>80</v>
      </c>
      <c r="R171">
        <v>81</v>
      </c>
      <c r="S171">
        <v>84</v>
      </c>
      <c r="T171">
        <v>78</v>
      </c>
      <c r="U171">
        <v>0</v>
      </c>
      <c r="V171" s="3">
        <f t="shared" si="9"/>
        <v>8335776</v>
      </c>
      <c r="W171">
        <v>694648</v>
      </c>
      <c r="X171">
        <v>0</v>
      </c>
      <c r="Y171">
        <f t="shared" si="10"/>
        <v>694648</v>
      </c>
      <c r="Z171">
        <f t="shared" si="11"/>
        <v>0</v>
      </c>
      <c r="AA171">
        <v>0</v>
      </c>
    </row>
    <row r="172" spans="1:27" x14ac:dyDescent="0.25">
      <c r="A172" s="1">
        <v>171</v>
      </c>
      <c r="B172" t="s">
        <v>1635</v>
      </c>
      <c r="C172" t="s">
        <v>1135</v>
      </c>
      <c r="D172" t="s">
        <v>1142</v>
      </c>
      <c r="E172" t="s">
        <v>1147</v>
      </c>
      <c r="H172" t="s">
        <v>1186</v>
      </c>
      <c r="I172" t="s">
        <v>1186</v>
      </c>
      <c r="J172" t="s">
        <v>1258</v>
      </c>
      <c r="K172" t="s">
        <v>1212</v>
      </c>
      <c r="M172" s="3">
        <f t="shared" si="8"/>
        <v>61.142857142857146</v>
      </c>
      <c r="N172">
        <v>24</v>
      </c>
      <c r="O172">
        <v>83</v>
      </c>
      <c r="P172">
        <v>65</v>
      </c>
      <c r="Q172">
        <v>70</v>
      </c>
      <c r="R172">
        <v>75</v>
      </c>
      <c r="S172">
        <v>72</v>
      </c>
      <c r="T172">
        <v>39</v>
      </c>
      <c r="U172">
        <v>0</v>
      </c>
      <c r="V172" s="3">
        <f t="shared" si="9"/>
        <v>730226</v>
      </c>
      <c r="W172">
        <v>60852.166666666664</v>
      </c>
      <c r="X172">
        <v>0</v>
      </c>
      <c r="Y172">
        <f t="shared" si="10"/>
        <v>60852.166666666664</v>
      </c>
      <c r="Z172">
        <f t="shared" si="11"/>
        <v>0</v>
      </c>
      <c r="AA172">
        <v>0</v>
      </c>
    </row>
    <row r="173" spans="1:27" x14ac:dyDescent="0.25">
      <c r="A173" s="1">
        <v>172</v>
      </c>
      <c r="B173" t="s">
        <v>554</v>
      </c>
      <c r="C173" t="s">
        <v>1135</v>
      </c>
      <c r="D173" t="s">
        <v>1141</v>
      </c>
      <c r="G173" t="s">
        <v>1186</v>
      </c>
      <c r="H173" t="s">
        <v>1186</v>
      </c>
      <c r="I173" t="s">
        <v>1186</v>
      </c>
      <c r="J173" t="s">
        <v>1258</v>
      </c>
      <c r="K173" t="s">
        <v>1212</v>
      </c>
      <c r="M173" s="3">
        <f t="shared" si="8"/>
        <v>74</v>
      </c>
      <c r="N173">
        <v>51</v>
      </c>
      <c r="O173">
        <v>75</v>
      </c>
      <c r="P173">
        <v>84</v>
      </c>
      <c r="Q173">
        <v>76</v>
      </c>
      <c r="R173">
        <v>78</v>
      </c>
      <c r="S173">
        <v>88</v>
      </c>
      <c r="T173">
        <v>66</v>
      </c>
      <c r="U173">
        <v>0</v>
      </c>
      <c r="V173" s="3">
        <f t="shared" si="9"/>
        <v>4923991</v>
      </c>
      <c r="W173">
        <v>299830.33333333331</v>
      </c>
      <c r="X173">
        <v>0</v>
      </c>
      <c r="Y173">
        <f t="shared" si="10"/>
        <v>410332.58333333331</v>
      </c>
      <c r="Z173">
        <f t="shared" si="11"/>
        <v>-26.93</v>
      </c>
      <c r="AA173">
        <v>0</v>
      </c>
    </row>
    <row r="174" spans="1:27" x14ac:dyDescent="0.25">
      <c r="A174" s="1">
        <v>173</v>
      </c>
      <c r="B174" t="s">
        <v>865</v>
      </c>
      <c r="C174" t="s">
        <v>1136</v>
      </c>
      <c r="D174" t="s">
        <v>1143</v>
      </c>
      <c r="E174" t="s">
        <v>1145</v>
      </c>
      <c r="G174" t="s">
        <v>1186</v>
      </c>
      <c r="H174" t="s">
        <v>1186</v>
      </c>
      <c r="I174" t="s">
        <v>1186</v>
      </c>
      <c r="J174" t="s">
        <v>1258</v>
      </c>
      <c r="K174" t="s">
        <v>1212</v>
      </c>
      <c r="M174" s="3">
        <f t="shared" si="8"/>
        <v>70</v>
      </c>
      <c r="N174">
        <v>50</v>
      </c>
      <c r="O174">
        <v>80</v>
      </c>
      <c r="P174">
        <v>75</v>
      </c>
      <c r="Q174">
        <v>78</v>
      </c>
      <c r="R174">
        <v>73</v>
      </c>
      <c r="S174">
        <v>79</v>
      </c>
      <c r="T174">
        <v>55</v>
      </c>
      <c r="U174">
        <v>0</v>
      </c>
      <c r="V174" s="3">
        <f t="shared" si="9"/>
        <v>2824753</v>
      </c>
      <c r="W174">
        <v>127893.25</v>
      </c>
      <c r="X174">
        <v>0</v>
      </c>
      <c r="Y174">
        <f t="shared" si="10"/>
        <v>235396.08333333334</v>
      </c>
      <c r="Z174">
        <f t="shared" si="11"/>
        <v>-45.67</v>
      </c>
      <c r="AA174">
        <v>0</v>
      </c>
    </row>
    <row r="175" spans="1:27" x14ac:dyDescent="0.25">
      <c r="A175" s="1">
        <v>174</v>
      </c>
      <c r="B175" t="s">
        <v>863</v>
      </c>
      <c r="C175" t="s">
        <v>1136</v>
      </c>
      <c r="D175" t="s">
        <v>1146</v>
      </c>
      <c r="E175" t="s">
        <v>1144</v>
      </c>
      <c r="G175" t="s">
        <v>1186</v>
      </c>
      <c r="H175" t="s">
        <v>1186</v>
      </c>
      <c r="I175" t="s">
        <v>1186</v>
      </c>
      <c r="J175" t="s">
        <v>1258</v>
      </c>
      <c r="K175" t="s">
        <v>1212</v>
      </c>
      <c r="M175" s="3">
        <f t="shared" si="8"/>
        <v>79.428571428571431</v>
      </c>
      <c r="N175">
        <v>71</v>
      </c>
      <c r="O175">
        <v>88</v>
      </c>
      <c r="P175">
        <v>81</v>
      </c>
      <c r="Q175">
        <v>80</v>
      </c>
      <c r="R175">
        <v>79</v>
      </c>
      <c r="S175">
        <v>82</v>
      </c>
      <c r="T175">
        <v>75</v>
      </c>
      <c r="U175">
        <v>23</v>
      </c>
      <c r="V175" s="3">
        <f t="shared" si="9"/>
        <v>14991973</v>
      </c>
      <c r="W175">
        <v>1249331.0833333333</v>
      </c>
      <c r="X175">
        <v>0</v>
      </c>
      <c r="Y175">
        <f t="shared" si="10"/>
        <v>1249331.0833333333</v>
      </c>
      <c r="Z175">
        <f t="shared" si="11"/>
        <v>0</v>
      </c>
      <c r="AA175">
        <v>0</v>
      </c>
    </row>
    <row r="176" spans="1:27" x14ac:dyDescent="0.25">
      <c r="A176" s="1">
        <v>175</v>
      </c>
      <c r="B176" t="s">
        <v>864</v>
      </c>
      <c r="C176" t="s">
        <v>1136</v>
      </c>
      <c r="D176" t="s">
        <v>1143</v>
      </c>
      <c r="E176" t="s">
        <v>1145</v>
      </c>
      <c r="G176" t="s">
        <v>1186</v>
      </c>
      <c r="H176" t="s">
        <v>1186</v>
      </c>
      <c r="I176" t="s">
        <v>1186</v>
      </c>
      <c r="J176" t="s">
        <v>1258</v>
      </c>
      <c r="K176" t="s">
        <v>1212</v>
      </c>
      <c r="M176" s="3">
        <f t="shared" si="8"/>
        <v>89.857142857142861</v>
      </c>
      <c r="N176">
        <v>85</v>
      </c>
      <c r="O176">
        <v>89</v>
      </c>
      <c r="P176">
        <v>90</v>
      </c>
      <c r="Q176">
        <v>92</v>
      </c>
      <c r="R176">
        <v>90</v>
      </c>
      <c r="S176">
        <v>95</v>
      </c>
      <c r="T176">
        <v>88</v>
      </c>
      <c r="U176">
        <v>17</v>
      </c>
      <c r="V176" s="3">
        <f t="shared" si="9"/>
        <v>51477485</v>
      </c>
      <c r="W176">
        <v>1630387</v>
      </c>
      <c r="X176">
        <v>0</v>
      </c>
      <c r="Y176">
        <f t="shared" si="10"/>
        <v>4289790.416666667</v>
      </c>
      <c r="Z176">
        <f t="shared" si="11"/>
        <v>-61.99</v>
      </c>
      <c r="AA176">
        <v>0</v>
      </c>
    </row>
    <row r="177" spans="1:27" x14ac:dyDescent="0.25">
      <c r="A177" s="1">
        <v>176</v>
      </c>
      <c r="B177" t="s">
        <v>1637</v>
      </c>
      <c r="C177" t="s">
        <v>1136</v>
      </c>
      <c r="D177" t="s">
        <v>1143</v>
      </c>
      <c r="E177" t="s">
        <v>1145</v>
      </c>
      <c r="H177" t="s">
        <v>1186</v>
      </c>
      <c r="I177" t="s">
        <v>1186</v>
      </c>
      <c r="J177" t="s">
        <v>1258</v>
      </c>
      <c r="K177" t="s">
        <v>1212</v>
      </c>
      <c r="M177" s="3">
        <f t="shared" si="8"/>
        <v>56.428571428571431</v>
      </c>
      <c r="N177">
        <v>23</v>
      </c>
      <c r="O177">
        <v>64</v>
      </c>
      <c r="P177">
        <v>60</v>
      </c>
      <c r="Q177">
        <v>72</v>
      </c>
      <c r="R177">
        <v>68</v>
      </c>
      <c r="S177">
        <v>76</v>
      </c>
      <c r="T177">
        <v>32</v>
      </c>
      <c r="U177">
        <v>0</v>
      </c>
      <c r="V177" s="3">
        <f t="shared" si="9"/>
        <v>327334</v>
      </c>
      <c r="W177">
        <v>27277.833333333332</v>
      </c>
      <c r="X177">
        <v>0</v>
      </c>
      <c r="Y177">
        <f t="shared" si="10"/>
        <v>27277.833333333332</v>
      </c>
      <c r="Z177">
        <f t="shared" si="11"/>
        <v>0</v>
      </c>
      <c r="AA177">
        <v>0</v>
      </c>
    </row>
    <row r="178" spans="1:27" x14ac:dyDescent="0.25">
      <c r="A178" s="1">
        <v>177</v>
      </c>
      <c r="B178" t="s">
        <v>1636</v>
      </c>
      <c r="C178" t="s">
        <v>1136</v>
      </c>
      <c r="D178" t="s">
        <v>1146</v>
      </c>
      <c r="E178" t="s">
        <v>1147</v>
      </c>
      <c r="H178" t="s">
        <v>1186</v>
      </c>
      <c r="I178" t="s">
        <v>1186</v>
      </c>
      <c r="J178" t="s">
        <v>1258</v>
      </c>
      <c r="K178" t="s">
        <v>1212</v>
      </c>
      <c r="M178" s="3">
        <f t="shared" si="8"/>
        <v>67.571428571428569</v>
      </c>
      <c r="N178">
        <v>26</v>
      </c>
      <c r="O178">
        <v>88</v>
      </c>
      <c r="P178">
        <v>76</v>
      </c>
      <c r="Q178">
        <v>81</v>
      </c>
      <c r="R178">
        <v>78</v>
      </c>
      <c r="S178">
        <v>80</v>
      </c>
      <c r="T178">
        <v>44</v>
      </c>
      <c r="U178">
        <v>0</v>
      </c>
      <c r="V178" s="3">
        <f t="shared" si="9"/>
        <v>1984409</v>
      </c>
      <c r="W178">
        <v>165367.41666666666</v>
      </c>
      <c r="X178">
        <v>0</v>
      </c>
      <c r="Y178">
        <f t="shared" si="10"/>
        <v>165367.41666666666</v>
      </c>
      <c r="Z178">
        <f t="shared" si="11"/>
        <v>0</v>
      </c>
      <c r="AA178">
        <v>0</v>
      </c>
    </row>
    <row r="179" spans="1:27" x14ac:dyDescent="0.25">
      <c r="A179" s="1">
        <v>178</v>
      </c>
      <c r="B179" t="s">
        <v>862</v>
      </c>
      <c r="C179" t="s">
        <v>1136</v>
      </c>
      <c r="D179" t="s">
        <v>1146</v>
      </c>
      <c r="E179" t="s">
        <v>1147</v>
      </c>
      <c r="F179" t="s">
        <v>1144</v>
      </c>
      <c r="G179" t="s">
        <v>1186</v>
      </c>
      <c r="H179" t="s">
        <v>1186</v>
      </c>
      <c r="I179" t="s">
        <v>1186</v>
      </c>
      <c r="J179" t="s">
        <v>1258</v>
      </c>
      <c r="K179" t="s">
        <v>1212</v>
      </c>
      <c r="M179" s="3">
        <f t="shared" si="8"/>
        <v>80.714285714285708</v>
      </c>
      <c r="N179">
        <v>70</v>
      </c>
      <c r="O179">
        <v>90</v>
      </c>
      <c r="P179">
        <v>83</v>
      </c>
      <c r="Q179">
        <v>82</v>
      </c>
      <c r="R179">
        <v>80</v>
      </c>
      <c r="S179">
        <v>80</v>
      </c>
      <c r="T179">
        <v>80</v>
      </c>
      <c r="U179">
        <v>23</v>
      </c>
      <c r="V179" s="3">
        <f t="shared" si="9"/>
        <v>17603351</v>
      </c>
      <c r="W179">
        <v>1466945.9166666667</v>
      </c>
      <c r="X179">
        <v>0</v>
      </c>
      <c r="Y179">
        <f t="shared" si="10"/>
        <v>1466945.9166666667</v>
      </c>
      <c r="Z179">
        <f t="shared" si="11"/>
        <v>0</v>
      </c>
      <c r="AA179">
        <v>0</v>
      </c>
    </row>
    <row r="180" spans="1:27" x14ac:dyDescent="0.25">
      <c r="A180" s="1">
        <v>179</v>
      </c>
      <c r="B180" t="s">
        <v>866</v>
      </c>
      <c r="C180" t="s">
        <v>1136</v>
      </c>
      <c r="D180" t="s">
        <v>1143</v>
      </c>
      <c r="E180" t="s">
        <v>1144</v>
      </c>
      <c r="G180" t="s">
        <v>1186</v>
      </c>
      <c r="H180" t="s">
        <v>1186</v>
      </c>
      <c r="I180" t="s">
        <v>1186</v>
      </c>
      <c r="J180" t="s">
        <v>1258</v>
      </c>
      <c r="K180" t="s">
        <v>1212</v>
      </c>
      <c r="M180" s="3">
        <f t="shared" si="8"/>
        <v>68.571428571428569</v>
      </c>
      <c r="N180">
        <v>49</v>
      </c>
      <c r="O180">
        <v>68</v>
      </c>
      <c r="P180">
        <v>79</v>
      </c>
      <c r="Q180">
        <v>72</v>
      </c>
      <c r="R180">
        <v>82</v>
      </c>
      <c r="S180">
        <v>88</v>
      </c>
      <c r="T180">
        <v>42</v>
      </c>
      <c r="U180">
        <v>0</v>
      </c>
      <c r="V180" s="3">
        <f t="shared" si="9"/>
        <v>2298434</v>
      </c>
      <c r="W180">
        <v>191536.16666666666</v>
      </c>
      <c r="X180">
        <v>0</v>
      </c>
      <c r="Y180">
        <f t="shared" si="10"/>
        <v>191536.16666666666</v>
      </c>
      <c r="Z180">
        <f t="shared" si="11"/>
        <v>0</v>
      </c>
      <c r="AA180">
        <v>0</v>
      </c>
    </row>
    <row r="181" spans="1:27" x14ac:dyDescent="0.25">
      <c r="A181" s="1">
        <v>180</v>
      </c>
      <c r="B181" t="s">
        <v>84</v>
      </c>
      <c r="C181" t="s">
        <v>1133</v>
      </c>
      <c r="D181" t="s">
        <v>1133</v>
      </c>
      <c r="G181" t="s">
        <v>1193</v>
      </c>
      <c r="H181" t="s">
        <v>1193</v>
      </c>
      <c r="I181" t="s">
        <v>1193</v>
      </c>
      <c r="J181" t="s">
        <v>1263</v>
      </c>
      <c r="K181" t="s">
        <v>1212</v>
      </c>
      <c r="M181" s="3">
        <f t="shared" si="8"/>
        <v>75.571428571428569</v>
      </c>
      <c r="N181">
        <v>61</v>
      </c>
      <c r="O181">
        <v>63</v>
      </c>
      <c r="P181">
        <v>66</v>
      </c>
      <c r="Q181">
        <v>89</v>
      </c>
      <c r="R181">
        <v>77</v>
      </c>
      <c r="S181">
        <v>91</v>
      </c>
      <c r="T181">
        <v>82</v>
      </c>
      <c r="U181">
        <v>29</v>
      </c>
      <c r="V181" s="3">
        <f t="shared" si="9"/>
        <v>9113131</v>
      </c>
      <c r="W181">
        <v>759427.58333333337</v>
      </c>
      <c r="X181">
        <v>0</v>
      </c>
      <c r="Y181">
        <f t="shared" si="10"/>
        <v>759427.58333333337</v>
      </c>
      <c r="Z181">
        <f t="shared" si="11"/>
        <v>0</v>
      </c>
      <c r="AA181">
        <v>0</v>
      </c>
    </row>
    <row r="182" spans="1:27" x14ac:dyDescent="0.25">
      <c r="A182" s="1">
        <v>181</v>
      </c>
      <c r="B182" t="s">
        <v>291</v>
      </c>
      <c r="C182" t="s">
        <v>1134</v>
      </c>
      <c r="D182" t="s">
        <v>1138</v>
      </c>
      <c r="E182" t="s">
        <v>1144</v>
      </c>
      <c r="G182" t="s">
        <v>1183</v>
      </c>
      <c r="H182" t="s">
        <v>1183</v>
      </c>
      <c r="I182" t="s">
        <v>1183</v>
      </c>
      <c r="J182" t="s">
        <v>1263</v>
      </c>
      <c r="K182" t="s">
        <v>1212</v>
      </c>
      <c r="M182" s="3">
        <f t="shared" si="8"/>
        <v>73.571428571428569</v>
      </c>
      <c r="N182">
        <v>48</v>
      </c>
      <c r="O182">
        <v>79</v>
      </c>
      <c r="P182">
        <v>80</v>
      </c>
      <c r="Q182">
        <v>79</v>
      </c>
      <c r="R182">
        <v>82</v>
      </c>
      <c r="S182">
        <v>87</v>
      </c>
      <c r="T182">
        <v>60</v>
      </c>
      <c r="U182">
        <v>0</v>
      </c>
      <c r="V182" s="3">
        <f t="shared" si="9"/>
        <v>4646136</v>
      </c>
      <c r="W182">
        <v>387178</v>
      </c>
      <c r="X182">
        <v>0</v>
      </c>
      <c r="Y182">
        <f t="shared" si="10"/>
        <v>387178</v>
      </c>
      <c r="Z182">
        <f t="shared" si="11"/>
        <v>0</v>
      </c>
      <c r="AA182">
        <v>0</v>
      </c>
    </row>
    <row r="183" spans="1:27" x14ac:dyDescent="0.25">
      <c r="A183" s="1">
        <v>182</v>
      </c>
      <c r="B183" t="s">
        <v>382</v>
      </c>
      <c r="C183" t="s">
        <v>1134</v>
      </c>
      <c r="D183" t="s">
        <v>1138</v>
      </c>
      <c r="G183" t="s">
        <v>1202</v>
      </c>
      <c r="H183" t="s">
        <v>1202</v>
      </c>
      <c r="I183" t="s">
        <v>1202</v>
      </c>
      <c r="J183" t="s">
        <v>1263</v>
      </c>
      <c r="K183" t="s">
        <v>1212</v>
      </c>
      <c r="M183" s="3">
        <f t="shared" si="8"/>
        <v>69.428571428571431</v>
      </c>
      <c r="N183">
        <v>42</v>
      </c>
      <c r="O183">
        <v>68</v>
      </c>
      <c r="P183">
        <v>74</v>
      </c>
      <c r="Q183">
        <v>74</v>
      </c>
      <c r="R183">
        <v>80</v>
      </c>
      <c r="S183">
        <v>85</v>
      </c>
      <c r="T183">
        <v>63</v>
      </c>
      <c r="U183">
        <v>0</v>
      </c>
      <c r="V183" s="3">
        <f t="shared" si="9"/>
        <v>2602450</v>
      </c>
      <c r="W183">
        <v>216870.83333333334</v>
      </c>
      <c r="X183">
        <v>0</v>
      </c>
      <c r="Y183">
        <f t="shared" si="10"/>
        <v>216870.83333333334</v>
      </c>
      <c r="Z183">
        <f t="shared" si="11"/>
        <v>0</v>
      </c>
      <c r="AA183">
        <v>0</v>
      </c>
    </row>
    <row r="184" spans="1:27" x14ac:dyDescent="0.25">
      <c r="A184" s="1">
        <v>183</v>
      </c>
      <c r="B184" t="s">
        <v>1827</v>
      </c>
      <c r="C184" t="s">
        <v>1134</v>
      </c>
      <c r="D184" t="s">
        <v>1140</v>
      </c>
      <c r="E184" t="s">
        <v>1138</v>
      </c>
      <c r="H184" t="s">
        <v>1183</v>
      </c>
      <c r="I184" t="s">
        <v>1183</v>
      </c>
      <c r="J184" t="s">
        <v>1263</v>
      </c>
      <c r="K184" t="s">
        <v>1212</v>
      </c>
      <c r="M184" s="3">
        <f t="shared" si="8"/>
        <v>59.142857142857146</v>
      </c>
      <c r="N184">
        <v>16</v>
      </c>
      <c r="O184">
        <v>66</v>
      </c>
      <c r="P184">
        <v>64</v>
      </c>
      <c r="Q184">
        <v>74</v>
      </c>
      <c r="R184">
        <v>80</v>
      </c>
      <c r="S184">
        <v>82</v>
      </c>
      <c r="T184">
        <v>32</v>
      </c>
      <c r="U184">
        <v>0</v>
      </c>
      <c r="V184" s="3">
        <f t="shared" si="9"/>
        <v>523629</v>
      </c>
      <c r="W184">
        <v>43635.75</v>
      </c>
      <c r="X184">
        <v>0</v>
      </c>
      <c r="Y184">
        <f t="shared" si="10"/>
        <v>43635.75</v>
      </c>
      <c r="Z184">
        <f t="shared" si="11"/>
        <v>0</v>
      </c>
      <c r="AA184">
        <v>0</v>
      </c>
    </row>
    <row r="185" spans="1:27" x14ac:dyDescent="0.25">
      <c r="A185" s="1">
        <v>184</v>
      </c>
      <c r="B185" t="s">
        <v>1828</v>
      </c>
      <c r="C185" t="s">
        <v>1134</v>
      </c>
      <c r="D185" t="s">
        <v>1138</v>
      </c>
      <c r="H185" t="s">
        <v>1183</v>
      </c>
      <c r="I185" t="s">
        <v>1183</v>
      </c>
      <c r="J185" t="s">
        <v>1263</v>
      </c>
      <c r="K185" t="s">
        <v>1212</v>
      </c>
      <c r="M185" s="3">
        <f t="shared" si="8"/>
        <v>56.142857142857146</v>
      </c>
      <c r="N185">
        <v>18</v>
      </c>
      <c r="O185">
        <v>62</v>
      </c>
      <c r="P185">
        <v>62</v>
      </c>
      <c r="Q185">
        <v>70</v>
      </c>
      <c r="R185">
        <v>74</v>
      </c>
      <c r="S185">
        <v>77</v>
      </c>
      <c r="T185">
        <v>30</v>
      </c>
      <c r="U185">
        <v>0</v>
      </c>
      <c r="V185" s="3">
        <f t="shared" si="9"/>
        <v>311133</v>
      </c>
      <c r="W185">
        <v>25927.75</v>
      </c>
      <c r="X185">
        <v>0</v>
      </c>
      <c r="Y185">
        <f t="shared" si="10"/>
        <v>25927.75</v>
      </c>
      <c r="Z185">
        <f t="shared" si="11"/>
        <v>0</v>
      </c>
      <c r="AA185">
        <v>0</v>
      </c>
    </row>
    <row r="186" spans="1:27" x14ac:dyDescent="0.25">
      <c r="A186" s="1">
        <v>185</v>
      </c>
      <c r="B186" t="s">
        <v>2618</v>
      </c>
      <c r="C186" t="s">
        <v>1134</v>
      </c>
      <c r="D186" t="s">
        <v>1138</v>
      </c>
      <c r="E186" t="s">
        <v>1144</v>
      </c>
      <c r="H186" t="s">
        <v>1183</v>
      </c>
      <c r="I186" t="s">
        <v>1183</v>
      </c>
      <c r="J186" t="s">
        <v>1263</v>
      </c>
      <c r="K186" t="s">
        <v>1212</v>
      </c>
      <c r="M186" s="3">
        <f t="shared" si="8"/>
        <v>66.285714285714292</v>
      </c>
      <c r="N186">
        <v>23</v>
      </c>
      <c r="O186">
        <v>76</v>
      </c>
      <c r="P186">
        <v>70</v>
      </c>
      <c r="Q186">
        <v>82</v>
      </c>
      <c r="R186">
        <v>84</v>
      </c>
      <c r="S186">
        <v>86</v>
      </c>
      <c r="T186">
        <v>43</v>
      </c>
      <c r="U186">
        <v>0</v>
      </c>
      <c r="V186" s="3">
        <f t="shared" si="9"/>
        <v>1637569</v>
      </c>
      <c r="W186">
        <v>136464.08333333334</v>
      </c>
      <c r="X186">
        <v>0</v>
      </c>
      <c r="Y186">
        <f t="shared" si="10"/>
        <v>136464.08333333334</v>
      </c>
      <c r="Z186">
        <f t="shared" si="11"/>
        <v>0</v>
      </c>
      <c r="AA186">
        <v>0</v>
      </c>
    </row>
    <row r="187" spans="1:27" x14ac:dyDescent="0.25">
      <c r="A187" s="1">
        <v>186</v>
      </c>
      <c r="B187" t="s">
        <v>381</v>
      </c>
      <c r="C187" t="s">
        <v>1134</v>
      </c>
      <c r="D187" t="s">
        <v>1138</v>
      </c>
      <c r="E187" t="s">
        <v>1139</v>
      </c>
      <c r="G187" t="s">
        <v>1202</v>
      </c>
      <c r="H187" t="s">
        <v>1202</v>
      </c>
      <c r="I187" t="s">
        <v>1202</v>
      </c>
      <c r="J187" t="s">
        <v>1263</v>
      </c>
      <c r="K187" t="s">
        <v>1212</v>
      </c>
      <c r="M187" s="3">
        <f t="shared" si="8"/>
        <v>68.142857142857139</v>
      </c>
      <c r="N187">
        <v>41</v>
      </c>
      <c r="O187">
        <v>62</v>
      </c>
      <c r="P187">
        <v>73</v>
      </c>
      <c r="Q187">
        <v>75</v>
      </c>
      <c r="R187">
        <v>81</v>
      </c>
      <c r="S187">
        <v>84</v>
      </c>
      <c r="T187">
        <v>61</v>
      </c>
      <c r="U187">
        <v>0</v>
      </c>
      <c r="V187" s="3">
        <f t="shared" si="9"/>
        <v>2158756</v>
      </c>
      <c r="W187">
        <v>179896.33333333334</v>
      </c>
      <c r="X187">
        <v>0</v>
      </c>
      <c r="Y187">
        <f t="shared" si="10"/>
        <v>179896.33333333334</v>
      </c>
      <c r="Z187">
        <f t="shared" si="11"/>
        <v>0</v>
      </c>
      <c r="AA187">
        <v>0</v>
      </c>
    </row>
    <row r="188" spans="1:27" x14ac:dyDescent="0.25">
      <c r="A188" s="1">
        <v>187</v>
      </c>
      <c r="B188" t="s">
        <v>604</v>
      </c>
      <c r="C188" t="s">
        <v>1135</v>
      </c>
      <c r="D188" t="s">
        <v>1141</v>
      </c>
      <c r="G188" t="s">
        <v>1202</v>
      </c>
      <c r="H188" t="s">
        <v>1202</v>
      </c>
      <c r="I188" t="s">
        <v>1202</v>
      </c>
      <c r="J188" t="s">
        <v>1263</v>
      </c>
      <c r="K188" t="s">
        <v>1212</v>
      </c>
      <c r="M188" s="3">
        <f t="shared" si="8"/>
        <v>71.857142857142861</v>
      </c>
      <c r="N188">
        <v>50</v>
      </c>
      <c r="O188">
        <v>75</v>
      </c>
      <c r="P188">
        <v>89</v>
      </c>
      <c r="Q188">
        <v>71</v>
      </c>
      <c r="R188">
        <v>70</v>
      </c>
      <c r="S188">
        <v>88</v>
      </c>
      <c r="T188">
        <v>60</v>
      </c>
      <c r="U188">
        <v>0</v>
      </c>
      <c r="V188" s="3">
        <f t="shared" si="9"/>
        <v>3670283</v>
      </c>
      <c r="W188">
        <v>230636</v>
      </c>
      <c r="X188">
        <v>0</v>
      </c>
      <c r="Y188">
        <f t="shared" si="10"/>
        <v>305856.91666666669</v>
      </c>
      <c r="Z188">
        <f t="shared" si="11"/>
        <v>-24.59</v>
      </c>
      <c r="AA188">
        <v>0</v>
      </c>
    </row>
    <row r="189" spans="1:27" x14ac:dyDescent="0.25">
      <c r="A189" s="1">
        <v>188</v>
      </c>
      <c r="B189" t="s">
        <v>1832</v>
      </c>
      <c r="C189" t="s">
        <v>1135</v>
      </c>
      <c r="D189" t="s">
        <v>1142</v>
      </c>
      <c r="E189" t="s">
        <v>1141</v>
      </c>
      <c r="H189" t="s">
        <v>1183</v>
      </c>
      <c r="I189" t="s">
        <v>1183</v>
      </c>
      <c r="J189" t="s">
        <v>1263</v>
      </c>
      <c r="K189" t="s">
        <v>1212</v>
      </c>
      <c r="M189" s="3">
        <f t="shared" si="8"/>
        <v>68</v>
      </c>
      <c r="N189">
        <v>24</v>
      </c>
      <c r="O189">
        <v>80</v>
      </c>
      <c r="P189">
        <v>80</v>
      </c>
      <c r="Q189">
        <v>81</v>
      </c>
      <c r="R189">
        <v>82</v>
      </c>
      <c r="S189">
        <v>85</v>
      </c>
      <c r="T189">
        <v>44</v>
      </c>
      <c r="U189">
        <v>0</v>
      </c>
      <c r="V189" s="3">
        <f t="shared" si="9"/>
        <v>2113923</v>
      </c>
      <c r="W189">
        <v>176160.25</v>
      </c>
      <c r="X189">
        <v>0</v>
      </c>
      <c r="Y189">
        <f t="shared" si="10"/>
        <v>176160.25</v>
      </c>
      <c r="Z189">
        <f t="shared" si="11"/>
        <v>0</v>
      </c>
      <c r="AA189">
        <v>0</v>
      </c>
    </row>
    <row r="190" spans="1:27" x14ac:dyDescent="0.25">
      <c r="A190" s="1">
        <v>189</v>
      </c>
      <c r="B190" t="s">
        <v>2578</v>
      </c>
      <c r="C190" t="s">
        <v>1136</v>
      </c>
      <c r="D190" t="s">
        <v>1145</v>
      </c>
      <c r="E190" t="s">
        <v>1143</v>
      </c>
      <c r="H190" t="s">
        <v>1183</v>
      </c>
      <c r="I190" t="s">
        <v>1183</v>
      </c>
      <c r="J190" t="s">
        <v>1263</v>
      </c>
      <c r="K190" t="s">
        <v>1212</v>
      </c>
      <c r="M190" s="3">
        <f t="shared" si="8"/>
        <v>61.571428571428569</v>
      </c>
      <c r="N190">
        <v>21</v>
      </c>
      <c r="O190">
        <v>72</v>
      </c>
      <c r="P190">
        <v>68</v>
      </c>
      <c r="Q190">
        <v>80</v>
      </c>
      <c r="R190">
        <v>76</v>
      </c>
      <c r="S190">
        <v>78</v>
      </c>
      <c r="T190">
        <v>36</v>
      </c>
      <c r="U190">
        <v>0</v>
      </c>
      <c r="V190" s="3">
        <f t="shared" si="9"/>
        <v>783056</v>
      </c>
      <c r="W190">
        <v>65254.666666666664</v>
      </c>
      <c r="X190">
        <v>0</v>
      </c>
      <c r="Y190">
        <f t="shared" si="10"/>
        <v>65254.666666666664</v>
      </c>
      <c r="Z190">
        <f t="shared" si="11"/>
        <v>0</v>
      </c>
      <c r="AA190">
        <v>0</v>
      </c>
    </row>
    <row r="191" spans="1:27" x14ac:dyDescent="0.25">
      <c r="A191" s="1">
        <v>190</v>
      </c>
      <c r="B191" t="s">
        <v>1829</v>
      </c>
      <c r="C191" t="s">
        <v>1136</v>
      </c>
      <c r="D191" t="s">
        <v>1143</v>
      </c>
      <c r="E191" t="s">
        <v>1144</v>
      </c>
      <c r="H191" t="s">
        <v>1183</v>
      </c>
      <c r="I191" t="s">
        <v>1183</v>
      </c>
      <c r="J191" t="s">
        <v>1263</v>
      </c>
      <c r="K191" t="s">
        <v>1212</v>
      </c>
      <c r="M191" s="3">
        <f t="shared" si="8"/>
        <v>54.714285714285715</v>
      </c>
      <c r="N191">
        <v>16</v>
      </c>
      <c r="O191">
        <v>60</v>
      </c>
      <c r="P191">
        <v>64</v>
      </c>
      <c r="Q191">
        <v>72</v>
      </c>
      <c r="R191">
        <v>70</v>
      </c>
      <c r="S191">
        <v>73</v>
      </c>
      <c r="T191">
        <v>28</v>
      </c>
      <c r="U191">
        <v>0</v>
      </c>
      <c r="V191" s="3">
        <f t="shared" si="9"/>
        <v>240441</v>
      </c>
      <c r="W191">
        <v>20036.75</v>
      </c>
      <c r="X191">
        <v>0</v>
      </c>
      <c r="Y191">
        <f t="shared" si="10"/>
        <v>20036.75</v>
      </c>
      <c r="Z191">
        <f t="shared" si="11"/>
        <v>0</v>
      </c>
      <c r="AA191">
        <v>0</v>
      </c>
    </row>
    <row r="192" spans="1:27" x14ac:dyDescent="0.25">
      <c r="A192" s="1">
        <v>191</v>
      </c>
      <c r="B192" t="s">
        <v>2660</v>
      </c>
      <c r="C192" t="s">
        <v>1136</v>
      </c>
      <c r="D192" t="s">
        <v>1144</v>
      </c>
      <c r="E192" t="s">
        <v>1143</v>
      </c>
      <c r="H192" t="s">
        <v>1183</v>
      </c>
      <c r="I192" t="s">
        <v>1183</v>
      </c>
      <c r="J192" t="s">
        <v>1263</v>
      </c>
      <c r="K192" t="s">
        <v>1212</v>
      </c>
      <c r="M192" s="3">
        <f t="shared" si="8"/>
        <v>65.571428571428569</v>
      </c>
      <c r="N192">
        <v>24</v>
      </c>
      <c r="O192">
        <v>78</v>
      </c>
      <c r="P192">
        <v>74</v>
      </c>
      <c r="Q192">
        <v>84</v>
      </c>
      <c r="R192">
        <v>78</v>
      </c>
      <c r="S192">
        <v>80</v>
      </c>
      <c r="T192">
        <v>41</v>
      </c>
      <c r="U192">
        <v>0</v>
      </c>
      <c r="V192" s="3">
        <f t="shared" si="9"/>
        <v>1469422</v>
      </c>
      <c r="W192">
        <v>122451.83333333333</v>
      </c>
      <c r="X192">
        <v>0</v>
      </c>
      <c r="Y192">
        <f t="shared" si="10"/>
        <v>122451.83333333333</v>
      </c>
      <c r="Z192">
        <f t="shared" si="11"/>
        <v>0</v>
      </c>
      <c r="AA192">
        <v>0</v>
      </c>
    </row>
    <row r="193" spans="1:27" x14ac:dyDescent="0.25">
      <c r="A193" s="1">
        <v>192</v>
      </c>
      <c r="B193" t="s">
        <v>845</v>
      </c>
      <c r="C193" t="s">
        <v>1136</v>
      </c>
      <c r="D193" t="s">
        <v>1147</v>
      </c>
      <c r="E193" t="s">
        <v>1143</v>
      </c>
      <c r="F193" t="s">
        <v>1144</v>
      </c>
      <c r="G193" t="s">
        <v>1183</v>
      </c>
      <c r="H193" t="s">
        <v>1183</v>
      </c>
      <c r="I193" t="s">
        <v>1183</v>
      </c>
      <c r="J193" t="s">
        <v>1263</v>
      </c>
      <c r="K193" t="s">
        <v>1212</v>
      </c>
      <c r="M193" s="3">
        <f t="shared" si="8"/>
        <v>83.714285714285708</v>
      </c>
      <c r="N193">
        <v>77</v>
      </c>
      <c r="O193">
        <v>87</v>
      </c>
      <c r="P193">
        <v>84</v>
      </c>
      <c r="Q193">
        <v>83</v>
      </c>
      <c r="R193">
        <v>83</v>
      </c>
      <c r="S193">
        <v>87</v>
      </c>
      <c r="T193">
        <v>85</v>
      </c>
      <c r="U193">
        <v>22</v>
      </c>
      <c r="V193" s="3">
        <f t="shared" si="9"/>
        <v>25356367</v>
      </c>
      <c r="W193">
        <v>2113030.5833333335</v>
      </c>
      <c r="X193">
        <v>0</v>
      </c>
      <c r="Y193">
        <f t="shared" si="10"/>
        <v>2113030.5833333335</v>
      </c>
      <c r="Z193">
        <f t="shared" si="11"/>
        <v>0</v>
      </c>
      <c r="AA193">
        <v>0</v>
      </c>
    </row>
    <row r="194" spans="1:27" x14ac:dyDescent="0.25">
      <c r="A194" s="1">
        <v>193</v>
      </c>
      <c r="B194" t="s">
        <v>846</v>
      </c>
      <c r="C194" t="s">
        <v>1136</v>
      </c>
      <c r="D194" t="s">
        <v>1144</v>
      </c>
      <c r="E194" t="s">
        <v>1138</v>
      </c>
      <c r="F194" t="s">
        <v>1143</v>
      </c>
      <c r="G194" t="s">
        <v>1183</v>
      </c>
      <c r="H194" t="s">
        <v>1183</v>
      </c>
      <c r="I194" t="s">
        <v>1183</v>
      </c>
      <c r="J194" t="s">
        <v>1263</v>
      </c>
      <c r="K194" t="s">
        <v>1212</v>
      </c>
      <c r="M194" s="3">
        <f t="shared" ref="M194:M257" si="12">AVERAGE(N194:T194)</f>
        <v>87.428571428571431</v>
      </c>
      <c r="N194">
        <v>80</v>
      </c>
      <c r="O194">
        <v>86</v>
      </c>
      <c r="P194">
        <v>90</v>
      </c>
      <c r="Q194">
        <v>90</v>
      </c>
      <c r="R194">
        <v>86</v>
      </c>
      <c r="S194">
        <v>92</v>
      </c>
      <c r="T194">
        <v>88</v>
      </c>
      <c r="U194">
        <v>1</v>
      </c>
      <c r="V194" s="3">
        <f t="shared" ref="V194:V257" si="13">ROUNDUP(M194^10/1000000000000 * IF(U194&gt;0,1.5,1),0)</f>
        <v>39140384</v>
      </c>
      <c r="W194">
        <v>3261698.6666666665</v>
      </c>
      <c r="X194">
        <v>0</v>
      </c>
      <c r="Y194">
        <f t="shared" ref="Y194:Y257" si="14">V194/12</f>
        <v>3261698.6666666665</v>
      </c>
      <c r="Z194">
        <f t="shared" ref="Z194:Z257" si="15">ROUND(((W194-Y194)/Y194)*100,2)</f>
        <v>0</v>
      </c>
      <c r="AA194">
        <v>0</v>
      </c>
    </row>
    <row r="195" spans="1:27" x14ac:dyDescent="0.25">
      <c r="A195" s="1">
        <v>194</v>
      </c>
      <c r="B195" t="s">
        <v>970</v>
      </c>
      <c r="C195" t="s">
        <v>1136</v>
      </c>
      <c r="D195" t="s">
        <v>1144</v>
      </c>
      <c r="E195" t="s">
        <v>1143</v>
      </c>
      <c r="G195" t="s">
        <v>1202</v>
      </c>
      <c r="H195" t="s">
        <v>1202</v>
      </c>
      <c r="I195" t="s">
        <v>1202</v>
      </c>
      <c r="J195" t="s">
        <v>1263</v>
      </c>
      <c r="K195" t="s">
        <v>1212</v>
      </c>
      <c r="M195" s="3">
        <f t="shared" si="12"/>
        <v>56.285714285714285</v>
      </c>
      <c r="N195">
        <v>32</v>
      </c>
      <c r="O195">
        <v>63</v>
      </c>
      <c r="P195">
        <v>66</v>
      </c>
      <c r="Q195">
        <v>63</v>
      </c>
      <c r="R195">
        <v>68</v>
      </c>
      <c r="S195">
        <v>66</v>
      </c>
      <c r="T195">
        <v>36</v>
      </c>
      <c r="U195">
        <v>0</v>
      </c>
      <c r="V195" s="3">
        <f t="shared" si="13"/>
        <v>319141</v>
      </c>
      <c r="W195">
        <v>26595.083333333332</v>
      </c>
      <c r="X195">
        <v>0</v>
      </c>
      <c r="Y195">
        <f t="shared" si="14"/>
        <v>26595.083333333332</v>
      </c>
      <c r="Z195">
        <f t="shared" si="15"/>
        <v>0</v>
      </c>
      <c r="AA195">
        <v>0</v>
      </c>
    </row>
    <row r="196" spans="1:27" x14ac:dyDescent="0.25">
      <c r="A196" s="1">
        <v>195</v>
      </c>
      <c r="B196" t="s">
        <v>825</v>
      </c>
      <c r="C196" t="s">
        <v>1136</v>
      </c>
      <c r="D196" t="s">
        <v>1143</v>
      </c>
      <c r="E196" t="s">
        <v>1146</v>
      </c>
      <c r="G196" t="s">
        <v>1179</v>
      </c>
      <c r="H196" t="s">
        <v>1179</v>
      </c>
      <c r="I196" t="s">
        <v>1179</v>
      </c>
      <c r="J196" t="s">
        <v>1263</v>
      </c>
      <c r="K196" t="s">
        <v>1212</v>
      </c>
      <c r="M196" s="3">
        <f t="shared" si="12"/>
        <v>75.285714285714292</v>
      </c>
      <c r="N196">
        <v>50</v>
      </c>
      <c r="O196">
        <v>79</v>
      </c>
      <c r="P196">
        <v>76</v>
      </c>
      <c r="Q196">
        <v>88</v>
      </c>
      <c r="R196">
        <v>86</v>
      </c>
      <c r="S196">
        <v>88</v>
      </c>
      <c r="T196">
        <v>60</v>
      </c>
      <c r="U196">
        <v>26</v>
      </c>
      <c r="V196" s="3">
        <f t="shared" si="13"/>
        <v>8774392</v>
      </c>
      <c r="W196">
        <v>731199.33333333337</v>
      </c>
      <c r="X196">
        <v>0</v>
      </c>
      <c r="Y196">
        <f t="shared" si="14"/>
        <v>731199.33333333337</v>
      </c>
      <c r="Z196">
        <f t="shared" si="15"/>
        <v>0</v>
      </c>
      <c r="AA196">
        <v>0</v>
      </c>
    </row>
    <row r="197" spans="1:27" x14ac:dyDescent="0.25">
      <c r="A197" s="1">
        <v>196</v>
      </c>
      <c r="B197" t="s">
        <v>1831</v>
      </c>
      <c r="C197" t="s">
        <v>1136</v>
      </c>
      <c r="D197" t="s">
        <v>1147</v>
      </c>
      <c r="E197" t="s">
        <v>1146</v>
      </c>
      <c r="H197" t="s">
        <v>1183</v>
      </c>
      <c r="I197" t="s">
        <v>1183</v>
      </c>
      <c r="J197" t="s">
        <v>1263</v>
      </c>
      <c r="K197" t="s">
        <v>1212</v>
      </c>
      <c r="M197" s="3">
        <f t="shared" si="12"/>
        <v>69.857142857142861</v>
      </c>
      <c r="N197">
        <v>40</v>
      </c>
      <c r="O197">
        <v>85</v>
      </c>
      <c r="P197">
        <v>68</v>
      </c>
      <c r="Q197">
        <v>80</v>
      </c>
      <c r="R197">
        <v>74</v>
      </c>
      <c r="S197">
        <v>76</v>
      </c>
      <c r="T197">
        <v>66</v>
      </c>
      <c r="U197">
        <v>23</v>
      </c>
      <c r="V197" s="3">
        <f t="shared" si="13"/>
        <v>4151447</v>
      </c>
      <c r="W197">
        <v>345953.91666666669</v>
      </c>
      <c r="X197">
        <v>0</v>
      </c>
      <c r="Y197">
        <f t="shared" si="14"/>
        <v>345953.91666666669</v>
      </c>
      <c r="Z197">
        <f t="shared" si="15"/>
        <v>0</v>
      </c>
      <c r="AA197">
        <v>0</v>
      </c>
    </row>
    <row r="198" spans="1:27" x14ac:dyDescent="0.25">
      <c r="A198" s="1">
        <v>197</v>
      </c>
      <c r="B198" t="s">
        <v>816</v>
      </c>
      <c r="C198" t="s">
        <v>1136</v>
      </c>
      <c r="D198" t="s">
        <v>1144</v>
      </c>
      <c r="G198" t="s">
        <v>1179</v>
      </c>
      <c r="H198" t="s">
        <v>1179</v>
      </c>
      <c r="I198" t="s">
        <v>1179</v>
      </c>
      <c r="J198" t="s">
        <v>1263</v>
      </c>
      <c r="K198" t="s">
        <v>1212</v>
      </c>
      <c r="M198" s="3">
        <f t="shared" si="12"/>
        <v>76.428571428571431</v>
      </c>
      <c r="N198">
        <v>60</v>
      </c>
      <c r="O198">
        <v>71</v>
      </c>
      <c r="P198">
        <v>80</v>
      </c>
      <c r="Q198">
        <v>80</v>
      </c>
      <c r="R198">
        <v>89</v>
      </c>
      <c r="S198">
        <v>90</v>
      </c>
      <c r="T198">
        <v>65</v>
      </c>
      <c r="U198">
        <v>26</v>
      </c>
      <c r="V198" s="3">
        <f t="shared" si="13"/>
        <v>10201140</v>
      </c>
      <c r="W198">
        <v>850095</v>
      </c>
      <c r="X198">
        <v>0</v>
      </c>
      <c r="Y198">
        <f t="shared" si="14"/>
        <v>850095</v>
      </c>
      <c r="Z198">
        <f t="shared" si="15"/>
        <v>0</v>
      </c>
      <c r="AA198">
        <v>0</v>
      </c>
    </row>
    <row r="199" spans="1:27" x14ac:dyDescent="0.25">
      <c r="A199" s="1">
        <v>198</v>
      </c>
      <c r="B199" t="s">
        <v>1830</v>
      </c>
      <c r="C199" t="s">
        <v>1136</v>
      </c>
      <c r="D199" t="s">
        <v>1146</v>
      </c>
      <c r="E199" t="s">
        <v>1144</v>
      </c>
      <c r="H199" t="s">
        <v>1183</v>
      </c>
      <c r="I199" t="s">
        <v>1183</v>
      </c>
      <c r="J199" t="s">
        <v>1263</v>
      </c>
      <c r="K199" t="s">
        <v>1212</v>
      </c>
      <c r="M199" s="3">
        <f t="shared" si="12"/>
        <v>57.142857142857146</v>
      </c>
      <c r="N199">
        <v>18</v>
      </c>
      <c r="O199">
        <v>64</v>
      </c>
      <c r="P199">
        <v>66</v>
      </c>
      <c r="Q199">
        <v>74</v>
      </c>
      <c r="R199">
        <v>72</v>
      </c>
      <c r="S199">
        <v>75</v>
      </c>
      <c r="T199">
        <v>31</v>
      </c>
      <c r="U199">
        <v>0</v>
      </c>
      <c r="V199" s="3">
        <f t="shared" si="13"/>
        <v>371210</v>
      </c>
      <c r="W199">
        <v>30934.166666666668</v>
      </c>
      <c r="X199">
        <v>0</v>
      </c>
      <c r="Y199">
        <f t="shared" si="14"/>
        <v>30934.166666666668</v>
      </c>
      <c r="Z199">
        <f t="shared" si="15"/>
        <v>0</v>
      </c>
      <c r="AA199">
        <v>0</v>
      </c>
    </row>
    <row r="200" spans="1:27" x14ac:dyDescent="0.25">
      <c r="A200" s="1">
        <v>199</v>
      </c>
      <c r="B200" t="s">
        <v>1826</v>
      </c>
      <c r="C200" t="s">
        <v>1137</v>
      </c>
      <c r="D200" t="s">
        <v>1137</v>
      </c>
      <c r="H200" t="s">
        <v>1183</v>
      </c>
      <c r="I200" t="s">
        <v>1183</v>
      </c>
      <c r="J200" t="s">
        <v>1263</v>
      </c>
      <c r="K200" t="s">
        <v>1212</v>
      </c>
      <c r="M200" s="3">
        <f t="shared" si="12"/>
        <v>62.285714285714285</v>
      </c>
      <c r="N200">
        <v>21</v>
      </c>
      <c r="O200">
        <v>74</v>
      </c>
      <c r="P200">
        <v>68</v>
      </c>
      <c r="Q200">
        <v>78</v>
      </c>
      <c r="R200">
        <v>76</v>
      </c>
      <c r="S200">
        <v>79</v>
      </c>
      <c r="T200">
        <v>40</v>
      </c>
      <c r="U200">
        <v>0</v>
      </c>
      <c r="V200" s="3">
        <f t="shared" si="13"/>
        <v>878789</v>
      </c>
      <c r="W200">
        <v>73232.416666666672</v>
      </c>
      <c r="X200">
        <v>0</v>
      </c>
      <c r="Y200">
        <f t="shared" si="14"/>
        <v>73232.416666666672</v>
      </c>
      <c r="Z200">
        <f t="shared" si="15"/>
        <v>0</v>
      </c>
      <c r="AA200">
        <v>0</v>
      </c>
    </row>
    <row r="201" spans="1:27" x14ac:dyDescent="0.25">
      <c r="A201" s="1">
        <v>200</v>
      </c>
      <c r="B201" t="s">
        <v>2076</v>
      </c>
      <c r="C201" t="s">
        <v>1133</v>
      </c>
      <c r="D201" t="s">
        <v>1133</v>
      </c>
      <c r="H201" t="s">
        <v>1151</v>
      </c>
      <c r="I201" t="s">
        <v>1151</v>
      </c>
      <c r="J201" t="s">
        <v>1289</v>
      </c>
      <c r="K201" t="s">
        <v>1212</v>
      </c>
      <c r="M201" s="3">
        <f t="shared" si="12"/>
        <v>62.714285714285715</v>
      </c>
      <c r="N201">
        <v>18</v>
      </c>
      <c r="O201">
        <v>75</v>
      </c>
      <c r="P201">
        <v>71</v>
      </c>
      <c r="Q201">
        <v>77</v>
      </c>
      <c r="R201">
        <v>79</v>
      </c>
      <c r="S201">
        <v>81</v>
      </c>
      <c r="T201">
        <v>38</v>
      </c>
      <c r="U201">
        <v>0</v>
      </c>
      <c r="V201" s="3">
        <f t="shared" si="13"/>
        <v>941163</v>
      </c>
      <c r="W201">
        <v>78430.25</v>
      </c>
      <c r="X201">
        <v>0</v>
      </c>
      <c r="Y201">
        <f t="shared" si="14"/>
        <v>78430.25</v>
      </c>
      <c r="Z201">
        <f t="shared" si="15"/>
        <v>0</v>
      </c>
      <c r="AA201">
        <v>0</v>
      </c>
    </row>
    <row r="202" spans="1:27" x14ac:dyDescent="0.25">
      <c r="A202" s="1">
        <v>201</v>
      </c>
      <c r="B202" t="s">
        <v>2077</v>
      </c>
      <c r="C202" t="s">
        <v>1133</v>
      </c>
      <c r="D202" t="s">
        <v>1133</v>
      </c>
      <c r="H202" t="s">
        <v>1151</v>
      </c>
      <c r="I202" t="s">
        <v>1151</v>
      </c>
      <c r="J202" t="s">
        <v>1289</v>
      </c>
      <c r="K202" t="s">
        <v>1212</v>
      </c>
      <c r="M202" s="3">
        <f t="shared" si="12"/>
        <v>67.571428571428569</v>
      </c>
      <c r="N202">
        <v>45</v>
      </c>
      <c r="O202">
        <v>73</v>
      </c>
      <c r="P202">
        <v>69</v>
      </c>
      <c r="Q202">
        <v>75</v>
      </c>
      <c r="R202">
        <v>77</v>
      </c>
      <c r="S202">
        <v>79</v>
      </c>
      <c r="T202">
        <v>55</v>
      </c>
      <c r="U202">
        <v>0</v>
      </c>
      <c r="V202" s="3">
        <f t="shared" si="13"/>
        <v>1984409</v>
      </c>
      <c r="W202">
        <v>55398.416666666664</v>
      </c>
      <c r="X202">
        <v>0</v>
      </c>
      <c r="Y202">
        <f t="shared" si="14"/>
        <v>165367.41666666666</v>
      </c>
      <c r="Z202">
        <f t="shared" si="15"/>
        <v>-66.5</v>
      </c>
      <c r="AA202">
        <v>0</v>
      </c>
    </row>
    <row r="203" spans="1:27" x14ac:dyDescent="0.25">
      <c r="A203" s="1">
        <v>202</v>
      </c>
      <c r="B203" t="s">
        <v>2080</v>
      </c>
      <c r="C203" t="s">
        <v>1134</v>
      </c>
      <c r="D203" t="s">
        <v>1138</v>
      </c>
      <c r="E203" t="s">
        <v>1139</v>
      </c>
      <c r="H203" t="s">
        <v>1151</v>
      </c>
      <c r="I203" t="s">
        <v>1151</v>
      </c>
      <c r="J203" t="s">
        <v>1289</v>
      </c>
      <c r="K203" t="s">
        <v>1212</v>
      </c>
      <c r="M203" s="3">
        <f t="shared" si="12"/>
        <v>64.428571428571431</v>
      </c>
      <c r="N203">
        <v>21</v>
      </c>
      <c r="O203">
        <v>81</v>
      </c>
      <c r="P203">
        <v>73</v>
      </c>
      <c r="Q203">
        <v>77</v>
      </c>
      <c r="R203">
        <v>79</v>
      </c>
      <c r="S203">
        <v>81</v>
      </c>
      <c r="T203">
        <v>39</v>
      </c>
      <c r="U203">
        <v>0</v>
      </c>
      <c r="V203" s="3">
        <f t="shared" si="13"/>
        <v>1232495</v>
      </c>
      <c r="W203">
        <v>102707.91666666667</v>
      </c>
      <c r="X203">
        <v>0</v>
      </c>
      <c r="Y203">
        <f t="shared" si="14"/>
        <v>102707.91666666667</v>
      </c>
      <c r="Z203">
        <f t="shared" si="15"/>
        <v>0</v>
      </c>
      <c r="AA203">
        <v>0</v>
      </c>
    </row>
    <row r="204" spans="1:27" x14ac:dyDescent="0.25">
      <c r="A204" s="1">
        <v>203</v>
      </c>
      <c r="B204" t="s">
        <v>2079</v>
      </c>
      <c r="C204" t="s">
        <v>1134</v>
      </c>
      <c r="D204" t="s">
        <v>1138</v>
      </c>
      <c r="E204" t="s">
        <v>1144</v>
      </c>
      <c r="H204" t="s">
        <v>1151</v>
      </c>
      <c r="I204" t="s">
        <v>1151</v>
      </c>
      <c r="J204" t="s">
        <v>1289</v>
      </c>
      <c r="K204" t="s">
        <v>1212</v>
      </c>
      <c r="M204" s="3">
        <f t="shared" si="12"/>
        <v>59.428571428571431</v>
      </c>
      <c r="N204">
        <v>16</v>
      </c>
      <c r="O204">
        <v>75</v>
      </c>
      <c r="P204">
        <v>67</v>
      </c>
      <c r="Q204">
        <v>73</v>
      </c>
      <c r="R204">
        <v>75</v>
      </c>
      <c r="S204">
        <v>77</v>
      </c>
      <c r="T204">
        <v>33</v>
      </c>
      <c r="U204">
        <v>0</v>
      </c>
      <c r="V204" s="3">
        <f t="shared" si="13"/>
        <v>549482</v>
      </c>
      <c r="W204">
        <v>45790.166666666664</v>
      </c>
      <c r="X204">
        <v>0</v>
      </c>
      <c r="Y204">
        <f t="shared" si="14"/>
        <v>45790.166666666664</v>
      </c>
      <c r="Z204">
        <f t="shared" si="15"/>
        <v>0</v>
      </c>
      <c r="AA204">
        <v>0</v>
      </c>
    </row>
    <row r="205" spans="1:27" x14ac:dyDescent="0.25">
      <c r="A205" s="1">
        <v>204</v>
      </c>
      <c r="B205" t="s">
        <v>2083</v>
      </c>
      <c r="C205" t="s">
        <v>1134</v>
      </c>
      <c r="D205" t="s">
        <v>1139</v>
      </c>
      <c r="E205" t="s">
        <v>1138</v>
      </c>
      <c r="H205" t="s">
        <v>1151</v>
      </c>
      <c r="I205" t="s">
        <v>1151</v>
      </c>
      <c r="J205" t="s">
        <v>1289</v>
      </c>
      <c r="K205" t="s">
        <v>1212</v>
      </c>
      <c r="M205" s="3">
        <f t="shared" si="12"/>
        <v>64</v>
      </c>
      <c r="N205">
        <v>20</v>
      </c>
      <c r="O205">
        <v>80</v>
      </c>
      <c r="P205">
        <v>73</v>
      </c>
      <c r="Q205">
        <v>77</v>
      </c>
      <c r="R205">
        <v>79</v>
      </c>
      <c r="S205">
        <v>81</v>
      </c>
      <c r="T205">
        <v>38</v>
      </c>
      <c r="U205">
        <v>0</v>
      </c>
      <c r="V205" s="3">
        <f t="shared" si="13"/>
        <v>1152922</v>
      </c>
      <c r="W205">
        <v>96076.833333333328</v>
      </c>
      <c r="X205">
        <v>0</v>
      </c>
      <c r="Y205">
        <f t="shared" si="14"/>
        <v>96076.833333333328</v>
      </c>
      <c r="Z205">
        <f t="shared" si="15"/>
        <v>0</v>
      </c>
      <c r="AA205">
        <v>0</v>
      </c>
    </row>
    <row r="206" spans="1:27" x14ac:dyDescent="0.25">
      <c r="A206" s="1">
        <v>205</v>
      </c>
      <c r="B206" t="s">
        <v>2082</v>
      </c>
      <c r="C206" t="s">
        <v>1134</v>
      </c>
      <c r="D206" t="s">
        <v>1140</v>
      </c>
      <c r="E206" t="s">
        <v>1139</v>
      </c>
      <c r="H206" t="s">
        <v>1151</v>
      </c>
      <c r="I206" t="s">
        <v>1151</v>
      </c>
      <c r="J206" t="s">
        <v>1289</v>
      </c>
      <c r="K206" t="s">
        <v>1212</v>
      </c>
      <c r="M206" s="3">
        <f t="shared" si="12"/>
        <v>59.285714285714285</v>
      </c>
      <c r="N206">
        <v>16</v>
      </c>
      <c r="O206">
        <v>75</v>
      </c>
      <c r="P206">
        <v>67</v>
      </c>
      <c r="Q206">
        <v>73</v>
      </c>
      <c r="R206">
        <v>75</v>
      </c>
      <c r="S206">
        <v>77</v>
      </c>
      <c r="T206">
        <v>32</v>
      </c>
      <c r="U206">
        <v>0</v>
      </c>
      <c r="V206" s="3">
        <f t="shared" si="13"/>
        <v>536415</v>
      </c>
      <c r="W206">
        <v>44701.25</v>
      </c>
      <c r="X206">
        <v>0</v>
      </c>
      <c r="Y206">
        <f t="shared" si="14"/>
        <v>44701.25</v>
      </c>
      <c r="Z206">
        <f t="shared" si="15"/>
        <v>0</v>
      </c>
      <c r="AA206">
        <v>0</v>
      </c>
    </row>
    <row r="207" spans="1:27" x14ac:dyDescent="0.25">
      <c r="A207" s="1">
        <v>206</v>
      </c>
      <c r="B207" t="s">
        <v>2081</v>
      </c>
      <c r="C207" t="s">
        <v>1134</v>
      </c>
      <c r="D207" t="s">
        <v>1140</v>
      </c>
      <c r="E207" t="s">
        <v>1138</v>
      </c>
      <c r="H207" t="s">
        <v>1151</v>
      </c>
      <c r="I207" t="s">
        <v>1151</v>
      </c>
      <c r="J207" t="s">
        <v>1289</v>
      </c>
      <c r="K207" t="s">
        <v>1212</v>
      </c>
      <c r="M207" s="3">
        <f t="shared" si="12"/>
        <v>62.285714285714285</v>
      </c>
      <c r="N207">
        <v>19</v>
      </c>
      <c r="O207">
        <v>79</v>
      </c>
      <c r="P207">
        <v>71</v>
      </c>
      <c r="Q207">
        <v>75</v>
      </c>
      <c r="R207">
        <v>77</v>
      </c>
      <c r="S207">
        <v>79</v>
      </c>
      <c r="T207">
        <v>36</v>
      </c>
      <c r="U207">
        <v>0</v>
      </c>
      <c r="V207" s="3">
        <f t="shared" si="13"/>
        <v>878789</v>
      </c>
      <c r="W207">
        <v>73232.416666666672</v>
      </c>
      <c r="X207">
        <v>0</v>
      </c>
      <c r="Y207">
        <f t="shared" si="14"/>
        <v>73232.416666666672</v>
      </c>
      <c r="Z207">
        <f t="shared" si="15"/>
        <v>0</v>
      </c>
      <c r="AA207">
        <v>0</v>
      </c>
    </row>
    <row r="208" spans="1:27" x14ac:dyDescent="0.25">
      <c r="A208" s="1">
        <v>207</v>
      </c>
      <c r="B208" t="s">
        <v>2092</v>
      </c>
      <c r="C208" t="s">
        <v>1135</v>
      </c>
      <c r="D208" t="s">
        <v>1141</v>
      </c>
      <c r="H208" t="s">
        <v>1151</v>
      </c>
      <c r="I208" t="s">
        <v>1151</v>
      </c>
      <c r="J208" t="s">
        <v>1289</v>
      </c>
      <c r="K208" t="s">
        <v>1212</v>
      </c>
      <c r="M208" s="3">
        <f t="shared" si="12"/>
        <v>59.571428571428569</v>
      </c>
      <c r="N208">
        <v>17</v>
      </c>
      <c r="O208">
        <v>75</v>
      </c>
      <c r="P208">
        <v>67</v>
      </c>
      <c r="Q208">
        <v>73</v>
      </c>
      <c r="R208">
        <v>75</v>
      </c>
      <c r="S208">
        <v>77</v>
      </c>
      <c r="T208">
        <v>33</v>
      </c>
      <c r="U208">
        <v>0</v>
      </c>
      <c r="V208" s="3">
        <f t="shared" si="13"/>
        <v>562834</v>
      </c>
      <c r="W208">
        <v>46902.833333333336</v>
      </c>
      <c r="X208">
        <v>0</v>
      </c>
      <c r="Y208">
        <f t="shared" si="14"/>
        <v>46902.833333333336</v>
      </c>
      <c r="Z208">
        <f t="shared" si="15"/>
        <v>0</v>
      </c>
      <c r="AA208">
        <v>0</v>
      </c>
    </row>
    <row r="209" spans="1:27" x14ac:dyDescent="0.25">
      <c r="A209" s="1">
        <v>208</v>
      </c>
      <c r="B209" t="s">
        <v>2090</v>
      </c>
      <c r="C209" t="s">
        <v>1135</v>
      </c>
      <c r="D209" t="s">
        <v>1142</v>
      </c>
      <c r="E209" t="s">
        <v>1141</v>
      </c>
      <c r="H209" t="s">
        <v>1151</v>
      </c>
      <c r="I209" t="s">
        <v>1151</v>
      </c>
      <c r="J209" t="s">
        <v>1289</v>
      </c>
      <c r="K209" t="s">
        <v>1212</v>
      </c>
      <c r="M209" s="3">
        <f t="shared" si="12"/>
        <v>61.428571428571431</v>
      </c>
      <c r="N209">
        <v>18</v>
      </c>
      <c r="O209">
        <v>77</v>
      </c>
      <c r="P209">
        <v>69</v>
      </c>
      <c r="Q209">
        <v>75</v>
      </c>
      <c r="R209">
        <v>77</v>
      </c>
      <c r="S209">
        <v>79</v>
      </c>
      <c r="T209">
        <v>35</v>
      </c>
      <c r="U209">
        <v>0</v>
      </c>
      <c r="V209" s="3">
        <f t="shared" si="13"/>
        <v>765076</v>
      </c>
      <c r="W209">
        <v>63756.333333333336</v>
      </c>
      <c r="X209">
        <v>0</v>
      </c>
      <c r="Y209">
        <f t="shared" si="14"/>
        <v>63756.333333333336</v>
      </c>
      <c r="Z209">
        <f t="shared" si="15"/>
        <v>0</v>
      </c>
      <c r="AA209">
        <v>0</v>
      </c>
    </row>
    <row r="210" spans="1:27" x14ac:dyDescent="0.25">
      <c r="A210" s="1">
        <v>209</v>
      </c>
      <c r="B210" t="s">
        <v>2091</v>
      </c>
      <c r="C210" t="s">
        <v>1135</v>
      </c>
      <c r="D210" t="s">
        <v>1141</v>
      </c>
      <c r="E210" t="s">
        <v>1142</v>
      </c>
      <c r="H210" t="s">
        <v>1151</v>
      </c>
      <c r="I210" t="s">
        <v>1151</v>
      </c>
      <c r="J210" t="s">
        <v>1289</v>
      </c>
      <c r="K210" t="s">
        <v>1212</v>
      </c>
      <c r="M210" s="3">
        <f t="shared" si="12"/>
        <v>59.571428571428569</v>
      </c>
      <c r="N210">
        <v>17</v>
      </c>
      <c r="O210">
        <v>75</v>
      </c>
      <c r="P210">
        <v>67</v>
      </c>
      <c r="Q210">
        <v>73</v>
      </c>
      <c r="R210">
        <v>75</v>
      </c>
      <c r="S210">
        <v>77</v>
      </c>
      <c r="T210">
        <v>33</v>
      </c>
      <c r="U210">
        <v>0</v>
      </c>
      <c r="V210" s="3">
        <f t="shared" si="13"/>
        <v>562834</v>
      </c>
      <c r="W210">
        <v>46902.833333333336</v>
      </c>
      <c r="X210">
        <v>0</v>
      </c>
      <c r="Y210">
        <f t="shared" si="14"/>
        <v>46902.833333333336</v>
      </c>
      <c r="Z210">
        <f t="shared" si="15"/>
        <v>0</v>
      </c>
      <c r="AA210">
        <v>0</v>
      </c>
    </row>
    <row r="211" spans="1:27" x14ac:dyDescent="0.25">
      <c r="A211" s="1">
        <v>210</v>
      </c>
      <c r="B211" t="s">
        <v>621</v>
      </c>
      <c r="C211" t="s">
        <v>1135</v>
      </c>
      <c r="D211" t="s">
        <v>1142</v>
      </c>
      <c r="E211" t="s">
        <v>1141</v>
      </c>
      <c r="G211" t="s">
        <v>1209</v>
      </c>
      <c r="H211" t="s">
        <v>1209</v>
      </c>
      <c r="I211" t="s">
        <v>1209</v>
      </c>
      <c r="J211" t="s">
        <v>1289</v>
      </c>
      <c r="K211" t="s">
        <v>1212</v>
      </c>
      <c r="M211" s="3">
        <f t="shared" si="12"/>
        <v>59.857142857142854</v>
      </c>
      <c r="N211">
        <v>36</v>
      </c>
      <c r="O211">
        <v>69</v>
      </c>
      <c r="P211">
        <v>65</v>
      </c>
      <c r="Q211">
        <v>66</v>
      </c>
      <c r="R211">
        <v>68</v>
      </c>
      <c r="S211">
        <v>75</v>
      </c>
      <c r="T211">
        <v>40</v>
      </c>
      <c r="U211">
        <v>0</v>
      </c>
      <c r="V211" s="3">
        <f t="shared" si="13"/>
        <v>590419</v>
      </c>
      <c r="W211">
        <v>49201.583333333336</v>
      </c>
      <c r="X211">
        <v>0</v>
      </c>
      <c r="Y211">
        <f t="shared" si="14"/>
        <v>49201.583333333336</v>
      </c>
      <c r="Z211">
        <f t="shared" si="15"/>
        <v>0</v>
      </c>
      <c r="AA211">
        <v>0</v>
      </c>
    </row>
    <row r="212" spans="1:27" x14ac:dyDescent="0.25">
      <c r="A212" s="1">
        <v>211</v>
      </c>
      <c r="B212" t="s">
        <v>2087</v>
      </c>
      <c r="C212" t="s">
        <v>1136</v>
      </c>
      <c r="D212" t="s">
        <v>1145</v>
      </c>
      <c r="E212" t="s">
        <v>1147</v>
      </c>
      <c r="H212" t="s">
        <v>1151</v>
      </c>
      <c r="I212" t="s">
        <v>1151</v>
      </c>
      <c r="J212" t="s">
        <v>1289</v>
      </c>
      <c r="K212" t="s">
        <v>1212</v>
      </c>
      <c r="M212" s="3">
        <f t="shared" si="12"/>
        <v>64.142857142857139</v>
      </c>
      <c r="N212">
        <v>19</v>
      </c>
      <c r="O212">
        <v>81</v>
      </c>
      <c r="P212">
        <v>72</v>
      </c>
      <c r="Q212">
        <v>78</v>
      </c>
      <c r="R212">
        <v>80</v>
      </c>
      <c r="S212">
        <v>82</v>
      </c>
      <c r="T212">
        <v>37</v>
      </c>
      <c r="U212">
        <v>0</v>
      </c>
      <c r="V212" s="3">
        <f t="shared" si="13"/>
        <v>1178917</v>
      </c>
      <c r="W212">
        <v>98243.083333333328</v>
      </c>
      <c r="X212">
        <v>0</v>
      </c>
      <c r="Y212">
        <f t="shared" si="14"/>
        <v>98243.083333333328</v>
      </c>
      <c r="Z212">
        <f t="shared" si="15"/>
        <v>0</v>
      </c>
      <c r="AA212">
        <v>0</v>
      </c>
    </row>
    <row r="213" spans="1:27" x14ac:dyDescent="0.25">
      <c r="A213" s="1">
        <v>212</v>
      </c>
      <c r="B213" t="s">
        <v>648</v>
      </c>
      <c r="C213" t="s">
        <v>1136</v>
      </c>
      <c r="D213" t="s">
        <v>1143</v>
      </c>
      <c r="E213" t="s">
        <v>1146</v>
      </c>
      <c r="F213" t="s">
        <v>1147</v>
      </c>
      <c r="G213" t="s">
        <v>1151</v>
      </c>
      <c r="H213" t="s">
        <v>1151</v>
      </c>
      <c r="I213" t="s">
        <v>1151</v>
      </c>
      <c r="J213" t="s">
        <v>1289</v>
      </c>
      <c r="K213" t="s">
        <v>1212</v>
      </c>
      <c r="M213" s="3">
        <f t="shared" si="12"/>
        <v>76.571428571428569</v>
      </c>
      <c r="N213">
        <v>72</v>
      </c>
      <c r="O213">
        <v>75</v>
      </c>
      <c r="P213">
        <v>77</v>
      </c>
      <c r="Q213">
        <v>78</v>
      </c>
      <c r="R213">
        <v>83</v>
      </c>
      <c r="S213">
        <v>86</v>
      </c>
      <c r="T213">
        <v>65</v>
      </c>
      <c r="U213">
        <v>18</v>
      </c>
      <c r="V213" s="3">
        <f t="shared" si="13"/>
        <v>10393427</v>
      </c>
      <c r="W213">
        <v>866118.91666666663</v>
      </c>
      <c r="X213">
        <v>0</v>
      </c>
      <c r="Y213">
        <f t="shared" si="14"/>
        <v>866118.91666666663</v>
      </c>
      <c r="Z213">
        <f t="shared" si="15"/>
        <v>0</v>
      </c>
      <c r="AA213">
        <v>0</v>
      </c>
    </row>
    <row r="214" spans="1:27" x14ac:dyDescent="0.25">
      <c r="A214" s="1">
        <v>213</v>
      </c>
      <c r="B214" t="s">
        <v>2088</v>
      </c>
      <c r="C214" t="s">
        <v>1136</v>
      </c>
      <c r="D214" t="s">
        <v>1146</v>
      </c>
      <c r="E214" t="s">
        <v>1144</v>
      </c>
      <c r="H214" t="s">
        <v>1151</v>
      </c>
      <c r="I214" t="s">
        <v>1151</v>
      </c>
      <c r="J214" t="s">
        <v>1289</v>
      </c>
      <c r="K214" t="s">
        <v>1212</v>
      </c>
      <c r="M214" s="3">
        <f t="shared" si="12"/>
        <v>57.714285714285715</v>
      </c>
      <c r="N214">
        <v>16</v>
      </c>
      <c r="O214">
        <v>73</v>
      </c>
      <c r="P214">
        <v>65</v>
      </c>
      <c r="Q214">
        <v>71</v>
      </c>
      <c r="R214">
        <v>73</v>
      </c>
      <c r="S214">
        <v>75</v>
      </c>
      <c r="T214">
        <v>31</v>
      </c>
      <c r="U214">
        <v>0</v>
      </c>
      <c r="V214" s="3">
        <f t="shared" si="13"/>
        <v>410047</v>
      </c>
      <c r="W214">
        <v>34170.583333333336</v>
      </c>
      <c r="X214">
        <v>0</v>
      </c>
      <c r="Y214">
        <f t="shared" si="14"/>
        <v>34170.583333333336</v>
      </c>
      <c r="Z214">
        <f t="shared" si="15"/>
        <v>0</v>
      </c>
      <c r="AA214">
        <v>0</v>
      </c>
    </row>
    <row r="215" spans="1:27" x14ac:dyDescent="0.25">
      <c r="A215" s="1">
        <v>214</v>
      </c>
      <c r="B215" t="s">
        <v>1009</v>
      </c>
      <c r="C215" t="s">
        <v>1136</v>
      </c>
      <c r="D215" t="s">
        <v>1146</v>
      </c>
      <c r="E215" t="s">
        <v>1144</v>
      </c>
      <c r="G215" t="s">
        <v>1209</v>
      </c>
      <c r="H215" t="s">
        <v>1221</v>
      </c>
      <c r="I215" t="s">
        <v>1221</v>
      </c>
      <c r="J215" t="s">
        <v>1289</v>
      </c>
      <c r="K215" t="s">
        <v>1212</v>
      </c>
      <c r="M215" s="3">
        <f t="shared" si="12"/>
        <v>83</v>
      </c>
      <c r="N215">
        <v>85</v>
      </c>
      <c r="O215">
        <v>92</v>
      </c>
      <c r="P215">
        <v>84</v>
      </c>
      <c r="Q215">
        <v>85</v>
      </c>
      <c r="R215">
        <v>80</v>
      </c>
      <c r="S215">
        <v>75</v>
      </c>
      <c r="T215">
        <v>80</v>
      </c>
      <c r="U215">
        <v>9</v>
      </c>
      <c r="V215" s="3">
        <f t="shared" si="13"/>
        <v>23274062</v>
      </c>
      <c r="W215">
        <v>1939505.1666666667</v>
      </c>
      <c r="X215">
        <v>0</v>
      </c>
      <c r="Y215">
        <f t="shared" si="14"/>
        <v>1939505.1666666667</v>
      </c>
      <c r="Z215">
        <f t="shared" si="15"/>
        <v>0</v>
      </c>
      <c r="AA215">
        <v>0</v>
      </c>
    </row>
    <row r="216" spans="1:27" x14ac:dyDescent="0.25">
      <c r="A216" s="1">
        <v>215</v>
      </c>
      <c r="B216" t="s">
        <v>2084</v>
      </c>
      <c r="C216" t="s">
        <v>1136</v>
      </c>
      <c r="D216" t="s">
        <v>1144</v>
      </c>
      <c r="E216" t="s">
        <v>1143</v>
      </c>
      <c r="H216" t="s">
        <v>1151</v>
      </c>
      <c r="I216" t="s">
        <v>1151</v>
      </c>
      <c r="J216" t="s">
        <v>1289</v>
      </c>
      <c r="K216" t="s">
        <v>1212</v>
      </c>
      <c r="M216" s="3">
        <f t="shared" si="12"/>
        <v>61.285714285714285</v>
      </c>
      <c r="N216">
        <v>18</v>
      </c>
      <c r="O216">
        <v>77</v>
      </c>
      <c r="P216">
        <v>69</v>
      </c>
      <c r="Q216">
        <v>75</v>
      </c>
      <c r="R216">
        <v>77</v>
      </c>
      <c r="S216">
        <v>79</v>
      </c>
      <c r="T216">
        <v>34</v>
      </c>
      <c r="U216">
        <v>0</v>
      </c>
      <c r="V216" s="3">
        <f t="shared" si="13"/>
        <v>747468</v>
      </c>
      <c r="W216">
        <v>62289</v>
      </c>
      <c r="X216">
        <v>0</v>
      </c>
      <c r="Y216">
        <f t="shared" si="14"/>
        <v>62289</v>
      </c>
      <c r="Z216">
        <f t="shared" si="15"/>
        <v>0</v>
      </c>
      <c r="AA216">
        <v>0</v>
      </c>
    </row>
    <row r="217" spans="1:27" x14ac:dyDescent="0.25">
      <c r="A217" s="1">
        <v>216</v>
      </c>
      <c r="B217" t="s">
        <v>2089</v>
      </c>
      <c r="C217" t="s">
        <v>1136</v>
      </c>
      <c r="D217" t="s">
        <v>1147</v>
      </c>
      <c r="E217" t="s">
        <v>1145</v>
      </c>
      <c r="H217" t="s">
        <v>1151</v>
      </c>
      <c r="I217" t="s">
        <v>1151</v>
      </c>
      <c r="J217" t="s">
        <v>1289</v>
      </c>
      <c r="K217" t="s">
        <v>1212</v>
      </c>
      <c r="M217" s="3">
        <f t="shared" si="12"/>
        <v>67.714285714285708</v>
      </c>
      <c r="N217">
        <v>22</v>
      </c>
      <c r="O217">
        <v>83</v>
      </c>
      <c r="P217">
        <v>77</v>
      </c>
      <c r="Q217">
        <v>81</v>
      </c>
      <c r="R217">
        <v>83</v>
      </c>
      <c r="S217">
        <v>85</v>
      </c>
      <c r="T217">
        <v>43</v>
      </c>
      <c r="U217">
        <v>0</v>
      </c>
      <c r="V217" s="3">
        <f t="shared" si="13"/>
        <v>2026764</v>
      </c>
      <c r="W217">
        <v>168897</v>
      </c>
      <c r="X217">
        <v>0</v>
      </c>
      <c r="Y217">
        <f t="shared" si="14"/>
        <v>168897</v>
      </c>
      <c r="Z217">
        <f t="shared" si="15"/>
        <v>0</v>
      </c>
      <c r="AA217">
        <v>0</v>
      </c>
    </row>
    <row r="218" spans="1:27" x14ac:dyDescent="0.25">
      <c r="A218" s="1">
        <v>217</v>
      </c>
      <c r="B218" t="s">
        <v>2086</v>
      </c>
      <c r="C218" t="s">
        <v>1136</v>
      </c>
      <c r="D218" t="s">
        <v>1145</v>
      </c>
      <c r="E218" t="s">
        <v>1143</v>
      </c>
      <c r="H218" t="s">
        <v>1151</v>
      </c>
      <c r="I218" t="s">
        <v>1151</v>
      </c>
      <c r="J218" t="s">
        <v>1289</v>
      </c>
      <c r="K218" t="s">
        <v>1212</v>
      </c>
      <c r="M218" s="3">
        <f t="shared" si="12"/>
        <v>60.285714285714285</v>
      </c>
      <c r="N218">
        <v>17</v>
      </c>
      <c r="O218">
        <v>76</v>
      </c>
      <c r="P218">
        <v>68</v>
      </c>
      <c r="Q218">
        <v>74</v>
      </c>
      <c r="R218">
        <v>76</v>
      </c>
      <c r="S218">
        <v>78</v>
      </c>
      <c r="T218">
        <v>33</v>
      </c>
      <c r="U218">
        <v>0</v>
      </c>
      <c r="V218" s="3">
        <f t="shared" si="13"/>
        <v>634081</v>
      </c>
      <c r="W218">
        <v>52840.083333333336</v>
      </c>
      <c r="X218">
        <v>0</v>
      </c>
      <c r="Y218">
        <f t="shared" si="14"/>
        <v>52840.083333333336</v>
      </c>
      <c r="Z218">
        <f t="shared" si="15"/>
        <v>0</v>
      </c>
      <c r="AA218">
        <v>0</v>
      </c>
    </row>
    <row r="219" spans="1:27" x14ac:dyDescent="0.25">
      <c r="A219" s="1">
        <v>218</v>
      </c>
      <c r="B219" t="s">
        <v>2085</v>
      </c>
      <c r="C219" t="s">
        <v>1136</v>
      </c>
      <c r="D219" t="s">
        <v>1143</v>
      </c>
      <c r="E219" t="s">
        <v>1144</v>
      </c>
      <c r="H219" t="s">
        <v>1151</v>
      </c>
      <c r="I219" t="s">
        <v>1151</v>
      </c>
      <c r="J219" t="s">
        <v>1289</v>
      </c>
      <c r="K219" t="s">
        <v>1212</v>
      </c>
      <c r="M219" s="3">
        <f t="shared" si="12"/>
        <v>69.571428571428569</v>
      </c>
      <c r="N219">
        <v>23</v>
      </c>
      <c r="O219">
        <v>85</v>
      </c>
      <c r="P219">
        <v>79</v>
      </c>
      <c r="Q219">
        <v>83</v>
      </c>
      <c r="R219">
        <v>85</v>
      </c>
      <c r="S219">
        <v>87</v>
      </c>
      <c r="T219">
        <v>45</v>
      </c>
      <c r="U219">
        <v>0</v>
      </c>
      <c r="V219" s="3">
        <f t="shared" si="13"/>
        <v>2656497</v>
      </c>
      <c r="W219">
        <v>221374.75</v>
      </c>
      <c r="X219">
        <v>0</v>
      </c>
      <c r="Y219">
        <f t="shared" si="14"/>
        <v>221374.75</v>
      </c>
      <c r="Z219">
        <f t="shared" si="15"/>
        <v>0</v>
      </c>
      <c r="AA219">
        <v>0</v>
      </c>
    </row>
    <row r="220" spans="1:27" x14ac:dyDescent="0.25">
      <c r="A220" s="1">
        <v>219</v>
      </c>
      <c r="B220" t="s">
        <v>2078</v>
      </c>
      <c r="C220" t="s">
        <v>1137</v>
      </c>
      <c r="D220" t="s">
        <v>1137</v>
      </c>
      <c r="H220" t="s">
        <v>1151</v>
      </c>
      <c r="I220" t="s">
        <v>1151</v>
      </c>
      <c r="J220" t="s">
        <v>1289</v>
      </c>
      <c r="K220" t="s">
        <v>1212</v>
      </c>
      <c r="M220" s="3">
        <f t="shared" si="12"/>
        <v>61.571428571428569</v>
      </c>
      <c r="N220">
        <v>17</v>
      </c>
      <c r="O220">
        <v>74</v>
      </c>
      <c r="P220">
        <v>70</v>
      </c>
      <c r="Q220">
        <v>76</v>
      </c>
      <c r="R220">
        <v>78</v>
      </c>
      <c r="S220">
        <v>80</v>
      </c>
      <c r="T220">
        <v>36</v>
      </c>
      <c r="U220">
        <v>0</v>
      </c>
      <c r="V220" s="3">
        <f t="shared" si="13"/>
        <v>783056</v>
      </c>
      <c r="W220">
        <v>65254.666666666664</v>
      </c>
      <c r="X220">
        <v>0</v>
      </c>
      <c r="Y220">
        <f t="shared" si="14"/>
        <v>65254.666666666664</v>
      </c>
      <c r="Z220">
        <f t="shared" si="15"/>
        <v>0</v>
      </c>
      <c r="AA220">
        <v>0</v>
      </c>
    </row>
    <row r="221" spans="1:27" x14ac:dyDescent="0.25">
      <c r="A221" s="1">
        <v>220</v>
      </c>
      <c r="B221" t="s">
        <v>1784</v>
      </c>
      <c r="C221" t="s">
        <v>1133</v>
      </c>
      <c r="D221" t="s">
        <v>1133</v>
      </c>
      <c r="H221" t="s">
        <v>1159</v>
      </c>
      <c r="I221" t="s">
        <v>1159</v>
      </c>
      <c r="J221" t="s">
        <v>2673</v>
      </c>
      <c r="K221" t="s">
        <v>1212</v>
      </c>
      <c r="M221" s="3">
        <f t="shared" si="12"/>
        <v>58.428571428571431</v>
      </c>
      <c r="N221">
        <v>18</v>
      </c>
      <c r="O221">
        <v>65</v>
      </c>
      <c r="P221">
        <v>57</v>
      </c>
      <c r="Q221">
        <v>79</v>
      </c>
      <c r="R221">
        <v>75</v>
      </c>
      <c r="S221">
        <v>73</v>
      </c>
      <c r="T221">
        <v>42</v>
      </c>
      <c r="U221">
        <v>0</v>
      </c>
      <c r="V221" s="3">
        <f t="shared" si="13"/>
        <v>463717</v>
      </c>
      <c r="W221">
        <v>38643.083333333336</v>
      </c>
      <c r="X221">
        <v>0</v>
      </c>
      <c r="Y221">
        <f t="shared" si="14"/>
        <v>38643.083333333336</v>
      </c>
      <c r="Z221">
        <f t="shared" si="15"/>
        <v>0</v>
      </c>
      <c r="AA221">
        <v>0</v>
      </c>
    </row>
    <row r="222" spans="1:27" x14ac:dyDescent="0.25">
      <c r="A222" s="1">
        <v>221</v>
      </c>
      <c r="B222" t="s">
        <v>176</v>
      </c>
      <c r="C222" t="s">
        <v>1134</v>
      </c>
      <c r="D222" t="s">
        <v>1138</v>
      </c>
      <c r="G222" t="s">
        <v>1159</v>
      </c>
      <c r="H222" t="s">
        <v>1159</v>
      </c>
      <c r="I222" t="s">
        <v>1159</v>
      </c>
      <c r="J222" t="s">
        <v>2673</v>
      </c>
      <c r="K222" t="s">
        <v>1212</v>
      </c>
      <c r="M222" s="3">
        <f t="shared" si="12"/>
        <v>66.428571428571431</v>
      </c>
      <c r="N222">
        <v>36</v>
      </c>
      <c r="O222">
        <v>56</v>
      </c>
      <c r="P222">
        <v>75</v>
      </c>
      <c r="Q222">
        <v>80</v>
      </c>
      <c r="R222">
        <v>75</v>
      </c>
      <c r="S222">
        <v>73</v>
      </c>
      <c r="T222">
        <v>70</v>
      </c>
      <c r="U222">
        <v>0</v>
      </c>
      <c r="V222" s="3">
        <f t="shared" si="13"/>
        <v>1673205</v>
      </c>
      <c r="W222">
        <v>139433.75</v>
      </c>
      <c r="X222">
        <v>0</v>
      </c>
      <c r="Y222">
        <f t="shared" si="14"/>
        <v>139433.75</v>
      </c>
      <c r="Z222">
        <f t="shared" si="15"/>
        <v>0</v>
      </c>
      <c r="AA222">
        <v>0</v>
      </c>
    </row>
    <row r="223" spans="1:27" x14ac:dyDescent="0.25">
      <c r="A223" s="1">
        <v>222</v>
      </c>
      <c r="B223" t="s">
        <v>2557</v>
      </c>
      <c r="C223" t="s">
        <v>1134</v>
      </c>
      <c r="D223" t="s">
        <v>1138</v>
      </c>
      <c r="E223" t="s">
        <v>1140</v>
      </c>
      <c r="G223" t="s">
        <v>1159</v>
      </c>
      <c r="H223" t="s">
        <v>1159</v>
      </c>
      <c r="I223" t="s">
        <v>1159</v>
      </c>
      <c r="J223" t="s">
        <v>2673</v>
      </c>
      <c r="K223" t="s">
        <v>1212</v>
      </c>
      <c r="M223" s="3">
        <f t="shared" si="12"/>
        <v>72</v>
      </c>
      <c r="N223">
        <v>51</v>
      </c>
      <c r="O223">
        <v>57</v>
      </c>
      <c r="P223">
        <v>79</v>
      </c>
      <c r="Q223">
        <v>81</v>
      </c>
      <c r="R223">
        <v>69</v>
      </c>
      <c r="S223">
        <v>87</v>
      </c>
      <c r="T223">
        <v>80</v>
      </c>
      <c r="U223">
        <v>0</v>
      </c>
      <c r="V223" s="3">
        <f t="shared" si="13"/>
        <v>3743907</v>
      </c>
      <c r="W223">
        <v>311992.25</v>
      </c>
      <c r="X223">
        <v>0</v>
      </c>
      <c r="Y223">
        <f t="shared" si="14"/>
        <v>311992.25</v>
      </c>
      <c r="Z223">
        <f t="shared" si="15"/>
        <v>0</v>
      </c>
      <c r="AA223">
        <v>0</v>
      </c>
    </row>
    <row r="224" spans="1:27" x14ac:dyDescent="0.25">
      <c r="A224" s="1">
        <v>223</v>
      </c>
      <c r="B224" t="s">
        <v>174</v>
      </c>
      <c r="C224" t="s">
        <v>1134</v>
      </c>
      <c r="D224" t="s">
        <v>1138</v>
      </c>
      <c r="E224" t="s">
        <v>1140</v>
      </c>
      <c r="G224" t="s">
        <v>1159</v>
      </c>
      <c r="H224" t="s">
        <v>1159</v>
      </c>
      <c r="I224" t="s">
        <v>1159</v>
      </c>
      <c r="J224" t="s">
        <v>2673</v>
      </c>
      <c r="K224" t="s">
        <v>1212</v>
      </c>
      <c r="M224" s="3">
        <f t="shared" si="12"/>
        <v>69</v>
      </c>
      <c r="N224">
        <v>50</v>
      </c>
      <c r="O224">
        <v>58</v>
      </c>
      <c r="P224">
        <v>75</v>
      </c>
      <c r="Q224">
        <v>81</v>
      </c>
      <c r="R224">
        <v>72</v>
      </c>
      <c r="S224">
        <v>73</v>
      </c>
      <c r="T224">
        <v>74</v>
      </c>
      <c r="U224">
        <v>0</v>
      </c>
      <c r="V224" s="3">
        <f t="shared" si="13"/>
        <v>2446195</v>
      </c>
      <c r="W224">
        <v>203849.58333333334</v>
      </c>
      <c r="X224">
        <v>0</v>
      </c>
      <c r="Y224">
        <f t="shared" si="14"/>
        <v>203849.58333333334</v>
      </c>
      <c r="Z224">
        <f t="shared" si="15"/>
        <v>0</v>
      </c>
      <c r="AA224">
        <v>0</v>
      </c>
    </row>
    <row r="225" spans="1:27" x14ac:dyDescent="0.25">
      <c r="A225" s="1">
        <v>224</v>
      </c>
      <c r="B225" t="s">
        <v>1787</v>
      </c>
      <c r="C225" t="s">
        <v>1134</v>
      </c>
      <c r="D225" t="s">
        <v>1138</v>
      </c>
      <c r="E225" t="s">
        <v>1139</v>
      </c>
      <c r="H225" t="s">
        <v>1159</v>
      </c>
      <c r="I225" t="s">
        <v>1159</v>
      </c>
      <c r="J225" t="s">
        <v>2673</v>
      </c>
      <c r="K225" t="s">
        <v>1212</v>
      </c>
      <c r="M225" s="3">
        <f t="shared" si="12"/>
        <v>60.142857142857146</v>
      </c>
      <c r="N225">
        <v>21</v>
      </c>
      <c r="O225">
        <v>67</v>
      </c>
      <c r="P225">
        <v>61</v>
      </c>
      <c r="Q225">
        <v>81</v>
      </c>
      <c r="R225">
        <v>77</v>
      </c>
      <c r="S225">
        <v>75</v>
      </c>
      <c r="T225">
        <v>39</v>
      </c>
      <c r="U225">
        <v>0</v>
      </c>
      <c r="V225" s="3">
        <f t="shared" si="13"/>
        <v>619214</v>
      </c>
      <c r="W225">
        <v>51601.166666666664</v>
      </c>
      <c r="X225">
        <v>0</v>
      </c>
      <c r="Y225">
        <f t="shared" si="14"/>
        <v>51601.166666666664</v>
      </c>
      <c r="Z225">
        <f t="shared" si="15"/>
        <v>0</v>
      </c>
      <c r="AA225">
        <v>0</v>
      </c>
    </row>
    <row r="226" spans="1:27" x14ac:dyDescent="0.25">
      <c r="A226" s="1">
        <v>225</v>
      </c>
      <c r="B226" t="s">
        <v>1785</v>
      </c>
      <c r="C226" t="s">
        <v>1134</v>
      </c>
      <c r="D226" t="s">
        <v>1138</v>
      </c>
      <c r="E226" t="s">
        <v>1140</v>
      </c>
      <c r="H226" t="s">
        <v>1159</v>
      </c>
      <c r="I226" t="s">
        <v>1159</v>
      </c>
      <c r="J226" t="s">
        <v>2673</v>
      </c>
      <c r="K226" t="s">
        <v>1212</v>
      </c>
      <c r="M226" s="3">
        <f t="shared" si="12"/>
        <v>60.428571428571431</v>
      </c>
      <c r="N226">
        <v>24</v>
      </c>
      <c r="O226">
        <v>61</v>
      </c>
      <c r="P226">
        <v>65</v>
      </c>
      <c r="Q226">
        <v>77</v>
      </c>
      <c r="R226">
        <v>81</v>
      </c>
      <c r="S226">
        <v>79</v>
      </c>
      <c r="T226">
        <v>36</v>
      </c>
      <c r="U226">
        <v>0</v>
      </c>
      <c r="V226" s="3">
        <f t="shared" si="13"/>
        <v>649267</v>
      </c>
      <c r="W226">
        <v>54105.583333333336</v>
      </c>
      <c r="X226">
        <v>0</v>
      </c>
      <c r="Y226">
        <f t="shared" si="14"/>
        <v>54105.583333333336</v>
      </c>
      <c r="Z226">
        <f t="shared" si="15"/>
        <v>0</v>
      </c>
      <c r="AA226">
        <v>0</v>
      </c>
    </row>
    <row r="227" spans="1:27" x14ac:dyDescent="0.25">
      <c r="A227" s="1">
        <v>226</v>
      </c>
      <c r="B227" t="s">
        <v>2657</v>
      </c>
      <c r="C227" t="s">
        <v>1134</v>
      </c>
      <c r="D227" t="s">
        <v>1138</v>
      </c>
      <c r="H227" t="s">
        <v>1159</v>
      </c>
      <c r="I227" t="s">
        <v>1159</v>
      </c>
      <c r="J227" t="s">
        <v>2673</v>
      </c>
      <c r="K227" t="s">
        <v>1212</v>
      </c>
      <c r="M227" s="3">
        <f t="shared" si="12"/>
        <v>54.285714285714285</v>
      </c>
      <c r="N227">
        <v>17</v>
      </c>
      <c r="O227">
        <v>57</v>
      </c>
      <c r="P227">
        <v>59</v>
      </c>
      <c r="Q227">
        <v>73</v>
      </c>
      <c r="R227">
        <v>71</v>
      </c>
      <c r="S227">
        <v>72</v>
      </c>
      <c r="T227">
        <v>31</v>
      </c>
      <c r="U227">
        <v>0</v>
      </c>
      <c r="V227" s="3">
        <f t="shared" si="13"/>
        <v>222258</v>
      </c>
      <c r="W227">
        <v>18521.5</v>
      </c>
      <c r="X227">
        <v>0</v>
      </c>
      <c r="Y227">
        <f t="shared" si="14"/>
        <v>18521.5</v>
      </c>
      <c r="Z227">
        <f t="shared" si="15"/>
        <v>0</v>
      </c>
      <c r="AA227">
        <v>0</v>
      </c>
    </row>
    <row r="228" spans="1:27" x14ac:dyDescent="0.25">
      <c r="A228" s="1">
        <v>227</v>
      </c>
      <c r="B228" t="s">
        <v>1786</v>
      </c>
      <c r="C228" t="s">
        <v>1134</v>
      </c>
      <c r="D228" t="s">
        <v>1138</v>
      </c>
      <c r="H228" t="s">
        <v>1159</v>
      </c>
      <c r="I228" t="s">
        <v>1159</v>
      </c>
      <c r="J228" t="s">
        <v>2673</v>
      </c>
      <c r="K228" t="s">
        <v>1212</v>
      </c>
      <c r="M228" s="3">
        <f t="shared" si="12"/>
        <v>51.571428571428569</v>
      </c>
      <c r="N228">
        <v>15</v>
      </c>
      <c r="O228">
        <v>53</v>
      </c>
      <c r="P228">
        <v>55</v>
      </c>
      <c r="Q228">
        <v>71</v>
      </c>
      <c r="R228">
        <v>69</v>
      </c>
      <c r="S228">
        <v>70</v>
      </c>
      <c r="T228">
        <v>28</v>
      </c>
      <c r="U228">
        <v>0</v>
      </c>
      <c r="V228" s="3">
        <f t="shared" si="13"/>
        <v>133074</v>
      </c>
      <c r="W228">
        <v>11089.5</v>
      </c>
      <c r="X228">
        <v>0</v>
      </c>
      <c r="Y228">
        <f t="shared" si="14"/>
        <v>11089.5</v>
      </c>
      <c r="Z228">
        <f t="shared" si="15"/>
        <v>0</v>
      </c>
      <c r="AA228">
        <v>0</v>
      </c>
    </row>
    <row r="229" spans="1:27" x14ac:dyDescent="0.25">
      <c r="A229" s="1">
        <v>228</v>
      </c>
      <c r="B229" t="s">
        <v>175</v>
      </c>
      <c r="C229" t="s">
        <v>1134</v>
      </c>
      <c r="D229" t="s">
        <v>1138</v>
      </c>
      <c r="E229" t="s">
        <v>1139</v>
      </c>
      <c r="G229" t="s">
        <v>1159</v>
      </c>
      <c r="H229" t="s">
        <v>1159</v>
      </c>
      <c r="I229" t="s">
        <v>1159</v>
      </c>
      <c r="J229" t="s">
        <v>2673</v>
      </c>
      <c r="K229" t="s">
        <v>1212</v>
      </c>
      <c r="M229" s="3">
        <f t="shared" si="12"/>
        <v>70.285714285714292</v>
      </c>
      <c r="N229">
        <v>52</v>
      </c>
      <c r="O229">
        <v>62</v>
      </c>
      <c r="P229">
        <v>72</v>
      </c>
      <c r="Q229">
        <v>83</v>
      </c>
      <c r="R229">
        <v>68</v>
      </c>
      <c r="S229">
        <v>80</v>
      </c>
      <c r="T229">
        <v>75</v>
      </c>
      <c r="U229">
        <v>0</v>
      </c>
      <c r="V229" s="3">
        <f t="shared" si="13"/>
        <v>2942190</v>
      </c>
      <c r="W229">
        <v>245182.5</v>
      </c>
      <c r="X229">
        <v>0</v>
      </c>
      <c r="Y229">
        <f t="shared" si="14"/>
        <v>245182.5</v>
      </c>
      <c r="Z229">
        <f t="shared" si="15"/>
        <v>0</v>
      </c>
      <c r="AA229">
        <v>0</v>
      </c>
    </row>
    <row r="230" spans="1:27" x14ac:dyDescent="0.25">
      <c r="A230" s="1">
        <v>229</v>
      </c>
      <c r="B230" t="s">
        <v>468</v>
      </c>
      <c r="C230" t="s">
        <v>1135</v>
      </c>
      <c r="D230" t="s">
        <v>1142</v>
      </c>
      <c r="G230" t="s">
        <v>1159</v>
      </c>
      <c r="H230" t="s">
        <v>1159</v>
      </c>
      <c r="I230" t="s">
        <v>1159</v>
      </c>
      <c r="J230" t="s">
        <v>2673</v>
      </c>
      <c r="K230" t="s">
        <v>1212</v>
      </c>
      <c r="M230" s="3">
        <f t="shared" si="12"/>
        <v>54.571428571428569</v>
      </c>
      <c r="N230">
        <v>11</v>
      </c>
      <c r="O230">
        <v>76</v>
      </c>
      <c r="P230">
        <v>63</v>
      </c>
      <c r="Q230">
        <v>68</v>
      </c>
      <c r="R230">
        <v>65</v>
      </c>
      <c r="S230">
        <v>55</v>
      </c>
      <c r="T230">
        <v>44</v>
      </c>
      <c r="U230">
        <v>0</v>
      </c>
      <c r="V230" s="3">
        <f t="shared" si="13"/>
        <v>234236</v>
      </c>
      <c r="W230">
        <v>19519.666666666668</v>
      </c>
      <c r="X230">
        <v>0</v>
      </c>
      <c r="Y230">
        <f t="shared" si="14"/>
        <v>19519.666666666668</v>
      </c>
      <c r="Z230">
        <f t="shared" si="15"/>
        <v>0</v>
      </c>
      <c r="AA230">
        <v>0</v>
      </c>
    </row>
    <row r="231" spans="1:27" x14ac:dyDescent="0.25">
      <c r="A231" s="1">
        <v>230</v>
      </c>
      <c r="B231" t="s">
        <v>469</v>
      </c>
      <c r="C231" t="s">
        <v>1135</v>
      </c>
      <c r="D231" t="s">
        <v>1141</v>
      </c>
      <c r="G231" t="s">
        <v>1159</v>
      </c>
      <c r="H231" t="s">
        <v>1159</v>
      </c>
      <c r="I231" t="s">
        <v>1159</v>
      </c>
      <c r="J231" t="s">
        <v>2673</v>
      </c>
      <c r="K231" t="s">
        <v>1212</v>
      </c>
      <c r="M231" s="3">
        <f t="shared" si="12"/>
        <v>57.142857142857146</v>
      </c>
      <c r="N231">
        <v>22</v>
      </c>
      <c r="O231">
        <v>63</v>
      </c>
      <c r="P231">
        <v>70</v>
      </c>
      <c r="Q231">
        <v>65</v>
      </c>
      <c r="R231">
        <v>60</v>
      </c>
      <c r="S231">
        <v>70</v>
      </c>
      <c r="T231">
        <v>50</v>
      </c>
      <c r="U231">
        <v>0</v>
      </c>
      <c r="V231" s="3">
        <f t="shared" si="13"/>
        <v>371210</v>
      </c>
      <c r="W231">
        <v>30934.166666666668</v>
      </c>
      <c r="X231">
        <v>0</v>
      </c>
      <c r="Y231">
        <f t="shared" si="14"/>
        <v>30934.166666666668</v>
      </c>
      <c r="Z231">
        <f t="shared" si="15"/>
        <v>0</v>
      </c>
      <c r="AA231">
        <v>0</v>
      </c>
    </row>
    <row r="232" spans="1:27" x14ac:dyDescent="0.25">
      <c r="A232" s="1">
        <v>231</v>
      </c>
      <c r="B232" t="s">
        <v>2591</v>
      </c>
      <c r="C232" t="s">
        <v>1135</v>
      </c>
      <c r="D232" t="s">
        <v>1141</v>
      </c>
      <c r="E232" t="s">
        <v>1142</v>
      </c>
      <c r="H232" t="s">
        <v>1159</v>
      </c>
      <c r="I232" t="s">
        <v>1159</v>
      </c>
      <c r="J232" t="s">
        <v>2673</v>
      </c>
      <c r="K232" t="s">
        <v>1212</v>
      </c>
      <c r="M232" s="3">
        <f t="shared" si="12"/>
        <v>65.714285714285708</v>
      </c>
      <c r="N232">
        <v>26</v>
      </c>
      <c r="O232">
        <v>79</v>
      </c>
      <c r="P232">
        <v>73</v>
      </c>
      <c r="Q232">
        <v>78</v>
      </c>
      <c r="R232">
        <v>79</v>
      </c>
      <c r="S232">
        <v>81</v>
      </c>
      <c r="T232">
        <v>44</v>
      </c>
      <c r="U232">
        <v>0</v>
      </c>
      <c r="V232" s="3">
        <f t="shared" si="13"/>
        <v>1501751</v>
      </c>
      <c r="W232">
        <v>125145.91666666667</v>
      </c>
      <c r="X232">
        <v>0</v>
      </c>
      <c r="Y232">
        <f t="shared" si="14"/>
        <v>125145.91666666667</v>
      </c>
      <c r="Z232">
        <f t="shared" si="15"/>
        <v>0</v>
      </c>
      <c r="AA232">
        <v>0</v>
      </c>
    </row>
    <row r="233" spans="1:27" x14ac:dyDescent="0.25">
      <c r="A233" s="1">
        <v>232</v>
      </c>
      <c r="B233" t="s">
        <v>700</v>
      </c>
      <c r="C233" t="s">
        <v>1136</v>
      </c>
      <c r="D233" t="s">
        <v>1143</v>
      </c>
      <c r="G233" t="s">
        <v>1159</v>
      </c>
      <c r="H233" t="s">
        <v>1159</v>
      </c>
      <c r="I233" t="s">
        <v>1159</v>
      </c>
      <c r="J233" t="s">
        <v>2673</v>
      </c>
      <c r="K233" t="s">
        <v>1212</v>
      </c>
      <c r="M233" s="3">
        <f t="shared" si="12"/>
        <v>59.428571428571431</v>
      </c>
      <c r="N233">
        <v>35</v>
      </c>
      <c r="O233">
        <v>60</v>
      </c>
      <c r="P233">
        <v>65</v>
      </c>
      <c r="Q233">
        <v>73</v>
      </c>
      <c r="R233">
        <v>60</v>
      </c>
      <c r="S233">
        <v>73</v>
      </c>
      <c r="T233">
        <v>50</v>
      </c>
      <c r="U233">
        <v>0</v>
      </c>
      <c r="V233" s="3">
        <f t="shared" si="13"/>
        <v>549482</v>
      </c>
      <c r="W233">
        <v>45790.166666666664</v>
      </c>
      <c r="X233">
        <v>0</v>
      </c>
      <c r="Y233">
        <f t="shared" si="14"/>
        <v>45790.166666666664</v>
      </c>
      <c r="Z233">
        <f t="shared" si="15"/>
        <v>0</v>
      </c>
      <c r="AA233">
        <v>0</v>
      </c>
    </row>
    <row r="234" spans="1:27" x14ac:dyDescent="0.25">
      <c r="A234" s="1">
        <v>233</v>
      </c>
      <c r="B234" t="s">
        <v>698</v>
      </c>
      <c r="C234" t="s">
        <v>1136</v>
      </c>
      <c r="D234" t="s">
        <v>1143</v>
      </c>
      <c r="E234" t="s">
        <v>1144</v>
      </c>
      <c r="F234" t="s">
        <v>1145</v>
      </c>
      <c r="G234" t="s">
        <v>1159</v>
      </c>
      <c r="H234" t="s">
        <v>1159</v>
      </c>
      <c r="I234" t="s">
        <v>1159</v>
      </c>
      <c r="J234" t="s">
        <v>2673</v>
      </c>
      <c r="K234" t="s">
        <v>1212</v>
      </c>
      <c r="M234" s="3">
        <f t="shared" si="12"/>
        <v>77.571428571428569</v>
      </c>
      <c r="N234">
        <v>75</v>
      </c>
      <c r="O234">
        <v>73</v>
      </c>
      <c r="P234">
        <v>83</v>
      </c>
      <c r="Q234">
        <v>85</v>
      </c>
      <c r="R234">
        <v>68</v>
      </c>
      <c r="S234">
        <v>81</v>
      </c>
      <c r="T234">
        <v>78</v>
      </c>
      <c r="U234">
        <v>24</v>
      </c>
      <c r="V234" s="3">
        <f t="shared" si="13"/>
        <v>11833390</v>
      </c>
      <c r="W234">
        <v>986115.83333333337</v>
      </c>
      <c r="X234">
        <v>0</v>
      </c>
      <c r="Y234">
        <f t="shared" si="14"/>
        <v>986115.83333333337</v>
      </c>
      <c r="Z234">
        <f t="shared" si="15"/>
        <v>0</v>
      </c>
      <c r="AA234">
        <v>0</v>
      </c>
    </row>
    <row r="235" spans="1:27" x14ac:dyDescent="0.25">
      <c r="A235" s="1">
        <v>234</v>
      </c>
      <c r="B235" t="s">
        <v>2665</v>
      </c>
      <c r="C235" t="s">
        <v>1136</v>
      </c>
      <c r="D235" t="s">
        <v>1143</v>
      </c>
      <c r="E235" t="s">
        <v>1147</v>
      </c>
      <c r="H235" t="s">
        <v>1159</v>
      </c>
      <c r="I235" t="s">
        <v>1159</v>
      </c>
      <c r="J235" t="s">
        <v>2673</v>
      </c>
      <c r="K235" t="s">
        <v>1212</v>
      </c>
      <c r="M235" s="3">
        <f t="shared" si="12"/>
        <v>68.571428571428569</v>
      </c>
      <c r="N235">
        <v>40</v>
      </c>
      <c r="O235">
        <v>75</v>
      </c>
      <c r="P235">
        <v>71</v>
      </c>
      <c r="Q235">
        <v>85</v>
      </c>
      <c r="R235">
        <v>80</v>
      </c>
      <c r="S235">
        <v>77</v>
      </c>
      <c r="T235">
        <v>52</v>
      </c>
      <c r="U235">
        <v>0</v>
      </c>
      <c r="V235" s="3">
        <f t="shared" si="13"/>
        <v>2298434</v>
      </c>
      <c r="W235">
        <v>114679.83333333333</v>
      </c>
      <c r="X235">
        <v>0</v>
      </c>
      <c r="Y235">
        <f t="shared" si="14"/>
        <v>191536.16666666666</v>
      </c>
      <c r="Z235">
        <f t="shared" si="15"/>
        <v>-40.130000000000003</v>
      </c>
      <c r="AA235">
        <v>0</v>
      </c>
    </row>
    <row r="236" spans="1:27" x14ac:dyDescent="0.25">
      <c r="A236" s="1">
        <v>235</v>
      </c>
      <c r="B236" t="s">
        <v>2638</v>
      </c>
      <c r="C236" t="s">
        <v>1136</v>
      </c>
      <c r="D236" t="s">
        <v>1143</v>
      </c>
      <c r="H236" t="s">
        <v>1159</v>
      </c>
      <c r="I236" t="s">
        <v>1159</v>
      </c>
      <c r="J236" t="s">
        <v>2673</v>
      </c>
      <c r="K236" t="s">
        <v>1212</v>
      </c>
      <c r="M236" s="3">
        <f t="shared" si="12"/>
        <v>52.571428571428569</v>
      </c>
      <c r="N236">
        <v>15</v>
      </c>
      <c r="O236">
        <v>61</v>
      </c>
      <c r="P236">
        <v>57</v>
      </c>
      <c r="Q236">
        <v>75</v>
      </c>
      <c r="R236">
        <v>63</v>
      </c>
      <c r="S236">
        <v>68</v>
      </c>
      <c r="T236">
        <v>29</v>
      </c>
      <c r="U236">
        <v>0</v>
      </c>
      <c r="V236" s="3">
        <f t="shared" si="13"/>
        <v>161250</v>
      </c>
      <c r="W236">
        <v>13437.5</v>
      </c>
      <c r="X236">
        <v>0</v>
      </c>
      <c r="Y236">
        <f t="shared" si="14"/>
        <v>13437.5</v>
      </c>
      <c r="Z236">
        <f t="shared" si="15"/>
        <v>0</v>
      </c>
      <c r="AA236">
        <v>0</v>
      </c>
    </row>
    <row r="237" spans="1:27" x14ac:dyDescent="0.25">
      <c r="A237" s="1">
        <v>236</v>
      </c>
      <c r="B237" t="s">
        <v>1788</v>
      </c>
      <c r="C237" t="s">
        <v>1136</v>
      </c>
      <c r="D237" t="s">
        <v>1146</v>
      </c>
      <c r="E237" t="s">
        <v>1145</v>
      </c>
      <c r="H237" t="s">
        <v>1159</v>
      </c>
      <c r="I237" t="s">
        <v>1159</v>
      </c>
      <c r="J237" t="s">
        <v>2673</v>
      </c>
      <c r="K237" t="s">
        <v>1212</v>
      </c>
      <c r="M237" s="3">
        <f t="shared" si="12"/>
        <v>56.428571428571431</v>
      </c>
      <c r="N237">
        <v>16</v>
      </c>
      <c r="O237">
        <v>77</v>
      </c>
      <c r="P237">
        <v>55</v>
      </c>
      <c r="Q237">
        <v>83</v>
      </c>
      <c r="R237">
        <v>65</v>
      </c>
      <c r="S237">
        <v>69</v>
      </c>
      <c r="T237">
        <v>30</v>
      </c>
      <c r="U237">
        <v>0</v>
      </c>
      <c r="V237" s="3">
        <f t="shared" si="13"/>
        <v>327334</v>
      </c>
      <c r="W237">
        <v>27277.833333333332</v>
      </c>
      <c r="X237">
        <v>0</v>
      </c>
      <c r="Y237">
        <f t="shared" si="14"/>
        <v>27277.833333333332</v>
      </c>
      <c r="Z237">
        <f t="shared" si="15"/>
        <v>0</v>
      </c>
      <c r="AA237">
        <v>0</v>
      </c>
    </row>
    <row r="238" spans="1:27" x14ac:dyDescent="0.25">
      <c r="A238" s="1">
        <v>237</v>
      </c>
      <c r="B238" t="s">
        <v>683</v>
      </c>
      <c r="C238" t="s">
        <v>1136</v>
      </c>
      <c r="D238" t="s">
        <v>1143</v>
      </c>
      <c r="E238" t="s">
        <v>1147</v>
      </c>
      <c r="G238" t="s">
        <v>1156</v>
      </c>
      <c r="H238" t="s">
        <v>1156</v>
      </c>
      <c r="I238" t="s">
        <v>1156</v>
      </c>
      <c r="J238" t="s">
        <v>2673</v>
      </c>
      <c r="K238" t="s">
        <v>1212</v>
      </c>
      <c r="M238" s="3">
        <f t="shared" si="12"/>
        <v>78</v>
      </c>
      <c r="N238">
        <v>81</v>
      </c>
      <c r="O238">
        <v>76</v>
      </c>
      <c r="P238">
        <v>83</v>
      </c>
      <c r="Q238">
        <v>76</v>
      </c>
      <c r="R238">
        <v>77</v>
      </c>
      <c r="S238">
        <v>79</v>
      </c>
      <c r="T238">
        <v>74</v>
      </c>
      <c r="U238">
        <v>2</v>
      </c>
      <c r="V238" s="3">
        <f t="shared" si="13"/>
        <v>12503664</v>
      </c>
      <c r="W238">
        <v>1041972</v>
      </c>
      <c r="X238">
        <v>0</v>
      </c>
      <c r="Y238">
        <f t="shared" si="14"/>
        <v>1041972</v>
      </c>
      <c r="Z238">
        <f t="shared" si="15"/>
        <v>0</v>
      </c>
      <c r="AA238">
        <v>0</v>
      </c>
    </row>
    <row r="239" spans="1:27" x14ac:dyDescent="0.25">
      <c r="A239" s="1">
        <v>238</v>
      </c>
      <c r="B239" t="s">
        <v>699</v>
      </c>
      <c r="C239" t="s">
        <v>1136</v>
      </c>
      <c r="D239" t="s">
        <v>1146</v>
      </c>
      <c r="E239" t="s">
        <v>1145</v>
      </c>
      <c r="G239" t="s">
        <v>1159</v>
      </c>
      <c r="H239" t="s">
        <v>1159</v>
      </c>
      <c r="I239" t="s">
        <v>1159</v>
      </c>
      <c r="J239" t="s">
        <v>2673</v>
      </c>
      <c r="K239" t="s">
        <v>1212</v>
      </c>
      <c r="M239" s="3">
        <f t="shared" si="12"/>
        <v>67.428571428571431</v>
      </c>
      <c r="N239">
        <v>45</v>
      </c>
      <c r="O239">
        <v>79</v>
      </c>
      <c r="P239">
        <v>70</v>
      </c>
      <c r="Q239">
        <v>76</v>
      </c>
      <c r="R239">
        <v>70</v>
      </c>
      <c r="S239">
        <v>72</v>
      </c>
      <c r="T239">
        <v>60</v>
      </c>
      <c r="U239">
        <v>23</v>
      </c>
      <c r="V239" s="3">
        <f t="shared" si="13"/>
        <v>2914278</v>
      </c>
      <c r="W239">
        <v>134750.33333333334</v>
      </c>
      <c r="X239">
        <v>0</v>
      </c>
      <c r="Y239">
        <f t="shared" si="14"/>
        <v>242856.5</v>
      </c>
      <c r="Z239">
        <f t="shared" si="15"/>
        <v>-44.51</v>
      </c>
      <c r="AA239">
        <v>0</v>
      </c>
    </row>
    <row r="240" spans="1:27" x14ac:dyDescent="0.25">
      <c r="A240" s="1">
        <v>239</v>
      </c>
      <c r="B240" t="s">
        <v>1753</v>
      </c>
      <c r="C240" t="s">
        <v>1136</v>
      </c>
      <c r="D240" t="s">
        <v>1143</v>
      </c>
      <c r="E240" t="s">
        <v>1144</v>
      </c>
      <c r="H240" t="s">
        <v>1159</v>
      </c>
      <c r="I240" t="s">
        <v>1159</v>
      </c>
      <c r="J240" t="s">
        <v>2673</v>
      </c>
      <c r="K240" t="s">
        <v>1212</v>
      </c>
      <c r="M240" s="3">
        <f t="shared" si="12"/>
        <v>58.285714285714285</v>
      </c>
      <c r="N240">
        <v>20</v>
      </c>
      <c r="O240">
        <v>67</v>
      </c>
      <c r="P240">
        <v>63</v>
      </c>
      <c r="Q240">
        <v>80</v>
      </c>
      <c r="R240">
        <v>69</v>
      </c>
      <c r="S240">
        <v>74</v>
      </c>
      <c r="T240">
        <v>35</v>
      </c>
      <c r="U240">
        <v>0</v>
      </c>
      <c r="V240" s="3">
        <f t="shared" si="13"/>
        <v>452503</v>
      </c>
      <c r="W240">
        <v>37708.583333333336</v>
      </c>
      <c r="X240">
        <v>0</v>
      </c>
      <c r="Y240">
        <f t="shared" si="14"/>
        <v>37708.583333333336</v>
      </c>
      <c r="Z240">
        <f t="shared" si="15"/>
        <v>0</v>
      </c>
      <c r="AA240">
        <v>0</v>
      </c>
    </row>
    <row r="241" spans="1:27" x14ac:dyDescent="0.25">
      <c r="A241" s="1">
        <v>240</v>
      </c>
      <c r="B241" t="s">
        <v>701</v>
      </c>
      <c r="C241" t="s">
        <v>1136</v>
      </c>
      <c r="D241" t="s">
        <v>1143</v>
      </c>
      <c r="G241" t="s">
        <v>1159</v>
      </c>
      <c r="H241" t="s">
        <v>1159</v>
      </c>
      <c r="I241" t="s">
        <v>1159</v>
      </c>
      <c r="J241" t="s">
        <v>2673</v>
      </c>
      <c r="K241" t="s">
        <v>1212</v>
      </c>
      <c r="M241" s="3">
        <f t="shared" si="12"/>
        <v>58.857142857142854</v>
      </c>
      <c r="N241">
        <v>30</v>
      </c>
      <c r="O241">
        <v>59</v>
      </c>
      <c r="P241">
        <v>63</v>
      </c>
      <c r="Q241">
        <v>75</v>
      </c>
      <c r="R241">
        <v>59</v>
      </c>
      <c r="S241">
        <v>75</v>
      </c>
      <c r="T241">
        <v>51</v>
      </c>
      <c r="U241">
        <v>0</v>
      </c>
      <c r="V241" s="3">
        <f t="shared" si="13"/>
        <v>498876</v>
      </c>
      <c r="W241">
        <v>41573</v>
      </c>
      <c r="X241">
        <v>0</v>
      </c>
      <c r="Y241">
        <f t="shared" si="14"/>
        <v>41573</v>
      </c>
      <c r="Z241">
        <f t="shared" si="15"/>
        <v>0</v>
      </c>
      <c r="AA241">
        <v>0</v>
      </c>
    </row>
    <row r="242" spans="1:27" x14ac:dyDescent="0.25">
      <c r="A242" s="1">
        <v>241</v>
      </c>
      <c r="B242" t="s">
        <v>702</v>
      </c>
      <c r="C242" t="s">
        <v>1136</v>
      </c>
      <c r="D242" t="s">
        <v>1143</v>
      </c>
      <c r="E242" t="s">
        <v>1145</v>
      </c>
      <c r="G242" t="s">
        <v>1159</v>
      </c>
      <c r="H242" t="s">
        <v>1159</v>
      </c>
      <c r="I242" t="s">
        <v>1159</v>
      </c>
      <c r="J242" t="s">
        <v>2673</v>
      </c>
      <c r="K242" t="s">
        <v>1212</v>
      </c>
      <c r="M242" s="3">
        <f t="shared" si="12"/>
        <v>67.285714285714292</v>
      </c>
      <c r="N242">
        <v>44</v>
      </c>
      <c r="O242">
        <v>68</v>
      </c>
      <c r="P242">
        <v>80</v>
      </c>
      <c r="Q242">
        <v>80</v>
      </c>
      <c r="R242">
        <v>70</v>
      </c>
      <c r="S242">
        <v>79</v>
      </c>
      <c r="T242">
        <v>50</v>
      </c>
      <c r="U242">
        <v>0</v>
      </c>
      <c r="V242" s="3">
        <f t="shared" si="13"/>
        <v>1902080</v>
      </c>
      <c r="W242">
        <v>40574.833333333336</v>
      </c>
      <c r="X242">
        <v>0</v>
      </c>
      <c r="Y242">
        <f t="shared" si="14"/>
        <v>158506.66666666666</v>
      </c>
      <c r="Z242">
        <f t="shared" si="15"/>
        <v>-74.400000000000006</v>
      </c>
      <c r="AA242">
        <v>0</v>
      </c>
    </row>
    <row r="243" spans="1:27" x14ac:dyDescent="0.25">
      <c r="A243" s="1">
        <v>242</v>
      </c>
      <c r="B243" t="s">
        <v>2587</v>
      </c>
      <c r="C243" t="s">
        <v>1137</v>
      </c>
      <c r="D243" t="s">
        <v>1137</v>
      </c>
      <c r="H243" t="s">
        <v>1159</v>
      </c>
      <c r="I243" t="s">
        <v>1159</v>
      </c>
      <c r="J243" t="s">
        <v>2673</v>
      </c>
      <c r="K243" t="s">
        <v>1212</v>
      </c>
      <c r="M243" s="3">
        <f t="shared" si="12"/>
        <v>58.714285714285715</v>
      </c>
      <c r="N243">
        <v>19</v>
      </c>
      <c r="O243">
        <v>69</v>
      </c>
      <c r="P243">
        <v>65</v>
      </c>
      <c r="Q243">
        <v>81</v>
      </c>
      <c r="R243">
        <v>71</v>
      </c>
      <c r="S243">
        <v>73</v>
      </c>
      <c r="T243">
        <v>33</v>
      </c>
      <c r="U243">
        <v>0</v>
      </c>
      <c r="V243" s="3">
        <f t="shared" si="13"/>
        <v>486898</v>
      </c>
      <c r="W243">
        <v>40574.833333333336</v>
      </c>
      <c r="X243">
        <v>0</v>
      </c>
      <c r="Y243">
        <f t="shared" si="14"/>
        <v>40574.833333333336</v>
      </c>
      <c r="Z243">
        <f t="shared" si="15"/>
        <v>0</v>
      </c>
      <c r="AA243">
        <v>0</v>
      </c>
    </row>
    <row r="244" spans="1:27" x14ac:dyDescent="0.25">
      <c r="A244" s="1">
        <v>243</v>
      </c>
      <c r="B244" t="s">
        <v>70</v>
      </c>
      <c r="C244" t="s">
        <v>1133</v>
      </c>
      <c r="D244" t="s">
        <v>1133</v>
      </c>
      <c r="G244" t="s">
        <v>1183</v>
      </c>
      <c r="H244" t="s">
        <v>1183</v>
      </c>
      <c r="I244" t="s">
        <v>1183</v>
      </c>
      <c r="J244" t="s">
        <v>1255</v>
      </c>
      <c r="K244" t="s">
        <v>1212</v>
      </c>
      <c r="M244" s="3">
        <f t="shared" si="12"/>
        <v>83.714285714285708</v>
      </c>
      <c r="N244">
        <v>79</v>
      </c>
      <c r="O244">
        <v>75</v>
      </c>
      <c r="P244">
        <v>82</v>
      </c>
      <c r="Q244">
        <v>86</v>
      </c>
      <c r="R244">
        <v>90</v>
      </c>
      <c r="S244">
        <v>92</v>
      </c>
      <c r="T244">
        <v>82</v>
      </c>
      <c r="U244">
        <v>29</v>
      </c>
      <c r="V244" s="3">
        <f t="shared" si="13"/>
        <v>25356367</v>
      </c>
      <c r="W244">
        <v>2113030.5833333335</v>
      </c>
      <c r="X244">
        <v>0</v>
      </c>
      <c r="Y244">
        <f t="shared" si="14"/>
        <v>2113030.5833333335</v>
      </c>
      <c r="Z244">
        <f t="shared" si="15"/>
        <v>0</v>
      </c>
      <c r="AA244">
        <v>0</v>
      </c>
    </row>
    <row r="245" spans="1:27" x14ac:dyDescent="0.25">
      <c r="A245" s="1">
        <v>244</v>
      </c>
      <c r="B245" t="s">
        <v>272</v>
      </c>
      <c r="C245" t="s">
        <v>1134</v>
      </c>
      <c r="D245" t="s">
        <v>1138</v>
      </c>
      <c r="E245" t="s">
        <v>1139</v>
      </c>
      <c r="G245" t="s">
        <v>1179</v>
      </c>
      <c r="H245" t="s">
        <v>1179</v>
      </c>
      <c r="I245" t="s">
        <v>1179</v>
      </c>
      <c r="J245" t="s">
        <v>1255</v>
      </c>
      <c r="K245" t="s">
        <v>1212</v>
      </c>
      <c r="M245" s="3">
        <f t="shared" si="12"/>
        <v>82.285714285714292</v>
      </c>
      <c r="N245">
        <v>80</v>
      </c>
      <c r="O245">
        <v>84</v>
      </c>
      <c r="P245">
        <v>83</v>
      </c>
      <c r="Q245">
        <v>80</v>
      </c>
      <c r="R245">
        <v>85</v>
      </c>
      <c r="S245">
        <v>84</v>
      </c>
      <c r="T245">
        <v>80</v>
      </c>
      <c r="U245">
        <v>26</v>
      </c>
      <c r="V245" s="3">
        <f t="shared" si="13"/>
        <v>21346944</v>
      </c>
      <c r="W245">
        <v>1778912</v>
      </c>
      <c r="X245">
        <v>0</v>
      </c>
      <c r="Y245">
        <f t="shared" si="14"/>
        <v>1778912</v>
      </c>
      <c r="Z245">
        <f t="shared" si="15"/>
        <v>0</v>
      </c>
      <c r="AA245">
        <v>0</v>
      </c>
    </row>
    <row r="246" spans="1:27" x14ac:dyDescent="0.25">
      <c r="A246" s="1">
        <v>245</v>
      </c>
      <c r="B246" t="s">
        <v>1425</v>
      </c>
      <c r="C246" t="s">
        <v>1134</v>
      </c>
      <c r="D246" t="s">
        <v>1139</v>
      </c>
      <c r="E246" t="s">
        <v>1140</v>
      </c>
      <c r="H246" t="s">
        <v>1183</v>
      </c>
      <c r="I246" t="s">
        <v>1183</v>
      </c>
      <c r="J246" t="s">
        <v>1255</v>
      </c>
      <c r="K246" t="s">
        <v>1212</v>
      </c>
      <c r="M246" s="3">
        <f t="shared" si="12"/>
        <v>72.142857142857139</v>
      </c>
      <c r="N246">
        <v>34</v>
      </c>
      <c r="O246">
        <v>84</v>
      </c>
      <c r="P246">
        <v>70</v>
      </c>
      <c r="Q246">
        <v>78</v>
      </c>
      <c r="R246">
        <v>82</v>
      </c>
      <c r="S246">
        <v>87</v>
      </c>
      <c r="T246">
        <v>70</v>
      </c>
      <c r="U246">
        <v>0</v>
      </c>
      <c r="V246" s="3">
        <f t="shared" si="13"/>
        <v>3818857</v>
      </c>
      <c r="W246">
        <v>318238.08333333331</v>
      </c>
      <c r="X246">
        <v>0</v>
      </c>
      <c r="Y246">
        <f t="shared" si="14"/>
        <v>318238.08333333331</v>
      </c>
      <c r="Z246">
        <f t="shared" si="15"/>
        <v>0</v>
      </c>
      <c r="AA246">
        <v>0</v>
      </c>
    </row>
    <row r="247" spans="1:27" x14ac:dyDescent="0.25">
      <c r="A247" s="1">
        <v>246</v>
      </c>
      <c r="B247" t="s">
        <v>292</v>
      </c>
      <c r="C247" t="s">
        <v>1134</v>
      </c>
      <c r="D247" t="s">
        <v>1138</v>
      </c>
      <c r="E247" t="s">
        <v>1144</v>
      </c>
      <c r="F247" t="s">
        <v>1139</v>
      </c>
      <c r="G247" t="s">
        <v>1183</v>
      </c>
      <c r="H247" t="s">
        <v>1183</v>
      </c>
      <c r="I247" t="s">
        <v>1183</v>
      </c>
      <c r="J247" t="s">
        <v>1255</v>
      </c>
      <c r="K247" t="s">
        <v>1212</v>
      </c>
      <c r="M247" s="3">
        <f t="shared" si="12"/>
        <v>83</v>
      </c>
      <c r="N247">
        <v>78</v>
      </c>
      <c r="O247">
        <v>81</v>
      </c>
      <c r="P247">
        <v>84</v>
      </c>
      <c r="Q247">
        <v>84</v>
      </c>
      <c r="R247">
        <v>85</v>
      </c>
      <c r="S247">
        <v>88</v>
      </c>
      <c r="T247">
        <v>81</v>
      </c>
      <c r="U247">
        <v>28</v>
      </c>
      <c r="V247" s="3">
        <f t="shared" si="13"/>
        <v>23274062</v>
      </c>
      <c r="W247">
        <v>1939505.1666666667</v>
      </c>
      <c r="X247">
        <v>0</v>
      </c>
      <c r="Y247">
        <f t="shared" si="14"/>
        <v>1939505.1666666667</v>
      </c>
      <c r="Z247">
        <f t="shared" si="15"/>
        <v>0</v>
      </c>
      <c r="AA247">
        <v>0</v>
      </c>
    </row>
    <row r="248" spans="1:27" x14ac:dyDescent="0.25">
      <c r="A248" s="1">
        <v>247</v>
      </c>
      <c r="B248" t="s">
        <v>192</v>
      </c>
      <c r="C248" t="s">
        <v>1134</v>
      </c>
      <c r="D248" t="s">
        <v>1138</v>
      </c>
      <c r="E248" t="s">
        <v>1140</v>
      </c>
      <c r="F248" t="s">
        <v>1139</v>
      </c>
      <c r="G248" t="s">
        <v>1162</v>
      </c>
      <c r="H248" t="s">
        <v>1162</v>
      </c>
      <c r="I248" t="s">
        <v>1162</v>
      </c>
      <c r="J248" t="s">
        <v>1255</v>
      </c>
      <c r="K248" t="s">
        <v>1212</v>
      </c>
      <c r="M248" s="3">
        <f t="shared" si="12"/>
        <v>86</v>
      </c>
      <c r="N248">
        <v>79</v>
      </c>
      <c r="O248">
        <v>80</v>
      </c>
      <c r="P248">
        <v>90</v>
      </c>
      <c r="Q248">
        <v>80</v>
      </c>
      <c r="R248">
        <v>94</v>
      </c>
      <c r="S248">
        <v>91</v>
      </c>
      <c r="T248">
        <v>88</v>
      </c>
      <c r="U248">
        <v>28</v>
      </c>
      <c r="V248" s="3">
        <f t="shared" si="13"/>
        <v>33195237</v>
      </c>
      <c r="W248">
        <v>2766269.75</v>
      </c>
      <c r="X248">
        <v>0</v>
      </c>
      <c r="Y248">
        <f t="shared" si="14"/>
        <v>2766269.75</v>
      </c>
      <c r="Z248">
        <f t="shared" si="15"/>
        <v>0</v>
      </c>
      <c r="AA248">
        <v>0</v>
      </c>
    </row>
    <row r="249" spans="1:27" x14ac:dyDescent="0.25">
      <c r="A249" s="1">
        <v>248</v>
      </c>
      <c r="B249" t="s">
        <v>293</v>
      </c>
      <c r="C249" t="s">
        <v>1134</v>
      </c>
      <c r="D249" t="s">
        <v>1138</v>
      </c>
      <c r="E249" t="s">
        <v>1140</v>
      </c>
      <c r="F249" t="s">
        <v>1139</v>
      </c>
      <c r="G249" t="s">
        <v>1183</v>
      </c>
      <c r="H249" t="s">
        <v>1183</v>
      </c>
      <c r="I249" t="s">
        <v>1183</v>
      </c>
      <c r="J249" t="s">
        <v>1255</v>
      </c>
      <c r="K249" t="s">
        <v>1212</v>
      </c>
      <c r="M249" s="3">
        <f t="shared" si="12"/>
        <v>86.714285714285708</v>
      </c>
      <c r="N249">
        <v>83</v>
      </c>
      <c r="O249">
        <v>82</v>
      </c>
      <c r="P249">
        <v>90</v>
      </c>
      <c r="Q249">
        <v>88</v>
      </c>
      <c r="R249">
        <v>90</v>
      </c>
      <c r="S249">
        <v>89</v>
      </c>
      <c r="T249">
        <v>85</v>
      </c>
      <c r="U249">
        <v>28</v>
      </c>
      <c r="V249" s="3">
        <f t="shared" si="13"/>
        <v>36057680</v>
      </c>
      <c r="W249">
        <v>3004806.6666666665</v>
      </c>
      <c r="X249">
        <v>0</v>
      </c>
      <c r="Y249">
        <f t="shared" si="14"/>
        <v>3004806.6666666665</v>
      </c>
      <c r="Z249">
        <f t="shared" si="15"/>
        <v>0</v>
      </c>
      <c r="AA249">
        <v>0</v>
      </c>
    </row>
    <row r="250" spans="1:27" x14ac:dyDescent="0.25">
      <c r="A250" s="1">
        <v>249</v>
      </c>
      <c r="B250" t="s">
        <v>191</v>
      </c>
      <c r="C250" t="s">
        <v>1134</v>
      </c>
      <c r="D250" t="s">
        <v>1138</v>
      </c>
      <c r="E250" t="s">
        <v>1140</v>
      </c>
      <c r="F250" t="s">
        <v>1144</v>
      </c>
      <c r="G250" t="s">
        <v>1162</v>
      </c>
      <c r="H250" t="s">
        <v>1162</v>
      </c>
      <c r="I250" t="s">
        <v>1162</v>
      </c>
      <c r="J250" t="s">
        <v>1255</v>
      </c>
      <c r="K250" t="s">
        <v>1212</v>
      </c>
      <c r="M250" s="3">
        <f t="shared" si="12"/>
        <v>81.285714285714292</v>
      </c>
      <c r="N250">
        <v>72</v>
      </c>
      <c r="O250">
        <v>76</v>
      </c>
      <c r="P250">
        <v>78</v>
      </c>
      <c r="Q250">
        <v>86</v>
      </c>
      <c r="R250">
        <v>86</v>
      </c>
      <c r="S250">
        <v>90</v>
      </c>
      <c r="T250">
        <v>81</v>
      </c>
      <c r="U250">
        <v>27</v>
      </c>
      <c r="V250" s="3">
        <f t="shared" si="13"/>
        <v>18890069</v>
      </c>
      <c r="W250">
        <v>1574172.4166666667</v>
      </c>
      <c r="X250">
        <v>0</v>
      </c>
      <c r="Y250">
        <f t="shared" si="14"/>
        <v>1574172.4166666667</v>
      </c>
      <c r="Z250">
        <f t="shared" si="15"/>
        <v>0</v>
      </c>
      <c r="AA250">
        <v>0</v>
      </c>
    </row>
    <row r="251" spans="1:27" x14ac:dyDescent="0.25">
      <c r="A251" s="1">
        <v>250</v>
      </c>
      <c r="B251" t="s">
        <v>294</v>
      </c>
      <c r="C251" t="s">
        <v>1134</v>
      </c>
      <c r="D251" t="s">
        <v>1138</v>
      </c>
      <c r="E251" t="s">
        <v>1140</v>
      </c>
      <c r="G251" t="s">
        <v>1183</v>
      </c>
      <c r="H251" t="s">
        <v>1183</v>
      </c>
      <c r="I251" t="s">
        <v>1183</v>
      </c>
      <c r="J251" t="s">
        <v>1255</v>
      </c>
      <c r="K251" t="s">
        <v>1212</v>
      </c>
      <c r="M251" s="3">
        <f t="shared" si="12"/>
        <v>89.857142857142861</v>
      </c>
      <c r="N251">
        <v>85</v>
      </c>
      <c r="O251">
        <v>85</v>
      </c>
      <c r="P251">
        <v>87</v>
      </c>
      <c r="Q251">
        <v>91</v>
      </c>
      <c r="R251">
        <v>97</v>
      </c>
      <c r="S251">
        <v>92</v>
      </c>
      <c r="T251">
        <v>92</v>
      </c>
      <c r="U251">
        <v>28</v>
      </c>
      <c r="V251" s="3">
        <f t="shared" si="13"/>
        <v>51477485</v>
      </c>
      <c r="W251">
        <v>4289790.416666667</v>
      </c>
      <c r="X251">
        <v>0</v>
      </c>
      <c r="Y251">
        <f t="shared" si="14"/>
        <v>4289790.416666667</v>
      </c>
      <c r="Z251">
        <f t="shared" si="15"/>
        <v>0</v>
      </c>
      <c r="AA251">
        <v>0</v>
      </c>
    </row>
    <row r="252" spans="1:27" x14ac:dyDescent="0.25">
      <c r="A252" s="1">
        <v>251</v>
      </c>
      <c r="B252" t="s">
        <v>546</v>
      </c>
      <c r="C252" t="s">
        <v>1135</v>
      </c>
      <c r="D252" t="s">
        <v>1141</v>
      </c>
      <c r="E252" t="s">
        <v>1142</v>
      </c>
      <c r="G252" t="s">
        <v>1183</v>
      </c>
      <c r="H252" t="s">
        <v>1183</v>
      </c>
      <c r="I252" t="s">
        <v>1183</v>
      </c>
      <c r="J252" t="s">
        <v>1255</v>
      </c>
      <c r="K252" t="s">
        <v>1212</v>
      </c>
      <c r="M252" s="3">
        <f t="shared" si="12"/>
        <v>77.285714285714292</v>
      </c>
      <c r="N252">
        <v>55</v>
      </c>
      <c r="O252">
        <v>78</v>
      </c>
      <c r="P252">
        <v>84</v>
      </c>
      <c r="Q252">
        <v>83</v>
      </c>
      <c r="R252">
        <v>81</v>
      </c>
      <c r="S252">
        <v>95</v>
      </c>
      <c r="T252">
        <v>65</v>
      </c>
      <c r="U252">
        <v>12</v>
      </c>
      <c r="V252" s="3">
        <f t="shared" si="13"/>
        <v>11404691</v>
      </c>
      <c r="W252">
        <v>950390.91666666663</v>
      </c>
      <c r="X252">
        <v>0</v>
      </c>
      <c r="Y252">
        <f t="shared" si="14"/>
        <v>950390.91666666663</v>
      </c>
      <c r="Z252">
        <f t="shared" si="15"/>
        <v>0</v>
      </c>
      <c r="AA252">
        <v>0</v>
      </c>
    </row>
    <row r="253" spans="1:27" x14ac:dyDescent="0.25">
      <c r="A253" s="1">
        <v>252</v>
      </c>
      <c r="B253" t="s">
        <v>545</v>
      </c>
      <c r="C253" t="s">
        <v>1135</v>
      </c>
      <c r="D253" t="s">
        <v>1141</v>
      </c>
      <c r="E253" t="s">
        <v>1142</v>
      </c>
      <c r="G253" t="s">
        <v>1183</v>
      </c>
      <c r="H253" t="s">
        <v>1183</v>
      </c>
      <c r="I253" t="s">
        <v>1183</v>
      </c>
      <c r="J253" t="s">
        <v>1255</v>
      </c>
      <c r="K253" t="s">
        <v>1212</v>
      </c>
      <c r="M253" s="3">
        <f t="shared" si="12"/>
        <v>90.142857142857139</v>
      </c>
      <c r="N253">
        <v>92</v>
      </c>
      <c r="O253">
        <v>88</v>
      </c>
      <c r="P253">
        <v>93</v>
      </c>
      <c r="Q253">
        <v>90</v>
      </c>
      <c r="R253">
        <v>90</v>
      </c>
      <c r="S253">
        <v>88</v>
      </c>
      <c r="T253">
        <v>90</v>
      </c>
      <c r="U253">
        <v>7</v>
      </c>
      <c r="V253" s="3">
        <f t="shared" si="13"/>
        <v>53137908</v>
      </c>
      <c r="W253">
        <v>4428159</v>
      </c>
      <c r="X253">
        <v>0</v>
      </c>
      <c r="Y253">
        <f t="shared" si="14"/>
        <v>4428159</v>
      </c>
      <c r="Z253">
        <f t="shared" si="15"/>
        <v>0</v>
      </c>
      <c r="AA253">
        <v>0</v>
      </c>
    </row>
    <row r="254" spans="1:27" x14ac:dyDescent="0.25">
      <c r="A254" s="1">
        <v>253</v>
      </c>
      <c r="B254" t="s">
        <v>544</v>
      </c>
      <c r="C254" t="s">
        <v>1135</v>
      </c>
      <c r="D254" t="s">
        <v>1141</v>
      </c>
      <c r="E254" t="s">
        <v>1145</v>
      </c>
      <c r="G254" t="s">
        <v>1183</v>
      </c>
      <c r="H254" t="s">
        <v>1183</v>
      </c>
      <c r="I254" t="s">
        <v>1183</v>
      </c>
      <c r="J254" t="s">
        <v>1255</v>
      </c>
      <c r="K254" t="s">
        <v>1212</v>
      </c>
      <c r="M254" s="3">
        <f t="shared" si="12"/>
        <v>92.571428571428569</v>
      </c>
      <c r="N254">
        <v>90</v>
      </c>
      <c r="O254">
        <v>94</v>
      </c>
      <c r="P254">
        <v>94</v>
      </c>
      <c r="Q254">
        <v>92</v>
      </c>
      <c r="R254">
        <v>94</v>
      </c>
      <c r="S254">
        <v>87</v>
      </c>
      <c r="T254">
        <v>97</v>
      </c>
      <c r="U254">
        <v>14</v>
      </c>
      <c r="V254" s="3">
        <f t="shared" si="13"/>
        <v>69320378</v>
      </c>
      <c r="W254">
        <v>5776698.166666667</v>
      </c>
      <c r="X254">
        <v>0</v>
      </c>
      <c r="Y254">
        <f t="shared" si="14"/>
        <v>5776698.166666667</v>
      </c>
      <c r="Z254">
        <f t="shared" si="15"/>
        <v>0</v>
      </c>
      <c r="AA254">
        <v>0</v>
      </c>
    </row>
    <row r="255" spans="1:27" x14ac:dyDescent="0.25">
      <c r="A255" s="1">
        <v>254</v>
      </c>
      <c r="B255" t="s">
        <v>502</v>
      </c>
      <c r="C255" t="s">
        <v>1135</v>
      </c>
      <c r="D255" t="s">
        <v>1141</v>
      </c>
      <c r="E255" t="s">
        <v>1142</v>
      </c>
      <c r="G255" t="s">
        <v>1169</v>
      </c>
      <c r="H255" t="s">
        <v>1169</v>
      </c>
      <c r="I255" t="s">
        <v>1169</v>
      </c>
      <c r="J255" t="s">
        <v>1255</v>
      </c>
      <c r="K255" t="s">
        <v>1212</v>
      </c>
      <c r="M255" s="3">
        <f t="shared" si="12"/>
        <v>80.714285714285708</v>
      </c>
      <c r="N255">
        <v>60</v>
      </c>
      <c r="O255">
        <v>83</v>
      </c>
      <c r="P255">
        <v>87</v>
      </c>
      <c r="Q255">
        <v>83</v>
      </c>
      <c r="R255">
        <v>86</v>
      </c>
      <c r="S255">
        <v>88</v>
      </c>
      <c r="T255">
        <v>78</v>
      </c>
      <c r="U255">
        <v>6</v>
      </c>
      <c r="V255" s="3">
        <f t="shared" si="13"/>
        <v>17603351</v>
      </c>
      <c r="W255">
        <v>1466945.9166666667</v>
      </c>
      <c r="X255">
        <v>0</v>
      </c>
      <c r="Y255">
        <f t="shared" si="14"/>
        <v>1466945.9166666667</v>
      </c>
      <c r="Z255">
        <f t="shared" si="15"/>
        <v>0</v>
      </c>
      <c r="AA255">
        <v>0</v>
      </c>
    </row>
    <row r="256" spans="1:27" x14ac:dyDescent="0.25">
      <c r="A256" s="1">
        <v>255</v>
      </c>
      <c r="B256" t="s">
        <v>817</v>
      </c>
      <c r="C256" t="s">
        <v>1136</v>
      </c>
      <c r="D256" t="s">
        <v>1143</v>
      </c>
      <c r="E256" t="s">
        <v>1146</v>
      </c>
      <c r="F256" t="s">
        <v>1144</v>
      </c>
      <c r="G256" t="s">
        <v>1179</v>
      </c>
      <c r="H256" t="s">
        <v>1179</v>
      </c>
      <c r="I256" t="s">
        <v>1179</v>
      </c>
      <c r="J256" t="s">
        <v>1255</v>
      </c>
      <c r="K256" t="s">
        <v>1212</v>
      </c>
      <c r="M256" s="3">
        <f t="shared" si="12"/>
        <v>93</v>
      </c>
      <c r="N256">
        <v>93</v>
      </c>
      <c r="O256">
        <v>88</v>
      </c>
      <c r="P256">
        <v>93</v>
      </c>
      <c r="Q256">
        <v>95</v>
      </c>
      <c r="R256">
        <v>93</v>
      </c>
      <c r="S256">
        <v>93</v>
      </c>
      <c r="T256">
        <v>96</v>
      </c>
      <c r="U256">
        <v>10</v>
      </c>
      <c r="V256" s="3">
        <f t="shared" si="13"/>
        <v>72597347</v>
      </c>
      <c r="W256">
        <v>6049778.916666667</v>
      </c>
      <c r="X256">
        <v>0</v>
      </c>
      <c r="Y256">
        <f t="shared" si="14"/>
        <v>6049778.916666667</v>
      </c>
      <c r="Z256">
        <f t="shared" si="15"/>
        <v>0</v>
      </c>
      <c r="AA256">
        <v>0</v>
      </c>
    </row>
    <row r="257" spans="1:27" x14ac:dyDescent="0.25">
      <c r="A257" s="1">
        <v>256</v>
      </c>
      <c r="B257" t="s">
        <v>722</v>
      </c>
      <c r="C257" t="s">
        <v>1136</v>
      </c>
      <c r="D257" t="s">
        <v>1143</v>
      </c>
      <c r="E257" t="s">
        <v>1144</v>
      </c>
      <c r="F257" t="s">
        <v>1146</v>
      </c>
      <c r="G257" t="s">
        <v>1162</v>
      </c>
      <c r="H257" t="s">
        <v>1162</v>
      </c>
      <c r="I257" t="s">
        <v>1162</v>
      </c>
      <c r="J257" t="s">
        <v>1255</v>
      </c>
      <c r="K257" t="s">
        <v>1212</v>
      </c>
      <c r="M257" s="3">
        <f t="shared" si="12"/>
        <v>86.142857142857139</v>
      </c>
      <c r="N257">
        <v>84</v>
      </c>
      <c r="O257">
        <v>82</v>
      </c>
      <c r="P257">
        <v>91</v>
      </c>
      <c r="Q257">
        <v>91</v>
      </c>
      <c r="R257">
        <v>85</v>
      </c>
      <c r="S257">
        <v>85</v>
      </c>
      <c r="T257">
        <v>85</v>
      </c>
      <c r="U257">
        <v>21</v>
      </c>
      <c r="V257" s="3">
        <f t="shared" si="13"/>
        <v>33750793</v>
      </c>
      <c r="W257">
        <v>2812566.0833333335</v>
      </c>
      <c r="X257">
        <v>0</v>
      </c>
      <c r="Y257">
        <f t="shared" si="14"/>
        <v>2812566.0833333335</v>
      </c>
      <c r="Z257">
        <f t="shared" si="15"/>
        <v>0</v>
      </c>
      <c r="AA257">
        <v>0</v>
      </c>
    </row>
    <row r="258" spans="1:27" x14ac:dyDescent="0.25">
      <c r="A258" s="1">
        <v>257</v>
      </c>
      <c r="B258" t="s">
        <v>1426</v>
      </c>
      <c r="C258" t="s">
        <v>1136</v>
      </c>
      <c r="D258" t="s">
        <v>1146</v>
      </c>
      <c r="E258" t="s">
        <v>1143</v>
      </c>
      <c r="H258" t="s">
        <v>1183</v>
      </c>
      <c r="I258" t="s">
        <v>1183</v>
      </c>
      <c r="J258" t="s">
        <v>1255</v>
      </c>
      <c r="K258" t="s">
        <v>1212</v>
      </c>
      <c r="M258" s="3">
        <f t="shared" ref="M258:M321" si="16">AVERAGE(N258:T258)</f>
        <v>76.857142857142861</v>
      </c>
      <c r="N258">
        <v>45</v>
      </c>
      <c r="O258">
        <v>88</v>
      </c>
      <c r="P258">
        <v>80</v>
      </c>
      <c r="Q258">
        <v>80</v>
      </c>
      <c r="R258">
        <v>80</v>
      </c>
      <c r="S258">
        <v>85</v>
      </c>
      <c r="T258">
        <v>80</v>
      </c>
      <c r="U258">
        <v>0</v>
      </c>
      <c r="V258" s="3">
        <f t="shared" ref="V258:V321" si="17">ROUNDUP(M258^10/1000000000000 * IF(U258&gt;0,1.5,1),0)</f>
        <v>7191879</v>
      </c>
      <c r="W258">
        <v>288096.83333333331</v>
      </c>
      <c r="X258">
        <v>0</v>
      </c>
      <c r="Y258">
        <f t="shared" ref="Y258:Y321" si="18">V258/12</f>
        <v>599323.25</v>
      </c>
      <c r="Z258">
        <f t="shared" ref="Z258:Z321" si="19">ROUND(((W258-Y258)/Y258)*100,2)</f>
        <v>-51.93</v>
      </c>
      <c r="AA258">
        <v>0</v>
      </c>
    </row>
    <row r="259" spans="1:27" x14ac:dyDescent="0.25">
      <c r="A259" s="1">
        <v>258</v>
      </c>
      <c r="B259" t="s">
        <v>847</v>
      </c>
      <c r="C259" t="s">
        <v>1136</v>
      </c>
      <c r="D259" t="s">
        <v>1143</v>
      </c>
      <c r="E259" t="s">
        <v>1146</v>
      </c>
      <c r="F259" t="s">
        <v>1147</v>
      </c>
      <c r="G259" t="s">
        <v>1183</v>
      </c>
      <c r="H259" t="s">
        <v>1183</v>
      </c>
      <c r="I259" t="s">
        <v>1183</v>
      </c>
      <c r="J259" t="s">
        <v>1255</v>
      </c>
      <c r="K259" t="s">
        <v>1212</v>
      </c>
      <c r="M259" s="3">
        <f t="shared" si="16"/>
        <v>89</v>
      </c>
      <c r="N259">
        <v>85</v>
      </c>
      <c r="O259">
        <v>83</v>
      </c>
      <c r="P259">
        <v>92</v>
      </c>
      <c r="Q259">
        <v>93</v>
      </c>
      <c r="R259">
        <v>86</v>
      </c>
      <c r="S259">
        <v>93</v>
      </c>
      <c r="T259">
        <v>91</v>
      </c>
      <c r="U259">
        <v>21</v>
      </c>
      <c r="V259" s="3">
        <f t="shared" si="17"/>
        <v>46772580</v>
      </c>
      <c r="W259">
        <v>3897715</v>
      </c>
      <c r="X259">
        <v>0</v>
      </c>
      <c r="Y259">
        <f t="shared" si="18"/>
        <v>3897715</v>
      </c>
      <c r="Z259">
        <f t="shared" si="19"/>
        <v>0</v>
      </c>
      <c r="AA259">
        <v>0</v>
      </c>
    </row>
    <row r="260" spans="1:27" x14ac:dyDescent="0.25">
      <c r="A260" s="1">
        <v>259</v>
      </c>
      <c r="B260" t="s">
        <v>848</v>
      </c>
      <c r="C260" t="s">
        <v>1136</v>
      </c>
      <c r="D260" t="s">
        <v>1143</v>
      </c>
      <c r="E260" t="s">
        <v>1144</v>
      </c>
      <c r="F260" t="s">
        <v>1145</v>
      </c>
      <c r="G260" t="s">
        <v>1183</v>
      </c>
      <c r="H260" t="s">
        <v>1183</v>
      </c>
      <c r="I260" t="s">
        <v>1183</v>
      </c>
      <c r="J260" t="s">
        <v>1255</v>
      </c>
      <c r="K260" t="s">
        <v>1212</v>
      </c>
      <c r="M260" s="3">
        <f t="shared" si="16"/>
        <v>92.571428571428569</v>
      </c>
      <c r="N260">
        <v>91</v>
      </c>
      <c r="O260">
        <v>83</v>
      </c>
      <c r="P260">
        <v>96</v>
      </c>
      <c r="Q260">
        <v>98</v>
      </c>
      <c r="R260">
        <v>90</v>
      </c>
      <c r="S260">
        <v>94</v>
      </c>
      <c r="T260">
        <v>96</v>
      </c>
      <c r="U260">
        <v>8</v>
      </c>
      <c r="V260" s="3">
        <f t="shared" si="17"/>
        <v>69320378</v>
      </c>
      <c r="W260">
        <v>5776698.166666667</v>
      </c>
      <c r="X260">
        <v>0</v>
      </c>
      <c r="Y260">
        <f t="shared" si="18"/>
        <v>5776698.166666667</v>
      </c>
      <c r="Z260">
        <f t="shared" si="19"/>
        <v>0</v>
      </c>
      <c r="AA260">
        <v>0</v>
      </c>
    </row>
    <row r="261" spans="1:27" x14ac:dyDescent="0.25">
      <c r="A261" s="1">
        <v>260</v>
      </c>
      <c r="B261" t="s">
        <v>831</v>
      </c>
      <c r="C261" t="s">
        <v>1136</v>
      </c>
      <c r="D261" t="s">
        <v>1145</v>
      </c>
      <c r="E261" t="s">
        <v>1147</v>
      </c>
      <c r="F261" t="s">
        <v>1143</v>
      </c>
      <c r="G261" t="s">
        <v>1180</v>
      </c>
      <c r="H261" t="s">
        <v>1180</v>
      </c>
      <c r="I261" t="s">
        <v>1180</v>
      </c>
      <c r="J261" t="s">
        <v>1255</v>
      </c>
      <c r="K261" t="s">
        <v>1212</v>
      </c>
      <c r="M261" s="3">
        <f t="shared" si="16"/>
        <v>88</v>
      </c>
      <c r="N261">
        <v>85</v>
      </c>
      <c r="O261">
        <v>86</v>
      </c>
      <c r="P261">
        <v>95</v>
      </c>
      <c r="Q261">
        <v>88</v>
      </c>
      <c r="R261">
        <v>85</v>
      </c>
      <c r="S261">
        <v>88</v>
      </c>
      <c r="T261">
        <v>89</v>
      </c>
      <c r="U261">
        <v>17</v>
      </c>
      <c r="V261" s="3">
        <f t="shared" si="17"/>
        <v>41775147</v>
      </c>
      <c r="W261">
        <v>3481262.25</v>
      </c>
      <c r="X261">
        <v>0</v>
      </c>
      <c r="Y261">
        <f t="shared" si="18"/>
        <v>3481262.25</v>
      </c>
      <c r="Z261">
        <f t="shared" si="19"/>
        <v>0</v>
      </c>
      <c r="AA261">
        <v>0</v>
      </c>
    </row>
    <row r="262" spans="1:27" x14ac:dyDescent="0.25">
      <c r="A262" s="1">
        <v>261</v>
      </c>
      <c r="B262" t="s">
        <v>849</v>
      </c>
      <c r="C262" t="s">
        <v>1136</v>
      </c>
      <c r="D262" t="s">
        <v>1144</v>
      </c>
      <c r="E262" t="s">
        <v>1138</v>
      </c>
      <c r="F262" t="s">
        <v>1143</v>
      </c>
      <c r="G262" t="s">
        <v>1183</v>
      </c>
      <c r="H262" t="s">
        <v>1183</v>
      </c>
      <c r="I262" t="s">
        <v>1183</v>
      </c>
      <c r="J262" t="s">
        <v>1255</v>
      </c>
      <c r="K262" t="s">
        <v>1212</v>
      </c>
      <c r="M262" s="3">
        <f t="shared" si="16"/>
        <v>80.285714285714292</v>
      </c>
      <c r="N262">
        <v>77</v>
      </c>
      <c r="O262">
        <v>85</v>
      </c>
      <c r="P262">
        <v>80</v>
      </c>
      <c r="Q262">
        <v>85</v>
      </c>
      <c r="R262">
        <v>82</v>
      </c>
      <c r="S262">
        <v>90</v>
      </c>
      <c r="T262">
        <v>63</v>
      </c>
      <c r="U262">
        <v>0</v>
      </c>
      <c r="V262" s="3">
        <f t="shared" si="17"/>
        <v>11127120</v>
      </c>
      <c r="W262">
        <v>927260</v>
      </c>
      <c r="X262">
        <v>0</v>
      </c>
      <c r="Y262">
        <f t="shared" si="18"/>
        <v>927260</v>
      </c>
      <c r="Z262">
        <f t="shared" si="19"/>
        <v>0</v>
      </c>
      <c r="AA262">
        <v>0</v>
      </c>
    </row>
    <row r="263" spans="1:27" x14ac:dyDescent="0.25">
      <c r="A263" s="1">
        <v>262</v>
      </c>
      <c r="B263" t="s">
        <v>971</v>
      </c>
      <c r="C263" t="s">
        <v>1136</v>
      </c>
      <c r="D263" t="s">
        <v>1143</v>
      </c>
      <c r="G263" t="s">
        <v>1202</v>
      </c>
      <c r="H263" t="s">
        <v>1202</v>
      </c>
      <c r="I263" t="s">
        <v>1202</v>
      </c>
      <c r="J263" t="s">
        <v>1255</v>
      </c>
      <c r="K263" t="s">
        <v>1212</v>
      </c>
      <c r="M263" s="3">
        <f t="shared" si="16"/>
        <v>53.142857142857146</v>
      </c>
      <c r="N263">
        <v>44</v>
      </c>
      <c r="O263">
        <v>53</v>
      </c>
      <c r="P263">
        <v>50</v>
      </c>
      <c r="Q263">
        <v>59</v>
      </c>
      <c r="R263">
        <v>54</v>
      </c>
      <c r="S263">
        <v>54</v>
      </c>
      <c r="T263">
        <v>58</v>
      </c>
      <c r="U263">
        <v>0</v>
      </c>
      <c r="V263" s="3">
        <f t="shared" si="17"/>
        <v>179660</v>
      </c>
      <c r="W263">
        <v>14971.666666666666</v>
      </c>
      <c r="X263">
        <v>0</v>
      </c>
      <c r="Y263">
        <f t="shared" si="18"/>
        <v>14971.666666666666</v>
      </c>
      <c r="Z263">
        <f t="shared" si="19"/>
        <v>0</v>
      </c>
      <c r="AA263">
        <v>0</v>
      </c>
    </row>
    <row r="264" spans="1:27" x14ac:dyDescent="0.25">
      <c r="A264" s="1">
        <v>263</v>
      </c>
      <c r="B264" t="s">
        <v>1427</v>
      </c>
      <c r="C264" t="s">
        <v>1136</v>
      </c>
      <c r="D264" t="s">
        <v>1144</v>
      </c>
      <c r="E264" t="s">
        <v>1143</v>
      </c>
      <c r="H264" t="s">
        <v>1183</v>
      </c>
      <c r="I264" t="s">
        <v>1183</v>
      </c>
      <c r="J264" t="s">
        <v>1255</v>
      </c>
      <c r="K264" t="s">
        <v>1212</v>
      </c>
      <c r="M264" s="3">
        <f t="shared" si="16"/>
        <v>70.857142857142861</v>
      </c>
      <c r="N264">
        <v>36</v>
      </c>
      <c r="O264">
        <v>79</v>
      </c>
      <c r="P264">
        <v>77</v>
      </c>
      <c r="Q264">
        <v>74</v>
      </c>
      <c r="R264">
        <v>86</v>
      </c>
      <c r="S264">
        <v>84</v>
      </c>
      <c r="T264">
        <v>60</v>
      </c>
      <c r="U264">
        <v>0</v>
      </c>
      <c r="V264" s="3">
        <f t="shared" si="17"/>
        <v>3190336</v>
      </c>
      <c r="W264">
        <v>265861.33333333331</v>
      </c>
      <c r="X264">
        <v>0</v>
      </c>
      <c r="Y264">
        <f t="shared" si="18"/>
        <v>265861.33333333331</v>
      </c>
      <c r="Z264">
        <f t="shared" si="19"/>
        <v>0</v>
      </c>
      <c r="AA264">
        <v>0</v>
      </c>
    </row>
    <row r="265" spans="1:27" x14ac:dyDescent="0.25">
      <c r="A265" s="1">
        <v>264</v>
      </c>
      <c r="B265" t="s">
        <v>1098</v>
      </c>
      <c r="C265" t="s">
        <v>1137</v>
      </c>
      <c r="D265" t="s">
        <v>1137</v>
      </c>
      <c r="H265" t="s">
        <v>1183</v>
      </c>
      <c r="I265" t="s">
        <v>1183</v>
      </c>
      <c r="J265" t="s">
        <v>1255</v>
      </c>
      <c r="K265" t="s">
        <v>1212</v>
      </c>
      <c r="M265" s="3">
        <f t="shared" si="16"/>
        <v>86.285714285714292</v>
      </c>
      <c r="N265">
        <v>78</v>
      </c>
      <c r="O265">
        <v>84</v>
      </c>
      <c r="P265">
        <v>93</v>
      </c>
      <c r="Q265">
        <v>90</v>
      </c>
      <c r="R265">
        <v>89</v>
      </c>
      <c r="S265">
        <v>84</v>
      </c>
      <c r="T265">
        <v>86</v>
      </c>
      <c r="U265">
        <v>0</v>
      </c>
      <c r="V265" s="3">
        <f t="shared" si="17"/>
        <v>22876469</v>
      </c>
      <c r="W265">
        <v>1906372.4166666667</v>
      </c>
      <c r="X265">
        <v>0</v>
      </c>
      <c r="Y265">
        <f t="shared" si="18"/>
        <v>1906372.4166666667</v>
      </c>
      <c r="Z265">
        <f t="shared" si="19"/>
        <v>0</v>
      </c>
      <c r="AA265">
        <v>0</v>
      </c>
    </row>
    <row r="266" spans="1:27" x14ac:dyDescent="0.25">
      <c r="A266" s="1">
        <v>265</v>
      </c>
      <c r="B266" t="s">
        <v>75</v>
      </c>
      <c r="C266" t="s">
        <v>1133</v>
      </c>
      <c r="D266" t="s">
        <v>1133</v>
      </c>
      <c r="G266" t="s">
        <v>1187</v>
      </c>
      <c r="H266" t="s">
        <v>1187</v>
      </c>
      <c r="I266" t="s">
        <v>1187</v>
      </c>
      <c r="J266" t="s">
        <v>2684</v>
      </c>
      <c r="K266" t="s">
        <v>1212</v>
      </c>
      <c r="M266" s="3">
        <f t="shared" si="16"/>
        <v>72.571428571428569</v>
      </c>
      <c r="N266">
        <v>70</v>
      </c>
      <c r="O266">
        <v>70</v>
      </c>
      <c r="P266">
        <v>90</v>
      </c>
      <c r="Q266">
        <v>72</v>
      </c>
      <c r="R266">
        <v>80</v>
      </c>
      <c r="S266">
        <v>82</v>
      </c>
      <c r="T266">
        <v>44</v>
      </c>
      <c r="U266">
        <v>0</v>
      </c>
      <c r="V266" s="3">
        <f t="shared" si="17"/>
        <v>4051882</v>
      </c>
      <c r="W266">
        <v>337656.83333333331</v>
      </c>
      <c r="X266">
        <v>0</v>
      </c>
      <c r="Y266">
        <f t="shared" si="18"/>
        <v>337656.83333333331</v>
      </c>
      <c r="Z266">
        <f t="shared" si="19"/>
        <v>0</v>
      </c>
      <c r="AA266">
        <v>0</v>
      </c>
    </row>
    <row r="267" spans="1:27" x14ac:dyDescent="0.25">
      <c r="A267" s="1">
        <v>266</v>
      </c>
      <c r="B267" t="s">
        <v>312</v>
      </c>
      <c r="C267" t="s">
        <v>1134</v>
      </c>
      <c r="D267" t="s">
        <v>1138</v>
      </c>
      <c r="G267" t="s">
        <v>1187</v>
      </c>
      <c r="H267" t="s">
        <v>1219</v>
      </c>
      <c r="I267" t="s">
        <v>1219</v>
      </c>
      <c r="J267" t="s">
        <v>2684</v>
      </c>
      <c r="K267" t="s">
        <v>1212</v>
      </c>
      <c r="M267" s="3">
        <f t="shared" si="16"/>
        <v>77.857142857142861</v>
      </c>
      <c r="N267">
        <v>71</v>
      </c>
      <c r="O267">
        <v>75</v>
      </c>
      <c r="P267">
        <v>80</v>
      </c>
      <c r="Q267">
        <v>74</v>
      </c>
      <c r="R267">
        <v>91</v>
      </c>
      <c r="S267">
        <v>93</v>
      </c>
      <c r="T267">
        <v>61</v>
      </c>
      <c r="U267">
        <v>26</v>
      </c>
      <c r="V267" s="3">
        <f t="shared" si="17"/>
        <v>12276538</v>
      </c>
      <c r="W267">
        <v>1023044.8333333334</v>
      </c>
      <c r="X267">
        <v>0</v>
      </c>
      <c r="Y267">
        <f t="shared" si="18"/>
        <v>1023044.8333333334</v>
      </c>
      <c r="Z267">
        <f t="shared" si="19"/>
        <v>0</v>
      </c>
      <c r="AA267">
        <v>0</v>
      </c>
    </row>
    <row r="268" spans="1:27" x14ac:dyDescent="0.25">
      <c r="A268" s="1">
        <v>267</v>
      </c>
      <c r="B268" t="s">
        <v>313</v>
      </c>
      <c r="C268" t="s">
        <v>1134</v>
      </c>
      <c r="D268" t="s">
        <v>1138</v>
      </c>
      <c r="E268" t="s">
        <v>1140</v>
      </c>
      <c r="G268" t="s">
        <v>1187</v>
      </c>
      <c r="H268" t="s">
        <v>1187</v>
      </c>
      <c r="I268" t="s">
        <v>1187</v>
      </c>
      <c r="J268" t="s">
        <v>2684</v>
      </c>
      <c r="K268" t="s">
        <v>1212</v>
      </c>
      <c r="M268" s="3">
        <f t="shared" si="16"/>
        <v>83.428571428571431</v>
      </c>
      <c r="N268">
        <v>75</v>
      </c>
      <c r="O268">
        <v>80</v>
      </c>
      <c r="P268">
        <v>85</v>
      </c>
      <c r="Q268">
        <v>80</v>
      </c>
      <c r="R268">
        <v>93</v>
      </c>
      <c r="S268">
        <v>97</v>
      </c>
      <c r="T268">
        <v>74</v>
      </c>
      <c r="U268">
        <v>26</v>
      </c>
      <c r="V268" s="3">
        <f t="shared" si="17"/>
        <v>24504133</v>
      </c>
      <c r="W268">
        <v>2042011.0833333333</v>
      </c>
      <c r="X268">
        <v>0</v>
      </c>
      <c r="Y268">
        <f t="shared" si="18"/>
        <v>2042011.0833333333</v>
      </c>
      <c r="Z268">
        <f t="shared" si="19"/>
        <v>0</v>
      </c>
      <c r="AA268">
        <v>0</v>
      </c>
    </row>
    <row r="269" spans="1:27" x14ac:dyDescent="0.25">
      <c r="A269" s="1">
        <v>268</v>
      </c>
      <c r="B269" t="s">
        <v>1845</v>
      </c>
      <c r="C269" t="s">
        <v>1134</v>
      </c>
      <c r="D269" t="s">
        <v>1138</v>
      </c>
      <c r="E269" t="s">
        <v>1144</v>
      </c>
      <c r="H269" t="s">
        <v>1187</v>
      </c>
      <c r="I269" t="s">
        <v>1187</v>
      </c>
      <c r="J269" t="s">
        <v>2684</v>
      </c>
      <c r="K269" t="s">
        <v>1212</v>
      </c>
      <c r="M269" s="3">
        <f t="shared" si="16"/>
        <v>66.285714285714292</v>
      </c>
      <c r="N269">
        <v>23</v>
      </c>
      <c r="O269">
        <v>76</v>
      </c>
      <c r="P269">
        <v>70</v>
      </c>
      <c r="Q269">
        <v>82</v>
      </c>
      <c r="R269">
        <v>84</v>
      </c>
      <c r="S269">
        <v>86</v>
      </c>
      <c r="T269">
        <v>43</v>
      </c>
      <c r="U269">
        <v>0</v>
      </c>
      <c r="V269" s="3">
        <f t="shared" si="17"/>
        <v>1637569</v>
      </c>
      <c r="W269">
        <v>136464.08333333334</v>
      </c>
      <c r="X269">
        <v>0</v>
      </c>
      <c r="Y269">
        <f t="shared" si="18"/>
        <v>136464.08333333334</v>
      </c>
      <c r="Z269">
        <f t="shared" si="19"/>
        <v>0</v>
      </c>
      <c r="AA269">
        <v>0</v>
      </c>
    </row>
    <row r="270" spans="1:27" x14ac:dyDescent="0.25">
      <c r="A270" s="1">
        <v>269</v>
      </c>
      <c r="B270" t="s">
        <v>314</v>
      </c>
      <c r="C270" t="s">
        <v>1134</v>
      </c>
      <c r="D270" t="s">
        <v>1138</v>
      </c>
      <c r="G270" t="s">
        <v>1187</v>
      </c>
      <c r="H270" t="s">
        <v>1187</v>
      </c>
      <c r="I270" t="s">
        <v>1187</v>
      </c>
      <c r="J270" t="s">
        <v>2684</v>
      </c>
      <c r="K270" t="s">
        <v>1212</v>
      </c>
      <c r="M270" s="3">
        <f t="shared" si="16"/>
        <v>75.714285714285708</v>
      </c>
      <c r="N270">
        <v>60</v>
      </c>
      <c r="O270">
        <v>77</v>
      </c>
      <c r="P270">
        <v>78</v>
      </c>
      <c r="Q270">
        <v>73</v>
      </c>
      <c r="R270">
        <v>88</v>
      </c>
      <c r="S270">
        <v>99</v>
      </c>
      <c r="T270">
        <v>55</v>
      </c>
      <c r="U270">
        <v>26</v>
      </c>
      <c r="V270" s="3">
        <f t="shared" si="17"/>
        <v>9286875</v>
      </c>
      <c r="W270">
        <v>773906.25</v>
      </c>
      <c r="X270">
        <v>0</v>
      </c>
      <c r="Y270">
        <f t="shared" si="18"/>
        <v>773906.25</v>
      </c>
      <c r="Z270">
        <f t="shared" si="19"/>
        <v>0</v>
      </c>
      <c r="AA270">
        <v>0</v>
      </c>
    </row>
    <row r="271" spans="1:27" x14ac:dyDescent="0.25">
      <c r="A271" s="1">
        <v>270</v>
      </c>
      <c r="B271" t="s">
        <v>1844</v>
      </c>
      <c r="C271" t="s">
        <v>1134</v>
      </c>
      <c r="D271" t="s">
        <v>1139</v>
      </c>
      <c r="E271" t="s">
        <v>1138</v>
      </c>
      <c r="H271" t="s">
        <v>1187</v>
      </c>
      <c r="I271" t="s">
        <v>1187</v>
      </c>
      <c r="J271" t="s">
        <v>2684</v>
      </c>
      <c r="K271" t="s">
        <v>1212</v>
      </c>
      <c r="M271" s="3">
        <f t="shared" si="16"/>
        <v>58.857142857142854</v>
      </c>
      <c r="N271">
        <v>16</v>
      </c>
      <c r="O271">
        <v>66</v>
      </c>
      <c r="P271">
        <v>62</v>
      </c>
      <c r="Q271">
        <v>74</v>
      </c>
      <c r="R271">
        <v>80</v>
      </c>
      <c r="S271">
        <v>82</v>
      </c>
      <c r="T271">
        <v>32</v>
      </c>
      <c r="U271">
        <v>0</v>
      </c>
      <c r="V271" s="3">
        <f t="shared" si="17"/>
        <v>498876</v>
      </c>
      <c r="W271">
        <v>41573</v>
      </c>
      <c r="X271">
        <v>0</v>
      </c>
      <c r="Y271">
        <f t="shared" si="18"/>
        <v>41573</v>
      </c>
      <c r="Z271">
        <f t="shared" si="19"/>
        <v>0</v>
      </c>
      <c r="AA271">
        <v>0</v>
      </c>
    </row>
    <row r="272" spans="1:27" x14ac:dyDescent="0.25">
      <c r="A272" s="1">
        <v>271</v>
      </c>
      <c r="B272" t="s">
        <v>2564</v>
      </c>
      <c r="C272" t="s">
        <v>1135</v>
      </c>
      <c r="D272" t="s">
        <v>1142</v>
      </c>
      <c r="E272" t="s">
        <v>1141</v>
      </c>
      <c r="H272" t="s">
        <v>1187</v>
      </c>
      <c r="I272" t="s">
        <v>1187</v>
      </c>
      <c r="J272" t="s">
        <v>2684</v>
      </c>
      <c r="K272" t="s">
        <v>1212</v>
      </c>
      <c r="M272" s="3">
        <f t="shared" si="16"/>
        <v>68</v>
      </c>
      <c r="N272">
        <v>24</v>
      </c>
      <c r="O272">
        <v>80</v>
      </c>
      <c r="P272">
        <v>80</v>
      </c>
      <c r="Q272">
        <v>81</v>
      </c>
      <c r="R272">
        <v>82</v>
      </c>
      <c r="S272">
        <v>85</v>
      </c>
      <c r="T272">
        <v>44</v>
      </c>
      <c r="U272">
        <v>0</v>
      </c>
      <c r="V272" s="3">
        <f t="shared" si="17"/>
        <v>2113923</v>
      </c>
      <c r="W272">
        <v>176160.25</v>
      </c>
      <c r="X272">
        <v>0</v>
      </c>
      <c r="Y272">
        <f t="shared" si="18"/>
        <v>176160.25</v>
      </c>
      <c r="Z272">
        <f t="shared" si="19"/>
        <v>0</v>
      </c>
      <c r="AA272">
        <v>0</v>
      </c>
    </row>
    <row r="273" spans="1:27" x14ac:dyDescent="0.25">
      <c r="A273" s="1">
        <v>272</v>
      </c>
      <c r="B273" t="s">
        <v>557</v>
      </c>
      <c r="C273" t="s">
        <v>1135</v>
      </c>
      <c r="D273" t="s">
        <v>1141</v>
      </c>
      <c r="E273" t="s">
        <v>1145</v>
      </c>
      <c r="G273" t="s">
        <v>1187</v>
      </c>
      <c r="H273" t="s">
        <v>1218</v>
      </c>
      <c r="I273" t="s">
        <v>1218</v>
      </c>
      <c r="J273" t="s">
        <v>2684</v>
      </c>
      <c r="K273" t="s">
        <v>1212</v>
      </c>
      <c r="M273" s="3">
        <f t="shared" si="16"/>
        <v>85.142857142857139</v>
      </c>
      <c r="N273">
        <v>80</v>
      </c>
      <c r="O273">
        <v>84</v>
      </c>
      <c r="P273">
        <v>88</v>
      </c>
      <c r="Q273">
        <v>84</v>
      </c>
      <c r="R273">
        <v>86</v>
      </c>
      <c r="S273">
        <v>90</v>
      </c>
      <c r="T273">
        <v>84</v>
      </c>
      <c r="U273">
        <v>7</v>
      </c>
      <c r="V273" s="3">
        <f t="shared" si="17"/>
        <v>30031254</v>
      </c>
      <c r="W273">
        <v>2502604.5</v>
      </c>
      <c r="X273">
        <v>0</v>
      </c>
      <c r="Y273">
        <f t="shared" si="18"/>
        <v>2502604.5</v>
      </c>
      <c r="Z273">
        <f t="shared" si="19"/>
        <v>0</v>
      </c>
      <c r="AA273">
        <v>0</v>
      </c>
    </row>
    <row r="274" spans="1:27" x14ac:dyDescent="0.25">
      <c r="A274" s="1">
        <v>273</v>
      </c>
      <c r="B274" t="s">
        <v>558</v>
      </c>
      <c r="C274" t="s">
        <v>1135</v>
      </c>
      <c r="D274" t="s">
        <v>1141</v>
      </c>
      <c r="E274" t="s">
        <v>1142</v>
      </c>
      <c r="G274" t="s">
        <v>1187</v>
      </c>
      <c r="H274" t="s">
        <v>1187</v>
      </c>
      <c r="I274" t="s">
        <v>1187</v>
      </c>
      <c r="J274" t="s">
        <v>2684</v>
      </c>
      <c r="K274" t="s">
        <v>1212</v>
      </c>
      <c r="M274" s="3">
        <f t="shared" si="16"/>
        <v>79.285714285714292</v>
      </c>
      <c r="N274">
        <v>70</v>
      </c>
      <c r="O274">
        <v>79</v>
      </c>
      <c r="P274">
        <v>83</v>
      </c>
      <c r="Q274">
        <v>80</v>
      </c>
      <c r="R274">
        <v>87</v>
      </c>
      <c r="S274">
        <v>91</v>
      </c>
      <c r="T274">
        <v>65</v>
      </c>
      <c r="U274">
        <v>6</v>
      </c>
      <c r="V274" s="3">
        <f t="shared" si="17"/>
        <v>14724505</v>
      </c>
      <c r="W274">
        <v>1227042.0833333333</v>
      </c>
      <c r="X274">
        <v>0</v>
      </c>
      <c r="Y274">
        <f t="shared" si="18"/>
        <v>1227042.0833333333</v>
      </c>
      <c r="Z274">
        <f t="shared" si="19"/>
        <v>0</v>
      </c>
      <c r="AA274">
        <v>0</v>
      </c>
    </row>
    <row r="275" spans="1:27" x14ac:dyDescent="0.25">
      <c r="A275" s="1">
        <v>274</v>
      </c>
      <c r="B275" t="s">
        <v>871</v>
      </c>
      <c r="C275" t="s">
        <v>1136</v>
      </c>
      <c r="D275" t="s">
        <v>1145</v>
      </c>
      <c r="E275" t="s">
        <v>1143</v>
      </c>
      <c r="G275" t="s">
        <v>1187</v>
      </c>
      <c r="H275" t="s">
        <v>1187</v>
      </c>
      <c r="I275" t="s">
        <v>1187</v>
      </c>
      <c r="J275" t="s">
        <v>2684</v>
      </c>
      <c r="K275" t="s">
        <v>1212</v>
      </c>
      <c r="M275" s="3">
        <f t="shared" si="16"/>
        <v>91.857142857142861</v>
      </c>
      <c r="N275">
        <v>93</v>
      </c>
      <c r="O275">
        <v>82</v>
      </c>
      <c r="P275">
        <v>98</v>
      </c>
      <c r="Q275">
        <v>94</v>
      </c>
      <c r="R275">
        <v>95</v>
      </c>
      <c r="S275">
        <v>95</v>
      </c>
      <c r="T275">
        <v>86</v>
      </c>
      <c r="U275">
        <v>18</v>
      </c>
      <c r="V275" s="3">
        <f t="shared" si="17"/>
        <v>64153535</v>
      </c>
      <c r="W275">
        <v>5346127.916666667</v>
      </c>
      <c r="X275">
        <v>0</v>
      </c>
      <c r="Y275">
        <f t="shared" si="18"/>
        <v>5346127.916666667</v>
      </c>
      <c r="Z275">
        <f t="shared" si="19"/>
        <v>0</v>
      </c>
      <c r="AA275">
        <v>0</v>
      </c>
    </row>
    <row r="276" spans="1:27" x14ac:dyDescent="0.25">
      <c r="A276" s="1">
        <v>275</v>
      </c>
      <c r="B276" t="s">
        <v>2650</v>
      </c>
      <c r="C276" t="s">
        <v>1136</v>
      </c>
      <c r="D276" t="s">
        <v>1146</v>
      </c>
      <c r="E276" t="s">
        <v>1144</v>
      </c>
      <c r="H276" t="s">
        <v>1187</v>
      </c>
      <c r="I276" t="s">
        <v>1187</v>
      </c>
      <c r="J276" t="s">
        <v>2684</v>
      </c>
      <c r="K276" t="s">
        <v>1212</v>
      </c>
      <c r="M276" s="3">
        <f t="shared" si="16"/>
        <v>61.571428571428569</v>
      </c>
      <c r="N276">
        <v>21</v>
      </c>
      <c r="O276">
        <v>72</v>
      </c>
      <c r="P276">
        <v>68</v>
      </c>
      <c r="Q276">
        <v>80</v>
      </c>
      <c r="R276">
        <v>76</v>
      </c>
      <c r="S276">
        <v>78</v>
      </c>
      <c r="T276">
        <v>36</v>
      </c>
      <c r="U276">
        <v>0</v>
      </c>
      <c r="V276" s="3">
        <f t="shared" si="17"/>
        <v>783056</v>
      </c>
      <c r="W276">
        <v>65254.666666666664</v>
      </c>
      <c r="X276">
        <v>0</v>
      </c>
      <c r="Y276">
        <f t="shared" si="18"/>
        <v>65254.666666666664</v>
      </c>
      <c r="Z276">
        <f t="shared" si="19"/>
        <v>0</v>
      </c>
      <c r="AA276">
        <v>0</v>
      </c>
    </row>
    <row r="277" spans="1:27" x14ac:dyDescent="0.25">
      <c r="A277" s="1">
        <v>276</v>
      </c>
      <c r="B277" t="s">
        <v>869</v>
      </c>
      <c r="C277" t="s">
        <v>1136</v>
      </c>
      <c r="D277" t="s">
        <v>1144</v>
      </c>
      <c r="E277" t="s">
        <v>1138</v>
      </c>
      <c r="G277" t="s">
        <v>1187</v>
      </c>
      <c r="H277" t="s">
        <v>1187</v>
      </c>
      <c r="I277" t="s">
        <v>1187</v>
      </c>
      <c r="J277" t="s">
        <v>2684</v>
      </c>
      <c r="K277" t="s">
        <v>1212</v>
      </c>
      <c r="M277" s="3">
        <f t="shared" si="16"/>
        <v>81.428571428571431</v>
      </c>
      <c r="N277">
        <v>72</v>
      </c>
      <c r="O277">
        <v>80</v>
      </c>
      <c r="P277">
        <v>83</v>
      </c>
      <c r="Q277">
        <v>85</v>
      </c>
      <c r="R277">
        <v>90</v>
      </c>
      <c r="S277">
        <v>90</v>
      </c>
      <c r="T277">
        <v>70</v>
      </c>
      <c r="U277">
        <v>26</v>
      </c>
      <c r="V277" s="3">
        <f t="shared" si="17"/>
        <v>19224694</v>
      </c>
      <c r="W277">
        <v>1602057.8333333333</v>
      </c>
      <c r="X277">
        <v>0</v>
      </c>
      <c r="Y277">
        <f t="shared" si="18"/>
        <v>1602057.8333333333</v>
      </c>
      <c r="Z277">
        <f t="shared" si="19"/>
        <v>0</v>
      </c>
      <c r="AA277">
        <v>0</v>
      </c>
    </row>
    <row r="278" spans="1:27" x14ac:dyDescent="0.25">
      <c r="A278" s="1">
        <v>277</v>
      </c>
      <c r="B278" t="s">
        <v>1850</v>
      </c>
      <c r="C278" t="s">
        <v>1136</v>
      </c>
      <c r="D278" t="s">
        <v>1144</v>
      </c>
      <c r="E278" t="s">
        <v>1143</v>
      </c>
      <c r="H278" t="s">
        <v>1187</v>
      </c>
      <c r="I278" t="s">
        <v>1187</v>
      </c>
      <c r="J278" t="s">
        <v>2684</v>
      </c>
      <c r="K278" t="s">
        <v>1212</v>
      </c>
      <c r="M278" s="3">
        <f t="shared" si="16"/>
        <v>56.142857142857146</v>
      </c>
      <c r="N278">
        <v>18</v>
      </c>
      <c r="O278">
        <v>62</v>
      </c>
      <c r="P278">
        <v>62</v>
      </c>
      <c r="Q278">
        <v>70</v>
      </c>
      <c r="R278">
        <v>74</v>
      </c>
      <c r="S278">
        <v>77</v>
      </c>
      <c r="T278">
        <v>30</v>
      </c>
      <c r="U278">
        <v>0</v>
      </c>
      <c r="V278" s="3">
        <f t="shared" si="17"/>
        <v>311133</v>
      </c>
      <c r="W278">
        <v>25927.75</v>
      </c>
      <c r="X278">
        <v>0</v>
      </c>
      <c r="Y278">
        <f t="shared" si="18"/>
        <v>25927.75</v>
      </c>
      <c r="Z278">
        <f t="shared" si="19"/>
        <v>0</v>
      </c>
      <c r="AA278">
        <v>0</v>
      </c>
    </row>
    <row r="279" spans="1:27" x14ac:dyDescent="0.25">
      <c r="A279" s="1">
        <v>278</v>
      </c>
      <c r="B279" t="s">
        <v>870</v>
      </c>
      <c r="C279" t="s">
        <v>1136</v>
      </c>
      <c r="D279" t="s">
        <v>1144</v>
      </c>
      <c r="E279" t="s">
        <v>1143</v>
      </c>
      <c r="G279" t="s">
        <v>1187</v>
      </c>
      <c r="H279" t="s">
        <v>1187</v>
      </c>
      <c r="I279" t="s">
        <v>1187</v>
      </c>
      <c r="J279" t="s">
        <v>2684</v>
      </c>
      <c r="K279" t="s">
        <v>1212</v>
      </c>
      <c r="M279" s="3">
        <f t="shared" si="16"/>
        <v>75.285714285714292</v>
      </c>
      <c r="N279">
        <v>51</v>
      </c>
      <c r="O279">
        <v>77</v>
      </c>
      <c r="P279">
        <v>81</v>
      </c>
      <c r="Q279">
        <v>81</v>
      </c>
      <c r="R279">
        <v>87</v>
      </c>
      <c r="S279">
        <v>85</v>
      </c>
      <c r="T279">
        <v>65</v>
      </c>
      <c r="U279">
        <v>26</v>
      </c>
      <c r="V279" s="3">
        <f t="shared" si="17"/>
        <v>8774392</v>
      </c>
      <c r="W279">
        <v>731199.33333333337</v>
      </c>
      <c r="X279">
        <v>0</v>
      </c>
      <c r="Y279">
        <f t="shared" si="18"/>
        <v>731199.33333333337</v>
      </c>
      <c r="Z279">
        <f t="shared" si="19"/>
        <v>0</v>
      </c>
      <c r="AA279">
        <v>0</v>
      </c>
    </row>
    <row r="280" spans="1:27" x14ac:dyDescent="0.25">
      <c r="A280" s="1">
        <v>279</v>
      </c>
      <c r="B280" t="s">
        <v>1847</v>
      </c>
      <c r="C280" t="s">
        <v>1136</v>
      </c>
      <c r="D280" t="s">
        <v>1145</v>
      </c>
      <c r="E280" t="s">
        <v>1143</v>
      </c>
      <c r="H280" t="s">
        <v>1187</v>
      </c>
      <c r="I280" t="s">
        <v>1187</v>
      </c>
      <c r="J280" t="s">
        <v>2684</v>
      </c>
      <c r="K280" t="s">
        <v>1212</v>
      </c>
      <c r="M280" s="3">
        <f t="shared" si="16"/>
        <v>54.714285714285715</v>
      </c>
      <c r="N280">
        <v>16</v>
      </c>
      <c r="O280">
        <v>60</v>
      </c>
      <c r="P280">
        <v>64</v>
      </c>
      <c r="Q280">
        <v>72</v>
      </c>
      <c r="R280">
        <v>70</v>
      </c>
      <c r="S280">
        <v>73</v>
      </c>
      <c r="T280">
        <v>28</v>
      </c>
      <c r="U280">
        <v>0</v>
      </c>
      <c r="V280" s="3">
        <f t="shared" si="17"/>
        <v>240441</v>
      </c>
      <c r="W280">
        <v>20036.75</v>
      </c>
      <c r="X280">
        <v>0</v>
      </c>
      <c r="Y280">
        <f t="shared" si="18"/>
        <v>20036.75</v>
      </c>
      <c r="Z280">
        <f t="shared" si="19"/>
        <v>0</v>
      </c>
      <c r="AA280">
        <v>0</v>
      </c>
    </row>
    <row r="281" spans="1:27" x14ac:dyDescent="0.25">
      <c r="A281" s="1">
        <v>280</v>
      </c>
      <c r="B281" t="s">
        <v>1848</v>
      </c>
      <c r="C281" t="s">
        <v>1136</v>
      </c>
      <c r="D281" t="s">
        <v>1147</v>
      </c>
      <c r="E281" t="s">
        <v>1146</v>
      </c>
      <c r="H281" t="s">
        <v>1187</v>
      </c>
      <c r="I281" t="s">
        <v>1187</v>
      </c>
      <c r="J281" t="s">
        <v>2684</v>
      </c>
      <c r="K281" t="s">
        <v>1212</v>
      </c>
      <c r="M281" s="3">
        <f t="shared" si="16"/>
        <v>57.142857142857146</v>
      </c>
      <c r="N281">
        <v>18</v>
      </c>
      <c r="O281">
        <v>64</v>
      </c>
      <c r="P281">
        <v>66</v>
      </c>
      <c r="Q281">
        <v>74</v>
      </c>
      <c r="R281">
        <v>72</v>
      </c>
      <c r="S281">
        <v>75</v>
      </c>
      <c r="T281">
        <v>31</v>
      </c>
      <c r="U281">
        <v>0</v>
      </c>
      <c r="V281" s="3">
        <f t="shared" si="17"/>
        <v>371210</v>
      </c>
      <c r="W281">
        <v>30934.166666666668</v>
      </c>
      <c r="X281">
        <v>0</v>
      </c>
      <c r="Y281">
        <f t="shared" si="18"/>
        <v>30934.166666666668</v>
      </c>
      <c r="Z281">
        <f t="shared" si="19"/>
        <v>0</v>
      </c>
      <c r="AA281">
        <v>0</v>
      </c>
    </row>
    <row r="282" spans="1:27" x14ac:dyDescent="0.25">
      <c r="A282" s="1">
        <v>281</v>
      </c>
      <c r="B282" t="s">
        <v>1846</v>
      </c>
      <c r="C282" t="s">
        <v>1136</v>
      </c>
      <c r="D282" t="s">
        <v>1143</v>
      </c>
      <c r="E282" t="s">
        <v>1144</v>
      </c>
      <c r="H282" t="s">
        <v>1187</v>
      </c>
      <c r="I282" t="s">
        <v>1187</v>
      </c>
      <c r="J282" t="s">
        <v>2684</v>
      </c>
      <c r="K282" t="s">
        <v>1212</v>
      </c>
      <c r="M282" s="3">
        <f t="shared" si="16"/>
        <v>65.571428571428569</v>
      </c>
      <c r="N282">
        <v>24</v>
      </c>
      <c r="O282">
        <v>78</v>
      </c>
      <c r="P282">
        <v>74</v>
      </c>
      <c r="Q282">
        <v>84</v>
      </c>
      <c r="R282">
        <v>78</v>
      </c>
      <c r="S282">
        <v>80</v>
      </c>
      <c r="T282">
        <v>41</v>
      </c>
      <c r="U282">
        <v>0</v>
      </c>
      <c r="V282" s="3">
        <f t="shared" si="17"/>
        <v>1469422</v>
      </c>
      <c r="W282">
        <v>122451.83333333333</v>
      </c>
      <c r="X282">
        <v>0</v>
      </c>
      <c r="Y282">
        <f t="shared" si="18"/>
        <v>122451.83333333333</v>
      </c>
      <c r="Z282">
        <f t="shared" si="19"/>
        <v>0</v>
      </c>
      <c r="AA282">
        <v>0</v>
      </c>
    </row>
    <row r="283" spans="1:27" x14ac:dyDescent="0.25">
      <c r="A283" s="1">
        <v>282</v>
      </c>
      <c r="B283" t="s">
        <v>1849</v>
      </c>
      <c r="C283" t="s">
        <v>1136</v>
      </c>
      <c r="D283" t="s">
        <v>1147</v>
      </c>
      <c r="E283" t="s">
        <v>1145</v>
      </c>
      <c r="H283" t="s">
        <v>1187</v>
      </c>
      <c r="I283" t="s">
        <v>1187</v>
      </c>
      <c r="J283" t="s">
        <v>2684</v>
      </c>
      <c r="K283" t="s">
        <v>1212</v>
      </c>
      <c r="M283" s="3">
        <f t="shared" si="16"/>
        <v>59.428571428571431</v>
      </c>
      <c r="N283">
        <v>19</v>
      </c>
      <c r="O283">
        <v>70</v>
      </c>
      <c r="P283">
        <v>68</v>
      </c>
      <c r="Q283">
        <v>76</v>
      </c>
      <c r="R283">
        <v>74</v>
      </c>
      <c r="S283">
        <v>76</v>
      </c>
      <c r="T283">
        <v>33</v>
      </c>
      <c r="U283">
        <v>0</v>
      </c>
      <c r="V283" s="3">
        <f t="shared" si="17"/>
        <v>549482</v>
      </c>
      <c r="W283">
        <v>45790.166666666664</v>
      </c>
      <c r="X283">
        <v>0</v>
      </c>
      <c r="Y283">
        <f t="shared" si="18"/>
        <v>45790.166666666664</v>
      </c>
      <c r="Z283">
        <f t="shared" si="19"/>
        <v>0</v>
      </c>
      <c r="AA283">
        <v>0</v>
      </c>
    </row>
    <row r="284" spans="1:27" x14ac:dyDescent="0.25">
      <c r="A284" s="1">
        <v>283</v>
      </c>
      <c r="B284" t="s">
        <v>1843</v>
      </c>
      <c r="C284" t="s">
        <v>1137</v>
      </c>
      <c r="D284" t="s">
        <v>1137</v>
      </c>
      <c r="H284" t="s">
        <v>1187</v>
      </c>
      <c r="I284" t="s">
        <v>1187</v>
      </c>
      <c r="J284" t="s">
        <v>2684</v>
      </c>
      <c r="K284" t="s">
        <v>1212</v>
      </c>
      <c r="M284" s="3">
        <f t="shared" si="16"/>
        <v>61.857142857142854</v>
      </c>
      <c r="N284">
        <v>21</v>
      </c>
      <c r="O284">
        <v>72</v>
      </c>
      <c r="P284">
        <v>66</v>
      </c>
      <c r="Q284">
        <v>76</v>
      </c>
      <c r="R284">
        <v>78</v>
      </c>
      <c r="S284">
        <v>80</v>
      </c>
      <c r="T284">
        <v>40</v>
      </c>
      <c r="U284">
        <v>0</v>
      </c>
      <c r="V284" s="3">
        <f t="shared" si="17"/>
        <v>820160</v>
      </c>
      <c r="W284">
        <v>68346.666666666672</v>
      </c>
      <c r="X284">
        <v>0</v>
      </c>
      <c r="Y284">
        <f t="shared" si="18"/>
        <v>68346.666666666672</v>
      </c>
      <c r="Z284">
        <f t="shared" si="19"/>
        <v>0</v>
      </c>
      <c r="AA284">
        <v>0</v>
      </c>
    </row>
    <row r="285" spans="1:27" x14ac:dyDescent="0.25">
      <c r="A285" s="1">
        <v>284</v>
      </c>
      <c r="B285" t="s">
        <v>2256</v>
      </c>
      <c r="C285" t="s">
        <v>1133</v>
      </c>
      <c r="D285" t="s">
        <v>1133</v>
      </c>
      <c r="H285" t="s">
        <v>1150</v>
      </c>
      <c r="I285" t="s">
        <v>1150</v>
      </c>
      <c r="J285" t="s">
        <v>1297</v>
      </c>
      <c r="K285" t="s">
        <v>1212</v>
      </c>
      <c r="M285" s="3">
        <f t="shared" si="16"/>
        <v>52.714285714285715</v>
      </c>
      <c r="N285">
        <v>10</v>
      </c>
      <c r="O285">
        <v>67</v>
      </c>
      <c r="P285">
        <v>59</v>
      </c>
      <c r="Q285">
        <v>65</v>
      </c>
      <c r="R285">
        <v>67</v>
      </c>
      <c r="S285">
        <v>69</v>
      </c>
      <c r="T285">
        <v>32</v>
      </c>
      <c r="U285">
        <v>0</v>
      </c>
      <c r="V285" s="3">
        <f t="shared" si="17"/>
        <v>165686</v>
      </c>
      <c r="W285">
        <v>13807.166666666666</v>
      </c>
      <c r="X285">
        <v>0</v>
      </c>
      <c r="Y285">
        <f t="shared" si="18"/>
        <v>13807.166666666666</v>
      </c>
      <c r="Z285">
        <f t="shared" si="19"/>
        <v>0</v>
      </c>
      <c r="AA285">
        <v>0</v>
      </c>
    </row>
    <row r="286" spans="1:27" x14ac:dyDescent="0.25">
      <c r="A286" s="1">
        <v>285</v>
      </c>
      <c r="B286" t="s">
        <v>2271</v>
      </c>
      <c r="C286" t="s">
        <v>1133</v>
      </c>
      <c r="D286" t="s">
        <v>1133</v>
      </c>
      <c r="H286" t="s">
        <v>1150</v>
      </c>
      <c r="I286" t="s">
        <v>1150</v>
      </c>
      <c r="J286" t="s">
        <v>1297</v>
      </c>
      <c r="K286" t="s">
        <v>1212</v>
      </c>
      <c r="M286" s="3">
        <f t="shared" si="16"/>
        <v>50.857142857142854</v>
      </c>
      <c r="N286">
        <v>8</v>
      </c>
      <c r="O286">
        <v>65</v>
      </c>
      <c r="P286">
        <v>58</v>
      </c>
      <c r="Q286">
        <v>63</v>
      </c>
      <c r="R286">
        <v>65</v>
      </c>
      <c r="S286">
        <v>67</v>
      </c>
      <c r="T286">
        <v>30</v>
      </c>
      <c r="U286">
        <v>0</v>
      </c>
      <c r="V286" s="3">
        <f t="shared" si="17"/>
        <v>115750</v>
      </c>
      <c r="W286">
        <v>9645.8333333333339</v>
      </c>
      <c r="X286">
        <v>0</v>
      </c>
      <c r="Y286">
        <f t="shared" si="18"/>
        <v>9645.8333333333339</v>
      </c>
      <c r="Z286">
        <f t="shared" si="19"/>
        <v>0</v>
      </c>
      <c r="AA286">
        <v>0</v>
      </c>
    </row>
    <row r="287" spans="1:27" x14ac:dyDescent="0.25">
      <c r="A287" s="1">
        <v>286</v>
      </c>
      <c r="B287" t="s">
        <v>2625</v>
      </c>
      <c r="C287" t="s">
        <v>1133</v>
      </c>
      <c r="D287" t="s">
        <v>1133</v>
      </c>
      <c r="H287" t="s">
        <v>1150</v>
      </c>
      <c r="I287" t="s">
        <v>1150</v>
      </c>
      <c r="J287" t="s">
        <v>1297</v>
      </c>
      <c r="K287" t="s">
        <v>1212</v>
      </c>
      <c r="M287" s="3">
        <f t="shared" si="16"/>
        <v>50.285714285714285</v>
      </c>
      <c r="N287">
        <v>8</v>
      </c>
      <c r="O287">
        <v>64</v>
      </c>
      <c r="P287">
        <v>56</v>
      </c>
      <c r="Q287">
        <v>63</v>
      </c>
      <c r="R287">
        <v>65</v>
      </c>
      <c r="S287">
        <v>67</v>
      </c>
      <c r="T287">
        <v>29</v>
      </c>
      <c r="U287">
        <v>0</v>
      </c>
      <c r="V287" s="3">
        <f t="shared" si="17"/>
        <v>103383</v>
      </c>
      <c r="W287">
        <v>8615.25</v>
      </c>
      <c r="X287">
        <v>0</v>
      </c>
      <c r="Y287">
        <f t="shared" si="18"/>
        <v>8615.25</v>
      </c>
      <c r="Z287">
        <f t="shared" si="19"/>
        <v>0</v>
      </c>
      <c r="AA287">
        <v>0</v>
      </c>
    </row>
    <row r="288" spans="1:27" x14ac:dyDescent="0.25">
      <c r="A288" s="1">
        <v>287</v>
      </c>
      <c r="B288" t="s">
        <v>2259</v>
      </c>
      <c r="C288" t="s">
        <v>1134</v>
      </c>
      <c r="D288" t="s">
        <v>1138</v>
      </c>
      <c r="E288" t="s">
        <v>1139</v>
      </c>
      <c r="H288" t="s">
        <v>1150</v>
      </c>
      <c r="I288" t="s">
        <v>1150</v>
      </c>
      <c r="J288" t="s">
        <v>1297</v>
      </c>
      <c r="K288" t="s">
        <v>1212</v>
      </c>
      <c r="M288" s="3">
        <f t="shared" si="16"/>
        <v>55.428571428571431</v>
      </c>
      <c r="N288">
        <v>12</v>
      </c>
      <c r="O288">
        <v>71</v>
      </c>
      <c r="P288">
        <v>63</v>
      </c>
      <c r="Q288">
        <v>67</v>
      </c>
      <c r="R288">
        <v>69</v>
      </c>
      <c r="S288">
        <v>71</v>
      </c>
      <c r="T288">
        <v>35</v>
      </c>
      <c r="U288">
        <v>0</v>
      </c>
      <c r="V288" s="3">
        <f t="shared" si="17"/>
        <v>273740</v>
      </c>
      <c r="W288">
        <v>22811.666666666668</v>
      </c>
      <c r="X288">
        <v>0</v>
      </c>
      <c r="Y288">
        <f t="shared" si="18"/>
        <v>22811.666666666668</v>
      </c>
      <c r="Z288">
        <f t="shared" si="19"/>
        <v>0</v>
      </c>
      <c r="AA288">
        <v>0</v>
      </c>
    </row>
    <row r="289" spans="1:27" x14ac:dyDescent="0.25">
      <c r="A289" s="1">
        <v>288</v>
      </c>
      <c r="B289" t="s">
        <v>2262</v>
      </c>
      <c r="C289" t="s">
        <v>1134</v>
      </c>
      <c r="D289" t="s">
        <v>1139</v>
      </c>
      <c r="E289" t="s">
        <v>1138</v>
      </c>
      <c r="H289" t="s">
        <v>1150</v>
      </c>
      <c r="I289" t="s">
        <v>1150</v>
      </c>
      <c r="J289" t="s">
        <v>1297</v>
      </c>
      <c r="K289" t="s">
        <v>1212</v>
      </c>
      <c r="M289" s="3">
        <f t="shared" si="16"/>
        <v>54.428571428571431</v>
      </c>
      <c r="N289">
        <v>11</v>
      </c>
      <c r="O289">
        <v>70</v>
      </c>
      <c r="P289">
        <v>62</v>
      </c>
      <c r="Q289">
        <v>66</v>
      </c>
      <c r="R289">
        <v>68</v>
      </c>
      <c r="S289">
        <v>70</v>
      </c>
      <c r="T289">
        <v>34</v>
      </c>
      <c r="U289">
        <v>0</v>
      </c>
      <c r="V289" s="3">
        <f t="shared" si="17"/>
        <v>228176</v>
      </c>
      <c r="W289">
        <v>19014.666666666668</v>
      </c>
      <c r="X289">
        <v>0</v>
      </c>
      <c r="Y289">
        <f t="shared" si="18"/>
        <v>19014.666666666668</v>
      </c>
      <c r="Z289">
        <f t="shared" si="19"/>
        <v>0</v>
      </c>
      <c r="AA289">
        <v>0</v>
      </c>
    </row>
    <row r="290" spans="1:27" x14ac:dyDescent="0.25">
      <c r="A290" s="1">
        <v>289</v>
      </c>
      <c r="B290" t="s">
        <v>2260</v>
      </c>
      <c r="C290" t="s">
        <v>1134</v>
      </c>
      <c r="D290" t="s">
        <v>1140</v>
      </c>
      <c r="E290" t="s">
        <v>1138</v>
      </c>
      <c r="H290" t="s">
        <v>1150</v>
      </c>
      <c r="I290" t="s">
        <v>1150</v>
      </c>
      <c r="J290" t="s">
        <v>1297</v>
      </c>
      <c r="K290" t="s">
        <v>1212</v>
      </c>
      <c r="M290" s="3">
        <f t="shared" si="16"/>
        <v>52.857142857142854</v>
      </c>
      <c r="N290">
        <v>9</v>
      </c>
      <c r="O290">
        <v>69</v>
      </c>
      <c r="P290">
        <v>60</v>
      </c>
      <c r="Q290">
        <v>65</v>
      </c>
      <c r="R290">
        <v>67</v>
      </c>
      <c r="S290">
        <v>69</v>
      </c>
      <c r="T290">
        <v>31</v>
      </c>
      <c r="U290">
        <v>0</v>
      </c>
      <c r="V290" s="3">
        <f t="shared" si="17"/>
        <v>170231</v>
      </c>
      <c r="W290">
        <v>14185.916666666666</v>
      </c>
      <c r="X290">
        <v>0</v>
      </c>
      <c r="Y290">
        <f t="shared" si="18"/>
        <v>14185.916666666666</v>
      </c>
      <c r="Z290">
        <f t="shared" si="19"/>
        <v>0</v>
      </c>
      <c r="AA290">
        <v>0</v>
      </c>
    </row>
    <row r="291" spans="1:27" x14ac:dyDescent="0.25">
      <c r="A291" s="1">
        <v>290</v>
      </c>
      <c r="B291" t="s">
        <v>2258</v>
      </c>
      <c r="C291" t="s">
        <v>1134</v>
      </c>
      <c r="D291" t="s">
        <v>1138</v>
      </c>
      <c r="E291" t="s">
        <v>1144</v>
      </c>
      <c r="H291" t="s">
        <v>1150</v>
      </c>
      <c r="I291" t="s">
        <v>1150</v>
      </c>
      <c r="J291" t="s">
        <v>1297</v>
      </c>
      <c r="K291" t="s">
        <v>1212</v>
      </c>
      <c r="M291" s="3">
        <f t="shared" si="16"/>
        <v>47.428571428571431</v>
      </c>
      <c r="N291">
        <v>6</v>
      </c>
      <c r="O291">
        <v>61</v>
      </c>
      <c r="P291">
        <v>54</v>
      </c>
      <c r="Q291">
        <v>60</v>
      </c>
      <c r="R291">
        <v>62</v>
      </c>
      <c r="S291">
        <v>64</v>
      </c>
      <c r="T291">
        <v>25</v>
      </c>
      <c r="U291">
        <v>0</v>
      </c>
      <c r="V291" s="3">
        <f t="shared" si="17"/>
        <v>57598</v>
      </c>
      <c r="W291">
        <v>4799.833333333333</v>
      </c>
      <c r="X291">
        <v>0</v>
      </c>
      <c r="Y291">
        <f t="shared" si="18"/>
        <v>4799.833333333333</v>
      </c>
      <c r="Z291">
        <f t="shared" si="19"/>
        <v>0</v>
      </c>
      <c r="AA291">
        <v>0</v>
      </c>
    </row>
    <row r="292" spans="1:27" x14ac:dyDescent="0.25">
      <c r="A292" s="1">
        <v>291</v>
      </c>
      <c r="B292" t="s">
        <v>2261</v>
      </c>
      <c r="C292" t="s">
        <v>1134</v>
      </c>
      <c r="D292" t="s">
        <v>1140</v>
      </c>
      <c r="E292" t="s">
        <v>1139</v>
      </c>
      <c r="H292" t="s">
        <v>1150</v>
      </c>
      <c r="I292" t="s">
        <v>1150</v>
      </c>
      <c r="J292" t="s">
        <v>1297</v>
      </c>
      <c r="K292" t="s">
        <v>1212</v>
      </c>
      <c r="M292" s="3">
        <f t="shared" si="16"/>
        <v>50.428571428571431</v>
      </c>
      <c r="N292">
        <v>7</v>
      </c>
      <c r="O292">
        <v>65</v>
      </c>
      <c r="P292">
        <v>58</v>
      </c>
      <c r="Q292">
        <v>63</v>
      </c>
      <c r="R292">
        <v>65</v>
      </c>
      <c r="S292">
        <v>67</v>
      </c>
      <c r="T292">
        <v>28</v>
      </c>
      <c r="U292">
        <v>0</v>
      </c>
      <c r="V292" s="3">
        <f t="shared" si="17"/>
        <v>106358</v>
      </c>
      <c r="W292">
        <v>8863.1666666666661</v>
      </c>
      <c r="X292">
        <v>0</v>
      </c>
      <c r="Y292">
        <f t="shared" si="18"/>
        <v>8863.1666666666661</v>
      </c>
      <c r="Z292">
        <f t="shared" si="19"/>
        <v>0</v>
      </c>
      <c r="AA292">
        <v>0</v>
      </c>
    </row>
    <row r="293" spans="1:27" x14ac:dyDescent="0.25">
      <c r="A293" s="1">
        <v>292</v>
      </c>
      <c r="B293" t="s">
        <v>2272</v>
      </c>
      <c r="C293" t="s">
        <v>1135</v>
      </c>
      <c r="D293" t="s">
        <v>1141</v>
      </c>
      <c r="E293" t="s">
        <v>1142</v>
      </c>
      <c r="H293" t="s">
        <v>1150</v>
      </c>
      <c r="I293" t="s">
        <v>1150</v>
      </c>
      <c r="J293" t="s">
        <v>1297</v>
      </c>
      <c r="K293" t="s">
        <v>1212</v>
      </c>
      <c r="M293" s="3">
        <f t="shared" si="16"/>
        <v>63.857142857142854</v>
      </c>
      <c r="N293">
        <v>15</v>
      </c>
      <c r="O293">
        <v>75</v>
      </c>
      <c r="P293">
        <v>80</v>
      </c>
      <c r="Q293">
        <v>75</v>
      </c>
      <c r="R293">
        <v>77</v>
      </c>
      <c r="S293">
        <v>80</v>
      </c>
      <c r="T293">
        <v>45</v>
      </c>
      <c r="U293">
        <v>0</v>
      </c>
      <c r="V293" s="3">
        <f t="shared" si="17"/>
        <v>1127444</v>
      </c>
      <c r="W293">
        <v>93953.666666666672</v>
      </c>
      <c r="X293">
        <v>0</v>
      </c>
      <c r="Y293">
        <f t="shared" si="18"/>
        <v>93953.666666666672</v>
      </c>
      <c r="Z293">
        <f t="shared" si="19"/>
        <v>0</v>
      </c>
      <c r="AA293">
        <v>0</v>
      </c>
    </row>
    <row r="294" spans="1:27" x14ac:dyDescent="0.25">
      <c r="A294" s="1">
        <v>293</v>
      </c>
      <c r="B294" t="s">
        <v>2270</v>
      </c>
      <c r="C294" t="s">
        <v>1135</v>
      </c>
      <c r="D294" t="s">
        <v>1142</v>
      </c>
      <c r="E294" t="s">
        <v>1141</v>
      </c>
      <c r="H294" t="s">
        <v>1150</v>
      </c>
      <c r="I294" t="s">
        <v>1150</v>
      </c>
      <c r="J294" t="s">
        <v>1297</v>
      </c>
      <c r="K294" t="s">
        <v>1212</v>
      </c>
      <c r="M294" s="3">
        <f t="shared" si="16"/>
        <v>55</v>
      </c>
      <c r="N294">
        <v>10</v>
      </c>
      <c r="O294">
        <v>70</v>
      </c>
      <c r="P294">
        <v>63</v>
      </c>
      <c r="Q294">
        <v>68</v>
      </c>
      <c r="R294">
        <v>70</v>
      </c>
      <c r="S294">
        <v>72</v>
      </c>
      <c r="T294">
        <v>32</v>
      </c>
      <c r="U294">
        <v>0</v>
      </c>
      <c r="V294" s="3">
        <f t="shared" si="17"/>
        <v>253296</v>
      </c>
      <c r="W294">
        <v>21108</v>
      </c>
      <c r="X294">
        <v>0</v>
      </c>
      <c r="Y294">
        <f t="shared" si="18"/>
        <v>21108</v>
      </c>
      <c r="Z294">
        <f t="shared" si="19"/>
        <v>0</v>
      </c>
      <c r="AA294">
        <v>0</v>
      </c>
    </row>
    <row r="295" spans="1:27" x14ac:dyDescent="0.25">
      <c r="A295" s="1">
        <v>294</v>
      </c>
      <c r="B295" t="s">
        <v>2269</v>
      </c>
      <c r="C295" t="s">
        <v>1135</v>
      </c>
      <c r="D295" t="s">
        <v>1142</v>
      </c>
      <c r="E295" t="s">
        <v>1141</v>
      </c>
      <c r="H295" t="s">
        <v>1150</v>
      </c>
      <c r="I295" t="s">
        <v>1150</v>
      </c>
      <c r="J295" t="s">
        <v>1297</v>
      </c>
      <c r="K295" t="s">
        <v>1212</v>
      </c>
      <c r="M295" s="3">
        <f t="shared" si="16"/>
        <v>60</v>
      </c>
      <c r="N295">
        <v>14</v>
      </c>
      <c r="O295">
        <v>75</v>
      </c>
      <c r="P295">
        <v>68</v>
      </c>
      <c r="Q295">
        <v>73</v>
      </c>
      <c r="R295">
        <v>75</v>
      </c>
      <c r="S295">
        <v>77</v>
      </c>
      <c r="T295">
        <v>38</v>
      </c>
      <c r="U295">
        <v>0</v>
      </c>
      <c r="V295" s="3">
        <f t="shared" si="17"/>
        <v>604662</v>
      </c>
      <c r="W295">
        <v>50388.5</v>
      </c>
      <c r="X295">
        <v>0</v>
      </c>
      <c r="Y295">
        <f t="shared" si="18"/>
        <v>50388.5</v>
      </c>
      <c r="Z295">
        <f t="shared" si="19"/>
        <v>0</v>
      </c>
      <c r="AA295">
        <v>0</v>
      </c>
    </row>
    <row r="296" spans="1:27" x14ac:dyDescent="0.25">
      <c r="A296" s="1">
        <v>295</v>
      </c>
      <c r="B296" t="s">
        <v>2266</v>
      </c>
      <c r="C296" t="s">
        <v>1136</v>
      </c>
      <c r="D296" t="s">
        <v>1145</v>
      </c>
      <c r="E296" t="s">
        <v>1146</v>
      </c>
      <c r="H296" t="s">
        <v>1150</v>
      </c>
      <c r="I296" t="s">
        <v>1150</v>
      </c>
      <c r="J296" t="s">
        <v>1297</v>
      </c>
      <c r="K296" t="s">
        <v>1212</v>
      </c>
      <c r="M296" s="3">
        <f t="shared" si="16"/>
        <v>54.428571428571431</v>
      </c>
      <c r="N296">
        <v>10</v>
      </c>
      <c r="O296">
        <v>69</v>
      </c>
      <c r="P296">
        <v>62</v>
      </c>
      <c r="Q296">
        <v>67</v>
      </c>
      <c r="R296">
        <v>69</v>
      </c>
      <c r="S296">
        <v>71</v>
      </c>
      <c r="T296">
        <v>33</v>
      </c>
      <c r="U296">
        <v>0</v>
      </c>
      <c r="V296" s="3">
        <f t="shared" si="17"/>
        <v>228176</v>
      </c>
      <c r="W296">
        <v>19014.666666666668</v>
      </c>
      <c r="X296">
        <v>0</v>
      </c>
      <c r="Y296">
        <f t="shared" si="18"/>
        <v>19014.666666666668</v>
      </c>
      <c r="Z296">
        <f t="shared" si="19"/>
        <v>0</v>
      </c>
      <c r="AA296">
        <v>0</v>
      </c>
    </row>
    <row r="297" spans="1:27" x14ac:dyDescent="0.25">
      <c r="A297" s="1">
        <v>296</v>
      </c>
      <c r="B297" t="s">
        <v>2267</v>
      </c>
      <c r="C297" t="s">
        <v>1136</v>
      </c>
      <c r="D297" t="s">
        <v>1146</v>
      </c>
      <c r="E297" t="s">
        <v>1144</v>
      </c>
      <c r="H297" t="s">
        <v>1150</v>
      </c>
      <c r="I297" t="s">
        <v>1150</v>
      </c>
      <c r="J297" t="s">
        <v>1297</v>
      </c>
      <c r="K297" t="s">
        <v>1212</v>
      </c>
      <c r="M297" s="3">
        <f t="shared" si="16"/>
        <v>49.857142857142854</v>
      </c>
      <c r="N297">
        <v>7</v>
      </c>
      <c r="O297">
        <v>64</v>
      </c>
      <c r="P297">
        <v>57</v>
      </c>
      <c r="Q297">
        <v>63</v>
      </c>
      <c r="R297">
        <v>65</v>
      </c>
      <c r="S297">
        <v>67</v>
      </c>
      <c r="T297">
        <v>26</v>
      </c>
      <c r="U297">
        <v>0</v>
      </c>
      <c r="V297" s="3">
        <f t="shared" si="17"/>
        <v>94902</v>
      </c>
      <c r="W297">
        <v>7908.5</v>
      </c>
      <c r="X297">
        <v>0</v>
      </c>
      <c r="Y297">
        <f t="shared" si="18"/>
        <v>7908.5</v>
      </c>
      <c r="Z297">
        <f t="shared" si="19"/>
        <v>0</v>
      </c>
      <c r="AA297">
        <v>0</v>
      </c>
    </row>
    <row r="298" spans="1:27" x14ac:dyDescent="0.25">
      <c r="A298" s="1">
        <v>297</v>
      </c>
      <c r="B298" t="s">
        <v>2631</v>
      </c>
      <c r="C298" t="s">
        <v>1136</v>
      </c>
      <c r="D298" t="s">
        <v>1147</v>
      </c>
      <c r="E298" t="s">
        <v>1145</v>
      </c>
      <c r="H298" t="s">
        <v>1150</v>
      </c>
      <c r="I298" t="s">
        <v>1150</v>
      </c>
      <c r="J298" t="s">
        <v>1297</v>
      </c>
      <c r="K298" t="s">
        <v>1212</v>
      </c>
      <c r="M298" s="3">
        <f t="shared" si="16"/>
        <v>62.571428571428569</v>
      </c>
      <c r="N298">
        <v>14</v>
      </c>
      <c r="O298">
        <v>73</v>
      </c>
      <c r="P298">
        <v>77</v>
      </c>
      <c r="Q298">
        <v>75</v>
      </c>
      <c r="R298">
        <v>77</v>
      </c>
      <c r="S298">
        <v>79</v>
      </c>
      <c r="T298">
        <v>43</v>
      </c>
      <c r="U298">
        <v>0</v>
      </c>
      <c r="V298" s="3">
        <f t="shared" si="17"/>
        <v>919943</v>
      </c>
      <c r="W298">
        <v>76661.916666666672</v>
      </c>
      <c r="X298">
        <v>0</v>
      </c>
      <c r="Y298">
        <f t="shared" si="18"/>
        <v>76661.916666666672</v>
      </c>
      <c r="Z298">
        <f t="shared" si="19"/>
        <v>0</v>
      </c>
      <c r="AA298">
        <v>0</v>
      </c>
    </row>
    <row r="299" spans="1:27" x14ac:dyDescent="0.25">
      <c r="A299" s="1">
        <v>298</v>
      </c>
      <c r="B299" t="s">
        <v>2263</v>
      </c>
      <c r="C299" t="s">
        <v>1136</v>
      </c>
      <c r="D299" t="s">
        <v>1144</v>
      </c>
      <c r="E299" t="s">
        <v>1143</v>
      </c>
      <c r="H299" t="s">
        <v>1150</v>
      </c>
      <c r="I299" t="s">
        <v>1150</v>
      </c>
      <c r="J299" t="s">
        <v>1297</v>
      </c>
      <c r="K299" t="s">
        <v>1212</v>
      </c>
      <c r="M299" s="3">
        <f t="shared" si="16"/>
        <v>53.428571428571431</v>
      </c>
      <c r="N299">
        <v>9</v>
      </c>
      <c r="O299">
        <v>68</v>
      </c>
      <c r="P299">
        <v>60</v>
      </c>
      <c r="Q299">
        <v>67</v>
      </c>
      <c r="R299">
        <v>69</v>
      </c>
      <c r="S299">
        <v>71</v>
      </c>
      <c r="T299">
        <v>30</v>
      </c>
      <c r="U299">
        <v>0</v>
      </c>
      <c r="V299" s="3">
        <f t="shared" si="17"/>
        <v>189556</v>
      </c>
      <c r="W299">
        <v>15796.333333333334</v>
      </c>
      <c r="X299">
        <v>0</v>
      </c>
      <c r="Y299">
        <f t="shared" si="18"/>
        <v>15796.333333333334</v>
      </c>
      <c r="Z299">
        <f t="shared" si="19"/>
        <v>0</v>
      </c>
      <c r="AA299">
        <v>0</v>
      </c>
    </row>
    <row r="300" spans="1:27" x14ac:dyDescent="0.25">
      <c r="A300" s="1">
        <v>299</v>
      </c>
      <c r="B300" t="s">
        <v>2265</v>
      </c>
      <c r="C300" t="s">
        <v>1136</v>
      </c>
      <c r="D300" t="s">
        <v>1145</v>
      </c>
      <c r="E300" t="s">
        <v>1143</v>
      </c>
      <c r="H300" t="s">
        <v>1150</v>
      </c>
      <c r="I300" t="s">
        <v>1150</v>
      </c>
      <c r="J300" t="s">
        <v>1297</v>
      </c>
      <c r="K300" t="s">
        <v>1212</v>
      </c>
      <c r="M300" s="3">
        <f t="shared" si="16"/>
        <v>48</v>
      </c>
      <c r="N300">
        <v>6</v>
      </c>
      <c r="O300">
        <v>60</v>
      </c>
      <c r="P300">
        <v>54</v>
      </c>
      <c r="Q300">
        <v>62</v>
      </c>
      <c r="R300">
        <v>64</v>
      </c>
      <c r="S300">
        <v>66</v>
      </c>
      <c r="T300">
        <v>24</v>
      </c>
      <c r="U300">
        <v>0</v>
      </c>
      <c r="V300" s="3">
        <f t="shared" si="17"/>
        <v>64926</v>
      </c>
      <c r="W300">
        <v>5410.5</v>
      </c>
      <c r="X300">
        <v>0</v>
      </c>
      <c r="Y300">
        <f t="shared" si="18"/>
        <v>5410.5</v>
      </c>
      <c r="Z300">
        <f t="shared" si="19"/>
        <v>0</v>
      </c>
      <c r="AA300">
        <v>0</v>
      </c>
    </row>
    <row r="301" spans="1:27" x14ac:dyDescent="0.25">
      <c r="A301" s="1">
        <v>300</v>
      </c>
      <c r="B301" t="s">
        <v>2268</v>
      </c>
      <c r="C301" t="s">
        <v>1136</v>
      </c>
      <c r="D301" t="s">
        <v>1147</v>
      </c>
      <c r="E301" t="s">
        <v>1145</v>
      </c>
      <c r="H301" t="s">
        <v>1150</v>
      </c>
      <c r="I301" t="s">
        <v>1150</v>
      </c>
      <c r="J301" t="s">
        <v>1297</v>
      </c>
      <c r="K301" t="s">
        <v>1212</v>
      </c>
      <c r="M301" s="3">
        <f t="shared" si="16"/>
        <v>56.142857142857146</v>
      </c>
      <c r="N301">
        <v>11</v>
      </c>
      <c r="O301">
        <v>71</v>
      </c>
      <c r="P301">
        <v>64</v>
      </c>
      <c r="Q301">
        <v>69</v>
      </c>
      <c r="R301">
        <v>71</v>
      </c>
      <c r="S301">
        <v>73</v>
      </c>
      <c r="T301">
        <v>34</v>
      </c>
      <c r="U301">
        <v>0</v>
      </c>
      <c r="V301" s="3">
        <f t="shared" si="17"/>
        <v>311133</v>
      </c>
      <c r="W301">
        <v>25927.75</v>
      </c>
      <c r="X301">
        <v>0</v>
      </c>
      <c r="Y301">
        <f t="shared" si="18"/>
        <v>25927.75</v>
      </c>
      <c r="Z301">
        <f t="shared" si="19"/>
        <v>0</v>
      </c>
      <c r="AA301">
        <v>0</v>
      </c>
    </row>
    <row r="302" spans="1:27" x14ac:dyDescent="0.25">
      <c r="A302" s="1">
        <v>301</v>
      </c>
      <c r="B302" t="s">
        <v>2264</v>
      </c>
      <c r="C302" t="s">
        <v>1136</v>
      </c>
      <c r="D302" t="s">
        <v>1143</v>
      </c>
      <c r="E302" t="s">
        <v>1144</v>
      </c>
      <c r="H302" t="s">
        <v>1150</v>
      </c>
      <c r="I302" t="s">
        <v>1150</v>
      </c>
      <c r="J302" t="s">
        <v>1297</v>
      </c>
      <c r="K302" t="s">
        <v>1212</v>
      </c>
      <c r="M302" s="3">
        <f t="shared" si="16"/>
        <v>58.285714285714285</v>
      </c>
      <c r="N302">
        <v>13</v>
      </c>
      <c r="O302">
        <v>73</v>
      </c>
      <c r="P302">
        <v>66</v>
      </c>
      <c r="Q302">
        <v>71</v>
      </c>
      <c r="R302">
        <v>73</v>
      </c>
      <c r="S302">
        <v>75</v>
      </c>
      <c r="T302">
        <v>37</v>
      </c>
      <c r="U302">
        <v>0</v>
      </c>
      <c r="V302" s="3">
        <f t="shared" si="17"/>
        <v>452503</v>
      </c>
      <c r="W302">
        <v>37708.583333333336</v>
      </c>
      <c r="X302">
        <v>0</v>
      </c>
      <c r="Y302">
        <f t="shared" si="18"/>
        <v>37708.583333333336</v>
      </c>
      <c r="Z302">
        <f t="shared" si="19"/>
        <v>0</v>
      </c>
      <c r="AA302">
        <v>0</v>
      </c>
    </row>
    <row r="303" spans="1:27" x14ac:dyDescent="0.25">
      <c r="A303" s="1">
        <v>302</v>
      </c>
      <c r="B303" t="s">
        <v>414</v>
      </c>
      <c r="C303" t="s">
        <v>1136</v>
      </c>
      <c r="D303" t="s">
        <v>1143</v>
      </c>
      <c r="E303" t="s">
        <v>1144</v>
      </c>
      <c r="G303" t="s">
        <v>1150</v>
      </c>
      <c r="H303" t="s">
        <v>1150</v>
      </c>
      <c r="I303" t="s">
        <v>1150</v>
      </c>
      <c r="J303" t="s">
        <v>1297</v>
      </c>
      <c r="K303" t="s">
        <v>1212</v>
      </c>
      <c r="M303" s="3">
        <f t="shared" si="16"/>
        <v>48.714285714285715</v>
      </c>
      <c r="N303">
        <v>20</v>
      </c>
      <c r="O303">
        <v>50</v>
      </c>
      <c r="P303">
        <v>60</v>
      </c>
      <c r="Q303">
        <v>55</v>
      </c>
      <c r="R303">
        <v>59</v>
      </c>
      <c r="S303">
        <v>66</v>
      </c>
      <c r="T303">
        <v>31</v>
      </c>
      <c r="U303">
        <v>0</v>
      </c>
      <c r="V303" s="3">
        <f t="shared" si="17"/>
        <v>75260</v>
      </c>
      <c r="W303">
        <v>6271.666666666667</v>
      </c>
      <c r="X303">
        <v>0</v>
      </c>
      <c r="Y303">
        <f t="shared" si="18"/>
        <v>6271.666666666667</v>
      </c>
      <c r="Z303">
        <f t="shared" si="19"/>
        <v>0</v>
      </c>
      <c r="AA303">
        <v>0</v>
      </c>
    </row>
    <row r="304" spans="1:27" x14ac:dyDescent="0.25">
      <c r="A304" s="1">
        <v>303</v>
      </c>
      <c r="B304" t="s">
        <v>2257</v>
      </c>
      <c r="C304" t="s">
        <v>1137</v>
      </c>
      <c r="D304" t="s">
        <v>1137</v>
      </c>
      <c r="H304" t="s">
        <v>1150</v>
      </c>
      <c r="I304" t="s">
        <v>1150</v>
      </c>
      <c r="J304" t="s">
        <v>1297</v>
      </c>
      <c r="K304" t="s">
        <v>1212</v>
      </c>
      <c r="M304" s="3">
        <f t="shared" si="16"/>
        <v>51.285714285714285</v>
      </c>
      <c r="N304">
        <v>9</v>
      </c>
      <c r="O304">
        <v>65</v>
      </c>
      <c r="P304">
        <v>57</v>
      </c>
      <c r="Q304">
        <v>64</v>
      </c>
      <c r="R304">
        <v>66</v>
      </c>
      <c r="S304">
        <v>68</v>
      </c>
      <c r="T304">
        <v>30</v>
      </c>
      <c r="U304">
        <v>0</v>
      </c>
      <c r="V304" s="3">
        <f t="shared" si="17"/>
        <v>125883</v>
      </c>
      <c r="W304">
        <v>10490.25</v>
      </c>
      <c r="X304">
        <v>0</v>
      </c>
      <c r="Y304">
        <f t="shared" si="18"/>
        <v>10490.25</v>
      </c>
      <c r="Z304">
        <f t="shared" si="19"/>
        <v>0</v>
      </c>
      <c r="AA304">
        <v>0</v>
      </c>
    </row>
    <row r="305" spans="1:27" x14ac:dyDescent="0.25">
      <c r="A305" s="1">
        <v>304</v>
      </c>
      <c r="B305" t="s">
        <v>1531</v>
      </c>
      <c r="C305" t="s">
        <v>1133</v>
      </c>
      <c r="D305" t="s">
        <v>1133</v>
      </c>
      <c r="H305" t="s">
        <v>1182</v>
      </c>
      <c r="I305" t="s">
        <v>1182</v>
      </c>
      <c r="J305" t="s">
        <v>1254</v>
      </c>
      <c r="K305" t="s">
        <v>1212</v>
      </c>
      <c r="M305" s="3">
        <f t="shared" si="16"/>
        <v>55</v>
      </c>
      <c r="N305">
        <v>28</v>
      </c>
      <c r="O305">
        <v>52</v>
      </c>
      <c r="P305">
        <v>48</v>
      </c>
      <c r="Q305">
        <v>61</v>
      </c>
      <c r="R305">
        <v>64</v>
      </c>
      <c r="S305">
        <v>78</v>
      </c>
      <c r="T305">
        <v>54</v>
      </c>
      <c r="U305">
        <v>0</v>
      </c>
      <c r="V305" s="3">
        <f t="shared" si="17"/>
        <v>253296</v>
      </c>
      <c r="W305">
        <v>21108</v>
      </c>
      <c r="X305">
        <v>0</v>
      </c>
      <c r="Y305">
        <f t="shared" si="18"/>
        <v>21108</v>
      </c>
      <c r="Z305">
        <f t="shared" si="19"/>
        <v>0</v>
      </c>
      <c r="AA305">
        <v>0</v>
      </c>
    </row>
    <row r="306" spans="1:27" x14ac:dyDescent="0.25">
      <c r="A306" s="1">
        <v>305</v>
      </c>
      <c r="B306" t="s">
        <v>69</v>
      </c>
      <c r="C306" t="s">
        <v>1133</v>
      </c>
      <c r="D306" t="s">
        <v>1133</v>
      </c>
      <c r="G306" t="s">
        <v>1182</v>
      </c>
      <c r="H306" t="s">
        <v>1182</v>
      </c>
      <c r="I306" t="s">
        <v>1182</v>
      </c>
      <c r="J306" t="s">
        <v>1254</v>
      </c>
      <c r="K306" t="s">
        <v>1212</v>
      </c>
      <c r="M306" s="3">
        <f t="shared" si="16"/>
        <v>80.285714285714292</v>
      </c>
      <c r="N306">
        <v>70</v>
      </c>
      <c r="O306">
        <v>76</v>
      </c>
      <c r="P306">
        <v>82</v>
      </c>
      <c r="Q306">
        <v>81</v>
      </c>
      <c r="R306">
        <v>94</v>
      </c>
      <c r="S306">
        <v>80</v>
      </c>
      <c r="T306">
        <v>79</v>
      </c>
      <c r="U306">
        <v>30</v>
      </c>
      <c r="V306" s="3">
        <f t="shared" si="17"/>
        <v>16690680</v>
      </c>
      <c r="W306">
        <v>1390890</v>
      </c>
      <c r="X306">
        <v>0</v>
      </c>
      <c r="Y306">
        <f t="shared" si="18"/>
        <v>1390890</v>
      </c>
      <c r="Z306">
        <f t="shared" si="19"/>
        <v>0</v>
      </c>
      <c r="AA306">
        <v>0</v>
      </c>
    </row>
    <row r="307" spans="1:27" x14ac:dyDescent="0.25">
      <c r="A307" s="1">
        <v>306</v>
      </c>
      <c r="B307" t="s">
        <v>288</v>
      </c>
      <c r="C307" t="s">
        <v>1134</v>
      </c>
      <c r="D307" t="s">
        <v>1138</v>
      </c>
      <c r="E307" t="s">
        <v>1140</v>
      </c>
      <c r="G307" t="s">
        <v>1182</v>
      </c>
      <c r="H307" t="s">
        <v>1182</v>
      </c>
      <c r="I307" t="s">
        <v>1182</v>
      </c>
      <c r="J307" t="s">
        <v>1254</v>
      </c>
      <c r="K307" t="s">
        <v>1212</v>
      </c>
      <c r="M307" s="3">
        <f t="shared" si="16"/>
        <v>68.142857142857139</v>
      </c>
      <c r="N307">
        <v>45</v>
      </c>
      <c r="O307">
        <v>55</v>
      </c>
      <c r="P307">
        <v>83</v>
      </c>
      <c r="Q307">
        <v>71</v>
      </c>
      <c r="R307">
        <v>76</v>
      </c>
      <c r="S307">
        <v>95</v>
      </c>
      <c r="T307">
        <v>52</v>
      </c>
      <c r="U307">
        <v>0</v>
      </c>
      <c r="V307" s="3">
        <f t="shared" si="17"/>
        <v>2158756</v>
      </c>
      <c r="W307">
        <v>179896.33333333334</v>
      </c>
      <c r="X307">
        <v>0</v>
      </c>
      <c r="Y307">
        <f t="shared" si="18"/>
        <v>179896.33333333334</v>
      </c>
      <c r="Z307">
        <f t="shared" si="19"/>
        <v>0</v>
      </c>
      <c r="AA307">
        <v>0</v>
      </c>
    </row>
    <row r="308" spans="1:27" x14ac:dyDescent="0.25">
      <c r="A308" s="1">
        <v>307</v>
      </c>
      <c r="B308" t="s">
        <v>1534</v>
      </c>
      <c r="C308" t="s">
        <v>1134</v>
      </c>
      <c r="D308" t="s">
        <v>1138</v>
      </c>
      <c r="E308" t="s">
        <v>1144</v>
      </c>
      <c r="H308" t="s">
        <v>1182</v>
      </c>
      <c r="I308" t="s">
        <v>1182</v>
      </c>
      <c r="J308" t="s">
        <v>1254</v>
      </c>
      <c r="K308" t="s">
        <v>1212</v>
      </c>
      <c r="M308" s="3">
        <f t="shared" si="16"/>
        <v>58.428571428571431</v>
      </c>
      <c r="N308">
        <v>37</v>
      </c>
      <c r="O308">
        <v>61</v>
      </c>
      <c r="P308">
        <v>52</v>
      </c>
      <c r="Q308">
        <v>58</v>
      </c>
      <c r="R308">
        <v>86</v>
      </c>
      <c r="S308">
        <v>74</v>
      </c>
      <c r="T308">
        <v>41</v>
      </c>
      <c r="U308">
        <v>0</v>
      </c>
      <c r="V308" s="3">
        <f t="shared" si="17"/>
        <v>463717</v>
      </c>
      <c r="W308">
        <v>38643.083333333336</v>
      </c>
      <c r="X308">
        <v>0</v>
      </c>
      <c r="Y308">
        <f t="shared" si="18"/>
        <v>38643.083333333336</v>
      </c>
      <c r="Z308">
        <f t="shared" si="19"/>
        <v>0</v>
      </c>
      <c r="AA308">
        <v>0</v>
      </c>
    </row>
    <row r="309" spans="1:27" x14ac:dyDescent="0.25">
      <c r="A309" s="1">
        <v>308</v>
      </c>
      <c r="B309" t="s">
        <v>287</v>
      </c>
      <c r="C309" t="s">
        <v>1134</v>
      </c>
      <c r="D309" t="s">
        <v>1138</v>
      </c>
      <c r="E309" t="s">
        <v>1144</v>
      </c>
      <c r="G309" t="s">
        <v>1182</v>
      </c>
      <c r="H309" t="s">
        <v>1182</v>
      </c>
      <c r="I309" t="s">
        <v>1182</v>
      </c>
      <c r="J309" t="s">
        <v>1254</v>
      </c>
      <c r="K309" t="s">
        <v>1212</v>
      </c>
      <c r="M309" s="3">
        <f t="shared" si="16"/>
        <v>71</v>
      </c>
      <c r="N309">
        <v>52</v>
      </c>
      <c r="O309">
        <v>65</v>
      </c>
      <c r="P309">
        <v>75</v>
      </c>
      <c r="Q309">
        <v>82</v>
      </c>
      <c r="R309">
        <v>80</v>
      </c>
      <c r="S309">
        <v>83</v>
      </c>
      <c r="T309">
        <v>60</v>
      </c>
      <c r="U309">
        <v>0</v>
      </c>
      <c r="V309" s="3">
        <f t="shared" si="17"/>
        <v>3255244</v>
      </c>
      <c r="W309">
        <v>271270.33333333331</v>
      </c>
      <c r="X309">
        <v>0</v>
      </c>
      <c r="Y309">
        <f t="shared" si="18"/>
        <v>271270.33333333331</v>
      </c>
      <c r="Z309">
        <f t="shared" si="19"/>
        <v>0</v>
      </c>
      <c r="AA309">
        <v>0</v>
      </c>
    </row>
    <row r="310" spans="1:27" x14ac:dyDescent="0.25">
      <c r="A310" s="1">
        <v>309</v>
      </c>
      <c r="B310" t="s">
        <v>1532</v>
      </c>
      <c r="C310" t="s">
        <v>1134</v>
      </c>
      <c r="D310" t="s">
        <v>1140</v>
      </c>
      <c r="E310" t="s">
        <v>1138</v>
      </c>
      <c r="H310" t="s">
        <v>1182</v>
      </c>
      <c r="I310" t="s">
        <v>1182</v>
      </c>
      <c r="J310" t="s">
        <v>1254</v>
      </c>
      <c r="K310" t="s">
        <v>1212</v>
      </c>
      <c r="M310" s="3">
        <f t="shared" si="16"/>
        <v>57.857142857142854</v>
      </c>
      <c r="N310">
        <v>32</v>
      </c>
      <c r="O310">
        <v>88</v>
      </c>
      <c r="P310">
        <v>44</v>
      </c>
      <c r="Q310">
        <v>63</v>
      </c>
      <c r="R310">
        <v>71</v>
      </c>
      <c r="S310">
        <v>62</v>
      </c>
      <c r="T310">
        <v>45</v>
      </c>
      <c r="U310">
        <v>0</v>
      </c>
      <c r="V310" s="3">
        <f t="shared" si="17"/>
        <v>420311</v>
      </c>
      <c r="W310">
        <v>35025.916666666664</v>
      </c>
      <c r="X310">
        <v>0</v>
      </c>
      <c r="Y310">
        <f t="shared" si="18"/>
        <v>35025.916666666664</v>
      </c>
      <c r="Z310">
        <f t="shared" si="19"/>
        <v>0</v>
      </c>
      <c r="AA310">
        <v>0</v>
      </c>
    </row>
    <row r="311" spans="1:27" x14ac:dyDescent="0.25">
      <c r="A311" s="1">
        <v>310</v>
      </c>
      <c r="B311" t="s">
        <v>1535</v>
      </c>
      <c r="C311" t="s">
        <v>1134</v>
      </c>
      <c r="D311" t="s">
        <v>1140</v>
      </c>
      <c r="E311" t="s">
        <v>1139</v>
      </c>
      <c r="H311" t="s">
        <v>1182</v>
      </c>
      <c r="I311" t="s">
        <v>1182</v>
      </c>
      <c r="J311" t="s">
        <v>1254</v>
      </c>
      <c r="K311" t="s">
        <v>1212</v>
      </c>
      <c r="M311" s="3">
        <f t="shared" si="16"/>
        <v>54.714285714285715</v>
      </c>
      <c r="N311">
        <v>21</v>
      </c>
      <c r="O311">
        <v>91</v>
      </c>
      <c r="P311">
        <v>36</v>
      </c>
      <c r="Q311">
        <v>60</v>
      </c>
      <c r="R311">
        <v>68</v>
      </c>
      <c r="S311">
        <v>58</v>
      </c>
      <c r="T311">
        <v>49</v>
      </c>
      <c r="U311">
        <v>0</v>
      </c>
      <c r="V311" s="3">
        <f t="shared" si="17"/>
        <v>240441</v>
      </c>
      <c r="W311">
        <v>20036.75</v>
      </c>
      <c r="X311">
        <v>0</v>
      </c>
      <c r="Y311">
        <f t="shared" si="18"/>
        <v>20036.75</v>
      </c>
      <c r="Z311">
        <f t="shared" si="19"/>
        <v>0</v>
      </c>
      <c r="AA311">
        <v>0</v>
      </c>
    </row>
    <row r="312" spans="1:27" x14ac:dyDescent="0.25">
      <c r="A312" s="1">
        <v>311</v>
      </c>
      <c r="B312" t="s">
        <v>290</v>
      </c>
      <c r="C312" t="s">
        <v>1134</v>
      </c>
      <c r="D312" t="s">
        <v>1138</v>
      </c>
      <c r="G312" t="s">
        <v>1182</v>
      </c>
      <c r="H312" t="s">
        <v>1182</v>
      </c>
      <c r="I312" t="s">
        <v>1182</v>
      </c>
      <c r="J312" t="s">
        <v>1254</v>
      </c>
      <c r="K312" t="s">
        <v>1212</v>
      </c>
      <c r="M312" s="3">
        <f t="shared" si="16"/>
        <v>71.714285714285708</v>
      </c>
      <c r="N312">
        <v>59</v>
      </c>
      <c r="O312">
        <v>70</v>
      </c>
      <c r="P312">
        <v>72</v>
      </c>
      <c r="Q312">
        <v>73</v>
      </c>
      <c r="R312">
        <v>89</v>
      </c>
      <c r="S312">
        <v>81</v>
      </c>
      <c r="T312">
        <v>58</v>
      </c>
      <c r="U312">
        <v>0</v>
      </c>
      <c r="V312" s="3">
        <f t="shared" si="17"/>
        <v>3597964</v>
      </c>
      <c r="W312">
        <v>299830.33333333331</v>
      </c>
      <c r="X312">
        <v>0</v>
      </c>
      <c r="Y312">
        <f t="shared" si="18"/>
        <v>299830.33333333331</v>
      </c>
      <c r="Z312">
        <f t="shared" si="19"/>
        <v>0</v>
      </c>
      <c r="AA312">
        <v>0</v>
      </c>
    </row>
    <row r="313" spans="1:27" x14ac:dyDescent="0.25">
      <c r="A313" s="1">
        <v>312</v>
      </c>
      <c r="B313" t="s">
        <v>286</v>
      </c>
      <c r="C313" t="s">
        <v>1134</v>
      </c>
      <c r="D313" t="s">
        <v>1138</v>
      </c>
      <c r="E313" t="s">
        <v>1139</v>
      </c>
      <c r="G313" t="s">
        <v>1182</v>
      </c>
      <c r="H313" t="s">
        <v>1182</v>
      </c>
      <c r="I313" t="s">
        <v>1182</v>
      </c>
      <c r="J313" t="s">
        <v>1254</v>
      </c>
      <c r="K313" t="s">
        <v>1212</v>
      </c>
      <c r="M313" s="3">
        <f t="shared" si="16"/>
        <v>75.714285714285708</v>
      </c>
      <c r="N313">
        <v>65</v>
      </c>
      <c r="O313">
        <v>70</v>
      </c>
      <c r="P313">
        <v>80</v>
      </c>
      <c r="Q313">
        <v>79</v>
      </c>
      <c r="R313">
        <v>83</v>
      </c>
      <c r="S313">
        <v>88</v>
      </c>
      <c r="T313">
        <v>65</v>
      </c>
      <c r="U313">
        <v>0</v>
      </c>
      <c r="V313" s="3">
        <f t="shared" si="17"/>
        <v>6191250</v>
      </c>
      <c r="W313">
        <v>515937.5</v>
      </c>
      <c r="X313">
        <v>0</v>
      </c>
      <c r="Y313">
        <f t="shared" si="18"/>
        <v>515937.5</v>
      </c>
      <c r="Z313">
        <f t="shared" si="19"/>
        <v>0</v>
      </c>
      <c r="AA313">
        <v>0</v>
      </c>
    </row>
    <row r="314" spans="1:27" x14ac:dyDescent="0.25">
      <c r="A314" s="1">
        <v>313</v>
      </c>
      <c r="B314" t="s">
        <v>1533</v>
      </c>
      <c r="C314" t="s">
        <v>1134</v>
      </c>
      <c r="D314" t="s">
        <v>1139</v>
      </c>
      <c r="E314" t="s">
        <v>1138</v>
      </c>
      <c r="H314" t="s">
        <v>1182</v>
      </c>
      <c r="I314" t="s">
        <v>1182</v>
      </c>
      <c r="J314" t="s">
        <v>1254</v>
      </c>
      <c r="K314" t="s">
        <v>1212</v>
      </c>
      <c r="M314" s="3">
        <f t="shared" si="16"/>
        <v>55.571428571428569</v>
      </c>
      <c r="N314">
        <v>25</v>
      </c>
      <c r="O314">
        <v>57</v>
      </c>
      <c r="P314">
        <v>39</v>
      </c>
      <c r="Q314">
        <v>74</v>
      </c>
      <c r="R314">
        <v>62</v>
      </c>
      <c r="S314">
        <v>80</v>
      </c>
      <c r="T314">
        <v>52</v>
      </c>
      <c r="U314">
        <v>0</v>
      </c>
      <c r="V314" s="3">
        <f t="shared" si="17"/>
        <v>280877</v>
      </c>
      <c r="W314">
        <v>23406.416666666668</v>
      </c>
      <c r="X314">
        <v>0</v>
      </c>
      <c r="Y314">
        <f t="shared" si="18"/>
        <v>23406.416666666668</v>
      </c>
      <c r="Z314">
        <f t="shared" si="19"/>
        <v>0</v>
      </c>
      <c r="AA314">
        <v>0</v>
      </c>
    </row>
    <row r="315" spans="1:27" x14ac:dyDescent="0.25">
      <c r="A315" s="1">
        <v>314</v>
      </c>
      <c r="B315" t="s">
        <v>289</v>
      </c>
      <c r="C315" t="s">
        <v>1134</v>
      </c>
      <c r="D315" t="s">
        <v>1140</v>
      </c>
      <c r="E315" t="s">
        <v>1138</v>
      </c>
      <c r="G315" t="s">
        <v>1182</v>
      </c>
      <c r="H315" t="s">
        <v>1182</v>
      </c>
      <c r="I315" t="s">
        <v>1182</v>
      </c>
      <c r="J315" t="s">
        <v>1254</v>
      </c>
      <c r="K315" t="s">
        <v>1212</v>
      </c>
      <c r="M315" s="3">
        <f t="shared" si="16"/>
        <v>76.428571428571431</v>
      </c>
      <c r="N315">
        <v>70</v>
      </c>
      <c r="O315">
        <v>85</v>
      </c>
      <c r="P315">
        <v>71</v>
      </c>
      <c r="Q315">
        <v>86</v>
      </c>
      <c r="R315">
        <v>73</v>
      </c>
      <c r="S315">
        <v>74</v>
      </c>
      <c r="T315">
        <v>76</v>
      </c>
      <c r="U315">
        <v>0</v>
      </c>
      <c r="V315" s="3">
        <f t="shared" si="17"/>
        <v>6800760</v>
      </c>
      <c r="W315">
        <v>545896.75</v>
      </c>
      <c r="X315">
        <v>0</v>
      </c>
      <c r="Y315">
        <f t="shared" si="18"/>
        <v>566730</v>
      </c>
      <c r="Z315">
        <f t="shared" si="19"/>
        <v>-3.68</v>
      </c>
      <c r="AA315">
        <v>0</v>
      </c>
    </row>
    <row r="316" spans="1:27" x14ac:dyDescent="0.25">
      <c r="A316" s="1">
        <v>315</v>
      </c>
      <c r="B316" t="s">
        <v>542</v>
      </c>
      <c r="C316" t="s">
        <v>1135</v>
      </c>
      <c r="D316" t="s">
        <v>1141</v>
      </c>
      <c r="G316" t="s">
        <v>1182</v>
      </c>
      <c r="H316" t="s">
        <v>1182</v>
      </c>
      <c r="I316" t="s">
        <v>1182</v>
      </c>
      <c r="J316" t="s">
        <v>1254</v>
      </c>
      <c r="K316" t="s">
        <v>1212</v>
      </c>
      <c r="M316" s="3">
        <f t="shared" si="16"/>
        <v>70.142857142857139</v>
      </c>
      <c r="N316">
        <v>45</v>
      </c>
      <c r="O316">
        <v>85</v>
      </c>
      <c r="P316">
        <v>80</v>
      </c>
      <c r="Q316">
        <v>77</v>
      </c>
      <c r="R316">
        <v>73</v>
      </c>
      <c r="S316">
        <v>76</v>
      </c>
      <c r="T316">
        <v>55</v>
      </c>
      <c r="U316">
        <v>0</v>
      </c>
      <c r="V316" s="3">
        <f t="shared" si="17"/>
        <v>2882933</v>
      </c>
      <c r="W316">
        <v>216870.83333333334</v>
      </c>
      <c r="X316">
        <v>0</v>
      </c>
      <c r="Y316">
        <f t="shared" si="18"/>
        <v>240244.41666666666</v>
      </c>
      <c r="Z316">
        <f t="shared" si="19"/>
        <v>-9.73</v>
      </c>
      <c r="AA316">
        <v>0</v>
      </c>
    </row>
    <row r="317" spans="1:27" x14ac:dyDescent="0.25">
      <c r="A317" s="1">
        <v>316</v>
      </c>
      <c r="B317" t="s">
        <v>543</v>
      </c>
      <c r="C317" t="s">
        <v>1135</v>
      </c>
      <c r="D317" t="s">
        <v>1141</v>
      </c>
      <c r="E317" t="s">
        <v>1145</v>
      </c>
      <c r="G317" t="s">
        <v>1182</v>
      </c>
      <c r="H317" t="s">
        <v>1182</v>
      </c>
      <c r="I317" t="s">
        <v>1182</v>
      </c>
      <c r="J317" t="s">
        <v>1254</v>
      </c>
      <c r="K317" t="s">
        <v>1212</v>
      </c>
      <c r="M317" s="3">
        <f t="shared" si="16"/>
        <v>69.285714285714292</v>
      </c>
      <c r="N317">
        <v>44</v>
      </c>
      <c r="O317">
        <v>80</v>
      </c>
      <c r="P317">
        <v>80</v>
      </c>
      <c r="Q317">
        <v>74</v>
      </c>
      <c r="R317">
        <v>71</v>
      </c>
      <c r="S317">
        <v>85</v>
      </c>
      <c r="T317">
        <v>51</v>
      </c>
      <c r="U317">
        <v>0</v>
      </c>
      <c r="V317" s="3">
        <f t="shared" si="17"/>
        <v>2549395</v>
      </c>
      <c r="W317">
        <v>183703.5</v>
      </c>
      <c r="X317">
        <v>0</v>
      </c>
      <c r="Y317">
        <f t="shared" si="18"/>
        <v>212449.58333333334</v>
      </c>
      <c r="Z317">
        <f t="shared" si="19"/>
        <v>-13.53</v>
      </c>
      <c r="AA317">
        <v>0</v>
      </c>
    </row>
    <row r="318" spans="1:27" x14ac:dyDescent="0.25">
      <c r="A318" s="1">
        <v>317</v>
      </c>
      <c r="B318" t="s">
        <v>540</v>
      </c>
      <c r="C318" t="s">
        <v>1135</v>
      </c>
      <c r="D318" t="s">
        <v>1141</v>
      </c>
      <c r="E318" t="s">
        <v>1145</v>
      </c>
      <c r="G318" t="s">
        <v>1182</v>
      </c>
      <c r="H318" t="s">
        <v>1182</v>
      </c>
      <c r="I318" t="s">
        <v>1182</v>
      </c>
      <c r="J318" t="s">
        <v>1254</v>
      </c>
      <c r="K318" t="s">
        <v>1212</v>
      </c>
      <c r="M318" s="3">
        <f t="shared" si="16"/>
        <v>78.571428571428569</v>
      </c>
      <c r="N318">
        <v>70</v>
      </c>
      <c r="O318">
        <v>73</v>
      </c>
      <c r="P318">
        <v>85</v>
      </c>
      <c r="Q318">
        <v>82</v>
      </c>
      <c r="R318">
        <v>85</v>
      </c>
      <c r="S318">
        <v>95</v>
      </c>
      <c r="T318">
        <v>60</v>
      </c>
      <c r="U318">
        <v>6</v>
      </c>
      <c r="V318" s="3">
        <f t="shared" si="17"/>
        <v>13450480</v>
      </c>
      <c r="W318">
        <v>1120873.3333333333</v>
      </c>
      <c r="X318">
        <v>0</v>
      </c>
      <c r="Y318">
        <f t="shared" si="18"/>
        <v>1120873.3333333333</v>
      </c>
      <c r="Z318">
        <f t="shared" si="19"/>
        <v>0</v>
      </c>
      <c r="AA318">
        <v>0</v>
      </c>
    </row>
    <row r="319" spans="1:27" x14ac:dyDescent="0.25">
      <c r="A319" s="1">
        <v>318</v>
      </c>
      <c r="B319" t="s">
        <v>493</v>
      </c>
      <c r="C319" t="s">
        <v>1135</v>
      </c>
      <c r="D319" t="s">
        <v>1141</v>
      </c>
      <c r="E319" t="s">
        <v>1145</v>
      </c>
      <c r="G319" t="s">
        <v>1167</v>
      </c>
      <c r="H319" t="s">
        <v>1167</v>
      </c>
      <c r="I319" t="s">
        <v>1167</v>
      </c>
      <c r="J319" t="s">
        <v>1254</v>
      </c>
      <c r="K319" t="s">
        <v>1212</v>
      </c>
      <c r="M319" s="3">
        <f t="shared" si="16"/>
        <v>80</v>
      </c>
      <c r="N319">
        <v>75</v>
      </c>
      <c r="O319">
        <v>80</v>
      </c>
      <c r="P319">
        <v>90</v>
      </c>
      <c r="Q319">
        <v>71</v>
      </c>
      <c r="R319">
        <v>90</v>
      </c>
      <c r="S319">
        <v>94</v>
      </c>
      <c r="T319">
        <v>60</v>
      </c>
      <c r="U319">
        <v>6</v>
      </c>
      <c r="V319" s="3">
        <f t="shared" si="17"/>
        <v>16106128</v>
      </c>
      <c r="W319">
        <v>1100659.75</v>
      </c>
      <c r="X319">
        <v>0</v>
      </c>
      <c r="Y319">
        <f t="shared" si="18"/>
        <v>1342177.3333333333</v>
      </c>
      <c r="Z319">
        <f t="shared" si="19"/>
        <v>-17.989999999999998</v>
      </c>
      <c r="AA319">
        <v>0</v>
      </c>
    </row>
    <row r="320" spans="1:27" x14ac:dyDescent="0.25">
      <c r="A320" s="1">
        <v>319</v>
      </c>
      <c r="B320" t="s">
        <v>541</v>
      </c>
      <c r="C320" t="s">
        <v>1135</v>
      </c>
      <c r="D320" t="s">
        <v>1142</v>
      </c>
      <c r="E320" t="s">
        <v>1145</v>
      </c>
      <c r="G320" t="s">
        <v>1182</v>
      </c>
      <c r="H320" t="s">
        <v>1182</v>
      </c>
      <c r="I320" t="s">
        <v>1182</v>
      </c>
      <c r="J320" t="s">
        <v>1254</v>
      </c>
      <c r="K320" t="s">
        <v>1212</v>
      </c>
      <c r="M320" s="3">
        <f t="shared" si="16"/>
        <v>84.571428571428569</v>
      </c>
      <c r="N320">
        <v>80</v>
      </c>
      <c r="O320">
        <v>86</v>
      </c>
      <c r="P320">
        <v>86</v>
      </c>
      <c r="Q320">
        <v>87</v>
      </c>
      <c r="R320">
        <v>83</v>
      </c>
      <c r="S320">
        <v>85</v>
      </c>
      <c r="T320">
        <v>85</v>
      </c>
      <c r="U320">
        <v>12</v>
      </c>
      <c r="V320" s="3">
        <f t="shared" si="17"/>
        <v>28075528</v>
      </c>
      <c r="W320">
        <v>2339627.3333333335</v>
      </c>
      <c r="X320">
        <v>0</v>
      </c>
      <c r="Y320">
        <f t="shared" si="18"/>
        <v>2339627.3333333335</v>
      </c>
      <c r="Z320">
        <f t="shared" si="19"/>
        <v>0</v>
      </c>
      <c r="AA320">
        <v>0</v>
      </c>
    </row>
    <row r="321" spans="1:27" x14ac:dyDescent="0.25">
      <c r="A321" s="1">
        <v>320</v>
      </c>
      <c r="B321" t="s">
        <v>1540</v>
      </c>
      <c r="C321" t="s">
        <v>1136</v>
      </c>
      <c r="D321" t="s">
        <v>1143</v>
      </c>
      <c r="E321" t="s">
        <v>1144</v>
      </c>
      <c r="H321" t="s">
        <v>1182</v>
      </c>
      <c r="I321" t="s">
        <v>1182</v>
      </c>
      <c r="J321" t="s">
        <v>1254</v>
      </c>
      <c r="K321" t="s">
        <v>1212</v>
      </c>
      <c r="M321" s="3">
        <f t="shared" si="16"/>
        <v>59.142857142857146</v>
      </c>
      <c r="N321">
        <v>31</v>
      </c>
      <c r="O321">
        <v>59</v>
      </c>
      <c r="P321">
        <v>46</v>
      </c>
      <c r="Q321">
        <v>66</v>
      </c>
      <c r="R321">
        <v>90</v>
      </c>
      <c r="S321">
        <v>70</v>
      </c>
      <c r="T321">
        <v>52</v>
      </c>
      <c r="U321">
        <v>0</v>
      </c>
      <c r="V321" s="3">
        <f t="shared" si="17"/>
        <v>523629</v>
      </c>
      <c r="W321">
        <v>43635.75</v>
      </c>
      <c r="X321">
        <v>0</v>
      </c>
      <c r="Y321">
        <f t="shared" si="18"/>
        <v>43635.75</v>
      </c>
      <c r="Z321">
        <f t="shared" si="19"/>
        <v>0</v>
      </c>
      <c r="AA321">
        <v>0</v>
      </c>
    </row>
    <row r="322" spans="1:27" x14ac:dyDescent="0.25">
      <c r="A322" s="1">
        <v>321</v>
      </c>
      <c r="B322" t="s">
        <v>838</v>
      </c>
      <c r="C322" t="s">
        <v>1136</v>
      </c>
      <c r="D322" t="s">
        <v>1145</v>
      </c>
      <c r="E322" t="s">
        <v>1141</v>
      </c>
      <c r="F322" t="s">
        <v>1147</v>
      </c>
      <c r="G322" t="s">
        <v>1182</v>
      </c>
      <c r="H322" t="s">
        <v>1182</v>
      </c>
      <c r="I322" t="s">
        <v>1182</v>
      </c>
      <c r="J322" t="s">
        <v>1254</v>
      </c>
      <c r="K322" t="s">
        <v>1212</v>
      </c>
      <c r="M322" s="3">
        <f t="shared" ref="M322:M385" si="20">AVERAGE(N322:T322)</f>
        <v>88.571428571428569</v>
      </c>
      <c r="N322">
        <v>84</v>
      </c>
      <c r="O322">
        <v>82</v>
      </c>
      <c r="P322">
        <v>100</v>
      </c>
      <c r="Q322">
        <v>88</v>
      </c>
      <c r="R322">
        <v>98</v>
      </c>
      <c r="S322">
        <v>98</v>
      </c>
      <c r="T322">
        <v>70</v>
      </c>
      <c r="U322">
        <v>1</v>
      </c>
      <c r="V322" s="3">
        <f t="shared" ref="V322:V385" si="21">ROUNDUP(M322^10/1000000000000 * IF(U322&gt;0,1.5,1),0)</f>
        <v>44568473</v>
      </c>
      <c r="W322">
        <v>3714039.4166666665</v>
      </c>
      <c r="X322">
        <v>0</v>
      </c>
      <c r="Y322">
        <f t="shared" ref="Y322:Y385" si="22">V322/12</f>
        <v>3714039.4166666665</v>
      </c>
      <c r="Z322">
        <f t="shared" ref="Z322:Z385" si="23">ROUND(((W322-Y322)/Y322)*100,2)</f>
        <v>0</v>
      </c>
      <c r="AA322">
        <v>0</v>
      </c>
    </row>
    <row r="323" spans="1:27" x14ac:dyDescent="0.25">
      <c r="A323" s="1">
        <v>322</v>
      </c>
      <c r="B323" t="s">
        <v>1536</v>
      </c>
      <c r="C323" t="s">
        <v>1136</v>
      </c>
      <c r="D323" t="s">
        <v>1144</v>
      </c>
      <c r="E323" t="s">
        <v>1143</v>
      </c>
      <c r="H323" t="s">
        <v>1182</v>
      </c>
      <c r="I323" t="s">
        <v>1182</v>
      </c>
      <c r="J323" t="s">
        <v>1254</v>
      </c>
      <c r="K323" t="s">
        <v>1212</v>
      </c>
      <c r="M323" s="3">
        <f t="shared" si="20"/>
        <v>58.428571428571431</v>
      </c>
      <c r="N323">
        <v>34</v>
      </c>
      <c r="O323">
        <v>55</v>
      </c>
      <c r="P323">
        <v>41</v>
      </c>
      <c r="Q323">
        <v>84</v>
      </c>
      <c r="R323">
        <v>82</v>
      </c>
      <c r="S323">
        <v>66</v>
      </c>
      <c r="T323">
        <v>47</v>
      </c>
      <c r="U323">
        <v>0</v>
      </c>
      <c r="V323" s="3">
        <f t="shared" si="21"/>
        <v>463717</v>
      </c>
      <c r="W323">
        <v>38643.083333333336</v>
      </c>
      <c r="X323">
        <v>0</v>
      </c>
      <c r="Y323">
        <f t="shared" si="22"/>
        <v>38643.083333333336</v>
      </c>
      <c r="Z323">
        <f t="shared" si="23"/>
        <v>0</v>
      </c>
      <c r="AA323">
        <v>0</v>
      </c>
    </row>
    <row r="324" spans="1:27" x14ac:dyDescent="0.25">
      <c r="A324" s="1">
        <v>323</v>
      </c>
      <c r="B324" t="s">
        <v>840</v>
      </c>
      <c r="C324" t="s">
        <v>1136</v>
      </c>
      <c r="D324" t="s">
        <v>1143</v>
      </c>
      <c r="G324" t="s">
        <v>1182</v>
      </c>
      <c r="H324" t="s">
        <v>1182</v>
      </c>
      <c r="I324" t="s">
        <v>1182</v>
      </c>
      <c r="J324" t="s">
        <v>1254</v>
      </c>
      <c r="K324" t="s">
        <v>1212</v>
      </c>
      <c r="M324" s="3">
        <f t="shared" si="20"/>
        <v>72.142857142857139</v>
      </c>
      <c r="N324">
        <v>57</v>
      </c>
      <c r="O324">
        <v>75</v>
      </c>
      <c r="P324">
        <v>83</v>
      </c>
      <c r="Q324">
        <v>78</v>
      </c>
      <c r="R324">
        <v>84</v>
      </c>
      <c r="S324">
        <v>86</v>
      </c>
      <c r="T324">
        <v>42</v>
      </c>
      <c r="U324">
        <v>0</v>
      </c>
      <c r="V324" s="3">
        <f t="shared" si="21"/>
        <v>3818857</v>
      </c>
      <c r="W324">
        <v>318238.08333333331</v>
      </c>
      <c r="X324">
        <v>0</v>
      </c>
      <c r="Y324">
        <f t="shared" si="22"/>
        <v>318238.08333333331</v>
      </c>
      <c r="Z324">
        <f t="shared" si="23"/>
        <v>0</v>
      </c>
      <c r="AA324">
        <v>0</v>
      </c>
    </row>
    <row r="325" spans="1:27" x14ac:dyDescent="0.25">
      <c r="A325" s="1">
        <v>324</v>
      </c>
      <c r="B325" t="s">
        <v>1538</v>
      </c>
      <c r="C325" t="s">
        <v>1136</v>
      </c>
      <c r="D325" t="s">
        <v>1147</v>
      </c>
      <c r="E325" t="s">
        <v>1145</v>
      </c>
      <c r="H325" t="s">
        <v>1182</v>
      </c>
      <c r="I325" t="s">
        <v>1182</v>
      </c>
      <c r="J325" t="s">
        <v>1254</v>
      </c>
      <c r="K325" t="s">
        <v>1212</v>
      </c>
      <c r="M325" s="3">
        <f t="shared" si="20"/>
        <v>63.285714285714285</v>
      </c>
      <c r="N325">
        <v>38</v>
      </c>
      <c r="O325">
        <v>63</v>
      </c>
      <c r="P325">
        <v>58</v>
      </c>
      <c r="Q325">
        <v>88</v>
      </c>
      <c r="R325">
        <v>61</v>
      </c>
      <c r="S325">
        <v>79</v>
      </c>
      <c r="T325">
        <v>56</v>
      </c>
      <c r="U325">
        <v>0</v>
      </c>
      <c r="V325" s="3">
        <f t="shared" si="21"/>
        <v>1030522</v>
      </c>
      <c r="W325">
        <v>85876.833333333328</v>
      </c>
      <c r="X325">
        <v>0</v>
      </c>
      <c r="Y325">
        <f t="shared" si="22"/>
        <v>85876.833333333328</v>
      </c>
      <c r="Z325">
        <f t="shared" si="23"/>
        <v>0</v>
      </c>
      <c r="AA325">
        <v>0</v>
      </c>
    </row>
    <row r="326" spans="1:27" x14ac:dyDescent="0.25">
      <c r="A326" s="1">
        <v>325</v>
      </c>
      <c r="B326" t="s">
        <v>839</v>
      </c>
      <c r="C326" t="s">
        <v>1136</v>
      </c>
      <c r="D326" t="s">
        <v>1143</v>
      </c>
      <c r="E326" t="s">
        <v>1145</v>
      </c>
      <c r="G326" t="s">
        <v>1182</v>
      </c>
      <c r="H326" t="s">
        <v>1182</v>
      </c>
      <c r="I326" t="s">
        <v>1182</v>
      </c>
      <c r="J326" t="s">
        <v>1254</v>
      </c>
      <c r="K326" t="s">
        <v>1212</v>
      </c>
      <c r="M326" s="3">
        <f t="shared" si="20"/>
        <v>73</v>
      </c>
      <c r="N326">
        <v>66</v>
      </c>
      <c r="O326">
        <v>70</v>
      </c>
      <c r="P326">
        <v>82</v>
      </c>
      <c r="Q326">
        <v>80</v>
      </c>
      <c r="R326">
        <v>80</v>
      </c>
      <c r="S326">
        <v>88</v>
      </c>
      <c r="T326">
        <v>45</v>
      </c>
      <c r="U326">
        <v>0</v>
      </c>
      <c r="V326" s="3">
        <f t="shared" si="21"/>
        <v>4297626</v>
      </c>
      <c r="W326">
        <v>358135.5</v>
      </c>
      <c r="X326">
        <v>0</v>
      </c>
      <c r="Y326">
        <f t="shared" si="22"/>
        <v>358135.5</v>
      </c>
      <c r="Z326">
        <f t="shared" si="23"/>
        <v>0</v>
      </c>
      <c r="AA326">
        <v>0</v>
      </c>
    </row>
    <row r="327" spans="1:27" x14ac:dyDescent="0.25">
      <c r="A327" s="1">
        <v>326</v>
      </c>
      <c r="B327" t="s">
        <v>1539</v>
      </c>
      <c r="C327" t="s">
        <v>1136</v>
      </c>
      <c r="D327" t="s">
        <v>1146</v>
      </c>
      <c r="E327" t="s">
        <v>1143</v>
      </c>
      <c r="H327" t="s">
        <v>1182</v>
      </c>
      <c r="I327" t="s">
        <v>1182</v>
      </c>
      <c r="J327" t="s">
        <v>1254</v>
      </c>
      <c r="K327" t="s">
        <v>1212</v>
      </c>
      <c r="M327" s="3">
        <f t="shared" si="20"/>
        <v>51.714285714285715</v>
      </c>
      <c r="N327">
        <v>23</v>
      </c>
      <c r="O327">
        <v>84</v>
      </c>
      <c r="P327">
        <v>35</v>
      </c>
      <c r="Q327">
        <v>71</v>
      </c>
      <c r="R327">
        <v>60</v>
      </c>
      <c r="S327">
        <v>49</v>
      </c>
      <c r="T327">
        <v>40</v>
      </c>
      <c r="U327">
        <v>0</v>
      </c>
      <c r="V327" s="3">
        <f t="shared" si="21"/>
        <v>136807</v>
      </c>
      <c r="W327">
        <v>11400.583333333334</v>
      </c>
      <c r="X327">
        <v>0</v>
      </c>
      <c r="Y327">
        <f t="shared" si="22"/>
        <v>11400.583333333334</v>
      </c>
      <c r="Z327">
        <f t="shared" si="23"/>
        <v>0</v>
      </c>
      <c r="AA327">
        <v>0</v>
      </c>
    </row>
    <row r="328" spans="1:27" x14ac:dyDescent="0.25">
      <c r="A328" s="1">
        <v>327</v>
      </c>
      <c r="B328" t="s">
        <v>1537</v>
      </c>
      <c r="C328" t="s">
        <v>1136</v>
      </c>
      <c r="D328" t="s">
        <v>1143</v>
      </c>
      <c r="E328" t="s">
        <v>1145</v>
      </c>
      <c r="H328" t="s">
        <v>1182</v>
      </c>
      <c r="I328" t="s">
        <v>1182</v>
      </c>
      <c r="J328" t="s">
        <v>1254</v>
      </c>
      <c r="K328" t="s">
        <v>1212</v>
      </c>
      <c r="M328" s="3">
        <f t="shared" si="20"/>
        <v>53.714285714285715</v>
      </c>
      <c r="N328">
        <v>29</v>
      </c>
      <c r="O328">
        <v>89</v>
      </c>
      <c r="P328">
        <v>38</v>
      </c>
      <c r="Q328">
        <v>67</v>
      </c>
      <c r="R328">
        <v>58</v>
      </c>
      <c r="S328">
        <v>52</v>
      </c>
      <c r="T328">
        <v>43</v>
      </c>
      <c r="U328">
        <v>0</v>
      </c>
      <c r="V328" s="3">
        <f t="shared" si="21"/>
        <v>199940</v>
      </c>
      <c r="W328">
        <v>16661.666666666668</v>
      </c>
      <c r="X328">
        <v>0</v>
      </c>
      <c r="Y328">
        <f t="shared" si="22"/>
        <v>16661.666666666668</v>
      </c>
      <c r="Z328">
        <f t="shared" si="23"/>
        <v>0</v>
      </c>
      <c r="AA328">
        <v>0</v>
      </c>
    </row>
    <row r="329" spans="1:27" x14ac:dyDescent="0.25">
      <c r="A329" s="1">
        <v>328</v>
      </c>
      <c r="B329" t="s">
        <v>841</v>
      </c>
      <c r="C329" t="s">
        <v>1136</v>
      </c>
      <c r="D329" t="s">
        <v>1146</v>
      </c>
      <c r="E329" t="s">
        <v>1147</v>
      </c>
      <c r="F329" t="s">
        <v>1144</v>
      </c>
      <c r="G329" t="s">
        <v>1182</v>
      </c>
      <c r="H329" t="s">
        <v>1215</v>
      </c>
      <c r="I329" t="s">
        <v>1215</v>
      </c>
      <c r="J329" t="s">
        <v>1254</v>
      </c>
      <c r="K329" t="s">
        <v>1212</v>
      </c>
      <c r="M329" s="3">
        <f t="shared" si="20"/>
        <v>86.571428571428569</v>
      </c>
      <c r="N329">
        <v>83</v>
      </c>
      <c r="O329">
        <v>94</v>
      </c>
      <c r="P329">
        <v>84</v>
      </c>
      <c r="Q329">
        <v>87</v>
      </c>
      <c r="R329">
        <v>86</v>
      </c>
      <c r="S329">
        <v>86</v>
      </c>
      <c r="T329">
        <v>86</v>
      </c>
      <c r="U329">
        <v>3</v>
      </c>
      <c r="V329" s="3">
        <f t="shared" si="21"/>
        <v>35468033</v>
      </c>
      <c r="W329">
        <v>2955669.4166666665</v>
      </c>
      <c r="X329">
        <v>0</v>
      </c>
      <c r="Y329">
        <f t="shared" si="22"/>
        <v>2955669.4166666665</v>
      </c>
      <c r="Z329">
        <f t="shared" si="23"/>
        <v>0</v>
      </c>
      <c r="AA329">
        <v>0</v>
      </c>
    </row>
    <row r="330" spans="1:27" x14ac:dyDescent="0.25">
      <c r="A330" s="1">
        <v>329</v>
      </c>
      <c r="B330" t="s">
        <v>837</v>
      </c>
      <c r="C330" t="s">
        <v>1136</v>
      </c>
      <c r="D330" t="s">
        <v>1145</v>
      </c>
      <c r="E330" t="s">
        <v>1143</v>
      </c>
      <c r="G330" t="s">
        <v>1182</v>
      </c>
      <c r="H330" t="s">
        <v>1182</v>
      </c>
      <c r="I330" t="s">
        <v>1182</v>
      </c>
      <c r="J330" t="s">
        <v>1254</v>
      </c>
      <c r="K330" t="s">
        <v>1212</v>
      </c>
      <c r="M330" s="3">
        <f t="shared" si="20"/>
        <v>78.714285714285708</v>
      </c>
      <c r="N330">
        <v>65</v>
      </c>
      <c r="O330">
        <v>86</v>
      </c>
      <c r="P330">
        <v>90</v>
      </c>
      <c r="Q330">
        <v>82</v>
      </c>
      <c r="R330">
        <v>83</v>
      </c>
      <c r="S330">
        <v>90</v>
      </c>
      <c r="T330">
        <v>55</v>
      </c>
      <c r="U330">
        <v>18</v>
      </c>
      <c r="V330" s="3">
        <f t="shared" si="21"/>
        <v>13697044</v>
      </c>
      <c r="W330">
        <v>1141420.3333333333</v>
      </c>
      <c r="X330">
        <v>0</v>
      </c>
      <c r="Y330">
        <f t="shared" si="22"/>
        <v>1141420.3333333333</v>
      </c>
      <c r="Z330">
        <f t="shared" si="23"/>
        <v>0</v>
      </c>
      <c r="AA330">
        <v>0</v>
      </c>
    </row>
    <row r="331" spans="1:27" x14ac:dyDescent="0.25">
      <c r="A331" s="1">
        <v>330</v>
      </c>
      <c r="B331" t="s">
        <v>57</v>
      </c>
      <c r="C331" t="s">
        <v>1133</v>
      </c>
      <c r="D331" t="s">
        <v>1133</v>
      </c>
      <c r="G331" t="s">
        <v>1173</v>
      </c>
      <c r="H331" t="s">
        <v>1173</v>
      </c>
      <c r="I331" t="s">
        <v>1173</v>
      </c>
      <c r="J331" t="s">
        <v>1246</v>
      </c>
      <c r="K331" t="s">
        <v>1212</v>
      </c>
      <c r="M331" s="3">
        <f t="shared" si="20"/>
        <v>87.571428571428569</v>
      </c>
      <c r="N331">
        <v>93</v>
      </c>
      <c r="O331">
        <v>89</v>
      </c>
      <c r="P331">
        <v>88</v>
      </c>
      <c r="Q331">
        <v>86</v>
      </c>
      <c r="R331">
        <v>90</v>
      </c>
      <c r="S331">
        <v>87</v>
      </c>
      <c r="T331">
        <v>80</v>
      </c>
      <c r="U331">
        <v>30</v>
      </c>
      <c r="V331" s="3">
        <f t="shared" si="21"/>
        <v>39784656</v>
      </c>
      <c r="W331">
        <v>3315388</v>
      </c>
      <c r="X331">
        <v>0</v>
      </c>
      <c r="Y331">
        <f t="shared" si="22"/>
        <v>3315388</v>
      </c>
      <c r="Z331">
        <f t="shared" si="23"/>
        <v>0</v>
      </c>
      <c r="AA331">
        <v>0</v>
      </c>
    </row>
    <row r="332" spans="1:27" x14ac:dyDescent="0.25">
      <c r="A332" s="1">
        <v>331</v>
      </c>
      <c r="B332" t="s">
        <v>1638</v>
      </c>
      <c r="C332" t="s">
        <v>1133</v>
      </c>
      <c r="D332" t="s">
        <v>1133</v>
      </c>
      <c r="H332" t="s">
        <v>1173</v>
      </c>
      <c r="I332" t="s">
        <v>1173</v>
      </c>
      <c r="J332" t="s">
        <v>1246</v>
      </c>
      <c r="K332" t="s">
        <v>1212</v>
      </c>
      <c r="M332" s="3">
        <f t="shared" si="20"/>
        <v>65</v>
      </c>
      <c r="N332">
        <v>27</v>
      </c>
      <c r="O332">
        <v>74</v>
      </c>
      <c r="P332">
        <v>72</v>
      </c>
      <c r="Q332">
        <v>81</v>
      </c>
      <c r="R332">
        <v>83</v>
      </c>
      <c r="S332">
        <v>80</v>
      </c>
      <c r="T332">
        <v>38</v>
      </c>
      <c r="U332">
        <v>0</v>
      </c>
      <c r="V332" s="3">
        <f t="shared" si="21"/>
        <v>1346275</v>
      </c>
      <c r="W332">
        <v>112189.58333333333</v>
      </c>
      <c r="X332">
        <v>0</v>
      </c>
      <c r="Y332">
        <f t="shared" si="22"/>
        <v>112189.58333333333</v>
      </c>
      <c r="Z332">
        <f t="shared" si="23"/>
        <v>0</v>
      </c>
      <c r="AA332">
        <v>0</v>
      </c>
    </row>
    <row r="333" spans="1:27" x14ac:dyDescent="0.25">
      <c r="A333" s="1">
        <v>332</v>
      </c>
      <c r="B333" t="s">
        <v>241</v>
      </c>
      <c r="C333" t="s">
        <v>1134</v>
      </c>
      <c r="D333" t="s">
        <v>1138</v>
      </c>
      <c r="G333" t="s">
        <v>1173</v>
      </c>
      <c r="H333" t="s">
        <v>1173</v>
      </c>
      <c r="I333" t="s">
        <v>1173</v>
      </c>
      <c r="J333" t="s">
        <v>1246</v>
      </c>
      <c r="K333" t="s">
        <v>1212</v>
      </c>
      <c r="M333" s="3">
        <f t="shared" si="20"/>
        <v>75.571428571428569</v>
      </c>
      <c r="N333">
        <v>52</v>
      </c>
      <c r="O333">
        <v>60</v>
      </c>
      <c r="P333">
        <v>80</v>
      </c>
      <c r="Q333">
        <v>85</v>
      </c>
      <c r="R333">
        <v>88</v>
      </c>
      <c r="S333">
        <v>90</v>
      </c>
      <c r="T333">
        <v>74</v>
      </c>
      <c r="U333">
        <v>0</v>
      </c>
      <c r="V333" s="3">
        <f t="shared" si="21"/>
        <v>6075421</v>
      </c>
      <c r="W333">
        <v>506285.08333333331</v>
      </c>
      <c r="X333">
        <v>0</v>
      </c>
      <c r="Y333">
        <f t="shared" si="22"/>
        <v>506285.08333333331</v>
      </c>
      <c r="Z333">
        <f t="shared" si="23"/>
        <v>0</v>
      </c>
      <c r="AA333">
        <v>0</v>
      </c>
    </row>
    <row r="334" spans="1:27" x14ac:dyDescent="0.25">
      <c r="A334" s="1">
        <v>333</v>
      </c>
      <c r="B334" t="s">
        <v>1640</v>
      </c>
      <c r="C334" t="s">
        <v>1134</v>
      </c>
      <c r="D334" t="s">
        <v>1138</v>
      </c>
      <c r="E334" t="s">
        <v>1140</v>
      </c>
      <c r="G334" t="s">
        <v>1173</v>
      </c>
      <c r="H334" t="s">
        <v>1173</v>
      </c>
      <c r="I334" t="s">
        <v>1173</v>
      </c>
      <c r="J334" t="s">
        <v>1246</v>
      </c>
      <c r="K334" t="s">
        <v>1212</v>
      </c>
      <c r="M334" s="3">
        <f t="shared" si="20"/>
        <v>67.571428571428569</v>
      </c>
      <c r="N334">
        <v>29</v>
      </c>
      <c r="O334">
        <v>66</v>
      </c>
      <c r="P334">
        <v>76</v>
      </c>
      <c r="Q334">
        <v>82</v>
      </c>
      <c r="R334">
        <v>86</v>
      </c>
      <c r="S334">
        <v>88</v>
      </c>
      <c r="T334">
        <v>46</v>
      </c>
      <c r="U334">
        <v>0</v>
      </c>
      <c r="V334" s="3">
        <f t="shared" si="21"/>
        <v>1984409</v>
      </c>
      <c r="W334">
        <v>165367.41666666666</v>
      </c>
      <c r="X334">
        <v>0</v>
      </c>
      <c r="Y334">
        <f t="shared" si="22"/>
        <v>165367.41666666666</v>
      </c>
      <c r="Z334">
        <f t="shared" si="23"/>
        <v>0</v>
      </c>
      <c r="AA334">
        <v>0</v>
      </c>
    </row>
    <row r="335" spans="1:27" x14ac:dyDescent="0.25">
      <c r="A335" s="1">
        <v>334</v>
      </c>
      <c r="B335" t="s">
        <v>245</v>
      </c>
      <c r="C335" t="s">
        <v>1134</v>
      </c>
      <c r="D335" t="s">
        <v>1138</v>
      </c>
      <c r="G335" t="s">
        <v>1173</v>
      </c>
      <c r="H335" t="s">
        <v>1173</v>
      </c>
      <c r="I335" t="s">
        <v>1173</v>
      </c>
      <c r="J335" t="s">
        <v>1246</v>
      </c>
      <c r="K335" t="s">
        <v>1212</v>
      </c>
      <c r="M335" s="3">
        <f t="shared" si="20"/>
        <v>63.142857142857146</v>
      </c>
      <c r="N335">
        <v>30</v>
      </c>
      <c r="O335">
        <v>55</v>
      </c>
      <c r="P335">
        <v>60</v>
      </c>
      <c r="Q335">
        <v>70</v>
      </c>
      <c r="R335">
        <v>78</v>
      </c>
      <c r="S335">
        <v>84</v>
      </c>
      <c r="T335">
        <v>65</v>
      </c>
      <c r="U335">
        <v>0</v>
      </c>
      <c r="V335" s="3">
        <f t="shared" si="21"/>
        <v>1007494</v>
      </c>
      <c r="W335">
        <v>83957.833333333328</v>
      </c>
      <c r="X335">
        <v>0</v>
      </c>
      <c r="Y335">
        <f t="shared" si="22"/>
        <v>83957.833333333328</v>
      </c>
      <c r="Z335">
        <f t="shared" si="23"/>
        <v>0</v>
      </c>
      <c r="AA335">
        <v>0</v>
      </c>
    </row>
    <row r="336" spans="1:27" x14ac:dyDescent="0.25">
      <c r="A336" s="1">
        <v>335</v>
      </c>
      <c r="B336" t="s">
        <v>1639</v>
      </c>
      <c r="C336" t="s">
        <v>1134</v>
      </c>
      <c r="D336" t="s">
        <v>1138</v>
      </c>
      <c r="E336" t="s">
        <v>1139</v>
      </c>
      <c r="H336" t="s">
        <v>1173</v>
      </c>
      <c r="I336" t="s">
        <v>1173</v>
      </c>
      <c r="J336" t="s">
        <v>1246</v>
      </c>
      <c r="K336" t="s">
        <v>1212</v>
      </c>
      <c r="M336" s="3">
        <f t="shared" si="20"/>
        <v>58.142857142857146</v>
      </c>
      <c r="N336">
        <v>21</v>
      </c>
      <c r="O336">
        <v>57</v>
      </c>
      <c r="P336">
        <v>64</v>
      </c>
      <c r="Q336">
        <v>70</v>
      </c>
      <c r="R336">
        <v>79</v>
      </c>
      <c r="S336">
        <v>85</v>
      </c>
      <c r="T336">
        <v>31</v>
      </c>
      <c r="U336">
        <v>0</v>
      </c>
      <c r="V336" s="3">
        <f t="shared" si="21"/>
        <v>441534</v>
      </c>
      <c r="W336">
        <v>36794.5</v>
      </c>
      <c r="X336">
        <v>0</v>
      </c>
      <c r="Y336">
        <f t="shared" si="22"/>
        <v>36794.5</v>
      </c>
      <c r="Z336">
        <f t="shared" si="23"/>
        <v>0</v>
      </c>
      <c r="AA336">
        <v>0</v>
      </c>
    </row>
    <row r="337" spans="1:27" x14ac:dyDescent="0.25">
      <c r="A337" s="1">
        <v>336</v>
      </c>
      <c r="B337" t="s">
        <v>243</v>
      </c>
      <c r="C337" t="s">
        <v>1134</v>
      </c>
      <c r="D337" t="s">
        <v>1138</v>
      </c>
      <c r="E337" t="s">
        <v>1140</v>
      </c>
      <c r="G337" t="s">
        <v>1173</v>
      </c>
      <c r="H337" t="s">
        <v>1173</v>
      </c>
      <c r="I337" t="s">
        <v>1173</v>
      </c>
      <c r="J337" t="s">
        <v>1246</v>
      </c>
      <c r="K337" t="s">
        <v>1212</v>
      </c>
      <c r="M337" s="3">
        <f t="shared" si="20"/>
        <v>76.857142857142861</v>
      </c>
      <c r="N337">
        <v>55</v>
      </c>
      <c r="O337">
        <v>58</v>
      </c>
      <c r="P337">
        <v>81</v>
      </c>
      <c r="Q337">
        <v>83</v>
      </c>
      <c r="R337">
        <v>90</v>
      </c>
      <c r="S337">
        <v>93</v>
      </c>
      <c r="T337">
        <v>78</v>
      </c>
      <c r="U337">
        <v>0</v>
      </c>
      <c r="V337" s="3">
        <f t="shared" si="21"/>
        <v>7191879</v>
      </c>
      <c r="W337">
        <v>599323.25</v>
      </c>
      <c r="X337">
        <v>0</v>
      </c>
      <c r="Y337">
        <f t="shared" si="22"/>
        <v>599323.25</v>
      </c>
      <c r="Z337">
        <f t="shared" si="23"/>
        <v>0</v>
      </c>
      <c r="AA337">
        <v>0</v>
      </c>
    </row>
    <row r="338" spans="1:27" x14ac:dyDescent="0.25">
      <c r="A338" s="1">
        <v>337</v>
      </c>
      <c r="B338" t="s">
        <v>242</v>
      </c>
      <c r="C338" t="s">
        <v>1134</v>
      </c>
      <c r="D338" t="s">
        <v>1138</v>
      </c>
      <c r="G338" t="s">
        <v>1173</v>
      </c>
      <c r="H338" t="s">
        <v>1173</v>
      </c>
      <c r="I338" t="s">
        <v>1173</v>
      </c>
      <c r="J338" t="s">
        <v>1246</v>
      </c>
      <c r="K338" t="s">
        <v>1212</v>
      </c>
      <c r="M338" s="3">
        <f t="shared" si="20"/>
        <v>72.857142857142861</v>
      </c>
      <c r="N338">
        <v>50</v>
      </c>
      <c r="O338">
        <v>65</v>
      </c>
      <c r="P338">
        <v>75</v>
      </c>
      <c r="Q338">
        <v>80</v>
      </c>
      <c r="R338">
        <v>83</v>
      </c>
      <c r="S338">
        <v>87</v>
      </c>
      <c r="T338">
        <v>70</v>
      </c>
      <c r="U338">
        <v>0</v>
      </c>
      <c r="V338" s="3">
        <f t="shared" si="21"/>
        <v>4214261</v>
      </c>
      <c r="W338">
        <v>351188.41666666669</v>
      </c>
      <c r="X338">
        <v>0</v>
      </c>
      <c r="Y338">
        <f t="shared" si="22"/>
        <v>351188.41666666669</v>
      </c>
      <c r="Z338">
        <f t="shared" si="23"/>
        <v>0</v>
      </c>
      <c r="AA338">
        <v>0</v>
      </c>
    </row>
    <row r="339" spans="1:27" x14ac:dyDescent="0.25">
      <c r="A339" s="1">
        <v>338</v>
      </c>
      <c r="B339" t="s">
        <v>1641</v>
      </c>
      <c r="C339" t="s">
        <v>1134</v>
      </c>
      <c r="D339" t="s">
        <v>1138</v>
      </c>
      <c r="E339" t="s">
        <v>1144</v>
      </c>
      <c r="H339" t="s">
        <v>1173</v>
      </c>
      <c r="I339" t="s">
        <v>1173</v>
      </c>
      <c r="J339" t="s">
        <v>1246</v>
      </c>
      <c r="K339" t="s">
        <v>1212</v>
      </c>
      <c r="M339" s="3">
        <f t="shared" si="20"/>
        <v>59</v>
      </c>
      <c r="N339">
        <v>23</v>
      </c>
      <c r="O339">
        <v>61</v>
      </c>
      <c r="P339">
        <v>59</v>
      </c>
      <c r="Q339">
        <v>73</v>
      </c>
      <c r="R339">
        <v>80</v>
      </c>
      <c r="S339">
        <v>82</v>
      </c>
      <c r="T339">
        <v>35</v>
      </c>
      <c r="U339">
        <v>0</v>
      </c>
      <c r="V339" s="3">
        <f t="shared" si="21"/>
        <v>511117</v>
      </c>
      <c r="W339">
        <v>42593.083333333336</v>
      </c>
      <c r="X339">
        <v>0</v>
      </c>
      <c r="Y339">
        <f t="shared" si="22"/>
        <v>42593.083333333336</v>
      </c>
      <c r="Z339">
        <f t="shared" si="23"/>
        <v>0</v>
      </c>
      <c r="AA339">
        <v>0</v>
      </c>
    </row>
    <row r="340" spans="1:27" x14ac:dyDescent="0.25">
      <c r="A340" s="1">
        <v>339</v>
      </c>
      <c r="B340" t="s">
        <v>244</v>
      </c>
      <c r="C340" t="s">
        <v>1134</v>
      </c>
      <c r="D340" t="s">
        <v>1138</v>
      </c>
      <c r="E340" t="s">
        <v>1144</v>
      </c>
      <c r="G340" t="s">
        <v>1173</v>
      </c>
      <c r="H340" t="s">
        <v>1173</v>
      </c>
      <c r="I340" t="s">
        <v>1173</v>
      </c>
      <c r="J340" t="s">
        <v>1246</v>
      </c>
      <c r="K340" t="s">
        <v>1212</v>
      </c>
      <c r="M340" s="3">
        <f t="shared" si="20"/>
        <v>71.857142857142861</v>
      </c>
      <c r="N340">
        <v>48</v>
      </c>
      <c r="O340">
        <v>70</v>
      </c>
      <c r="P340">
        <v>62</v>
      </c>
      <c r="Q340">
        <v>74</v>
      </c>
      <c r="R340">
        <v>84</v>
      </c>
      <c r="S340">
        <v>90</v>
      </c>
      <c r="T340">
        <v>75</v>
      </c>
      <c r="U340">
        <v>0</v>
      </c>
      <c r="V340" s="3">
        <f t="shared" si="21"/>
        <v>3670283</v>
      </c>
      <c r="W340">
        <v>305856.91666666669</v>
      </c>
      <c r="X340">
        <v>0</v>
      </c>
      <c r="Y340">
        <f t="shared" si="22"/>
        <v>305856.91666666669</v>
      </c>
      <c r="Z340">
        <f t="shared" si="23"/>
        <v>0</v>
      </c>
      <c r="AA340">
        <v>0</v>
      </c>
    </row>
    <row r="341" spans="1:27" x14ac:dyDescent="0.25">
      <c r="A341" s="1">
        <v>340</v>
      </c>
      <c r="B341" t="s">
        <v>1642</v>
      </c>
      <c r="C341" t="s">
        <v>1134</v>
      </c>
      <c r="D341" t="s">
        <v>1138</v>
      </c>
      <c r="H341" t="s">
        <v>1173</v>
      </c>
      <c r="I341" t="s">
        <v>1173</v>
      </c>
      <c r="J341" t="s">
        <v>1246</v>
      </c>
      <c r="K341" t="s">
        <v>1212</v>
      </c>
      <c r="M341" s="3">
        <f t="shared" si="20"/>
        <v>53</v>
      </c>
      <c r="N341">
        <v>20</v>
      </c>
      <c r="O341">
        <v>54</v>
      </c>
      <c r="P341">
        <v>55</v>
      </c>
      <c r="Q341">
        <v>62</v>
      </c>
      <c r="R341">
        <v>71</v>
      </c>
      <c r="S341">
        <v>79</v>
      </c>
      <c r="T341">
        <v>30</v>
      </c>
      <c r="U341">
        <v>0</v>
      </c>
      <c r="V341" s="3">
        <f t="shared" si="21"/>
        <v>174888</v>
      </c>
      <c r="W341">
        <v>14574</v>
      </c>
      <c r="X341">
        <v>0</v>
      </c>
      <c r="Y341">
        <f t="shared" si="22"/>
        <v>14574</v>
      </c>
      <c r="Z341">
        <f t="shared" si="23"/>
        <v>0</v>
      </c>
      <c r="AA341">
        <v>0</v>
      </c>
    </row>
    <row r="342" spans="1:27" x14ac:dyDescent="0.25">
      <c r="A342" s="1">
        <v>341</v>
      </c>
      <c r="B342" t="s">
        <v>246</v>
      </c>
      <c r="C342" t="s">
        <v>1134</v>
      </c>
      <c r="D342" t="s">
        <v>1138</v>
      </c>
      <c r="E342" t="s">
        <v>1140</v>
      </c>
      <c r="G342" t="s">
        <v>1173</v>
      </c>
      <c r="H342" t="s">
        <v>1173</v>
      </c>
      <c r="I342" t="s">
        <v>1173</v>
      </c>
      <c r="J342" t="s">
        <v>1246</v>
      </c>
      <c r="K342" t="s">
        <v>1212</v>
      </c>
      <c r="M342" s="3">
        <f t="shared" si="20"/>
        <v>63.285714285714285</v>
      </c>
      <c r="N342">
        <v>35</v>
      </c>
      <c r="O342">
        <v>58</v>
      </c>
      <c r="P342">
        <v>59</v>
      </c>
      <c r="Q342">
        <v>66</v>
      </c>
      <c r="R342">
        <v>77</v>
      </c>
      <c r="S342">
        <v>88</v>
      </c>
      <c r="T342">
        <v>60</v>
      </c>
      <c r="U342">
        <v>0</v>
      </c>
      <c r="V342" s="3">
        <f t="shared" si="21"/>
        <v>1030522</v>
      </c>
      <c r="W342">
        <v>85876.833333333328</v>
      </c>
      <c r="X342">
        <v>0</v>
      </c>
      <c r="Y342">
        <f t="shared" si="22"/>
        <v>85876.833333333328</v>
      </c>
      <c r="Z342">
        <f t="shared" si="23"/>
        <v>0</v>
      </c>
      <c r="AA342">
        <v>0</v>
      </c>
    </row>
    <row r="343" spans="1:27" x14ac:dyDescent="0.25">
      <c r="A343" s="1">
        <v>342</v>
      </c>
      <c r="B343" t="s">
        <v>1643</v>
      </c>
      <c r="C343" t="s">
        <v>1134</v>
      </c>
      <c r="D343" t="s">
        <v>1138</v>
      </c>
      <c r="E343" t="s">
        <v>1140</v>
      </c>
      <c r="H343" t="s">
        <v>1173</v>
      </c>
      <c r="I343" t="s">
        <v>1173</v>
      </c>
      <c r="J343" t="s">
        <v>1246</v>
      </c>
      <c r="K343" t="s">
        <v>1212</v>
      </c>
      <c r="M343" s="3">
        <f t="shared" si="20"/>
        <v>64.428571428571431</v>
      </c>
      <c r="N343">
        <v>26</v>
      </c>
      <c r="O343">
        <v>69</v>
      </c>
      <c r="P343">
        <v>68</v>
      </c>
      <c r="Q343">
        <v>76</v>
      </c>
      <c r="R343">
        <v>85</v>
      </c>
      <c r="S343">
        <v>86</v>
      </c>
      <c r="T343">
        <v>41</v>
      </c>
      <c r="U343">
        <v>0</v>
      </c>
      <c r="V343" s="3">
        <f t="shared" si="21"/>
        <v>1232495</v>
      </c>
      <c r="W343">
        <v>102707.91666666667</v>
      </c>
      <c r="X343">
        <v>0</v>
      </c>
      <c r="Y343">
        <f t="shared" si="22"/>
        <v>102707.91666666667</v>
      </c>
      <c r="Z343">
        <f t="shared" si="23"/>
        <v>0</v>
      </c>
      <c r="AA343">
        <v>0</v>
      </c>
    </row>
    <row r="344" spans="1:27" x14ac:dyDescent="0.25">
      <c r="A344" s="1">
        <v>343</v>
      </c>
      <c r="B344" t="s">
        <v>1644</v>
      </c>
      <c r="C344" t="s">
        <v>1135</v>
      </c>
      <c r="D344" t="s">
        <v>1141</v>
      </c>
      <c r="E344" t="s">
        <v>1142</v>
      </c>
      <c r="G344" t="s">
        <v>1173</v>
      </c>
      <c r="H344" t="s">
        <v>1173</v>
      </c>
      <c r="I344" t="s">
        <v>1173</v>
      </c>
      <c r="J344" t="s">
        <v>1246</v>
      </c>
      <c r="K344" t="s">
        <v>1212</v>
      </c>
      <c r="M344" s="3">
        <f t="shared" si="20"/>
        <v>68.571428571428569</v>
      </c>
      <c r="N344">
        <v>28</v>
      </c>
      <c r="O344">
        <v>76</v>
      </c>
      <c r="P344">
        <v>83</v>
      </c>
      <c r="Q344">
        <v>78</v>
      </c>
      <c r="R344">
        <v>82</v>
      </c>
      <c r="S344">
        <v>89</v>
      </c>
      <c r="T344">
        <v>44</v>
      </c>
      <c r="U344">
        <v>0</v>
      </c>
      <c r="V344" s="3">
        <f t="shared" si="21"/>
        <v>2298434</v>
      </c>
      <c r="W344">
        <v>191536.16666666666</v>
      </c>
      <c r="X344">
        <v>0</v>
      </c>
      <c r="Y344">
        <f t="shared" si="22"/>
        <v>191536.16666666666</v>
      </c>
      <c r="Z344">
        <f t="shared" si="23"/>
        <v>0</v>
      </c>
      <c r="AA344">
        <v>0</v>
      </c>
    </row>
    <row r="345" spans="1:27" x14ac:dyDescent="0.25">
      <c r="A345" s="1">
        <v>344</v>
      </c>
      <c r="B345" t="s">
        <v>511</v>
      </c>
      <c r="C345" t="s">
        <v>1135</v>
      </c>
      <c r="D345" t="s">
        <v>1141</v>
      </c>
      <c r="E345" t="s">
        <v>1142</v>
      </c>
      <c r="G345" t="s">
        <v>1173</v>
      </c>
      <c r="H345" t="s">
        <v>1173</v>
      </c>
      <c r="I345" t="s">
        <v>1173</v>
      </c>
      <c r="J345" t="s">
        <v>1246</v>
      </c>
      <c r="K345" t="s">
        <v>1212</v>
      </c>
      <c r="M345" s="3">
        <f t="shared" si="20"/>
        <v>81.285714285714292</v>
      </c>
      <c r="N345">
        <v>74</v>
      </c>
      <c r="O345">
        <v>71</v>
      </c>
      <c r="P345">
        <v>95</v>
      </c>
      <c r="Q345">
        <v>80</v>
      </c>
      <c r="R345">
        <v>85</v>
      </c>
      <c r="S345">
        <v>94</v>
      </c>
      <c r="T345">
        <v>70</v>
      </c>
      <c r="U345">
        <v>6</v>
      </c>
      <c r="V345" s="3">
        <f t="shared" si="21"/>
        <v>18890069</v>
      </c>
      <c r="W345">
        <v>1574172.4166666667</v>
      </c>
      <c r="X345">
        <v>0</v>
      </c>
      <c r="Y345">
        <f t="shared" si="22"/>
        <v>1574172.4166666667</v>
      </c>
      <c r="Z345">
        <f t="shared" si="23"/>
        <v>0</v>
      </c>
      <c r="AA345">
        <v>0</v>
      </c>
    </row>
    <row r="346" spans="1:27" x14ac:dyDescent="0.25">
      <c r="A346" s="1">
        <v>345</v>
      </c>
      <c r="B346" t="s">
        <v>1645</v>
      </c>
      <c r="C346" t="s">
        <v>1135</v>
      </c>
      <c r="D346" t="s">
        <v>1142</v>
      </c>
      <c r="H346" t="s">
        <v>1173</v>
      </c>
      <c r="I346" t="s">
        <v>1173</v>
      </c>
      <c r="J346" t="s">
        <v>1246</v>
      </c>
      <c r="K346" t="s">
        <v>1212</v>
      </c>
      <c r="M346" s="3">
        <f t="shared" si="20"/>
        <v>60.857142857142854</v>
      </c>
      <c r="N346">
        <v>22</v>
      </c>
      <c r="O346">
        <v>80</v>
      </c>
      <c r="P346">
        <v>66</v>
      </c>
      <c r="Q346">
        <v>74</v>
      </c>
      <c r="R346">
        <v>73</v>
      </c>
      <c r="S346">
        <v>78</v>
      </c>
      <c r="T346">
        <v>33</v>
      </c>
      <c r="U346">
        <v>0</v>
      </c>
      <c r="V346" s="3">
        <f t="shared" si="21"/>
        <v>696812</v>
      </c>
      <c r="W346">
        <v>58067.666666666664</v>
      </c>
      <c r="X346">
        <v>0</v>
      </c>
      <c r="Y346">
        <f t="shared" si="22"/>
        <v>58067.666666666664</v>
      </c>
      <c r="Z346">
        <f t="shared" si="23"/>
        <v>0</v>
      </c>
      <c r="AA346">
        <v>0</v>
      </c>
    </row>
    <row r="347" spans="1:27" x14ac:dyDescent="0.25">
      <c r="A347" s="1">
        <v>346</v>
      </c>
      <c r="B347" t="s">
        <v>512</v>
      </c>
      <c r="C347" t="s">
        <v>1135</v>
      </c>
      <c r="D347" t="s">
        <v>1142</v>
      </c>
      <c r="G347" t="s">
        <v>1173</v>
      </c>
      <c r="H347" t="s">
        <v>1173</v>
      </c>
      <c r="I347" t="s">
        <v>1173</v>
      </c>
      <c r="J347" t="s">
        <v>1246</v>
      </c>
      <c r="K347" t="s">
        <v>1212</v>
      </c>
      <c r="M347" s="3">
        <f t="shared" si="20"/>
        <v>73.428571428571431</v>
      </c>
      <c r="N347">
        <v>51</v>
      </c>
      <c r="O347">
        <v>83</v>
      </c>
      <c r="P347">
        <v>78</v>
      </c>
      <c r="Q347">
        <v>79</v>
      </c>
      <c r="R347">
        <v>76</v>
      </c>
      <c r="S347">
        <v>82</v>
      </c>
      <c r="T347">
        <v>65</v>
      </c>
      <c r="U347">
        <v>0</v>
      </c>
      <c r="V347" s="3">
        <f t="shared" si="21"/>
        <v>4556704</v>
      </c>
      <c r="W347">
        <v>379725.33333333331</v>
      </c>
      <c r="X347">
        <v>0</v>
      </c>
      <c r="Y347">
        <f t="shared" si="22"/>
        <v>379725.33333333331</v>
      </c>
      <c r="Z347">
        <f t="shared" si="23"/>
        <v>0</v>
      </c>
      <c r="AA347">
        <v>0</v>
      </c>
    </row>
    <row r="348" spans="1:27" x14ac:dyDescent="0.25">
      <c r="A348" s="1">
        <v>347</v>
      </c>
      <c r="B348" t="s">
        <v>777</v>
      </c>
      <c r="C348" t="s">
        <v>1136</v>
      </c>
      <c r="D348" t="s">
        <v>1147</v>
      </c>
      <c r="E348" t="s">
        <v>1144</v>
      </c>
      <c r="G348" t="s">
        <v>1173</v>
      </c>
      <c r="H348" t="s">
        <v>1173</v>
      </c>
      <c r="I348" t="s">
        <v>1173</v>
      </c>
      <c r="J348" t="s">
        <v>1246</v>
      </c>
      <c r="K348" t="s">
        <v>1212</v>
      </c>
      <c r="M348" s="3">
        <f t="shared" si="20"/>
        <v>85.571428571428569</v>
      </c>
      <c r="N348">
        <v>84</v>
      </c>
      <c r="O348">
        <v>92</v>
      </c>
      <c r="P348">
        <v>88</v>
      </c>
      <c r="Q348">
        <v>89</v>
      </c>
      <c r="R348">
        <v>83</v>
      </c>
      <c r="S348">
        <v>80</v>
      </c>
      <c r="T348">
        <v>83</v>
      </c>
      <c r="U348">
        <v>22</v>
      </c>
      <c r="V348" s="3">
        <f t="shared" si="21"/>
        <v>31577598</v>
      </c>
      <c r="W348">
        <v>2631466.5</v>
      </c>
      <c r="X348">
        <v>0</v>
      </c>
      <c r="Y348">
        <f t="shared" si="22"/>
        <v>2631466.5</v>
      </c>
      <c r="Z348">
        <f t="shared" si="23"/>
        <v>0</v>
      </c>
      <c r="AA348">
        <v>0</v>
      </c>
    </row>
    <row r="349" spans="1:27" x14ac:dyDescent="0.25">
      <c r="A349" s="1">
        <v>348</v>
      </c>
      <c r="B349" t="s">
        <v>779</v>
      </c>
      <c r="C349" t="s">
        <v>1136</v>
      </c>
      <c r="D349" t="s">
        <v>1143</v>
      </c>
      <c r="E349" t="s">
        <v>1146</v>
      </c>
      <c r="F349" t="s">
        <v>1145</v>
      </c>
      <c r="G349" t="s">
        <v>1173</v>
      </c>
      <c r="H349" t="s">
        <v>1173</v>
      </c>
      <c r="I349" t="s">
        <v>1173</v>
      </c>
      <c r="J349" t="s">
        <v>1246</v>
      </c>
      <c r="K349" t="s">
        <v>1212</v>
      </c>
      <c r="M349" s="3">
        <f t="shared" si="20"/>
        <v>80.714285714285708</v>
      </c>
      <c r="N349">
        <v>74</v>
      </c>
      <c r="O349">
        <v>85</v>
      </c>
      <c r="P349">
        <v>86</v>
      </c>
      <c r="Q349">
        <v>84</v>
      </c>
      <c r="R349">
        <v>81</v>
      </c>
      <c r="S349">
        <v>83</v>
      </c>
      <c r="T349">
        <v>72</v>
      </c>
      <c r="U349">
        <v>22</v>
      </c>
      <c r="V349" s="3">
        <f t="shared" si="21"/>
        <v>17603351</v>
      </c>
      <c r="W349">
        <v>1466945.9166666667</v>
      </c>
      <c r="X349">
        <v>0</v>
      </c>
      <c r="Y349">
        <f t="shared" si="22"/>
        <v>1466945.9166666667</v>
      </c>
      <c r="Z349">
        <f t="shared" si="23"/>
        <v>0</v>
      </c>
      <c r="AA349">
        <v>0</v>
      </c>
    </row>
    <row r="350" spans="1:27" x14ac:dyDescent="0.25">
      <c r="A350" s="1">
        <v>349</v>
      </c>
      <c r="B350" t="s">
        <v>778</v>
      </c>
      <c r="C350" t="s">
        <v>1136</v>
      </c>
      <c r="D350" t="s">
        <v>1143</v>
      </c>
      <c r="E350" t="s">
        <v>1147</v>
      </c>
      <c r="F350" t="s">
        <v>1145</v>
      </c>
      <c r="G350" t="s">
        <v>1173</v>
      </c>
      <c r="H350" t="s">
        <v>1173</v>
      </c>
      <c r="I350" t="s">
        <v>1173</v>
      </c>
      <c r="J350" t="s">
        <v>1246</v>
      </c>
      <c r="K350" t="s">
        <v>1212</v>
      </c>
      <c r="M350" s="3">
        <f t="shared" si="20"/>
        <v>80.857142857142861</v>
      </c>
      <c r="N350">
        <v>74</v>
      </c>
      <c r="O350">
        <v>84</v>
      </c>
      <c r="P350">
        <v>87</v>
      </c>
      <c r="Q350">
        <v>84</v>
      </c>
      <c r="R350">
        <v>82</v>
      </c>
      <c r="S350">
        <v>83</v>
      </c>
      <c r="T350">
        <v>72</v>
      </c>
      <c r="U350">
        <v>22</v>
      </c>
      <c r="V350" s="3">
        <f t="shared" si="21"/>
        <v>17917408</v>
      </c>
      <c r="W350">
        <v>1493117.3333333333</v>
      </c>
      <c r="X350">
        <v>0</v>
      </c>
      <c r="Y350">
        <f t="shared" si="22"/>
        <v>1493117.3333333333</v>
      </c>
      <c r="Z350">
        <f t="shared" si="23"/>
        <v>0</v>
      </c>
      <c r="AA350">
        <v>0</v>
      </c>
    </row>
    <row r="351" spans="1:27" x14ac:dyDescent="0.25">
      <c r="A351" s="1">
        <v>350</v>
      </c>
      <c r="B351" t="s">
        <v>1647</v>
      </c>
      <c r="C351" t="s">
        <v>1136</v>
      </c>
      <c r="D351" t="s">
        <v>1143</v>
      </c>
      <c r="E351" t="s">
        <v>1145</v>
      </c>
      <c r="H351" t="s">
        <v>1173</v>
      </c>
      <c r="I351" t="s">
        <v>1173</v>
      </c>
      <c r="J351" t="s">
        <v>1246</v>
      </c>
      <c r="K351" t="s">
        <v>1212</v>
      </c>
      <c r="M351" s="3">
        <f t="shared" si="20"/>
        <v>55.428571428571431</v>
      </c>
      <c r="N351">
        <v>21</v>
      </c>
      <c r="O351">
        <v>63</v>
      </c>
      <c r="P351">
        <v>57</v>
      </c>
      <c r="Q351">
        <v>71</v>
      </c>
      <c r="R351">
        <v>69</v>
      </c>
      <c r="S351">
        <v>75</v>
      </c>
      <c r="T351">
        <v>32</v>
      </c>
      <c r="U351">
        <v>0</v>
      </c>
      <c r="V351" s="3">
        <f t="shared" si="21"/>
        <v>273740</v>
      </c>
      <c r="W351">
        <v>22811.666666666668</v>
      </c>
      <c r="X351">
        <v>0</v>
      </c>
      <c r="Y351">
        <f t="shared" si="22"/>
        <v>22811.666666666668</v>
      </c>
      <c r="Z351">
        <f t="shared" si="23"/>
        <v>0</v>
      </c>
      <c r="AA351">
        <v>0</v>
      </c>
    </row>
    <row r="352" spans="1:27" x14ac:dyDescent="0.25">
      <c r="A352" s="1">
        <v>351</v>
      </c>
      <c r="B352" t="s">
        <v>1646</v>
      </c>
      <c r="C352" t="s">
        <v>1136</v>
      </c>
      <c r="D352" t="s">
        <v>1147</v>
      </c>
      <c r="E352" t="s">
        <v>1144</v>
      </c>
      <c r="H352" t="s">
        <v>1173</v>
      </c>
      <c r="I352" t="s">
        <v>1173</v>
      </c>
      <c r="J352" t="s">
        <v>1246</v>
      </c>
      <c r="K352" t="s">
        <v>1212</v>
      </c>
      <c r="M352" s="3">
        <f t="shared" si="20"/>
        <v>65</v>
      </c>
      <c r="N352">
        <v>25</v>
      </c>
      <c r="O352">
        <v>85</v>
      </c>
      <c r="P352">
        <v>74</v>
      </c>
      <c r="Q352">
        <v>79</v>
      </c>
      <c r="R352">
        <v>77</v>
      </c>
      <c r="S352">
        <v>78</v>
      </c>
      <c r="T352">
        <v>37</v>
      </c>
      <c r="U352">
        <v>0</v>
      </c>
      <c r="V352" s="3">
        <f t="shared" si="21"/>
        <v>1346275</v>
      </c>
      <c r="W352">
        <v>112189.58333333333</v>
      </c>
      <c r="X352">
        <v>0</v>
      </c>
      <c r="Y352">
        <f t="shared" si="22"/>
        <v>112189.58333333333</v>
      </c>
      <c r="Z352">
        <f t="shared" si="23"/>
        <v>0</v>
      </c>
      <c r="AA352">
        <v>0</v>
      </c>
    </row>
    <row r="353" spans="1:27" x14ac:dyDescent="0.25">
      <c r="A353" s="1">
        <v>352</v>
      </c>
      <c r="B353" t="s">
        <v>780</v>
      </c>
      <c r="C353" t="s">
        <v>1136</v>
      </c>
      <c r="D353" t="s">
        <v>1144</v>
      </c>
      <c r="E353" t="s">
        <v>1138</v>
      </c>
      <c r="F353" t="s">
        <v>1143</v>
      </c>
      <c r="G353" t="s">
        <v>1173</v>
      </c>
      <c r="H353" t="s">
        <v>1173</v>
      </c>
      <c r="I353" t="s">
        <v>1173</v>
      </c>
      <c r="J353" t="s">
        <v>1246</v>
      </c>
      <c r="K353" t="s">
        <v>1212</v>
      </c>
      <c r="M353" s="3">
        <f t="shared" si="20"/>
        <v>73.428571428571431</v>
      </c>
      <c r="N353">
        <v>60</v>
      </c>
      <c r="O353">
        <v>74</v>
      </c>
      <c r="P353">
        <v>78</v>
      </c>
      <c r="Q353">
        <v>77</v>
      </c>
      <c r="R353">
        <v>84</v>
      </c>
      <c r="S353">
        <v>90</v>
      </c>
      <c r="T353">
        <v>51</v>
      </c>
      <c r="U353">
        <v>0</v>
      </c>
      <c r="V353" s="3">
        <f t="shared" si="21"/>
        <v>4556704</v>
      </c>
      <c r="W353">
        <v>379725.33333333331</v>
      </c>
      <c r="X353">
        <v>0</v>
      </c>
      <c r="Y353">
        <f t="shared" si="22"/>
        <v>379725.33333333331</v>
      </c>
      <c r="Z353">
        <f t="shared" si="23"/>
        <v>0</v>
      </c>
      <c r="AA353">
        <v>0</v>
      </c>
    </row>
    <row r="354" spans="1:27" x14ac:dyDescent="0.25">
      <c r="A354" s="1">
        <v>353</v>
      </c>
      <c r="B354" t="s">
        <v>2397</v>
      </c>
      <c r="C354" t="s">
        <v>1133</v>
      </c>
      <c r="D354" t="s">
        <v>1133</v>
      </c>
      <c r="H354" t="s">
        <v>1203</v>
      </c>
      <c r="I354" t="s">
        <v>1203</v>
      </c>
      <c r="J354" t="s">
        <v>2395</v>
      </c>
      <c r="K354" t="s">
        <v>1212</v>
      </c>
      <c r="M354" s="3">
        <f t="shared" si="20"/>
        <v>31.571428571428573</v>
      </c>
      <c r="N354">
        <v>8</v>
      </c>
      <c r="O354">
        <v>40</v>
      </c>
      <c r="P354">
        <v>34</v>
      </c>
      <c r="Q354">
        <v>38</v>
      </c>
      <c r="R354">
        <v>40</v>
      </c>
      <c r="S354">
        <v>42</v>
      </c>
      <c r="T354">
        <v>19</v>
      </c>
      <c r="U354">
        <v>0</v>
      </c>
      <c r="V354" s="3">
        <f t="shared" si="21"/>
        <v>984</v>
      </c>
      <c r="W354">
        <v>82</v>
      </c>
      <c r="X354">
        <v>0</v>
      </c>
      <c r="Y354">
        <f t="shared" si="22"/>
        <v>82</v>
      </c>
      <c r="Z354">
        <f t="shared" si="23"/>
        <v>0</v>
      </c>
      <c r="AA354">
        <v>0</v>
      </c>
    </row>
    <row r="355" spans="1:27" x14ac:dyDescent="0.25">
      <c r="A355" s="1">
        <v>354</v>
      </c>
      <c r="B355" t="s">
        <v>2396</v>
      </c>
      <c r="C355" t="s">
        <v>1133</v>
      </c>
      <c r="D355" t="s">
        <v>1133</v>
      </c>
      <c r="H355" t="s">
        <v>1203</v>
      </c>
      <c r="I355" t="s">
        <v>1203</v>
      </c>
      <c r="J355" t="s">
        <v>2395</v>
      </c>
      <c r="K355" t="s">
        <v>1212</v>
      </c>
      <c r="M355" s="3">
        <f t="shared" si="20"/>
        <v>35.428571428571431</v>
      </c>
      <c r="N355">
        <v>10</v>
      </c>
      <c r="O355">
        <v>46</v>
      </c>
      <c r="P355">
        <v>38</v>
      </c>
      <c r="Q355">
        <v>42</v>
      </c>
      <c r="R355">
        <v>44</v>
      </c>
      <c r="S355">
        <v>46</v>
      </c>
      <c r="T355">
        <v>22</v>
      </c>
      <c r="U355">
        <v>0</v>
      </c>
      <c r="V355" s="3">
        <f t="shared" si="21"/>
        <v>3116</v>
      </c>
      <c r="W355">
        <v>259.66666666666669</v>
      </c>
      <c r="X355">
        <v>0</v>
      </c>
      <c r="Y355">
        <f t="shared" si="22"/>
        <v>259.66666666666669</v>
      </c>
      <c r="Z355">
        <f t="shared" si="23"/>
        <v>0</v>
      </c>
      <c r="AA355">
        <v>0</v>
      </c>
    </row>
    <row r="356" spans="1:27" x14ac:dyDescent="0.25">
      <c r="A356" s="1">
        <v>355</v>
      </c>
      <c r="B356" t="s">
        <v>2413</v>
      </c>
      <c r="C356" t="s">
        <v>1133</v>
      </c>
      <c r="D356" t="s">
        <v>1133</v>
      </c>
      <c r="H356" t="s">
        <v>1203</v>
      </c>
      <c r="I356" t="s">
        <v>1203</v>
      </c>
      <c r="J356" t="s">
        <v>2395</v>
      </c>
      <c r="K356" t="s">
        <v>1212</v>
      </c>
      <c r="M356" s="3">
        <f t="shared" si="20"/>
        <v>31.857142857142858</v>
      </c>
      <c r="N356">
        <v>8</v>
      </c>
      <c r="O356">
        <v>42</v>
      </c>
      <c r="P356">
        <v>34</v>
      </c>
      <c r="Q356">
        <v>38</v>
      </c>
      <c r="R356">
        <v>40</v>
      </c>
      <c r="S356">
        <v>42</v>
      </c>
      <c r="T356">
        <v>19</v>
      </c>
      <c r="U356">
        <v>0</v>
      </c>
      <c r="V356" s="3">
        <f t="shared" si="21"/>
        <v>1077</v>
      </c>
      <c r="W356">
        <v>89.75</v>
      </c>
      <c r="X356">
        <v>0</v>
      </c>
      <c r="Y356">
        <f t="shared" si="22"/>
        <v>89.75</v>
      </c>
      <c r="Z356">
        <f t="shared" si="23"/>
        <v>0</v>
      </c>
      <c r="AA356">
        <v>0</v>
      </c>
    </row>
    <row r="357" spans="1:27" x14ac:dyDescent="0.25">
      <c r="A357" s="1">
        <v>356</v>
      </c>
      <c r="B357" t="s">
        <v>2400</v>
      </c>
      <c r="C357" t="s">
        <v>1134</v>
      </c>
      <c r="D357" t="s">
        <v>1138</v>
      </c>
      <c r="E357" t="s">
        <v>1139</v>
      </c>
      <c r="H357" t="s">
        <v>1203</v>
      </c>
      <c r="I357" t="s">
        <v>1203</v>
      </c>
      <c r="J357" t="s">
        <v>2395</v>
      </c>
      <c r="K357" t="s">
        <v>1212</v>
      </c>
      <c r="M357" s="3">
        <f t="shared" si="20"/>
        <v>39.142857142857146</v>
      </c>
      <c r="N357">
        <v>12</v>
      </c>
      <c r="O357">
        <v>52</v>
      </c>
      <c r="P357">
        <v>42</v>
      </c>
      <c r="Q357">
        <v>46</v>
      </c>
      <c r="R357">
        <v>48</v>
      </c>
      <c r="S357">
        <v>50</v>
      </c>
      <c r="T357">
        <v>24</v>
      </c>
      <c r="U357">
        <v>0</v>
      </c>
      <c r="V357" s="3">
        <f t="shared" si="21"/>
        <v>8444</v>
      </c>
      <c r="W357">
        <v>703.66666666666663</v>
      </c>
      <c r="X357">
        <v>0</v>
      </c>
      <c r="Y357">
        <f t="shared" si="22"/>
        <v>703.66666666666663</v>
      </c>
      <c r="Z357">
        <f t="shared" si="23"/>
        <v>0</v>
      </c>
      <c r="AA357">
        <v>0</v>
      </c>
    </row>
    <row r="358" spans="1:27" x14ac:dyDescent="0.25">
      <c r="A358" s="1">
        <v>357</v>
      </c>
      <c r="B358" t="s">
        <v>2402</v>
      </c>
      <c r="C358" t="s">
        <v>1134</v>
      </c>
      <c r="D358" t="s">
        <v>1140</v>
      </c>
      <c r="E358" t="s">
        <v>1139</v>
      </c>
      <c r="H358" t="s">
        <v>1203</v>
      </c>
      <c r="I358" t="s">
        <v>1203</v>
      </c>
      <c r="J358" t="s">
        <v>2395</v>
      </c>
      <c r="K358" t="s">
        <v>1212</v>
      </c>
      <c r="M358" s="3">
        <f t="shared" si="20"/>
        <v>31.285714285714285</v>
      </c>
      <c r="N358">
        <v>7</v>
      </c>
      <c r="O358">
        <v>40</v>
      </c>
      <c r="P358">
        <v>34</v>
      </c>
      <c r="Q358">
        <v>38</v>
      </c>
      <c r="R358">
        <v>40</v>
      </c>
      <c r="S358">
        <v>42</v>
      </c>
      <c r="T358">
        <v>18</v>
      </c>
      <c r="U358">
        <v>0</v>
      </c>
      <c r="V358" s="3">
        <f t="shared" si="21"/>
        <v>899</v>
      </c>
      <c r="W358">
        <v>74.916666666666671</v>
      </c>
      <c r="X358">
        <v>0</v>
      </c>
      <c r="Y358">
        <f t="shared" si="22"/>
        <v>74.916666666666671</v>
      </c>
      <c r="Z358">
        <f t="shared" si="23"/>
        <v>0</v>
      </c>
      <c r="AA358">
        <v>0</v>
      </c>
    </row>
    <row r="359" spans="1:27" x14ac:dyDescent="0.25">
      <c r="A359" s="1">
        <v>358</v>
      </c>
      <c r="B359" t="s">
        <v>1298</v>
      </c>
      <c r="C359" t="s">
        <v>1134</v>
      </c>
      <c r="D359" t="s">
        <v>1138</v>
      </c>
      <c r="E359" t="s">
        <v>1140</v>
      </c>
      <c r="F359" t="s">
        <v>1139</v>
      </c>
      <c r="H359" t="s">
        <v>1203</v>
      </c>
      <c r="I359" t="s">
        <v>1203</v>
      </c>
      <c r="J359" t="s">
        <v>2395</v>
      </c>
      <c r="K359" t="s">
        <v>1212</v>
      </c>
      <c r="M359" s="3">
        <f t="shared" si="20"/>
        <v>60.142857142857146</v>
      </c>
      <c r="N359">
        <v>45</v>
      </c>
      <c r="O359">
        <v>65</v>
      </c>
      <c r="P359">
        <v>67</v>
      </c>
      <c r="Q359">
        <v>60</v>
      </c>
      <c r="R359">
        <v>70</v>
      </c>
      <c r="S359">
        <v>74</v>
      </c>
      <c r="T359">
        <v>40</v>
      </c>
      <c r="U359">
        <v>0</v>
      </c>
      <c r="V359" s="3">
        <f t="shared" si="21"/>
        <v>619214</v>
      </c>
      <c r="W359">
        <v>1575.5</v>
      </c>
      <c r="X359">
        <v>0</v>
      </c>
      <c r="Y359">
        <f t="shared" si="22"/>
        <v>51601.166666666664</v>
      </c>
      <c r="Z359">
        <f t="shared" si="23"/>
        <v>-96.95</v>
      </c>
      <c r="AA359">
        <v>0</v>
      </c>
    </row>
    <row r="360" spans="1:27" x14ac:dyDescent="0.25">
      <c r="A360" s="1">
        <v>359</v>
      </c>
      <c r="B360" t="s">
        <v>2399</v>
      </c>
      <c r="C360" t="s">
        <v>1134</v>
      </c>
      <c r="D360" t="s">
        <v>1138</v>
      </c>
      <c r="E360" t="s">
        <v>1144</v>
      </c>
      <c r="H360" t="s">
        <v>1203</v>
      </c>
      <c r="I360" t="s">
        <v>1203</v>
      </c>
      <c r="J360" t="s">
        <v>2395</v>
      </c>
      <c r="K360" t="s">
        <v>1212</v>
      </c>
      <c r="M360" s="3">
        <f t="shared" si="20"/>
        <v>28.142857142857142</v>
      </c>
      <c r="N360">
        <v>6</v>
      </c>
      <c r="O360">
        <v>36</v>
      </c>
      <c r="P360">
        <v>30</v>
      </c>
      <c r="Q360">
        <v>34</v>
      </c>
      <c r="R360">
        <v>36</v>
      </c>
      <c r="S360">
        <v>38</v>
      </c>
      <c r="T360">
        <v>17</v>
      </c>
      <c r="U360">
        <v>0</v>
      </c>
      <c r="V360" s="3">
        <f t="shared" si="21"/>
        <v>312</v>
      </c>
      <c r="W360">
        <v>26</v>
      </c>
      <c r="X360">
        <v>0</v>
      </c>
      <c r="Y360">
        <f t="shared" si="22"/>
        <v>26</v>
      </c>
      <c r="Z360">
        <f t="shared" si="23"/>
        <v>0</v>
      </c>
      <c r="AA360">
        <v>0</v>
      </c>
    </row>
    <row r="361" spans="1:27" x14ac:dyDescent="0.25">
      <c r="A361" s="1">
        <v>360</v>
      </c>
      <c r="B361" t="s">
        <v>2401</v>
      </c>
      <c r="C361" t="s">
        <v>1134</v>
      </c>
      <c r="D361" t="s">
        <v>1140</v>
      </c>
      <c r="E361" t="s">
        <v>1138</v>
      </c>
      <c r="H361" t="s">
        <v>1203</v>
      </c>
      <c r="I361" t="s">
        <v>1203</v>
      </c>
      <c r="J361" t="s">
        <v>2395</v>
      </c>
      <c r="K361" t="s">
        <v>1212</v>
      </c>
      <c r="M361" s="3">
        <f t="shared" si="20"/>
        <v>35.142857142857146</v>
      </c>
      <c r="N361">
        <v>9</v>
      </c>
      <c r="O361">
        <v>46</v>
      </c>
      <c r="P361">
        <v>38</v>
      </c>
      <c r="Q361">
        <v>42</v>
      </c>
      <c r="R361">
        <v>44</v>
      </c>
      <c r="S361">
        <v>46</v>
      </c>
      <c r="T361">
        <v>21</v>
      </c>
      <c r="U361">
        <v>0</v>
      </c>
      <c r="V361" s="3">
        <f t="shared" si="21"/>
        <v>2874</v>
      </c>
      <c r="W361">
        <v>239.5</v>
      </c>
      <c r="X361">
        <v>0</v>
      </c>
      <c r="Y361">
        <f t="shared" si="22"/>
        <v>239.5</v>
      </c>
      <c r="Z361">
        <f t="shared" si="23"/>
        <v>0</v>
      </c>
      <c r="AA361">
        <v>0</v>
      </c>
    </row>
    <row r="362" spans="1:27" x14ac:dyDescent="0.25">
      <c r="A362" s="1">
        <v>361</v>
      </c>
      <c r="B362" t="s">
        <v>2559</v>
      </c>
      <c r="C362" t="s">
        <v>1135</v>
      </c>
      <c r="D362" t="s">
        <v>1142</v>
      </c>
      <c r="E362" t="s">
        <v>1141</v>
      </c>
      <c r="H362" t="s">
        <v>1203</v>
      </c>
      <c r="I362" t="s">
        <v>1203</v>
      </c>
      <c r="J362" t="s">
        <v>2395</v>
      </c>
      <c r="K362" t="s">
        <v>1212</v>
      </c>
      <c r="M362" s="3">
        <f t="shared" si="20"/>
        <v>55.428571428571431</v>
      </c>
      <c r="N362">
        <v>18</v>
      </c>
      <c r="O362">
        <v>70</v>
      </c>
      <c r="P362">
        <v>62</v>
      </c>
      <c r="Q362">
        <v>64</v>
      </c>
      <c r="R362">
        <v>66</v>
      </c>
      <c r="S362">
        <v>68</v>
      </c>
      <c r="T362">
        <v>40</v>
      </c>
      <c r="U362">
        <v>0</v>
      </c>
      <c r="V362" s="3">
        <f t="shared" si="21"/>
        <v>273740</v>
      </c>
      <c r="W362">
        <v>22811.666666666668</v>
      </c>
      <c r="X362">
        <v>0</v>
      </c>
      <c r="Y362">
        <f t="shared" si="22"/>
        <v>22811.666666666668</v>
      </c>
      <c r="Z362">
        <f t="shared" si="23"/>
        <v>0</v>
      </c>
      <c r="AA362">
        <v>0</v>
      </c>
    </row>
    <row r="363" spans="1:27" x14ac:dyDescent="0.25">
      <c r="A363" s="1">
        <v>362</v>
      </c>
      <c r="B363" t="s">
        <v>2412</v>
      </c>
      <c r="C363" t="s">
        <v>1135</v>
      </c>
      <c r="D363" t="s">
        <v>1141</v>
      </c>
      <c r="E363" t="s">
        <v>1142</v>
      </c>
      <c r="H363" t="s">
        <v>1203</v>
      </c>
      <c r="I363" t="s">
        <v>1203</v>
      </c>
      <c r="J363" t="s">
        <v>2395</v>
      </c>
      <c r="K363" t="s">
        <v>1212</v>
      </c>
      <c r="M363" s="3">
        <f t="shared" si="20"/>
        <v>52.142857142857146</v>
      </c>
      <c r="N363">
        <v>15</v>
      </c>
      <c r="O363">
        <v>64</v>
      </c>
      <c r="P363">
        <v>58</v>
      </c>
      <c r="Q363">
        <v>62</v>
      </c>
      <c r="R363">
        <v>64</v>
      </c>
      <c r="S363">
        <v>66</v>
      </c>
      <c r="T363">
        <v>36</v>
      </c>
      <c r="U363">
        <v>0</v>
      </c>
      <c r="V363" s="3">
        <f t="shared" si="21"/>
        <v>148576</v>
      </c>
      <c r="W363">
        <v>12381.333333333334</v>
      </c>
      <c r="X363">
        <v>0</v>
      </c>
      <c r="Y363">
        <f t="shared" si="22"/>
        <v>12381.333333333334</v>
      </c>
      <c r="Z363">
        <f t="shared" si="23"/>
        <v>0</v>
      </c>
      <c r="AA363">
        <v>0</v>
      </c>
    </row>
    <row r="364" spans="1:27" x14ac:dyDescent="0.25">
      <c r="A364" s="1">
        <v>363</v>
      </c>
      <c r="B364" t="s">
        <v>2411</v>
      </c>
      <c r="C364" t="s">
        <v>1135</v>
      </c>
      <c r="D364" t="s">
        <v>1142</v>
      </c>
      <c r="E364" t="s">
        <v>1141</v>
      </c>
      <c r="H364" t="s">
        <v>1203</v>
      </c>
      <c r="I364" t="s">
        <v>1203</v>
      </c>
      <c r="J364" t="s">
        <v>2395</v>
      </c>
      <c r="K364" t="s">
        <v>1212</v>
      </c>
      <c r="M364" s="3">
        <f t="shared" si="20"/>
        <v>36.142857142857146</v>
      </c>
      <c r="N364">
        <v>10</v>
      </c>
      <c r="O364">
        <v>46</v>
      </c>
      <c r="P364">
        <v>38</v>
      </c>
      <c r="Q364">
        <v>44</v>
      </c>
      <c r="R364">
        <v>46</v>
      </c>
      <c r="S364">
        <v>48</v>
      </c>
      <c r="T364">
        <v>21</v>
      </c>
      <c r="U364">
        <v>0</v>
      </c>
      <c r="V364" s="3">
        <f t="shared" si="21"/>
        <v>3804</v>
      </c>
      <c r="W364">
        <v>317</v>
      </c>
      <c r="X364">
        <v>0</v>
      </c>
      <c r="Y364">
        <f t="shared" si="22"/>
        <v>317</v>
      </c>
      <c r="Z364">
        <f t="shared" si="23"/>
        <v>0</v>
      </c>
      <c r="AA364">
        <v>0</v>
      </c>
    </row>
    <row r="365" spans="1:27" x14ac:dyDescent="0.25">
      <c r="A365" s="1">
        <v>364</v>
      </c>
      <c r="B365" t="s">
        <v>2406</v>
      </c>
      <c r="C365" t="s">
        <v>1136</v>
      </c>
      <c r="D365" t="s">
        <v>1143</v>
      </c>
      <c r="E365" t="s">
        <v>1146</v>
      </c>
      <c r="H365" t="s">
        <v>1203</v>
      </c>
      <c r="I365" t="s">
        <v>1203</v>
      </c>
      <c r="J365" t="s">
        <v>2395</v>
      </c>
      <c r="K365" t="s">
        <v>1212</v>
      </c>
      <c r="M365" s="3">
        <f t="shared" si="20"/>
        <v>28</v>
      </c>
      <c r="N365">
        <v>6</v>
      </c>
      <c r="O365">
        <v>36</v>
      </c>
      <c r="P365">
        <v>30</v>
      </c>
      <c r="Q365">
        <v>34</v>
      </c>
      <c r="R365">
        <v>36</v>
      </c>
      <c r="S365">
        <v>38</v>
      </c>
      <c r="T365">
        <v>16</v>
      </c>
      <c r="U365">
        <v>0</v>
      </c>
      <c r="V365" s="3">
        <f t="shared" si="21"/>
        <v>297</v>
      </c>
      <c r="W365">
        <v>24.75</v>
      </c>
      <c r="X365">
        <v>0</v>
      </c>
      <c r="Y365">
        <f t="shared" si="22"/>
        <v>24.75</v>
      </c>
      <c r="Z365">
        <f t="shared" si="23"/>
        <v>0</v>
      </c>
      <c r="AA365">
        <v>0</v>
      </c>
    </row>
    <row r="366" spans="1:27" x14ac:dyDescent="0.25">
      <c r="A366" s="1">
        <v>365</v>
      </c>
      <c r="B366" t="s">
        <v>2403</v>
      </c>
      <c r="C366" t="s">
        <v>1136</v>
      </c>
      <c r="D366" t="s">
        <v>1144</v>
      </c>
      <c r="E366" t="s">
        <v>1143</v>
      </c>
      <c r="H366" t="s">
        <v>1203</v>
      </c>
      <c r="I366" t="s">
        <v>1203</v>
      </c>
      <c r="J366" t="s">
        <v>2395</v>
      </c>
      <c r="K366" t="s">
        <v>1212</v>
      </c>
      <c r="M366" s="3">
        <f t="shared" si="20"/>
        <v>37.428571428571431</v>
      </c>
      <c r="N366">
        <v>11</v>
      </c>
      <c r="O366">
        <v>50</v>
      </c>
      <c r="P366">
        <v>40</v>
      </c>
      <c r="Q366">
        <v>44</v>
      </c>
      <c r="R366">
        <v>46</v>
      </c>
      <c r="S366">
        <v>48</v>
      </c>
      <c r="T366">
        <v>23</v>
      </c>
      <c r="U366">
        <v>0</v>
      </c>
      <c r="V366" s="3">
        <f t="shared" si="21"/>
        <v>5396</v>
      </c>
      <c r="W366">
        <v>449.66666666666669</v>
      </c>
      <c r="X366">
        <v>0</v>
      </c>
      <c r="Y366">
        <f t="shared" si="22"/>
        <v>449.66666666666669</v>
      </c>
      <c r="Z366">
        <f t="shared" si="23"/>
        <v>0</v>
      </c>
      <c r="AA366">
        <v>0</v>
      </c>
    </row>
    <row r="367" spans="1:27" x14ac:dyDescent="0.25">
      <c r="A367" s="1">
        <v>366</v>
      </c>
      <c r="B367" t="s">
        <v>2409</v>
      </c>
      <c r="C367" t="s">
        <v>1136</v>
      </c>
      <c r="D367" t="s">
        <v>1146</v>
      </c>
      <c r="E367" t="s">
        <v>1144</v>
      </c>
      <c r="H367" t="s">
        <v>1203</v>
      </c>
      <c r="I367" t="s">
        <v>1203</v>
      </c>
      <c r="J367" t="s">
        <v>2395</v>
      </c>
      <c r="K367" t="s">
        <v>1212</v>
      </c>
      <c r="M367" s="3">
        <f t="shared" si="20"/>
        <v>38.285714285714285</v>
      </c>
      <c r="N367">
        <v>11</v>
      </c>
      <c r="O367">
        <v>50</v>
      </c>
      <c r="P367">
        <v>40</v>
      </c>
      <c r="Q367">
        <v>46</v>
      </c>
      <c r="R367">
        <v>48</v>
      </c>
      <c r="S367">
        <v>50</v>
      </c>
      <c r="T367">
        <v>23</v>
      </c>
      <c r="U367">
        <v>0</v>
      </c>
      <c r="V367" s="3">
        <f t="shared" si="21"/>
        <v>6767</v>
      </c>
      <c r="W367">
        <v>563.91666666666663</v>
      </c>
      <c r="X367">
        <v>0</v>
      </c>
      <c r="Y367">
        <f t="shared" si="22"/>
        <v>563.91666666666663</v>
      </c>
      <c r="Z367">
        <f t="shared" si="23"/>
        <v>0</v>
      </c>
      <c r="AA367">
        <v>0</v>
      </c>
    </row>
    <row r="368" spans="1:27" x14ac:dyDescent="0.25">
      <c r="A368" s="1">
        <v>367</v>
      </c>
      <c r="B368" t="s">
        <v>2410</v>
      </c>
      <c r="C368" t="s">
        <v>1136</v>
      </c>
      <c r="D368" t="s">
        <v>1147</v>
      </c>
      <c r="E368" t="s">
        <v>1145</v>
      </c>
      <c r="H368" t="s">
        <v>1203</v>
      </c>
      <c r="I368" t="s">
        <v>1203</v>
      </c>
      <c r="J368" t="s">
        <v>2395</v>
      </c>
      <c r="K368" t="s">
        <v>1212</v>
      </c>
      <c r="M368" s="3">
        <f t="shared" si="20"/>
        <v>42.571428571428569</v>
      </c>
      <c r="N368">
        <v>14</v>
      </c>
      <c r="O368">
        <v>56</v>
      </c>
      <c r="P368">
        <v>46</v>
      </c>
      <c r="Q368">
        <v>50</v>
      </c>
      <c r="R368">
        <v>52</v>
      </c>
      <c r="S368">
        <v>54</v>
      </c>
      <c r="T368">
        <v>26</v>
      </c>
      <c r="U368">
        <v>0</v>
      </c>
      <c r="V368" s="3">
        <f t="shared" si="21"/>
        <v>19552</v>
      </c>
      <c r="W368">
        <v>1629.3333333333333</v>
      </c>
      <c r="X368">
        <v>0</v>
      </c>
      <c r="Y368">
        <f t="shared" si="22"/>
        <v>1629.3333333333333</v>
      </c>
      <c r="Z368">
        <f t="shared" si="23"/>
        <v>0</v>
      </c>
      <c r="AA368">
        <v>0</v>
      </c>
    </row>
    <row r="369" spans="1:27" x14ac:dyDescent="0.25">
      <c r="A369" s="1">
        <v>368</v>
      </c>
      <c r="B369" t="s">
        <v>2405</v>
      </c>
      <c r="C369" t="s">
        <v>1136</v>
      </c>
      <c r="D369" t="s">
        <v>1143</v>
      </c>
      <c r="E369" t="s">
        <v>1144</v>
      </c>
      <c r="H369" t="s">
        <v>1203</v>
      </c>
      <c r="I369" t="s">
        <v>1203</v>
      </c>
      <c r="J369" t="s">
        <v>2395</v>
      </c>
      <c r="K369" t="s">
        <v>1212</v>
      </c>
      <c r="M369" s="3">
        <f t="shared" si="20"/>
        <v>40.857142857142854</v>
      </c>
      <c r="N369">
        <v>13</v>
      </c>
      <c r="O369">
        <v>54</v>
      </c>
      <c r="P369">
        <v>44</v>
      </c>
      <c r="Q369">
        <v>48</v>
      </c>
      <c r="R369">
        <v>50</v>
      </c>
      <c r="S369">
        <v>52</v>
      </c>
      <c r="T369">
        <v>25</v>
      </c>
      <c r="U369">
        <v>0</v>
      </c>
      <c r="V369" s="3">
        <f t="shared" si="21"/>
        <v>12963</v>
      </c>
      <c r="W369">
        <v>1080.25</v>
      </c>
      <c r="X369">
        <v>0</v>
      </c>
      <c r="Y369">
        <f t="shared" si="22"/>
        <v>1080.25</v>
      </c>
      <c r="Z369">
        <f t="shared" si="23"/>
        <v>0</v>
      </c>
      <c r="AA369">
        <v>0</v>
      </c>
    </row>
    <row r="370" spans="1:27" x14ac:dyDescent="0.25">
      <c r="A370" s="1">
        <v>369</v>
      </c>
      <c r="B370" t="s">
        <v>2408</v>
      </c>
      <c r="C370" t="s">
        <v>1136</v>
      </c>
      <c r="D370" t="s">
        <v>1145</v>
      </c>
      <c r="E370" t="s">
        <v>1147</v>
      </c>
      <c r="H370" t="s">
        <v>1203</v>
      </c>
      <c r="I370" t="s">
        <v>1203</v>
      </c>
      <c r="J370" t="s">
        <v>2395</v>
      </c>
      <c r="K370" t="s">
        <v>1212</v>
      </c>
      <c r="M370" s="3">
        <f t="shared" si="20"/>
        <v>29.857142857142858</v>
      </c>
      <c r="N370">
        <v>7</v>
      </c>
      <c r="O370">
        <v>38</v>
      </c>
      <c r="P370">
        <v>32</v>
      </c>
      <c r="Q370">
        <v>36</v>
      </c>
      <c r="R370">
        <v>38</v>
      </c>
      <c r="S370">
        <v>40</v>
      </c>
      <c r="T370">
        <v>18</v>
      </c>
      <c r="U370">
        <v>0</v>
      </c>
      <c r="V370" s="3">
        <f t="shared" si="21"/>
        <v>563</v>
      </c>
      <c r="W370">
        <v>46.916666666666664</v>
      </c>
      <c r="X370">
        <v>0</v>
      </c>
      <c r="Y370">
        <f t="shared" si="22"/>
        <v>46.916666666666664</v>
      </c>
      <c r="Z370">
        <f t="shared" si="23"/>
        <v>0</v>
      </c>
      <c r="AA370">
        <v>0</v>
      </c>
    </row>
    <row r="371" spans="1:27" x14ac:dyDescent="0.25">
      <c r="A371" s="1">
        <v>370</v>
      </c>
      <c r="B371" t="s">
        <v>2404</v>
      </c>
      <c r="C371" t="s">
        <v>1136</v>
      </c>
      <c r="D371" t="s">
        <v>1144</v>
      </c>
      <c r="E371" t="s">
        <v>1138</v>
      </c>
      <c r="H371" t="s">
        <v>1203</v>
      </c>
      <c r="I371" t="s">
        <v>1203</v>
      </c>
      <c r="J371" t="s">
        <v>2395</v>
      </c>
      <c r="K371" t="s">
        <v>1212</v>
      </c>
      <c r="M371" s="3">
        <f t="shared" si="20"/>
        <v>34.428571428571431</v>
      </c>
      <c r="N371">
        <v>9</v>
      </c>
      <c r="O371">
        <v>44</v>
      </c>
      <c r="P371">
        <v>36</v>
      </c>
      <c r="Q371">
        <v>42</v>
      </c>
      <c r="R371">
        <v>44</v>
      </c>
      <c r="S371">
        <v>46</v>
      </c>
      <c r="T371">
        <v>20</v>
      </c>
      <c r="U371">
        <v>0</v>
      </c>
      <c r="V371" s="3">
        <f t="shared" si="21"/>
        <v>2340</v>
      </c>
      <c r="W371">
        <v>195</v>
      </c>
      <c r="X371">
        <v>0</v>
      </c>
      <c r="Y371">
        <f t="shared" si="22"/>
        <v>195</v>
      </c>
      <c r="Z371">
        <f t="shared" si="23"/>
        <v>0</v>
      </c>
      <c r="AA371">
        <v>0</v>
      </c>
    </row>
    <row r="372" spans="1:27" x14ac:dyDescent="0.25">
      <c r="A372" s="1">
        <v>371</v>
      </c>
      <c r="B372" t="s">
        <v>2407</v>
      </c>
      <c r="C372" t="s">
        <v>1136</v>
      </c>
      <c r="D372" t="s">
        <v>1145</v>
      </c>
      <c r="E372" t="s">
        <v>1143</v>
      </c>
      <c r="H372" t="s">
        <v>1203</v>
      </c>
      <c r="I372" t="s">
        <v>1203</v>
      </c>
      <c r="J372" t="s">
        <v>2395</v>
      </c>
      <c r="K372" t="s">
        <v>1212</v>
      </c>
      <c r="M372" s="3">
        <f t="shared" si="20"/>
        <v>36.571428571428569</v>
      </c>
      <c r="N372">
        <v>10</v>
      </c>
      <c r="O372">
        <v>48</v>
      </c>
      <c r="P372">
        <v>38</v>
      </c>
      <c r="Q372">
        <v>44</v>
      </c>
      <c r="R372">
        <v>46</v>
      </c>
      <c r="S372">
        <v>48</v>
      </c>
      <c r="T372">
        <v>22</v>
      </c>
      <c r="U372">
        <v>0</v>
      </c>
      <c r="V372" s="3">
        <f t="shared" si="21"/>
        <v>4280</v>
      </c>
      <c r="W372">
        <v>356.66666666666669</v>
      </c>
      <c r="X372">
        <v>0</v>
      </c>
      <c r="Y372">
        <f t="shared" si="22"/>
        <v>356.66666666666669</v>
      </c>
      <c r="Z372">
        <f t="shared" si="23"/>
        <v>0</v>
      </c>
      <c r="AA372">
        <v>0</v>
      </c>
    </row>
    <row r="373" spans="1:27" x14ac:dyDescent="0.25">
      <c r="A373" s="1">
        <v>372</v>
      </c>
      <c r="B373" t="s">
        <v>2398</v>
      </c>
      <c r="C373" t="s">
        <v>1137</v>
      </c>
      <c r="D373" t="s">
        <v>1137</v>
      </c>
      <c r="H373" t="s">
        <v>1203</v>
      </c>
      <c r="I373" t="s">
        <v>1203</v>
      </c>
      <c r="J373" t="s">
        <v>2395</v>
      </c>
      <c r="K373" t="s">
        <v>1212</v>
      </c>
      <c r="M373" s="3">
        <f t="shared" si="20"/>
        <v>33.571428571428569</v>
      </c>
      <c r="N373">
        <v>9</v>
      </c>
      <c r="O373">
        <v>44</v>
      </c>
      <c r="P373">
        <v>36</v>
      </c>
      <c r="Q373">
        <v>40</v>
      </c>
      <c r="R373">
        <v>42</v>
      </c>
      <c r="S373">
        <v>44</v>
      </c>
      <c r="T373">
        <v>20</v>
      </c>
      <c r="U373">
        <v>0</v>
      </c>
      <c r="V373" s="3">
        <f t="shared" si="21"/>
        <v>1819</v>
      </c>
      <c r="W373">
        <v>151.58333333333334</v>
      </c>
      <c r="X373">
        <v>0</v>
      </c>
      <c r="Y373">
        <f t="shared" si="22"/>
        <v>151.58333333333334</v>
      </c>
      <c r="Z373">
        <f t="shared" si="23"/>
        <v>0</v>
      </c>
      <c r="AA373">
        <v>0</v>
      </c>
    </row>
    <row r="374" spans="1:27" x14ac:dyDescent="0.25">
      <c r="A374" s="1">
        <v>373</v>
      </c>
      <c r="B374" t="s">
        <v>83</v>
      </c>
      <c r="C374" t="s">
        <v>1133</v>
      </c>
      <c r="D374" t="s">
        <v>1133</v>
      </c>
      <c r="G374" t="s">
        <v>1193</v>
      </c>
      <c r="H374" t="s">
        <v>1193</v>
      </c>
      <c r="I374" t="s">
        <v>1193</v>
      </c>
      <c r="J374" t="s">
        <v>1260</v>
      </c>
      <c r="K374" t="s">
        <v>1212</v>
      </c>
      <c r="M374" s="3">
        <f t="shared" si="20"/>
        <v>85.142857142857139</v>
      </c>
      <c r="N374">
        <v>75</v>
      </c>
      <c r="O374">
        <v>86</v>
      </c>
      <c r="P374">
        <v>86</v>
      </c>
      <c r="Q374">
        <v>82</v>
      </c>
      <c r="R374">
        <v>85</v>
      </c>
      <c r="S374">
        <v>92</v>
      </c>
      <c r="T374">
        <v>90</v>
      </c>
      <c r="U374">
        <v>30</v>
      </c>
      <c r="V374" s="3">
        <f t="shared" si="21"/>
        <v>30031254</v>
      </c>
      <c r="W374">
        <v>2502604.5</v>
      </c>
      <c r="X374">
        <v>0</v>
      </c>
      <c r="Y374">
        <f t="shared" si="22"/>
        <v>2502604.5</v>
      </c>
      <c r="Z374">
        <f t="shared" si="23"/>
        <v>0</v>
      </c>
      <c r="AA374">
        <v>0</v>
      </c>
    </row>
    <row r="375" spans="1:27" x14ac:dyDescent="0.25">
      <c r="A375" s="1">
        <v>374</v>
      </c>
      <c r="B375" t="s">
        <v>78</v>
      </c>
      <c r="C375" t="s">
        <v>1133</v>
      </c>
      <c r="D375" t="s">
        <v>1133</v>
      </c>
      <c r="G375" t="s">
        <v>1190</v>
      </c>
      <c r="H375" t="s">
        <v>1190</v>
      </c>
      <c r="I375" t="s">
        <v>1190</v>
      </c>
      <c r="J375" t="s">
        <v>1260</v>
      </c>
      <c r="K375" t="s">
        <v>1212</v>
      </c>
      <c r="M375" s="3">
        <f t="shared" si="20"/>
        <v>62.285714285714285</v>
      </c>
      <c r="N375">
        <v>41</v>
      </c>
      <c r="O375">
        <v>64</v>
      </c>
      <c r="P375">
        <v>60</v>
      </c>
      <c r="Q375">
        <v>70</v>
      </c>
      <c r="R375">
        <v>72</v>
      </c>
      <c r="S375">
        <v>71</v>
      </c>
      <c r="T375">
        <v>58</v>
      </c>
      <c r="U375">
        <v>0</v>
      </c>
      <c r="V375" s="3">
        <f t="shared" si="21"/>
        <v>878789</v>
      </c>
      <c r="W375">
        <v>73232.416666666672</v>
      </c>
      <c r="X375">
        <v>0</v>
      </c>
      <c r="Y375">
        <f t="shared" si="22"/>
        <v>73232.416666666672</v>
      </c>
      <c r="Z375">
        <f t="shared" si="23"/>
        <v>0</v>
      </c>
      <c r="AA375">
        <v>0</v>
      </c>
    </row>
    <row r="376" spans="1:27" x14ac:dyDescent="0.25">
      <c r="A376" s="1">
        <v>375</v>
      </c>
      <c r="B376" t="s">
        <v>344</v>
      </c>
      <c r="C376" t="s">
        <v>1134</v>
      </c>
      <c r="D376" t="s">
        <v>1138</v>
      </c>
      <c r="E376" t="s">
        <v>1140</v>
      </c>
      <c r="F376" t="s">
        <v>1144</v>
      </c>
      <c r="G376" t="s">
        <v>1193</v>
      </c>
      <c r="H376" t="s">
        <v>1193</v>
      </c>
      <c r="I376" t="s">
        <v>1193</v>
      </c>
      <c r="J376" t="s">
        <v>1260</v>
      </c>
      <c r="K376" t="s">
        <v>1212</v>
      </c>
      <c r="M376" s="3">
        <f t="shared" si="20"/>
        <v>82.428571428571431</v>
      </c>
      <c r="N376">
        <v>70</v>
      </c>
      <c r="O376">
        <v>75</v>
      </c>
      <c r="P376">
        <v>89</v>
      </c>
      <c r="Q376">
        <v>80</v>
      </c>
      <c r="R376">
        <v>89</v>
      </c>
      <c r="S376">
        <v>98</v>
      </c>
      <c r="T376">
        <v>76</v>
      </c>
      <c r="U376">
        <v>28</v>
      </c>
      <c r="V376" s="3">
        <f t="shared" si="21"/>
        <v>21720459</v>
      </c>
      <c r="W376">
        <v>1810038.25</v>
      </c>
      <c r="X376">
        <v>0</v>
      </c>
      <c r="Y376">
        <f t="shared" si="22"/>
        <v>1810038.25</v>
      </c>
      <c r="Z376">
        <f t="shared" si="23"/>
        <v>0</v>
      </c>
      <c r="AA376">
        <v>0</v>
      </c>
    </row>
    <row r="377" spans="1:27" x14ac:dyDescent="0.25">
      <c r="A377" s="1">
        <v>376</v>
      </c>
      <c r="B377" t="s">
        <v>268</v>
      </c>
      <c r="C377" t="s">
        <v>1134</v>
      </c>
      <c r="D377" t="s">
        <v>1138</v>
      </c>
      <c r="G377" t="s">
        <v>1178</v>
      </c>
      <c r="H377" t="s">
        <v>1178</v>
      </c>
      <c r="I377" t="s">
        <v>1178</v>
      </c>
      <c r="J377" t="s">
        <v>1260</v>
      </c>
      <c r="K377" t="s">
        <v>1212</v>
      </c>
      <c r="M377" s="3">
        <f t="shared" si="20"/>
        <v>51.571428571428569</v>
      </c>
      <c r="N377">
        <v>30</v>
      </c>
      <c r="O377">
        <v>40</v>
      </c>
      <c r="P377">
        <v>50</v>
      </c>
      <c r="Q377">
        <v>68</v>
      </c>
      <c r="R377">
        <v>73</v>
      </c>
      <c r="S377">
        <v>70</v>
      </c>
      <c r="T377">
        <v>30</v>
      </c>
      <c r="U377">
        <v>0</v>
      </c>
      <c r="V377" s="3">
        <f t="shared" si="21"/>
        <v>133074</v>
      </c>
      <c r="W377">
        <v>11089.5</v>
      </c>
      <c r="X377">
        <v>0</v>
      </c>
      <c r="Y377">
        <f t="shared" si="22"/>
        <v>11089.5</v>
      </c>
      <c r="Z377">
        <f t="shared" si="23"/>
        <v>0</v>
      </c>
      <c r="AA377">
        <v>0</v>
      </c>
    </row>
    <row r="378" spans="1:27" x14ac:dyDescent="0.25">
      <c r="A378" s="1">
        <v>377</v>
      </c>
      <c r="B378" t="s">
        <v>343</v>
      </c>
      <c r="C378" t="s">
        <v>1134</v>
      </c>
      <c r="D378" t="s">
        <v>1138</v>
      </c>
      <c r="E378" t="s">
        <v>1144</v>
      </c>
      <c r="G378" t="s">
        <v>1193</v>
      </c>
      <c r="H378" t="s">
        <v>1193</v>
      </c>
      <c r="I378" t="s">
        <v>1193</v>
      </c>
      <c r="J378" t="s">
        <v>1260</v>
      </c>
      <c r="K378" t="s">
        <v>1212</v>
      </c>
      <c r="M378" s="3">
        <f t="shared" si="20"/>
        <v>86.428571428571431</v>
      </c>
      <c r="N378">
        <v>80</v>
      </c>
      <c r="O378">
        <v>81</v>
      </c>
      <c r="P378">
        <v>90</v>
      </c>
      <c r="Q378">
        <v>85</v>
      </c>
      <c r="R378">
        <v>90</v>
      </c>
      <c r="S378">
        <v>99</v>
      </c>
      <c r="T378">
        <v>80</v>
      </c>
      <c r="U378">
        <v>27</v>
      </c>
      <c r="V378" s="3">
        <f t="shared" si="21"/>
        <v>34887079</v>
      </c>
      <c r="W378">
        <v>2907256.5833333335</v>
      </c>
      <c r="X378">
        <v>0</v>
      </c>
      <c r="Y378">
        <f t="shared" si="22"/>
        <v>2907256.5833333335</v>
      </c>
      <c r="Z378">
        <f t="shared" si="23"/>
        <v>0</v>
      </c>
      <c r="AA378">
        <v>0</v>
      </c>
    </row>
    <row r="379" spans="1:27" x14ac:dyDescent="0.25">
      <c r="A379" s="1">
        <v>378</v>
      </c>
      <c r="B379" t="s">
        <v>398</v>
      </c>
      <c r="C379" t="s">
        <v>1134</v>
      </c>
      <c r="D379" t="s">
        <v>1138</v>
      </c>
      <c r="E379" t="s">
        <v>1140</v>
      </c>
      <c r="F379" t="s">
        <v>1144</v>
      </c>
      <c r="G379" t="s">
        <v>1205</v>
      </c>
      <c r="H379" t="s">
        <v>1205</v>
      </c>
      <c r="I379" t="s">
        <v>1205</v>
      </c>
      <c r="J379" t="s">
        <v>1260</v>
      </c>
      <c r="K379" t="s">
        <v>1212</v>
      </c>
      <c r="M379" s="3">
        <f t="shared" si="20"/>
        <v>84</v>
      </c>
      <c r="N379">
        <v>81</v>
      </c>
      <c r="O379">
        <v>80</v>
      </c>
      <c r="P379">
        <v>81</v>
      </c>
      <c r="Q379">
        <v>80</v>
      </c>
      <c r="R379">
        <v>87</v>
      </c>
      <c r="S379">
        <v>98</v>
      </c>
      <c r="T379">
        <v>81</v>
      </c>
      <c r="U379">
        <v>26</v>
      </c>
      <c r="V379" s="3">
        <f t="shared" si="21"/>
        <v>26235185</v>
      </c>
      <c r="W379">
        <v>2186265.4166666665</v>
      </c>
      <c r="X379">
        <v>0</v>
      </c>
      <c r="Y379">
        <f t="shared" si="22"/>
        <v>2186265.4166666665</v>
      </c>
      <c r="Z379">
        <f t="shared" si="23"/>
        <v>0</v>
      </c>
      <c r="AA379">
        <v>0</v>
      </c>
    </row>
    <row r="380" spans="1:27" x14ac:dyDescent="0.25">
      <c r="A380" s="1">
        <v>379</v>
      </c>
      <c r="B380" t="s">
        <v>576</v>
      </c>
      <c r="C380" t="s">
        <v>1135</v>
      </c>
      <c r="D380" t="s">
        <v>1142</v>
      </c>
      <c r="E380" t="s">
        <v>1147</v>
      </c>
      <c r="G380" t="s">
        <v>1193</v>
      </c>
      <c r="H380" t="s">
        <v>1193</v>
      </c>
      <c r="I380" t="s">
        <v>1193</v>
      </c>
      <c r="J380" t="s">
        <v>1260</v>
      </c>
      <c r="K380" t="s">
        <v>1212</v>
      </c>
      <c r="M380" s="3">
        <f t="shared" si="20"/>
        <v>84</v>
      </c>
      <c r="N380">
        <v>82</v>
      </c>
      <c r="O380">
        <v>91</v>
      </c>
      <c r="P380">
        <v>83</v>
      </c>
      <c r="Q380">
        <v>84</v>
      </c>
      <c r="R380">
        <v>79</v>
      </c>
      <c r="S380">
        <v>84</v>
      </c>
      <c r="T380">
        <v>85</v>
      </c>
      <c r="U380">
        <v>12</v>
      </c>
      <c r="V380" s="3">
        <f t="shared" si="21"/>
        <v>26235185</v>
      </c>
      <c r="W380">
        <v>2186265.4166666665</v>
      </c>
      <c r="X380">
        <v>0</v>
      </c>
      <c r="Y380">
        <f t="shared" si="22"/>
        <v>2186265.4166666665</v>
      </c>
      <c r="Z380">
        <f t="shared" si="23"/>
        <v>0</v>
      </c>
      <c r="AA380">
        <v>0</v>
      </c>
    </row>
    <row r="381" spans="1:27" x14ac:dyDescent="0.25">
      <c r="A381" s="1">
        <v>380</v>
      </c>
      <c r="B381" t="s">
        <v>577</v>
      </c>
      <c r="C381" t="s">
        <v>1135</v>
      </c>
      <c r="D381" t="s">
        <v>1141</v>
      </c>
      <c r="G381" t="s">
        <v>1193</v>
      </c>
      <c r="H381" t="s">
        <v>1193</v>
      </c>
      <c r="I381" t="s">
        <v>1193</v>
      </c>
      <c r="J381" t="s">
        <v>1260</v>
      </c>
      <c r="K381" t="s">
        <v>1212</v>
      </c>
      <c r="M381" s="3">
        <f t="shared" si="20"/>
        <v>82.142857142857139</v>
      </c>
      <c r="N381">
        <v>80</v>
      </c>
      <c r="O381">
        <v>82</v>
      </c>
      <c r="P381">
        <v>88</v>
      </c>
      <c r="Q381">
        <v>78</v>
      </c>
      <c r="R381">
        <v>84</v>
      </c>
      <c r="S381">
        <v>93</v>
      </c>
      <c r="T381">
        <v>70</v>
      </c>
      <c r="U381">
        <v>6</v>
      </c>
      <c r="V381" s="3">
        <f t="shared" si="21"/>
        <v>20979219</v>
      </c>
      <c r="W381">
        <v>1748268.25</v>
      </c>
      <c r="X381">
        <v>0</v>
      </c>
      <c r="Y381">
        <f t="shared" si="22"/>
        <v>1748268.25</v>
      </c>
      <c r="Z381">
        <f t="shared" si="23"/>
        <v>0</v>
      </c>
      <c r="AA381">
        <v>0</v>
      </c>
    </row>
    <row r="382" spans="1:27" x14ac:dyDescent="0.25">
      <c r="A382" s="1">
        <v>381</v>
      </c>
      <c r="B382" t="s">
        <v>613</v>
      </c>
      <c r="C382" t="s">
        <v>1135</v>
      </c>
      <c r="D382" t="s">
        <v>1141</v>
      </c>
      <c r="E382" t="s">
        <v>1145</v>
      </c>
      <c r="G382" t="s">
        <v>1206</v>
      </c>
      <c r="H382" t="s">
        <v>1206</v>
      </c>
      <c r="I382" t="s">
        <v>1206</v>
      </c>
      <c r="J382" t="s">
        <v>1260</v>
      </c>
      <c r="K382" t="s">
        <v>1212</v>
      </c>
      <c r="M382" s="3">
        <f t="shared" si="20"/>
        <v>68.571428571428569</v>
      </c>
      <c r="N382">
        <v>41</v>
      </c>
      <c r="O382">
        <v>71</v>
      </c>
      <c r="P382">
        <v>80</v>
      </c>
      <c r="Q382">
        <v>70</v>
      </c>
      <c r="R382">
        <v>80</v>
      </c>
      <c r="S382">
        <v>88</v>
      </c>
      <c r="T382">
        <v>50</v>
      </c>
      <c r="U382">
        <v>0</v>
      </c>
      <c r="V382" s="3">
        <f t="shared" si="21"/>
        <v>2298434</v>
      </c>
      <c r="W382">
        <v>191536.16666666666</v>
      </c>
      <c r="X382">
        <v>0</v>
      </c>
      <c r="Y382">
        <f t="shared" si="22"/>
        <v>191536.16666666666</v>
      </c>
      <c r="Z382">
        <f t="shared" si="23"/>
        <v>0</v>
      </c>
      <c r="AA382">
        <v>0</v>
      </c>
    </row>
    <row r="383" spans="1:27" x14ac:dyDescent="0.25">
      <c r="A383" s="1">
        <v>382</v>
      </c>
      <c r="B383" t="s">
        <v>578</v>
      </c>
      <c r="C383" t="s">
        <v>1135</v>
      </c>
      <c r="D383" t="s">
        <v>1141</v>
      </c>
      <c r="E383" t="s">
        <v>1145</v>
      </c>
      <c r="G383" t="s">
        <v>1193</v>
      </c>
      <c r="H383" t="s">
        <v>1193</v>
      </c>
      <c r="I383" t="s">
        <v>1193</v>
      </c>
      <c r="J383" t="s">
        <v>1260</v>
      </c>
      <c r="K383" t="s">
        <v>1212</v>
      </c>
      <c r="M383" s="3">
        <f t="shared" si="20"/>
        <v>78.428571428571431</v>
      </c>
      <c r="N383">
        <v>72</v>
      </c>
      <c r="O383">
        <v>84</v>
      </c>
      <c r="P383">
        <v>81</v>
      </c>
      <c r="Q383">
        <v>80</v>
      </c>
      <c r="R383">
        <v>73</v>
      </c>
      <c r="S383">
        <v>86</v>
      </c>
      <c r="T383">
        <v>73</v>
      </c>
      <c r="U383">
        <v>8</v>
      </c>
      <c r="V383" s="3">
        <f t="shared" si="21"/>
        <v>13207917</v>
      </c>
      <c r="W383">
        <v>1100659.75</v>
      </c>
      <c r="X383">
        <v>0</v>
      </c>
      <c r="Y383">
        <f t="shared" si="22"/>
        <v>1100659.75</v>
      </c>
      <c r="Z383">
        <f t="shared" si="23"/>
        <v>0</v>
      </c>
      <c r="AA383">
        <v>0</v>
      </c>
    </row>
    <row r="384" spans="1:27" x14ac:dyDescent="0.25">
      <c r="A384" s="1">
        <v>383</v>
      </c>
      <c r="B384" t="s">
        <v>908</v>
      </c>
      <c r="C384" t="s">
        <v>1136</v>
      </c>
      <c r="D384" t="s">
        <v>1147</v>
      </c>
      <c r="G384" t="s">
        <v>1193</v>
      </c>
      <c r="H384" t="s">
        <v>1193</v>
      </c>
      <c r="I384" t="s">
        <v>1193</v>
      </c>
      <c r="J384" t="s">
        <v>1260</v>
      </c>
      <c r="K384" t="s">
        <v>1212</v>
      </c>
      <c r="M384" s="3">
        <f t="shared" si="20"/>
        <v>75.857142857142861</v>
      </c>
      <c r="N384">
        <v>55</v>
      </c>
      <c r="O384">
        <v>86</v>
      </c>
      <c r="P384">
        <v>77</v>
      </c>
      <c r="Q384">
        <v>82</v>
      </c>
      <c r="R384">
        <v>81</v>
      </c>
      <c r="S384">
        <v>80</v>
      </c>
      <c r="T384">
        <v>70</v>
      </c>
      <c r="U384">
        <v>0</v>
      </c>
      <c r="V384" s="3">
        <f t="shared" si="21"/>
        <v>6309063</v>
      </c>
      <c r="W384">
        <v>525755.25</v>
      </c>
      <c r="X384">
        <v>0</v>
      </c>
      <c r="Y384">
        <f t="shared" si="22"/>
        <v>525755.25</v>
      </c>
      <c r="Z384">
        <f t="shared" si="23"/>
        <v>0</v>
      </c>
      <c r="AA384">
        <v>0</v>
      </c>
    </row>
    <row r="385" spans="1:27" x14ac:dyDescent="0.25">
      <c r="A385" s="1">
        <v>384</v>
      </c>
      <c r="B385" t="s">
        <v>906</v>
      </c>
      <c r="C385" t="s">
        <v>1136</v>
      </c>
      <c r="D385" t="s">
        <v>1144</v>
      </c>
      <c r="E385" t="s">
        <v>1143</v>
      </c>
      <c r="G385" t="s">
        <v>1193</v>
      </c>
      <c r="H385" t="s">
        <v>1193</v>
      </c>
      <c r="I385" t="s">
        <v>1193</v>
      </c>
      <c r="J385" t="s">
        <v>1260</v>
      </c>
      <c r="K385" t="s">
        <v>1212</v>
      </c>
      <c r="M385" s="3">
        <f t="shared" si="20"/>
        <v>77.285714285714292</v>
      </c>
      <c r="N385">
        <v>55</v>
      </c>
      <c r="O385">
        <v>83</v>
      </c>
      <c r="P385">
        <v>82</v>
      </c>
      <c r="Q385">
        <v>80</v>
      </c>
      <c r="R385">
        <v>77</v>
      </c>
      <c r="S385">
        <v>91</v>
      </c>
      <c r="T385">
        <v>73</v>
      </c>
      <c r="U385">
        <v>0</v>
      </c>
      <c r="V385" s="3">
        <f t="shared" si="21"/>
        <v>7603128</v>
      </c>
      <c r="W385">
        <v>633594</v>
      </c>
      <c r="X385">
        <v>0</v>
      </c>
      <c r="Y385">
        <f t="shared" si="22"/>
        <v>633594</v>
      </c>
      <c r="Z385">
        <f t="shared" si="23"/>
        <v>0</v>
      </c>
      <c r="AA385">
        <v>0</v>
      </c>
    </row>
    <row r="386" spans="1:27" x14ac:dyDescent="0.25">
      <c r="A386" s="1">
        <v>385</v>
      </c>
      <c r="B386" t="s">
        <v>709</v>
      </c>
      <c r="C386" t="s">
        <v>1136</v>
      </c>
      <c r="D386" t="s">
        <v>1145</v>
      </c>
      <c r="E386" t="s">
        <v>1141</v>
      </c>
      <c r="G386" t="s">
        <v>1161</v>
      </c>
      <c r="H386" t="s">
        <v>1161</v>
      </c>
      <c r="I386" t="s">
        <v>1161</v>
      </c>
      <c r="J386" t="s">
        <v>1260</v>
      </c>
      <c r="K386" t="s">
        <v>1212</v>
      </c>
      <c r="M386" s="3">
        <f t="shared" ref="M386:M449" si="24">AVERAGE(N386:T386)</f>
        <v>77.714285714285708</v>
      </c>
      <c r="N386">
        <v>62</v>
      </c>
      <c r="O386">
        <v>78</v>
      </c>
      <c r="P386">
        <v>84</v>
      </c>
      <c r="Q386">
        <v>80</v>
      </c>
      <c r="R386">
        <v>78</v>
      </c>
      <c r="S386">
        <v>82</v>
      </c>
      <c r="T386">
        <v>80</v>
      </c>
      <c r="U386">
        <v>12</v>
      </c>
      <c r="V386" s="3">
        <f t="shared" ref="V386:V449" si="25">ROUNDUP(M386^10/1000000000000 * IF(U386&gt;0,1.5,1),0)</f>
        <v>12053131</v>
      </c>
      <c r="W386">
        <v>1004427.5833333334</v>
      </c>
      <c r="X386">
        <v>0</v>
      </c>
      <c r="Y386">
        <f t="shared" ref="Y386:Y449" si="26">V386/12</f>
        <v>1004427.5833333334</v>
      </c>
      <c r="Z386">
        <f t="shared" ref="Z386:Z449" si="27">ROUND(((W386-Y386)/Y386)*100,2)</f>
        <v>0</v>
      </c>
      <c r="AA386">
        <v>0</v>
      </c>
    </row>
    <row r="387" spans="1:27" x14ac:dyDescent="0.25">
      <c r="A387" s="1">
        <v>386</v>
      </c>
      <c r="B387" t="s">
        <v>911</v>
      </c>
      <c r="C387" t="s">
        <v>1136</v>
      </c>
      <c r="D387" t="s">
        <v>1143</v>
      </c>
      <c r="E387" t="s">
        <v>1145</v>
      </c>
      <c r="G387" t="s">
        <v>1193</v>
      </c>
      <c r="H387" t="s">
        <v>1193</v>
      </c>
      <c r="I387" t="s">
        <v>1193</v>
      </c>
      <c r="J387" t="s">
        <v>1260</v>
      </c>
      <c r="K387" t="s">
        <v>1212</v>
      </c>
      <c r="M387" s="3">
        <f t="shared" si="24"/>
        <v>76.428571428571431</v>
      </c>
      <c r="N387">
        <v>61</v>
      </c>
      <c r="O387">
        <v>81</v>
      </c>
      <c r="P387">
        <v>79</v>
      </c>
      <c r="Q387">
        <v>82</v>
      </c>
      <c r="R387">
        <v>76</v>
      </c>
      <c r="S387">
        <v>85</v>
      </c>
      <c r="T387">
        <v>71</v>
      </c>
      <c r="U387">
        <v>0</v>
      </c>
      <c r="V387" s="3">
        <f t="shared" si="25"/>
        <v>6800760</v>
      </c>
      <c r="W387">
        <v>566730</v>
      </c>
      <c r="X387">
        <v>0</v>
      </c>
      <c r="Y387">
        <f t="shared" si="26"/>
        <v>566730</v>
      </c>
      <c r="Z387">
        <f t="shared" si="27"/>
        <v>0</v>
      </c>
      <c r="AA387">
        <v>0</v>
      </c>
    </row>
    <row r="388" spans="1:27" x14ac:dyDescent="0.25">
      <c r="A388" s="1">
        <v>387</v>
      </c>
      <c r="B388" t="s">
        <v>907</v>
      </c>
      <c r="C388" t="s">
        <v>1136</v>
      </c>
      <c r="D388" t="s">
        <v>1144</v>
      </c>
      <c r="E388" t="s">
        <v>1143</v>
      </c>
      <c r="G388" t="s">
        <v>1193</v>
      </c>
      <c r="H388" t="s">
        <v>1193</v>
      </c>
      <c r="I388" t="s">
        <v>1193</v>
      </c>
      <c r="J388" t="s">
        <v>1260</v>
      </c>
      <c r="K388" t="s">
        <v>1212</v>
      </c>
      <c r="M388" s="3">
        <f t="shared" si="24"/>
        <v>77.714285714285708</v>
      </c>
      <c r="N388">
        <v>56</v>
      </c>
      <c r="O388">
        <v>81</v>
      </c>
      <c r="P388">
        <v>81</v>
      </c>
      <c r="Q388">
        <v>83</v>
      </c>
      <c r="R388">
        <v>78</v>
      </c>
      <c r="S388">
        <v>94</v>
      </c>
      <c r="T388">
        <v>71</v>
      </c>
      <c r="U388">
        <v>0</v>
      </c>
      <c r="V388" s="3">
        <f t="shared" si="25"/>
        <v>8035421</v>
      </c>
      <c r="W388">
        <v>669618.41666666663</v>
      </c>
      <c r="X388">
        <v>0</v>
      </c>
      <c r="Y388">
        <f t="shared" si="26"/>
        <v>669618.41666666663</v>
      </c>
      <c r="Z388">
        <f t="shared" si="27"/>
        <v>0</v>
      </c>
      <c r="AA388">
        <v>0</v>
      </c>
    </row>
    <row r="389" spans="1:27" x14ac:dyDescent="0.25">
      <c r="A389" s="1">
        <v>388</v>
      </c>
      <c r="B389" t="s">
        <v>910</v>
      </c>
      <c r="C389" t="s">
        <v>1136</v>
      </c>
      <c r="D389" t="s">
        <v>1143</v>
      </c>
      <c r="G389" t="s">
        <v>1193</v>
      </c>
      <c r="H389" t="s">
        <v>1193</v>
      </c>
      <c r="I389" t="s">
        <v>1193</v>
      </c>
      <c r="J389" t="s">
        <v>1260</v>
      </c>
      <c r="K389" t="s">
        <v>1212</v>
      </c>
      <c r="M389" s="3">
        <f t="shared" si="24"/>
        <v>77</v>
      </c>
      <c r="N389">
        <v>61</v>
      </c>
      <c r="O389">
        <v>80</v>
      </c>
      <c r="P389">
        <v>80</v>
      </c>
      <c r="Q389">
        <v>84</v>
      </c>
      <c r="R389">
        <v>74</v>
      </c>
      <c r="S389">
        <v>88</v>
      </c>
      <c r="T389">
        <v>72</v>
      </c>
      <c r="U389">
        <v>0</v>
      </c>
      <c r="V389" s="3">
        <f t="shared" si="25"/>
        <v>7326681</v>
      </c>
      <c r="W389">
        <v>610556.75</v>
      </c>
      <c r="X389">
        <v>0</v>
      </c>
      <c r="Y389">
        <f t="shared" si="26"/>
        <v>610556.75</v>
      </c>
      <c r="Z389">
        <f t="shared" si="27"/>
        <v>0</v>
      </c>
      <c r="AA389">
        <v>0</v>
      </c>
    </row>
    <row r="390" spans="1:27" x14ac:dyDescent="0.25">
      <c r="A390" s="1">
        <v>389</v>
      </c>
      <c r="B390" t="s">
        <v>913</v>
      </c>
      <c r="C390" t="s">
        <v>1136</v>
      </c>
      <c r="D390" t="s">
        <v>1147</v>
      </c>
      <c r="E390" t="s">
        <v>1146</v>
      </c>
      <c r="F390" t="s">
        <v>1144</v>
      </c>
      <c r="G390" t="s">
        <v>1193</v>
      </c>
      <c r="H390" t="s">
        <v>1193</v>
      </c>
      <c r="I390" t="s">
        <v>1193</v>
      </c>
      <c r="J390" t="s">
        <v>1260</v>
      </c>
      <c r="K390" t="s">
        <v>1212</v>
      </c>
      <c r="M390" s="3">
        <f t="shared" si="24"/>
        <v>75.285714285714292</v>
      </c>
      <c r="N390">
        <v>61</v>
      </c>
      <c r="O390">
        <v>89</v>
      </c>
      <c r="P390">
        <v>80</v>
      </c>
      <c r="Q390">
        <v>84</v>
      </c>
      <c r="R390">
        <v>78</v>
      </c>
      <c r="S390">
        <v>69</v>
      </c>
      <c r="T390">
        <v>66</v>
      </c>
      <c r="U390">
        <v>0</v>
      </c>
      <c r="V390" s="3">
        <f t="shared" si="25"/>
        <v>5849595</v>
      </c>
      <c r="W390">
        <v>487466.25</v>
      </c>
      <c r="X390">
        <v>0</v>
      </c>
      <c r="Y390">
        <f t="shared" si="26"/>
        <v>487466.25</v>
      </c>
      <c r="Z390">
        <f t="shared" si="27"/>
        <v>0</v>
      </c>
      <c r="AA390">
        <v>0</v>
      </c>
    </row>
    <row r="391" spans="1:27" x14ac:dyDescent="0.25">
      <c r="A391" s="1">
        <v>390</v>
      </c>
      <c r="B391" t="s">
        <v>710</v>
      </c>
      <c r="C391" t="s">
        <v>1136</v>
      </c>
      <c r="D391" t="s">
        <v>1145</v>
      </c>
      <c r="E391" t="s">
        <v>1141</v>
      </c>
      <c r="G391" t="s">
        <v>1161</v>
      </c>
      <c r="H391" t="s">
        <v>1161</v>
      </c>
      <c r="I391" t="s">
        <v>1161</v>
      </c>
      <c r="J391" t="s">
        <v>1260</v>
      </c>
      <c r="K391" t="s">
        <v>1212</v>
      </c>
      <c r="M391" s="3">
        <f t="shared" si="24"/>
        <v>79.714285714285708</v>
      </c>
      <c r="N391">
        <v>68</v>
      </c>
      <c r="O391">
        <v>80</v>
      </c>
      <c r="P391">
        <v>86</v>
      </c>
      <c r="Q391">
        <v>82</v>
      </c>
      <c r="R391">
        <v>77</v>
      </c>
      <c r="S391">
        <v>84</v>
      </c>
      <c r="T391">
        <v>81</v>
      </c>
      <c r="U391">
        <v>12</v>
      </c>
      <c r="V391" s="3">
        <f t="shared" si="25"/>
        <v>15540066</v>
      </c>
      <c r="W391">
        <v>1295005.5</v>
      </c>
      <c r="X391">
        <v>0</v>
      </c>
      <c r="Y391">
        <f t="shared" si="26"/>
        <v>1295005.5</v>
      </c>
      <c r="Z391">
        <f t="shared" si="27"/>
        <v>0</v>
      </c>
      <c r="AA391">
        <v>0</v>
      </c>
    </row>
    <row r="392" spans="1:27" x14ac:dyDescent="0.25">
      <c r="A392" s="1">
        <v>391</v>
      </c>
      <c r="B392" t="s">
        <v>679</v>
      </c>
      <c r="C392" t="s">
        <v>1136</v>
      </c>
      <c r="D392" t="s">
        <v>1144</v>
      </c>
      <c r="E392" t="s">
        <v>1143</v>
      </c>
      <c r="F392" t="s">
        <v>1138</v>
      </c>
      <c r="G392" t="s">
        <v>1155</v>
      </c>
      <c r="H392" t="s">
        <v>1155</v>
      </c>
      <c r="I392" t="s">
        <v>1155</v>
      </c>
      <c r="J392" t="s">
        <v>1260</v>
      </c>
      <c r="K392" t="s">
        <v>1212</v>
      </c>
      <c r="M392" s="3">
        <f t="shared" si="24"/>
        <v>84.428571428571431</v>
      </c>
      <c r="N392">
        <v>77</v>
      </c>
      <c r="O392">
        <v>80</v>
      </c>
      <c r="P392">
        <v>82</v>
      </c>
      <c r="Q392">
        <v>84</v>
      </c>
      <c r="R392">
        <v>92</v>
      </c>
      <c r="S392">
        <v>96</v>
      </c>
      <c r="T392">
        <v>80</v>
      </c>
      <c r="U392">
        <v>18</v>
      </c>
      <c r="V392" s="3">
        <f t="shared" si="25"/>
        <v>27604868</v>
      </c>
      <c r="W392">
        <v>2300405.6666666665</v>
      </c>
      <c r="X392">
        <v>0</v>
      </c>
      <c r="Y392">
        <f t="shared" si="26"/>
        <v>2300405.6666666665</v>
      </c>
      <c r="Z392">
        <f t="shared" si="27"/>
        <v>0</v>
      </c>
      <c r="AA392">
        <v>0</v>
      </c>
    </row>
    <row r="393" spans="1:27" x14ac:dyDescent="0.25">
      <c r="A393" s="1">
        <v>392</v>
      </c>
      <c r="B393" t="s">
        <v>909</v>
      </c>
      <c r="C393" t="s">
        <v>1136</v>
      </c>
      <c r="D393" t="s">
        <v>1143</v>
      </c>
      <c r="E393" t="s">
        <v>1147</v>
      </c>
      <c r="F393" t="s">
        <v>1144</v>
      </c>
      <c r="G393" t="s">
        <v>1193</v>
      </c>
      <c r="H393" t="s">
        <v>1193</v>
      </c>
      <c r="I393" t="s">
        <v>1193</v>
      </c>
      <c r="J393" t="s">
        <v>1260</v>
      </c>
      <c r="K393" t="s">
        <v>1212</v>
      </c>
      <c r="M393" s="3">
        <f t="shared" si="24"/>
        <v>82.285714285714292</v>
      </c>
      <c r="N393">
        <v>70</v>
      </c>
      <c r="O393">
        <v>85</v>
      </c>
      <c r="P393">
        <v>85</v>
      </c>
      <c r="Q393">
        <v>85</v>
      </c>
      <c r="R393">
        <v>85</v>
      </c>
      <c r="S393">
        <v>91</v>
      </c>
      <c r="T393">
        <v>75</v>
      </c>
      <c r="U393">
        <v>9</v>
      </c>
      <c r="V393" s="3">
        <f t="shared" si="25"/>
        <v>21346944</v>
      </c>
      <c r="W393">
        <v>789023.08333333337</v>
      </c>
      <c r="X393">
        <v>0</v>
      </c>
      <c r="Y393">
        <f t="shared" si="26"/>
        <v>1778912</v>
      </c>
      <c r="Z393">
        <f t="shared" si="27"/>
        <v>-55.65</v>
      </c>
      <c r="AA393">
        <v>0</v>
      </c>
    </row>
    <row r="394" spans="1:27" x14ac:dyDescent="0.25">
      <c r="A394" s="1">
        <v>393</v>
      </c>
      <c r="B394" t="s">
        <v>912</v>
      </c>
      <c r="C394" t="s">
        <v>1136</v>
      </c>
      <c r="D394" t="s">
        <v>1143</v>
      </c>
      <c r="E394" t="s">
        <v>1144</v>
      </c>
      <c r="G394" t="s">
        <v>1193</v>
      </c>
      <c r="H394" t="s">
        <v>1193</v>
      </c>
      <c r="I394" t="s">
        <v>1193</v>
      </c>
      <c r="J394" t="s">
        <v>1260</v>
      </c>
      <c r="K394" t="s">
        <v>1212</v>
      </c>
      <c r="M394" s="3">
        <f t="shared" si="24"/>
        <v>79.714285714285708</v>
      </c>
      <c r="N394">
        <v>70</v>
      </c>
      <c r="O394">
        <v>84</v>
      </c>
      <c r="P394">
        <v>84</v>
      </c>
      <c r="Q394">
        <v>81</v>
      </c>
      <c r="R394">
        <v>83</v>
      </c>
      <c r="S394">
        <v>93</v>
      </c>
      <c r="T394">
        <v>63</v>
      </c>
      <c r="U394">
        <v>0</v>
      </c>
      <c r="V394" s="3">
        <f t="shared" si="25"/>
        <v>10360044</v>
      </c>
      <c r="W394">
        <v>863337</v>
      </c>
      <c r="X394">
        <v>0</v>
      </c>
      <c r="Y394">
        <f t="shared" si="26"/>
        <v>863337</v>
      </c>
      <c r="Z394">
        <f t="shared" si="27"/>
        <v>0</v>
      </c>
      <c r="AA394">
        <v>0</v>
      </c>
    </row>
    <row r="395" spans="1:27" x14ac:dyDescent="0.25">
      <c r="A395" s="1">
        <v>394</v>
      </c>
      <c r="B395" t="s">
        <v>1110</v>
      </c>
      <c r="C395" t="s">
        <v>1137</v>
      </c>
      <c r="D395" t="s">
        <v>1137</v>
      </c>
      <c r="H395" t="s">
        <v>1193</v>
      </c>
      <c r="I395" t="s">
        <v>1193</v>
      </c>
      <c r="J395" t="s">
        <v>1260</v>
      </c>
      <c r="K395" t="s">
        <v>1212</v>
      </c>
      <c r="M395" s="3">
        <f t="shared" si="24"/>
        <v>81.714285714285708</v>
      </c>
      <c r="N395">
        <v>62</v>
      </c>
      <c r="O395">
        <v>80</v>
      </c>
      <c r="P395">
        <v>88</v>
      </c>
      <c r="Q395">
        <v>91</v>
      </c>
      <c r="R395">
        <v>90</v>
      </c>
      <c r="S395">
        <v>85</v>
      </c>
      <c r="T395">
        <v>76</v>
      </c>
      <c r="U395">
        <v>0</v>
      </c>
      <c r="V395" s="3">
        <f t="shared" si="25"/>
        <v>13273330</v>
      </c>
      <c r="W395">
        <v>1106110.8333333333</v>
      </c>
      <c r="X395">
        <v>0</v>
      </c>
      <c r="Y395">
        <f t="shared" si="26"/>
        <v>1106110.8333333333</v>
      </c>
      <c r="Z395">
        <f t="shared" si="27"/>
        <v>0</v>
      </c>
      <c r="AA395">
        <v>0</v>
      </c>
    </row>
    <row r="396" spans="1:27" x14ac:dyDescent="0.25">
      <c r="A396" s="1">
        <v>395</v>
      </c>
      <c r="B396" t="s">
        <v>2325</v>
      </c>
      <c r="C396" t="s">
        <v>1133</v>
      </c>
      <c r="D396" t="s">
        <v>1133</v>
      </c>
      <c r="H396" t="s">
        <v>1187</v>
      </c>
      <c r="I396" t="s">
        <v>1153</v>
      </c>
      <c r="J396" t="s">
        <v>2342</v>
      </c>
      <c r="K396" t="s">
        <v>1212</v>
      </c>
      <c r="M396" s="3">
        <f t="shared" si="24"/>
        <v>50.285714285714285</v>
      </c>
      <c r="N396">
        <v>8</v>
      </c>
      <c r="O396">
        <v>64</v>
      </c>
      <c r="P396">
        <v>56</v>
      </c>
      <c r="Q396">
        <v>63</v>
      </c>
      <c r="R396">
        <v>65</v>
      </c>
      <c r="S396">
        <v>67</v>
      </c>
      <c r="T396">
        <v>29</v>
      </c>
      <c r="U396">
        <v>0</v>
      </c>
      <c r="V396" s="3">
        <f t="shared" si="25"/>
        <v>103383</v>
      </c>
      <c r="W396">
        <v>8615.25</v>
      </c>
      <c r="X396">
        <v>0</v>
      </c>
      <c r="Y396">
        <f t="shared" si="26"/>
        <v>8615.25</v>
      </c>
      <c r="Z396">
        <f t="shared" si="27"/>
        <v>0</v>
      </c>
      <c r="AA396">
        <v>0</v>
      </c>
    </row>
    <row r="397" spans="1:27" x14ac:dyDescent="0.25">
      <c r="A397" s="1">
        <v>396</v>
      </c>
      <c r="B397" t="s">
        <v>2574</v>
      </c>
      <c r="C397" t="s">
        <v>1133</v>
      </c>
      <c r="D397" t="s">
        <v>1133</v>
      </c>
      <c r="H397" t="s">
        <v>1187</v>
      </c>
      <c r="I397" t="s">
        <v>1153</v>
      </c>
      <c r="J397" t="s">
        <v>2342</v>
      </c>
      <c r="K397" t="s">
        <v>1212</v>
      </c>
      <c r="M397" s="3">
        <f t="shared" si="24"/>
        <v>50.857142857142854</v>
      </c>
      <c r="N397">
        <v>8</v>
      </c>
      <c r="O397">
        <v>65</v>
      </c>
      <c r="P397">
        <v>58</v>
      </c>
      <c r="Q397">
        <v>63</v>
      </c>
      <c r="R397">
        <v>65</v>
      </c>
      <c r="S397">
        <v>67</v>
      </c>
      <c r="T397">
        <v>30</v>
      </c>
      <c r="U397">
        <v>0</v>
      </c>
      <c r="V397" s="3">
        <f t="shared" si="25"/>
        <v>115750</v>
      </c>
      <c r="W397">
        <v>9645.8333333333339</v>
      </c>
      <c r="X397">
        <v>0</v>
      </c>
      <c r="Y397">
        <f t="shared" si="26"/>
        <v>9645.8333333333339</v>
      </c>
      <c r="Z397">
        <f t="shared" si="27"/>
        <v>0</v>
      </c>
      <c r="AA397">
        <v>0</v>
      </c>
    </row>
    <row r="398" spans="1:27" x14ac:dyDescent="0.25">
      <c r="A398" s="1">
        <v>397</v>
      </c>
      <c r="B398" t="s">
        <v>2324</v>
      </c>
      <c r="C398" t="s">
        <v>1133</v>
      </c>
      <c r="D398" t="s">
        <v>1133</v>
      </c>
      <c r="H398" t="s">
        <v>1187</v>
      </c>
      <c r="I398" t="s">
        <v>1153</v>
      </c>
      <c r="J398" t="s">
        <v>2342</v>
      </c>
      <c r="K398" t="s">
        <v>1212</v>
      </c>
      <c r="M398" s="3">
        <f t="shared" si="24"/>
        <v>52.714285714285715</v>
      </c>
      <c r="N398">
        <v>10</v>
      </c>
      <c r="O398">
        <v>67</v>
      </c>
      <c r="P398">
        <v>59</v>
      </c>
      <c r="Q398">
        <v>65</v>
      </c>
      <c r="R398">
        <v>67</v>
      </c>
      <c r="S398">
        <v>69</v>
      </c>
      <c r="T398">
        <v>32</v>
      </c>
      <c r="U398">
        <v>0</v>
      </c>
      <c r="V398" s="3">
        <f t="shared" si="25"/>
        <v>165686</v>
      </c>
      <c r="W398">
        <v>13807.166666666666</v>
      </c>
      <c r="X398">
        <v>0</v>
      </c>
      <c r="Y398">
        <f t="shared" si="26"/>
        <v>13807.166666666666</v>
      </c>
      <c r="Z398">
        <f t="shared" si="27"/>
        <v>0</v>
      </c>
      <c r="AA398">
        <v>0</v>
      </c>
    </row>
    <row r="399" spans="1:27" x14ac:dyDescent="0.25">
      <c r="A399" s="1">
        <v>398</v>
      </c>
      <c r="B399" t="s">
        <v>2328</v>
      </c>
      <c r="C399" t="s">
        <v>1134</v>
      </c>
      <c r="D399" t="s">
        <v>1138</v>
      </c>
      <c r="E399" t="s">
        <v>1139</v>
      </c>
      <c r="H399" t="s">
        <v>1187</v>
      </c>
      <c r="I399" t="s">
        <v>1153</v>
      </c>
      <c r="J399" t="s">
        <v>2342</v>
      </c>
      <c r="K399" t="s">
        <v>1212</v>
      </c>
      <c r="M399" s="3">
        <f t="shared" si="24"/>
        <v>55.428571428571431</v>
      </c>
      <c r="N399">
        <v>12</v>
      </c>
      <c r="O399">
        <v>71</v>
      </c>
      <c r="P399">
        <v>63</v>
      </c>
      <c r="Q399">
        <v>67</v>
      </c>
      <c r="R399">
        <v>69</v>
      </c>
      <c r="S399">
        <v>71</v>
      </c>
      <c r="T399">
        <v>35</v>
      </c>
      <c r="U399">
        <v>0</v>
      </c>
      <c r="V399" s="3">
        <f t="shared" si="25"/>
        <v>273740</v>
      </c>
      <c r="W399">
        <v>22811.666666666668</v>
      </c>
      <c r="X399">
        <v>0</v>
      </c>
      <c r="Y399">
        <f t="shared" si="26"/>
        <v>22811.666666666668</v>
      </c>
      <c r="Z399">
        <f t="shared" si="27"/>
        <v>0</v>
      </c>
      <c r="AA399">
        <v>0</v>
      </c>
    </row>
    <row r="400" spans="1:27" x14ac:dyDescent="0.25">
      <c r="A400" s="1">
        <v>399</v>
      </c>
      <c r="B400" t="s">
        <v>2330</v>
      </c>
      <c r="C400" t="s">
        <v>1134</v>
      </c>
      <c r="D400" t="s">
        <v>1140</v>
      </c>
      <c r="E400" t="s">
        <v>1139</v>
      </c>
      <c r="H400" t="s">
        <v>1187</v>
      </c>
      <c r="I400" t="s">
        <v>1153</v>
      </c>
      <c r="J400" t="s">
        <v>2342</v>
      </c>
      <c r="K400" t="s">
        <v>1212</v>
      </c>
      <c r="M400" s="3">
        <f t="shared" si="24"/>
        <v>50.428571428571431</v>
      </c>
      <c r="N400">
        <v>7</v>
      </c>
      <c r="O400">
        <v>65</v>
      </c>
      <c r="P400">
        <v>58</v>
      </c>
      <c r="Q400">
        <v>63</v>
      </c>
      <c r="R400">
        <v>65</v>
      </c>
      <c r="S400">
        <v>67</v>
      </c>
      <c r="T400">
        <v>28</v>
      </c>
      <c r="U400">
        <v>0</v>
      </c>
      <c r="V400" s="3">
        <f t="shared" si="25"/>
        <v>106358</v>
      </c>
      <c r="W400">
        <v>8863.1666666666661</v>
      </c>
      <c r="X400">
        <v>0</v>
      </c>
      <c r="Y400">
        <f t="shared" si="26"/>
        <v>8863.1666666666661</v>
      </c>
      <c r="Z400">
        <f t="shared" si="27"/>
        <v>0</v>
      </c>
      <c r="AA400">
        <v>0</v>
      </c>
    </row>
    <row r="401" spans="1:27" x14ac:dyDescent="0.25">
      <c r="A401" s="1">
        <v>400</v>
      </c>
      <c r="B401" t="s">
        <v>2329</v>
      </c>
      <c r="C401" t="s">
        <v>1134</v>
      </c>
      <c r="D401" t="s">
        <v>1140</v>
      </c>
      <c r="E401" t="s">
        <v>1138</v>
      </c>
      <c r="H401" t="s">
        <v>1187</v>
      </c>
      <c r="I401" t="s">
        <v>1153</v>
      </c>
      <c r="J401" t="s">
        <v>2342</v>
      </c>
      <c r="K401" t="s">
        <v>1212</v>
      </c>
      <c r="M401" s="3">
        <f t="shared" si="24"/>
        <v>52.857142857142854</v>
      </c>
      <c r="N401">
        <v>9</v>
      </c>
      <c r="O401">
        <v>69</v>
      </c>
      <c r="P401">
        <v>60</v>
      </c>
      <c r="Q401">
        <v>65</v>
      </c>
      <c r="R401">
        <v>67</v>
      </c>
      <c r="S401">
        <v>69</v>
      </c>
      <c r="T401">
        <v>31</v>
      </c>
      <c r="U401">
        <v>0</v>
      </c>
      <c r="V401" s="3">
        <f t="shared" si="25"/>
        <v>170231</v>
      </c>
      <c r="W401">
        <v>14185.916666666666</v>
      </c>
      <c r="X401">
        <v>0</v>
      </c>
      <c r="Y401">
        <f t="shared" si="26"/>
        <v>14185.916666666666</v>
      </c>
      <c r="Z401">
        <f t="shared" si="27"/>
        <v>0</v>
      </c>
      <c r="AA401">
        <v>0</v>
      </c>
    </row>
    <row r="402" spans="1:27" x14ac:dyDescent="0.25">
      <c r="A402" s="1">
        <v>401</v>
      </c>
      <c r="B402" t="s">
        <v>2327</v>
      </c>
      <c r="C402" t="s">
        <v>1134</v>
      </c>
      <c r="D402" t="s">
        <v>1138</v>
      </c>
      <c r="E402" t="s">
        <v>1144</v>
      </c>
      <c r="H402" t="s">
        <v>1187</v>
      </c>
      <c r="I402" t="s">
        <v>1153</v>
      </c>
      <c r="J402" t="s">
        <v>2342</v>
      </c>
      <c r="K402" t="s">
        <v>1212</v>
      </c>
      <c r="M402" s="3">
        <f t="shared" si="24"/>
        <v>47.428571428571431</v>
      </c>
      <c r="N402">
        <v>6</v>
      </c>
      <c r="O402">
        <v>61</v>
      </c>
      <c r="P402">
        <v>54</v>
      </c>
      <c r="Q402">
        <v>60</v>
      </c>
      <c r="R402">
        <v>62</v>
      </c>
      <c r="S402">
        <v>64</v>
      </c>
      <c r="T402">
        <v>25</v>
      </c>
      <c r="U402">
        <v>0</v>
      </c>
      <c r="V402" s="3">
        <f t="shared" si="25"/>
        <v>57598</v>
      </c>
      <c r="W402">
        <v>4799.833333333333</v>
      </c>
      <c r="X402">
        <v>0</v>
      </c>
      <c r="Y402">
        <f t="shared" si="26"/>
        <v>4799.833333333333</v>
      </c>
      <c r="Z402">
        <f t="shared" si="27"/>
        <v>0</v>
      </c>
      <c r="AA402">
        <v>0</v>
      </c>
    </row>
    <row r="403" spans="1:27" x14ac:dyDescent="0.25">
      <c r="A403" s="1">
        <v>402</v>
      </c>
      <c r="B403" t="s">
        <v>2331</v>
      </c>
      <c r="C403" t="s">
        <v>1134</v>
      </c>
      <c r="D403" t="s">
        <v>1139</v>
      </c>
      <c r="E403" t="s">
        <v>1138</v>
      </c>
      <c r="H403" t="s">
        <v>1187</v>
      </c>
      <c r="I403" t="s">
        <v>1153</v>
      </c>
      <c r="J403" t="s">
        <v>2342</v>
      </c>
      <c r="K403" t="s">
        <v>1212</v>
      </c>
      <c r="M403" s="3">
        <f t="shared" si="24"/>
        <v>54.428571428571431</v>
      </c>
      <c r="N403">
        <v>11</v>
      </c>
      <c r="O403">
        <v>70</v>
      </c>
      <c r="P403">
        <v>62</v>
      </c>
      <c r="Q403">
        <v>66</v>
      </c>
      <c r="R403">
        <v>68</v>
      </c>
      <c r="S403">
        <v>70</v>
      </c>
      <c r="T403">
        <v>34</v>
      </c>
      <c r="U403">
        <v>0</v>
      </c>
      <c r="V403" s="3">
        <f t="shared" si="25"/>
        <v>228176</v>
      </c>
      <c r="W403">
        <v>19014.666666666668</v>
      </c>
      <c r="X403">
        <v>0</v>
      </c>
      <c r="Y403">
        <f t="shared" si="26"/>
        <v>19014.666666666668</v>
      </c>
      <c r="Z403">
        <f t="shared" si="27"/>
        <v>0</v>
      </c>
      <c r="AA403">
        <v>0</v>
      </c>
    </row>
    <row r="404" spans="1:27" x14ac:dyDescent="0.25">
      <c r="A404" s="1">
        <v>403</v>
      </c>
      <c r="B404" t="s">
        <v>1299</v>
      </c>
      <c r="C404" t="s">
        <v>1135</v>
      </c>
      <c r="D404" t="s">
        <v>1141</v>
      </c>
      <c r="E404" t="s">
        <v>1142</v>
      </c>
      <c r="H404" t="s">
        <v>1187</v>
      </c>
      <c r="I404" t="s">
        <v>1153</v>
      </c>
      <c r="J404" t="s">
        <v>2342</v>
      </c>
      <c r="K404" t="s">
        <v>1212</v>
      </c>
      <c r="M404" s="3">
        <f t="shared" si="24"/>
        <v>62.857142857142854</v>
      </c>
      <c r="N404">
        <v>40</v>
      </c>
      <c r="O404">
        <v>70</v>
      </c>
      <c r="P404">
        <v>70</v>
      </c>
      <c r="Q404">
        <v>60</v>
      </c>
      <c r="R404">
        <v>75</v>
      </c>
      <c r="S404">
        <v>85</v>
      </c>
      <c r="T404">
        <v>40</v>
      </c>
      <c r="U404">
        <v>6</v>
      </c>
      <c r="V404" s="3">
        <f t="shared" si="25"/>
        <v>1444235</v>
      </c>
      <c r="W404">
        <v>1199</v>
      </c>
      <c r="X404">
        <v>0</v>
      </c>
      <c r="Y404">
        <f t="shared" si="26"/>
        <v>120352.91666666667</v>
      </c>
      <c r="Z404">
        <f t="shared" si="27"/>
        <v>-99</v>
      </c>
      <c r="AA404">
        <v>0</v>
      </c>
    </row>
    <row r="405" spans="1:27" x14ac:dyDescent="0.25">
      <c r="A405" s="1">
        <v>404</v>
      </c>
      <c r="B405" t="s">
        <v>2340</v>
      </c>
      <c r="C405" t="s">
        <v>1135</v>
      </c>
      <c r="D405" t="s">
        <v>1141</v>
      </c>
      <c r="E405" t="s">
        <v>1142</v>
      </c>
      <c r="H405" t="s">
        <v>1187</v>
      </c>
      <c r="I405" t="s">
        <v>1153</v>
      </c>
      <c r="J405" t="s">
        <v>2342</v>
      </c>
      <c r="K405" t="s">
        <v>1212</v>
      </c>
      <c r="M405" s="3">
        <f t="shared" si="24"/>
        <v>63.857142857142854</v>
      </c>
      <c r="N405">
        <v>15</v>
      </c>
      <c r="O405">
        <v>75</v>
      </c>
      <c r="P405">
        <v>80</v>
      </c>
      <c r="Q405">
        <v>75</v>
      </c>
      <c r="R405">
        <v>77</v>
      </c>
      <c r="S405">
        <v>80</v>
      </c>
      <c r="T405">
        <v>45</v>
      </c>
      <c r="U405">
        <v>0</v>
      </c>
      <c r="V405" s="3">
        <f t="shared" si="25"/>
        <v>1127444</v>
      </c>
      <c r="W405">
        <v>93953.666666666672</v>
      </c>
      <c r="X405">
        <v>0</v>
      </c>
      <c r="Y405">
        <f t="shared" si="26"/>
        <v>93953.666666666672</v>
      </c>
      <c r="Z405">
        <f t="shared" si="27"/>
        <v>0</v>
      </c>
      <c r="AA405">
        <v>0</v>
      </c>
    </row>
    <row r="406" spans="1:27" x14ac:dyDescent="0.25">
      <c r="A406" s="1">
        <v>405</v>
      </c>
      <c r="B406" t="s">
        <v>2339</v>
      </c>
      <c r="C406" t="s">
        <v>1135</v>
      </c>
      <c r="D406" t="s">
        <v>1142</v>
      </c>
      <c r="E406" t="s">
        <v>1141</v>
      </c>
      <c r="H406" t="s">
        <v>1187</v>
      </c>
      <c r="I406" t="s">
        <v>1153</v>
      </c>
      <c r="J406" t="s">
        <v>2342</v>
      </c>
      <c r="K406" t="s">
        <v>1212</v>
      </c>
      <c r="M406" s="3">
        <f t="shared" si="24"/>
        <v>55</v>
      </c>
      <c r="N406">
        <v>10</v>
      </c>
      <c r="O406">
        <v>70</v>
      </c>
      <c r="P406">
        <v>63</v>
      </c>
      <c r="Q406">
        <v>68</v>
      </c>
      <c r="R406">
        <v>70</v>
      </c>
      <c r="S406">
        <v>72</v>
      </c>
      <c r="T406">
        <v>32</v>
      </c>
      <c r="U406">
        <v>0</v>
      </c>
      <c r="V406" s="3">
        <f t="shared" si="25"/>
        <v>253296</v>
      </c>
      <c r="W406">
        <v>21108</v>
      </c>
      <c r="X406">
        <v>0</v>
      </c>
      <c r="Y406">
        <f t="shared" si="26"/>
        <v>21108</v>
      </c>
      <c r="Z406">
        <f t="shared" si="27"/>
        <v>0</v>
      </c>
      <c r="AA406">
        <v>0</v>
      </c>
    </row>
    <row r="407" spans="1:27" x14ac:dyDescent="0.25">
      <c r="A407" s="1">
        <v>406</v>
      </c>
      <c r="B407" t="s">
        <v>2338</v>
      </c>
      <c r="C407" t="s">
        <v>1135</v>
      </c>
      <c r="D407" t="s">
        <v>1142</v>
      </c>
      <c r="E407" t="s">
        <v>1141</v>
      </c>
      <c r="H407" t="s">
        <v>1187</v>
      </c>
      <c r="I407" t="s">
        <v>1153</v>
      </c>
      <c r="J407" t="s">
        <v>2342</v>
      </c>
      <c r="K407" t="s">
        <v>1212</v>
      </c>
      <c r="M407" s="3">
        <f t="shared" si="24"/>
        <v>60</v>
      </c>
      <c r="N407">
        <v>14</v>
      </c>
      <c r="O407">
        <v>75</v>
      </c>
      <c r="P407">
        <v>68</v>
      </c>
      <c r="Q407">
        <v>73</v>
      </c>
      <c r="R407">
        <v>75</v>
      </c>
      <c r="S407">
        <v>77</v>
      </c>
      <c r="T407">
        <v>38</v>
      </c>
      <c r="U407">
        <v>0</v>
      </c>
      <c r="V407" s="3">
        <f t="shared" si="25"/>
        <v>604662</v>
      </c>
      <c r="W407">
        <v>50388.5</v>
      </c>
      <c r="X407">
        <v>0</v>
      </c>
      <c r="Y407">
        <f t="shared" si="26"/>
        <v>50388.5</v>
      </c>
      <c r="Z407">
        <f t="shared" si="27"/>
        <v>0</v>
      </c>
      <c r="AA407">
        <v>0</v>
      </c>
    </row>
    <row r="408" spans="1:27" x14ac:dyDescent="0.25">
      <c r="A408" s="1">
        <v>407</v>
      </c>
      <c r="B408" t="s">
        <v>2337</v>
      </c>
      <c r="C408" t="s">
        <v>1136</v>
      </c>
      <c r="D408" t="s">
        <v>1147</v>
      </c>
      <c r="E408" t="s">
        <v>1146</v>
      </c>
      <c r="H408" t="s">
        <v>1187</v>
      </c>
      <c r="I408" t="s">
        <v>1153</v>
      </c>
      <c r="J408" t="s">
        <v>2342</v>
      </c>
      <c r="K408" t="s">
        <v>1212</v>
      </c>
      <c r="M408" s="3">
        <f t="shared" si="24"/>
        <v>56.142857142857146</v>
      </c>
      <c r="N408">
        <v>11</v>
      </c>
      <c r="O408">
        <v>71</v>
      </c>
      <c r="P408">
        <v>64</v>
      </c>
      <c r="Q408">
        <v>69</v>
      </c>
      <c r="R408">
        <v>71</v>
      </c>
      <c r="S408">
        <v>73</v>
      </c>
      <c r="T408">
        <v>34</v>
      </c>
      <c r="U408">
        <v>0</v>
      </c>
      <c r="V408" s="3">
        <f t="shared" si="25"/>
        <v>311133</v>
      </c>
      <c r="W408">
        <v>25927.75</v>
      </c>
      <c r="X408">
        <v>0</v>
      </c>
      <c r="Y408">
        <f t="shared" si="26"/>
        <v>25927.75</v>
      </c>
      <c r="Z408">
        <f t="shared" si="27"/>
        <v>0</v>
      </c>
      <c r="AA408">
        <v>0</v>
      </c>
    </row>
    <row r="409" spans="1:27" x14ac:dyDescent="0.25">
      <c r="A409" s="1">
        <v>408</v>
      </c>
      <c r="B409" t="s">
        <v>2341</v>
      </c>
      <c r="C409" t="s">
        <v>1136</v>
      </c>
      <c r="D409" t="s">
        <v>1147</v>
      </c>
      <c r="E409" t="s">
        <v>1145</v>
      </c>
      <c r="H409" t="s">
        <v>1187</v>
      </c>
      <c r="I409" t="s">
        <v>1153</v>
      </c>
      <c r="J409" t="s">
        <v>2342</v>
      </c>
      <c r="K409" t="s">
        <v>1212</v>
      </c>
      <c r="M409" s="3">
        <f t="shared" si="24"/>
        <v>62.571428571428569</v>
      </c>
      <c r="N409">
        <v>14</v>
      </c>
      <c r="O409">
        <v>73</v>
      </c>
      <c r="P409">
        <v>77</v>
      </c>
      <c r="Q409">
        <v>75</v>
      </c>
      <c r="R409">
        <v>77</v>
      </c>
      <c r="S409">
        <v>79</v>
      </c>
      <c r="T409">
        <v>43</v>
      </c>
      <c r="U409">
        <v>0</v>
      </c>
      <c r="V409" s="3">
        <f t="shared" si="25"/>
        <v>919943</v>
      </c>
      <c r="W409">
        <v>76661.916666666672</v>
      </c>
      <c r="X409">
        <v>0</v>
      </c>
      <c r="Y409">
        <f t="shared" si="26"/>
        <v>76661.916666666672</v>
      </c>
      <c r="Z409">
        <f t="shared" si="27"/>
        <v>0</v>
      </c>
      <c r="AA409">
        <v>0</v>
      </c>
    </row>
    <row r="410" spans="1:27" x14ac:dyDescent="0.25">
      <c r="A410" s="1">
        <v>409</v>
      </c>
      <c r="B410" t="s">
        <v>2333</v>
      </c>
      <c r="C410" t="s">
        <v>1136</v>
      </c>
      <c r="D410" t="s">
        <v>1143</v>
      </c>
      <c r="E410" t="s">
        <v>1144</v>
      </c>
      <c r="H410" t="s">
        <v>1187</v>
      </c>
      <c r="I410" t="s">
        <v>1153</v>
      </c>
      <c r="J410" t="s">
        <v>2342</v>
      </c>
      <c r="K410" t="s">
        <v>1212</v>
      </c>
      <c r="M410" s="3">
        <f t="shared" si="24"/>
        <v>58.285714285714285</v>
      </c>
      <c r="N410">
        <v>13</v>
      </c>
      <c r="O410">
        <v>73</v>
      </c>
      <c r="P410">
        <v>66</v>
      </c>
      <c r="Q410">
        <v>71</v>
      </c>
      <c r="R410">
        <v>73</v>
      </c>
      <c r="S410">
        <v>75</v>
      </c>
      <c r="T410">
        <v>37</v>
      </c>
      <c r="U410">
        <v>0</v>
      </c>
      <c r="V410" s="3">
        <f t="shared" si="25"/>
        <v>452503</v>
      </c>
      <c r="W410">
        <v>37708.583333333336</v>
      </c>
      <c r="X410">
        <v>0</v>
      </c>
      <c r="Y410">
        <f t="shared" si="26"/>
        <v>37708.583333333336</v>
      </c>
      <c r="Z410">
        <f t="shared" si="27"/>
        <v>0</v>
      </c>
      <c r="AA410">
        <v>0</v>
      </c>
    </row>
    <row r="411" spans="1:27" x14ac:dyDescent="0.25">
      <c r="A411" s="1">
        <v>410</v>
      </c>
      <c r="B411" t="s">
        <v>2334</v>
      </c>
      <c r="C411" t="s">
        <v>1136</v>
      </c>
      <c r="D411" t="s">
        <v>1145</v>
      </c>
      <c r="E411" t="s">
        <v>1143</v>
      </c>
      <c r="H411" t="s">
        <v>1187</v>
      </c>
      <c r="I411" t="s">
        <v>1153</v>
      </c>
      <c r="J411" t="s">
        <v>2342</v>
      </c>
      <c r="K411" t="s">
        <v>1212</v>
      </c>
      <c r="M411" s="3">
        <f t="shared" si="24"/>
        <v>48</v>
      </c>
      <c r="N411">
        <v>6</v>
      </c>
      <c r="O411">
        <v>60</v>
      </c>
      <c r="P411">
        <v>54</v>
      </c>
      <c r="Q411">
        <v>62</v>
      </c>
      <c r="R411">
        <v>64</v>
      </c>
      <c r="S411">
        <v>66</v>
      </c>
      <c r="T411">
        <v>24</v>
      </c>
      <c r="U411">
        <v>0</v>
      </c>
      <c r="V411" s="3">
        <f t="shared" si="25"/>
        <v>64926</v>
      </c>
      <c r="W411">
        <v>5410.5</v>
      </c>
      <c r="X411">
        <v>0</v>
      </c>
      <c r="Y411">
        <f t="shared" si="26"/>
        <v>5410.5</v>
      </c>
      <c r="Z411">
        <f t="shared" si="27"/>
        <v>0</v>
      </c>
      <c r="AA411">
        <v>0</v>
      </c>
    </row>
    <row r="412" spans="1:27" x14ac:dyDescent="0.25">
      <c r="A412" s="1">
        <v>411</v>
      </c>
      <c r="B412" t="s">
        <v>2335</v>
      </c>
      <c r="C412" t="s">
        <v>1136</v>
      </c>
      <c r="D412" t="s">
        <v>1146</v>
      </c>
      <c r="E412" t="s">
        <v>1144</v>
      </c>
      <c r="H412" t="s">
        <v>1187</v>
      </c>
      <c r="I412" t="s">
        <v>1153</v>
      </c>
      <c r="J412" t="s">
        <v>2342</v>
      </c>
      <c r="K412" t="s">
        <v>1212</v>
      </c>
      <c r="M412" s="3">
        <f t="shared" si="24"/>
        <v>54.428571428571431</v>
      </c>
      <c r="N412">
        <v>10</v>
      </c>
      <c r="O412">
        <v>69</v>
      </c>
      <c r="P412">
        <v>62</v>
      </c>
      <c r="Q412">
        <v>67</v>
      </c>
      <c r="R412">
        <v>69</v>
      </c>
      <c r="S412">
        <v>71</v>
      </c>
      <c r="T412">
        <v>33</v>
      </c>
      <c r="U412">
        <v>0</v>
      </c>
      <c r="V412" s="3">
        <f t="shared" si="25"/>
        <v>228176</v>
      </c>
      <c r="W412">
        <v>19014.666666666668</v>
      </c>
      <c r="X412">
        <v>0</v>
      </c>
      <c r="Y412">
        <f t="shared" si="26"/>
        <v>19014.666666666668</v>
      </c>
      <c r="Z412">
        <f t="shared" si="27"/>
        <v>0</v>
      </c>
      <c r="AA412">
        <v>0</v>
      </c>
    </row>
    <row r="413" spans="1:27" x14ac:dyDescent="0.25">
      <c r="A413" s="1">
        <v>412</v>
      </c>
      <c r="B413" t="s">
        <v>2336</v>
      </c>
      <c r="C413" t="s">
        <v>1136</v>
      </c>
      <c r="D413" t="s">
        <v>1147</v>
      </c>
      <c r="E413" t="s">
        <v>1145</v>
      </c>
      <c r="H413" t="s">
        <v>1187</v>
      </c>
      <c r="I413" t="s">
        <v>1153</v>
      </c>
      <c r="J413" t="s">
        <v>2342</v>
      </c>
      <c r="K413" t="s">
        <v>1212</v>
      </c>
      <c r="M413" s="3">
        <f t="shared" si="24"/>
        <v>49.857142857142854</v>
      </c>
      <c r="N413">
        <v>7</v>
      </c>
      <c r="O413">
        <v>64</v>
      </c>
      <c r="P413">
        <v>57</v>
      </c>
      <c r="Q413">
        <v>63</v>
      </c>
      <c r="R413">
        <v>65</v>
      </c>
      <c r="S413">
        <v>67</v>
      </c>
      <c r="T413">
        <v>26</v>
      </c>
      <c r="U413">
        <v>0</v>
      </c>
      <c r="V413" s="3">
        <f t="shared" si="25"/>
        <v>94902</v>
      </c>
      <c r="W413">
        <v>7908.5</v>
      </c>
      <c r="X413">
        <v>0</v>
      </c>
      <c r="Y413">
        <f t="shared" si="26"/>
        <v>7908.5</v>
      </c>
      <c r="Z413">
        <f t="shared" si="27"/>
        <v>0</v>
      </c>
      <c r="AA413">
        <v>0</v>
      </c>
    </row>
    <row r="414" spans="1:27" x14ac:dyDescent="0.25">
      <c r="A414" s="1">
        <v>413</v>
      </c>
      <c r="B414" t="s">
        <v>2332</v>
      </c>
      <c r="C414" t="s">
        <v>1136</v>
      </c>
      <c r="D414" t="s">
        <v>1144</v>
      </c>
      <c r="E414" t="s">
        <v>1143</v>
      </c>
      <c r="H414" t="s">
        <v>1187</v>
      </c>
      <c r="I414" t="s">
        <v>1153</v>
      </c>
      <c r="J414" t="s">
        <v>2342</v>
      </c>
      <c r="K414" t="s">
        <v>1212</v>
      </c>
      <c r="M414" s="3">
        <f t="shared" si="24"/>
        <v>53.428571428571431</v>
      </c>
      <c r="N414">
        <v>9</v>
      </c>
      <c r="O414">
        <v>68</v>
      </c>
      <c r="P414">
        <v>60</v>
      </c>
      <c r="Q414">
        <v>67</v>
      </c>
      <c r="R414">
        <v>69</v>
      </c>
      <c r="S414">
        <v>71</v>
      </c>
      <c r="T414">
        <v>30</v>
      </c>
      <c r="U414">
        <v>0</v>
      </c>
      <c r="V414" s="3">
        <f t="shared" si="25"/>
        <v>189556</v>
      </c>
      <c r="W414">
        <v>15796.333333333334</v>
      </c>
      <c r="X414">
        <v>0</v>
      </c>
      <c r="Y414">
        <f t="shared" si="26"/>
        <v>15796.333333333334</v>
      </c>
      <c r="Z414">
        <f t="shared" si="27"/>
        <v>0</v>
      </c>
      <c r="AA414">
        <v>0</v>
      </c>
    </row>
    <row r="415" spans="1:27" x14ac:dyDescent="0.25">
      <c r="A415" s="1">
        <v>414</v>
      </c>
      <c r="B415" t="s">
        <v>2326</v>
      </c>
      <c r="C415" t="s">
        <v>1137</v>
      </c>
      <c r="D415" t="s">
        <v>1137</v>
      </c>
      <c r="H415" t="s">
        <v>1187</v>
      </c>
      <c r="I415" t="s">
        <v>1153</v>
      </c>
      <c r="J415" t="s">
        <v>2342</v>
      </c>
      <c r="K415" t="s">
        <v>1212</v>
      </c>
      <c r="M415" s="3">
        <f t="shared" si="24"/>
        <v>51.285714285714285</v>
      </c>
      <c r="N415">
        <v>9</v>
      </c>
      <c r="O415">
        <v>65</v>
      </c>
      <c r="P415">
        <v>57</v>
      </c>
      <c r="Q415">
        <v>64</v>
      </c>
      <c r="R415">
        <v>66</v>
      </c>
      <c r="S415">
        <v>68</v>
      </c>
      <c r="T415">
        <v>30</v>
      </c>
      <c r="U415">
        <v>0</v>
      </c>
      <c r="V415" s="3">
        <f t="shared" si="25"/>
        <v>125883</v>
      </c>
      <c r="W415">
        <v>10490.25</v>
      </c>
      <c r="X415">
        <v>0</v>
      </c>
      <c r="Y415">
        <f t="shared" si="26"/>
        <v>10490.25</v>
      </c>
      <c r="Z415">
        <f t="shared" si="27"/>
        <v>0</v>
      </c>
      <c r="AA415">
        <v>0</v>
      </c>
    </row>
    <row r="416" spans="1:27" x14ac:dyDescent="0.25">
      <c r="A416" s="1">
        <v>415</v>
      </c>
      <c r="B416" t="s">
        <v>1549</v>
      </c>
      <c r="C416" t="s">
        <v>1133</v>
      </c>
      <c r="D416" t="s">
        <v>1133</v>
      </c>
      <c r="H416" t="s">
        <v>1157</v>
      </c>
      <c r="I416" t="s">
        <v>1157</v>
      </c>
      <c r="J416" t="s">
        <v>1233</v>
      </c>
      <c r="K416" t="s">
        <v>1212</v>
      </c>
      <c r="M416" s="3">
        <f t="shared" si="24"/>
        <v>65</v>
      </c>
      <c r="N416">
        <v>26</v>
      </c>
      <c r="O416">
        <v>71</v>
      </c>
      <c r="P416">
        <v>66</v>
      </c>
      <c r="Q416">
        <v>74</v>
      </c>
      <c r="R416">
        <v>78</v>
      </c>
      <c r="S416">
        <v>72</v>
      </c>
      <c r="T416">
        <v>68</v>
      </c>
      <c r="U416">
        <v>0</v>
      </c>
      <c r="V416" s="3">
        <f t="shared" si="25"/>
        <v>1346275</v>
      </c>
      <c r="W416">
        <v>112189.58333333333</v>
      </c>
      <c r="X416">
        <v>0</v>
      </c>
      <c r="Y416">
        <f t="shared" si="26"/>
        <v>112189.58333333333</v>
      </c>
      <c r="Z416">
        <f t="shared" si="27"/>
        <v>0</v>
      </c>
      <c r="AA416">
        <v>0</v>
      </c>
    </row>
    <row r="417" spans="1:27" x14ac:dyDescent="0.25">
      <c r="A417" s="1">
        <v>416</v>
      </c>
      <c r="B417" t="s">
        <v>35</v>
      </c>
      <c r="C417" t="s">
        <v>1133</v>
      </c>
      <c r="D417" t="s">
        <v>1133</v>
      </c>
      <c r="G417" t="s">
        <v>1157</v>
      </c>
      <c r="H417" t="s">
        <v>1157</v>
      </c>
      <c r="I417" t="s">
        <v>1157</v>
      </c>
      <c r="J417" t="s">
        <v>1233</v>
      </c>
      <c r="K417" t="s">
        <v>1212</v>
      </c>
      <c r="M417" s="3">
        <f t="shared" si="24"/>
        <v>90.428571428571431</v>
      </c>
      <c r="N417">
        <v>85</v>
      </c>
      <c r="O417">
        <v>83</v>
      </c>
      <c r="P417">
        <v>83</v>
      </c>
      <c r="Q417">
        <v>96</v>
      </c>
      <c r="R417">
        <v>94</v>
      </c>
      <c r="S417">
        <v>97</v>
      </c>
      <c r="T417">
        <v>95</v>
      </c>
      <c r="U417">
        <v>30</v>
      </c>
      <c r="V417" s="3">
        <f t="shared" si="25"/>
        <v>54846379</v>
      </c>
      <c r="W417">
        <v>4570531.583333333</v>
      </c>
      <c r="X417">
        <v>0</v>
      </c>
      <c r="Y417">
        <f t="shared" si="26"/>
        <v>4570531.583333333</v>
      </c>
      <c r="Z417">
        <f t="shared" si="27"/>
        <v>0</v>
      </c>
      <c r="AA417">
        <v>0</v>
      </c>
    </row>
    <row r="418" spans="1:27" x14ac:dyDescent="0.25">
      <c r="A418" s="1">
        <v>417</v>
      </c>
      <c r="B418" t="s">
        <v>165</v>
      </c>
      <c r="C418" t="s">
        <v>1134</v>
      </c>
      <c r="D418" t="s">
        <v>1138</v>
      </c>
      <c r="E418" t="s">
        <v>1139</v>
      </c>
      <c r="G418" t="s">
        <v>1157</v>
      </c>
      <c r="H418" t="s">
        <v>1157</v>
      </c>
      <c r="I418" t="s">
        <v>1157</v>
      </c>
      <c r="J418" t="s">
        <v>1233</v>
      </c>
      <c r="K418" t="s">
        <v>1212</v>
      </c>
      <c r="M418" s="3">
        <f t="shared" si="24"/>
        <v>87.142857142857139</v>
      </c>
      <c r="N418">
        <v>80</v>
      </c>
      <c r="O418">
        <v>70</v>
      </c>
      <c r="P418">
        <v>84</v>
      </c>
      <c r="Q418">
        <v>100</v>
      </c>
      <c r="R418">
        <v>90</v>
      </c>
      <c r="S418">
        <v>94</v>
      </c>
      <c r="T418">
        <v>92</v>
      </c>
      <c r="U418">
        <v>26</v>
      </c>
      <c r="V418" s="3">
        <f t="shared" si="25"/>
        <v>37879934</v>
      </c>
      <c r="W418">
        <v>3156661.1666666665</v>
      </c>
      <c r="X418">
        <v>0</v>
      </c>
      <c r="Y418">
        <f t="shared" si="26"/>
        <v>3156661.1666666665</v>
      </c>
      <c r="Z418">
        <f t="shared" si="27"/>
        <v>0</v>
      </c>
      <c r="AA418">
        <v>0</v>
      </c>
    </row>
    <row r="419" spans="1:27" x14ac:dyDescent="0.25">
      <c r="A419" s="1">
        <v>418</v>
      </c>
      <c r="B419" t="s">
        <v>167</v>
      </c>
      <c r="C419" t="s">
        <v>1134</v>
      </c>
      <c r="D419" t="s">
        <v>1138</v>
      </c>
      <c r="E419" t="s">
        <v>1139</v>
      </c>
      <c r="F419" t="s">
        <v>1144</v>
      </c>
      <c r="G419" t="s">
        <v>1157</v>
      </c>
      <c r="H419" t="s">
        <v>1216</v>
      </c>
      <c r="I419" t="s">
        <v>1216</v>
      </c>
      <c r="J419" t="s">
        <v>1233</v>
      </c>
      <c r="K419" t="s">
        <v>1212</v>
      </c>
      <c r="M419" s="3">
        <f t="shared" si="24"/>
        <v>84</v>
      </c>
      <c r="N419">
        <v>80</v>
      </c>
      <c r="O419">
        <v>79</v>
      </c>
      <c r="P419">
        <v>80</v>
      </c>
      <c r="Q419">
        <v>71</v>
      </c>
      <c r="R419">
        <v>92</v>
      </c>
      <c r="S419">
        <v>94</v>
      </c>
      <c r="T419">
        <v>92</v>
      </c>
      <c r="U419">
        <v>27</v>
      </c>
      <c r="V419" s="3">
        <f t="shared" si="25"/>
        <v>26235185</v>
      </c>
      <c r="W419">
        <v>2186265.4166666665</v>
      </c>
      <c r="X419">
        <v>0</v>
      </c>
      <c r="Y419">
        <f t="shared" si="26"/>
        <v>2186265.4166666665</v>
      </c>
      <c r="Z419">
        <f t="shared" si="27"/>
        <v>0</v>
      </c>
      <c r="AA419">
        <v>0</v>
      </c>
    </row>
    <row r="420" spans="1:27" x14ac:dyDescent="0.25">
      <c r="A420" s="1">
        <v>419</v>
      </c>
      <c r="B420" t="s">
        <v>1552</v>
      </c>
      <c r="C420" t="s">
        <v>1134</v>
      </c>
      <c r="D420" t="s">
        <v>1138</v>
      </c>
      <c r="E420" t="s">
        <v>1144</v>
      </c>
      <c r="H420" t="s">
        <v>1157</v>
      </c>
      <c r="I420" t="s">
        <v>1157</v>
      </c>
      <c r="J420" t="s">
        <v>1233</v>
      </c>
      <c r="K420" t="s">
        <v>1212</v>
      </c>
      <c r="M420" s="3">
        <f t="shared" si="24"/>
        <v>65.142857142857139</v>
      </c>
      <c r="N420">
        <v>37</v>
      </c>
      <c r="O420">
        <v>69</v>
      </c>
      <c r="P420">
        <v>60</v>
      </c>
      <c r="Q420">
        <v>65</v>
      </c>
      <c r="R420">
        <v>88</v>
      </c>
      <c r="S420">
        <v>76</v>
      </c>
      <c r="T420">
        <v>61</v>
      </c>
      <c r="U420">
        <v>0</v>
      </c>
      <c r="V420" s="3">
        <f t="shared" si="25"/>
        <v>1376158</v>
      </c>
      <c r="W420">
        <v>114679.83333333333</v>
      </c>
      <c r="X420">
        <v>0</v>
      </c>
      <c r="Y420">
        <f t="shared" si="26"/>
        <v>114679.83333333333</v>
      </c>
      <c r="Z420">
        <f t="shared" si="27"/>
        <v>0</v>
      </c>
      <c r="AA420">
        <v>0</v>
      </c>
    </row>
    <row r="421" spans="1:27" x14ac:dyDescent="0.25">
      <c r="A421" s="1">
        <v>420</v>
      </c>
      <c r="B421" t="s">
        <v>1553</v>
      </c>
      <c r="C421" t="s">
        <v>1134</v>
      </c>
      <c r="D421" t="s">
        <v>1140</v>
      </c>
      <c r="E421" t="s">
        <v>1139</v>
      </c>
      <c r="H421" t="s">
        <v>1157</v>
      </c>
      <c r="I421" t="s">
        <v>1157</v>
      </c>
      <c r="J421" t="s">
        <v>1233</v>
      </c>
      <c r="K421" t="s">
        <v>1212</v>
      </c>
      <c r="M421" s="3">
        <f t="shared" si="24"/>
        <v>60.428571428571431</v>
      </c>
      <c r="N421">
        <v>29</v>
      </c>
      <c r="O421">
        <v>82</v>
      </c>
      <c r="P421">
        <v>55</v>
      </c>
      <c r="Q421">
        <v>68</v>
      </c>
      <c r="R421">
        <v>70</v>
      </c>
      <c r="S421">
        <v>67</v>
      </c>
      <c r="T421">
        <v>52</v>
      </c>
      <c r="U421">
        <v>0</v>
      </c>
      <c r="V421" s="3">
        <f t="shared" si="25"/>
        <v>649267</v>
      </c>
      <c r="W421">
        <v>54105.583333333336</v>
      </c>
      <c r="X421">
        <v>0</v>
      </c>
      <c r="Y421">
        <f t="shared" si="26"/>
        <v>54105.583333333336</v>
      </c>
      <c r="Z421">
        <f t="shared" si="27"/>
        <v>0</v>
      </c>
      <c r="AA421">
        <v>0</v>
      </c>
    </row>
    <row r="422" spans="1:27" x14ac:dyDescent="0.25">
      <c r="A422" s="1">
        <v>421</v>
      </c>
      <c r="B422" t="s">
        <v>166</v>
      </c>
      <c r="C422" t="s">
        <v>1134</v>
      </c>
      <c r="D422" t="s">
        <v>1138</v>
      </c>
      <c r="E422" t="s">
        <v>1144</v>
      </c>
      <c r="G422" t="s">
        <v>1157</v>
      </c>
      <c r="H422" t="s">
        <v>1157</v>
      </c>
      <c r="I422" t="s">
        <v>1157</v>
      </c>
      <c r="J422" t="s">
        <v>1233</v>
      </c>
      <c r="K422" t="s">
        <v>1212</v>
      </c>
      <c r="M422" s="3">
        <f t="shared" si="24"/>
        <v>84.714285714285708</v>
      </c>
      <c r="N422">
        <v>77</v>
      </c>
      <c r="O422">
        <v>74</v>
      </c>
      <c r="P422">
        <v>84</v>
      </c>
      <c r="Q422">
        <v>80</v>
      </c>
      <c r="R422">
        <v>98</v>
      </c>
      <c r="S422">
        <v>92</v>
      </c>
      <c r="T422">
        <v>88</v>
      </c>
      <c r="U422">
        <v>28</v>
      </c>
      <c r="V422" s="3">
        <f t="shared" si="25"/>
        <v>28553398</v>
      </c>
      <c r="W422">
        <v>2379449.8333333335</v>
      </c>
      <c r="X422">
        <v>0</v>
      </c>
      <c r="Y422">
        <f t="shared" si="26"/>
        <v>2379449.8333333335</v>
      </c>
      <c r="Z422">
        <f t="shared" si="27"/>
        <v>0</v>
      </c>
      <c r="AA422">
        <v>0</v>
      </c>
    </row>
    <row r="423" spans="1:27" x14ac:dyDescent="0.25">
      <c r="A423" s="1">
        <v>422</v>
      </c>
      <c r="B423" t="s">
        <v>1550</v>
      </c>
      <c r="C423" t="s">
        <v>1134</v>
      </c>
      <c r="D423" t="s">
        <v>1140</v>
      </c>
      <c r="E423" t="s">
        <v>1138</v>
      </c>
      <c r="H423" t="s">
        <v>1157</v>
      </c>
      <c r="I423" t="s">
        <v>1157</v>
      </c>
      <c r="J423" t="s">
        <v>1233</v>
      </c>
      <c r="K423" t="s">
        <v>1212</v>
      </c>
      <c r="M423" s="3">
        <f t="shared" si="24"/>
        <v>65.142857142857139</v>
      </c>
      <c r="N423">
        <v>34</v>
      </c>
      <c r="O423">
        <v>78</v>
      </c>
      <c r="P423">
        <v>62</v>
      </c>
      <c r="Q423">
        <v>70</v>
      </c>
      <c r="R423">
        <v>80</v>
      </c>
      <c r="S423">
        <v>74</v>
      </c>
      <c r="T423">
        <v>58</v>
      </c>
      <c r="U423">
        <v>0</v>
      </c>
      <c r="V423" s="3">
        <f t="shared" si="25"/>
        <v>1376158</v>
      </c>
      <c r="W423">
        <v>114679.83333333333</v>
      </c>
      <c r="X423">
        <v>0</v>
      </c>
      <c r="Y423">
        <f t="shared" si="26"/>
        <v>114679.83333333333</v>
      </c>
      <c r="Z423">
        <f t="shared" si="27"/>
        <v>0</v>
      </c>
      <c r="AA423">
        <v>0</v>
      </c>
    </row>
    <row r="424" spans="1:27" x14ac:dyDescent="0.25">
      <c r="A424" s="1">
        <v>423</v>
      </c>
      <c r="B424" t="s">
        <v>1551</v>
      </c>
      <c r="C424" t="s">
        <v>1134</v>
      </c>
      <c r="D424" t="s">
        <v>1139</v>
      </c>
      <c r="E424" t="s">
        <v>1138</v>
      </c>
      <c r="H424" t="s">
        <v>1157</v>
      </c>
      <c r="I424" t="s">
        <v>1157</v>
      </c>
      <c r="J424" t="s">
        <v>1233</v>
      </c>
      <c r="K424" t="s">
        <v>1212</v>
      </c>
      <c r="M424" s="3">
        <f t="shared" si="24"/>
        <v>59.857142857142854</v>
      </c>
      <c r="N424">
        <v>22</v>
      </c>
      <c r="O424">
        <v>66</v>
      </c>
      <c r="P424">
        <v>57</v>
      </c>
      <c r="Q424">
        <v>73</v>
      </c>
      <c r="R424">
        <v>68</v>
      </c>
      <c r="S424">
        <v>79</v>
      </c>
      <c r="T424">
        <v>54</v>
      </c>
      <c r="U424">
        <v>0</v>
      </c>
      <c r="V424" s="3">
        <f t="shared" si="25"/>
        <v>590419</v>
      </c>
      <c r="W424">
        <v>49201.583333333336</v>
      </c>
      <c r="X424">
        <v>0</v>
      </c>
      <c r="Y424">
        <f t="shared" si="26"/>
        <v>49201.583333333336</v>
      </c>
      <c r="Z424">
        <f t="shared" si="27"/>
        <v>0</v>
      </c>
      <c r="AA424">
        <v>0</v>
      </c>
    </row>
    <row r="425" spans="1:27" x14ac:dyDescent="0.25">
      <c r="A425" s="1">
        <v>424</v>
      </c>
      <c r="B425" t="s">
        <v>164</v>
      </c>
      <c r="C425" t="s">
        <v>1134</v>
      </c>
      <c r="D425" t="s">
        <v>1138</v>
      </c>
      <c r="E425" t="s">
        <v>1144</v>
      </c>
      <c r="G425" t="s">
        <v>1157</v>
      </c>
      <c r="H425" t="s">
        <v>1157</v>
      </c>
      <c r="I425" t="s">
        <v>1157</v>
      </c>
      <c r="J425" t="s">
        <v>1233</v>
      </c>
      <c r="K425" t="s">
        <v>1212</v>
      </c>
      <c r="M425" s="3">
        <f t="shared" si="24"/>
        <v>83.714285714285708</v>
      </c>
      <c r="N425">
        <v>75</v>
      </c>
      <c r="O425">
        <v>73</v>
      </c>
      <c r="P425">
        <v>80</v>
      </c>
      <c r="Q425">
        <v>95</v>
      </c>
      <c r="R425">
        <v>80</v>
      </c>
      <c r="S425">
        <v>83</v>
      </c>
      <c r="T425">
        <v>100</v>
      </c>
      <c r="U425">
        <v>27</v>
      </c>
      <c r="V425" s="3">
        <f t="shared" si="25"/>
        <v>25356367</v>
      </c>
      <c r="W425">
        <v>2113030.5833333335</v>
      </c>
      <c r="X425">
        <v>0</v>
      </c>
      <c r="Y425">
        <f t="shared" si="26"/>
        <v>2113030.5833333335</v>
      </c>
      <c r="Z425">
        <f t="shared" si="27"/>
        <v>0</v>
      </c>
      <c r="AA425">
        <v>0</v>
      </c>
    </row>
    <row r="426" spans="1:27" x14ac:dyDescent="0.25">
      <c r="A426" s="1">
        <v>425</v>
      </c>
      <c r="B426" t="s">
        <v>464</v>
      </c>
      <c r="C426" t="s">
        <v>1135</v>
      </c>
      <c r="D426" t="s">
        <v>1141</v>
      </c>
      <c r="G426" t="s">
        <v>1157</v>
      </c>
      <c r="H426" t="s">
        <v>1157</v>
      </c>
      <c r="I426" t="s">
        <v>1157</v>
      </c>
      <c r="J426" t="s">
        <v>1233</v>
      </c>
      <c r="K426" t="s">
        <v>1212</v>
      </c>
      <c r="M426" s="3">
        <f t="shared" si="24"/>
        <v>73</v>
      </c>
      <c r="N426">
        <v>60</v>
      </c>
      <c r="O426">
        <v>80</v>
      </c>
      <c r="P426">
        <v>80</v>
      </c>
      <c r="Q426">
        <v>75</v>
      </c>
      <c r="R426">
        <v>80</v>
      </c>
      <c r="S426">
        <v>86</v>
      </c>
      <c r="T426">
        <v>50</v>
      </c>
      <c r="U426">
        <v>0</v>
      </c>
      <c r="V426" s="3">
        <f t="shared" si="25"/>
        <v>4297626</v>
      </c>
      <c r="W426">
        <v>358135.5</v>
      </c>
      <c r="X426">
        <v>0</v>
      </c>
      <c r="Y426">
        <f t="shared" si="26"/>
        <v>358135.5</v>
      </c>
      <c r="Z426">
        <f t="shared" si="27"/>
        <v>0</v>
      </c>
      <c r="AA426">
        <v>0</v>
      </c>
    </row>
    <row r="427" spans="1:27" x14ac:dyDescent="0.25">
      <c r="A427" s="1">
        <v>426</v>
      </c>
      <c r="B427" t="s">
        <v>1558</v>
      </c>
      <c r="C427" t="s">
        <v>1135</v>
      </c>
      <c r="D427" t="s">
        <v>1141</v>
      </c>
      <c r="E427" t="s">
        <v>1142</v>
      </c>
      <c r="H427" t="s">
        <v>1157</v>
      </c>
      <c r="I427" t="s">
        <v>1157</v>
      </c>
      <c r="J427" t="s">
        <v>1233</v>
      </c>
      <c r="K427" t="s">
        <v>1212</v>
      </c>
      <c r="M427" s="3">
        <f t="shared" si="24"/>
        <v>64.285714285714292</v>
      </c>
      <c r="N427">
        <v>35</v>
      </c>
      <c r="O427">
        <v>77</v>
      </c>
      <c r="P427">
        <v>64</v>
      </c>
      <c r="Q427">
        <v>69</v>
      </c>
      <c r="R427">
        <v>76</v>
      </c>
      <c r="S427">
        <v>70</v>
      </c>
      <c r="T427">
        <v>59</v>
      </c>
      <c r="U427">
        <v>0</v>
      </c>
      <c r="V427" s="3">
        <f t="shared" si="25"/>
        <v>1205438</v>
      </c>
      <c r="W427">
        <v>100453.16666666667</v>
      </c>
      <c r="X427">
        <v>0</v>
      </c>
      <c r="Y427">
        <f t="shared" si="26"/>
        <v>100453.16666666667</v>
      </c>
      <c r="Z427">
        <f t="shared" si="27"/>
        <v>0</v>
      </c>
      <c r="AA427">
        <v>0</v>
      </c>
    </row>
    <row r="428" spans="1:27" x14ac:dyDescent="0.25">
      <c r="A428" s="1">
        <v>427</v>
      </c>
      <c r="B428" t="s">
        <v>595</v>
      </c>
      <c r="C428" t="s">
        <v>1135</v>
      </c>
      <c r="D428" t="s">
        <v>1142</v>
      </c>
      <c r="E428" t="s">
        <v>1141</v>
      </c>
      <c r="G428" t="s">
        <v>1199</v>
      </c>
      <c r="H428" t="s">
        <v>1153</v>
      </c>
      <c r="I428" t="s">
        <v>1153</v>
      </c>
      <c r="J428" t="s">
        <v>1233</v>
      </c>
      <c r="K428" t="s">
        <v>1212</v>
      </c>
      <c r="M428" s="3">
        <f t="shared" si="24"/>
        <v>86.142857142857139</v>
      </c>
      <c r="N428">
        <v>84</v>
      </c>
      <c r="O428">
        <v>93</v>
      </c>
      <c r="P428">
        <v>84</v>
      </c>
      <c r="Q428">
        <v>89</v>
      </c>
      <c r="R428">
        <v>85</v>
      </c>
      <c r="S428">
        <v>83</v>
      </c>
      <c r="T428">
        <v>85</v>
      </c>
      <c r="U428">
        <v>3</v>
      </c>
      <c r="V428" s="3">
        <f t="shared" si="25"/>
        <v>33750793</v>
      </c>
      <c r="W428">
        <v>2812566.0833333335</v>
      </c>
      <c r="X428">
        <v>0</v>
      </c>
      <c r="Y428">
        <f t="shared" si="26"/>
        <v>2812566.0833333335</v>
      </c>
      <c r="Z428">
        <f t="shared" si="27"/>
        <v>0</v>
      </c>
      <c r="AA428">
        <v>0</v>
      </c>
    </row>
    <row r="429" spans="1:27" x14ac:dyDescent="0.25">
      <c r="A429" s="1">
        <v>428</v>
      </c>
      <c r="B429" t="s">
        <v>463</v>
      </c>
      <c r="C429" t="s">
        <v>1135</v>
      </c>
      <c r="D429" t="s">
        <v>1142</v>
      </c>
      <c r="E429" t="s">
        <v>1145</v>
      </c>
      <c r="F429" t="s">
        <v>1146</v>
      </c>
      <c r="G429" t="s">
        <v>1157</v>
      </c>
      <c r="H429" t="s">
        <v>1157</v>
      </c>
      <c r="I429" t="s">
        <v>1157</v>
      </c>
      <c r="J429" t="s">
        <v>1233</v>
      </c>
      <c r="K429" t="s">
        <v>1212</v>
      </c>
      <c r="M429" s="3">
        <f t="shared" si="24"/>
        <v>84.285714285714292</v>
      </c>
      <c r="N429">
        <v>83</v>
      </c>
      <c r="O429">
        <v>86</v>
      </c>
      <c r="P429">
        <v>85</v>
      </c>
      <c r="Q429">
        <v>90</v>
      </c>
      <c r="R429">
        <v>86</v>
      </c>
      <c r="S429">
        <v>80</v>
      </c>
      <c r="T429">
        <v>80</v>
      </c>
      <c r="U429">
        <v>7</v>
      </c>
      <c r="V429" s="3">
        <f t="shared" si="25"/>
        <v>27141321</v>
      </c>
      <c r="W429">
        <v>2261776.75</v>
      </c>
      <c r="X429">
        <v>0</v>
      </c>
      <c r="Y429">
        <f t="shared" si="26"/>
        <v>2261776.75</v>
      </c>
      <c r="Z429">
        <f t="shared" si="27"/>
        <v>0</v>
      </c>
      <c r="AA429">
        <v>0</v>
      </c>
    </row>
    <row r="430" spans="1:27" x14ac:dyDescent="0.25">
      <c r="A430" s="1">
        <v>429</v>
      </c>
      <c r="B430" t="s">
        <v>690</v>
      </c>
      <c r="C430" t="s">
        <v>1136</v>
      </c>
      <c r="D430" t="s">
        <v>1144</v>
      </c>
      <c r="E430" t="s">
        <v>1138</v>
      </c>
      <c r="F430" t="s">
        <v>1143</v>
      </c>
      <c r="G430" t="s">
        <v>1157</v>
      </c>
      <c r="H430" t="s">
        <v>1157</v>
      </c>
      <c r="I430" t="s">
        <v>1157</v>
      </c>
      <c r="J430" t="s">
        <v>1233</v>
      </c>
      <c r="K430" t="s">
        <v>1212</v>
      </c>
      <c r="M430" s="3">
        <f t="shared" si="24"/>
        <v>81.142857142857139</v>
      </c>
      <c r="N430">
        <v>72</v>
      </c>
      <c r="O430">
        <v>83</v>
      </c>
      <c r="P430">
        <v>85</v>
      </c>
      <c r="Q430">
        <v>82</v>
      </c>
      <c r="R430">
        <v>91</v>
      </c>
      <c r="S430">
        <v>90</v>
      </c>
      <c r="T430">
        <v>65</v>
      </c>
      <c r="U430">
        <v>18</v>
      </c>
      <c r="V430" s="3">
        <f t="shared" si="25"/>
        <v>18560695</v>
      </c>
      <c r="W430">
        <v>1546724.5833333333</v>
      </c>
      <c r="X430">
        <v>0</v>
      </c>
      <c r="Y430">
        <f t="shared" si="26"/>
        <v>1546724.5833333333</v>
      </c>
      <c r="Z430">
        <f t="shared" si="27"/>
        <v>0</v>
      </c>
      <c r="AA430">
        <v>0</v>
      </c>
    </row>
    <row r="431" spans="1:27" x14ac:dyDescent="0.25">
      <c r="A431" s="1">
        <v>430</v>
      </c>
      <c r="B431" t="s">
        <v>1554</v>
      </c>
      <c r="C431" t="s">
        <v>1136</v>
      </c>
      <c r="D431" t="s">
        <v>1144</v>
      </c>
      <c r="E431" t="s">
        <v>1143</v>
      </c>
      <c r="H431" t="s">
        <v>1157</v>
      </c>
      <c r="I431" t="s">
        <v>1157</v>
      </c>
      <c r="J431" t="s">
        <v>1233</v>
      </c>
      <c r="K431" t="s">
        <v>1212</v>
      </c>
      <c r="M431" s="3">
        <f t="shared" si="24"/>
        <v>64.857142857142861</v>
      </c>
      <c r="N431">
        <v>38</v>
      </c>
      <c r="O431">
        <v>64</v>
      </c>
      <c r="P431">
        <v>58</v>
      </c>
      <c r="Q431">
        <v>81</v>
      </c>
      <c r="R431">
        <v>79</v>
      </c>
      <c r="S431">
        <v>71</v>
      </c>
      <c r="T431">
        <v>63</v>
      </c>
      <c r="U431">
        <v>0</v>
      </c>
      <c r="V431" s="3">
        <f t="shared" si="25"/>
        <v>1316977</v>
      </c>
      <c r="W431">
        <v>109748.08333333333</v>
      </c>
      <c r="X431">
        <v>0</v>
      </c>
      <c r="Y431">
        <f t="shared" si="26"/>
        <v>109748.08333333333</v>
      </c>
      <c r="Z431">
        <f t="shared" si="27"/>
        <v>0</v>
      </c>
      <c r="AA431">
        <v>0</v>
      </c>
    </row>
    <row r="432" spans="1:27" x14ac:dyDescent="0.25">
      <c r="A432" s="1">
        <v>431</v>
      </c>
      <c r="B432" t="s">
        <v>1557</v>
      </c>
      <c r="C432" t="s">
        <v>1136</v>
      </c>
      <c r="D432" t="s">
        <v>1146</v>
      </c>
      <c r="E432" t="s">
        <v>1143</v>
      </c>
      <c r="H432" t="s">
        <v>1157</v>
      </c>
      <c r="I432" t="s">
        <v>1157</v>
      </c>
      <c r="J432" t="s">
        <v>1233</v>
      </c>
      <c r="K432" t="s">
        <v>1212</v>
      </c>
      <c r="M432" s="3">
        <f t="shared" si="24"/>
        <v>60</v>
      </c>
      <c r="N432">
        <v>27</v>
      </c>
      <c r="O432">
        <v>80</v>
      </c>
      <c r="P432">
        <v>51</v>
      </c>
      <c r="Q432">
        <v>74</v>
      </c>
      <c r="R432">
        <v>68</v>
      </c>
      <c r="S432">
        <v>65</v>
      </c>
      <c r="T432">
        <v>55</v>
      </c>
      <c r="U432">
        <v>0</v>
      </c>
      <c r="V432" s="3">
        <f t="shared" si="25"/>
        <v>604662</v>
      </c>
      <c r="W432">
        <v>50388.5</v>
      </c>
      <c r="X432">
        <v>0</v>
      </c>
      <c r="Y432">
        <f t="shared" si="26"/>
        <v>50388.5</v>
      </c>
      <c r="Z432">
        <f t="shared" si="27"/>
        <v>0</v>
      </c>
      <c r="AA432">
        <v>0</v>
      </c>
    </row>
    <row r="433" spans="1:27" x14ac:dyDescent="0.25">
      <c r="A433" s="1">
        <v>432</v>
      </c>
      <c r="B433" t="s">
        <v>691</v>
      </c>
      <c r="C433" t="s">
        <v>1136</v>
      </c>
      <c r="D433" t="s">
        <v>1144</v>
      </c>
      <c r="E433" t="s">
        <v>1138</v>
      </c>
      <c r="F433" t="s">
        <v>1143</v>
      </c>
      <c r="G433" t="s">
        <v>1157</v>
      </c>
      <c r="H433" t="s">
        <v>1157</v>
      </c>
      <c r="I433" t="s">
        <v>1157</v>
      </c>
      <c r="J433" t="s">
        <v>1233</v>
      </c>
      <c r="K433" t="s">
        <v>1212</v>
      </c>
      <c r="M433" s="3">
        <f t="shared" si="24"/>
        <v>89.142857142857139</v>
      </c>
      <c r="N433">
        <v>90</v>
      </c>
      <c r="O433">
        <v>88</v>
      </c>
      <c r="P433">
        <v>91</v>
      </c>
      <c r="Q433">
        <v>85</v>
      </c>
      <c r="R433">
        <v>93</v>
      </c>
      <c r="S433">
        <v>93</v>
      </c>
      <c r="T433">
        <v>84</v>
      </c>
      <c r="U433">
        <v>19</v>
      </c>
      <c r="V433" s="3">
        <f t="shared" si="25"/>
        <v>47528790</v>
      </c>
      <c r="W433">
        <v>3960732.5</v>
      </c>
      <c r="X433">
        <v>0</v>
      </c>
      <c r="Y433">
        <f t="shared" si="26"/>
        <v>3960732.5</v>
      </c>
      <c r="Z433">
        <f t="shared" si="27"/>
        <v>0</v>
      </c>
      <c r="AA433">
        <v>0</v>
      </c>
    </row>
    <row r="434" spans="1:27" x14ac:dyDescent="0.25">
      <c r="A434" s="1">
        <v>433</v>
      </c>
      <c r="B434" t="s">
        <v>692</v>
      </c>
      <c r="C434" t="s">
        <v>1136</v>
      </c>
      <c r="D434" t="s">
        <v>1143</v>
      </c>
      <c r="E434" t="s">
        <v>1144</v>
      </c>
      <c r="G434" t="s">
        <v>1157</v>
      </c>
      <c r="H434" t="s">
        <v>1214</v>
      </c>
      <c r="I434" t="s">
        <v>1214</v>
      </c>
      <c r="J434" t="s">
        <v>1233</v>
      </c>
      <c r="K434" t="s">
        <v>1212</v>
      </c>
      <c r="M434" s="3">
        <f t="shared" si="24"/>
        <v>88.428571428571431</v>
      </c>
      <c r="N434">
        <v>85</v>
      </c>
      <c r="O434">
        <v>87</v>
      </c>
      <c r="P434">
        <v>88</v>
      </c>
      <c r="Q434">
        <v>92</v>
      </c>
      <c r="R434">
        <v>90</v>
      </c>
      <c r="S434">
        <v>91</v>
      </c>
      <c r="T434">
        <v>86</v>
      </c>
      <c r="U434">
        <v>24</v>
      </c>
      <c r="V434" s="3">
        <f t="shared" si="25"/>
        <v>43854822</v>
      </c>
      <c r="W434">
        <v>3654568.5</v>
      </c>
      <c r="X434">
        <v>0</v>
      </c>
      <c r="Y434">
        <f t="shared" si="26"/>
        <v>3654568.5</v>
      </c>
      <c r="Z434">
        <f t="shared" si="27"/>
        <v>0</v>
      </c>
      <c r="AA434">
        <v>0</v>
      </c>
    </row>
    <row r="435" spans="1:27" x14ac:dyDescent="0.25">
      <c r="A435" s="1">
        <v>434</v>
      </c>
      <c r="B435" t="s">
        <v>1555</v>
      </c>
      <c r="C435" t="s">
        <v>1136</v>
      </c>
      <c r="D435" t="s">
        <v>1143</v>
      </c>
      <c r="E435" t="s">
        <v>1145</v>
      </c>
      <c r="H435" t="s">
        <v>1157</v>
      </c>
      <c r="I435" t="s">
        <v>1157</v>
      </c>
      <c r="J435" t="s">
        <v>1233</v>
      </c>
      <c r="K435" t="s">
        <v>1212</v>
      </c>
      <c r="M435" s="3">
        <f t="shared" si="24"/>
        <v>60.571428571428569</v>
      </c>
      <c r="N435">
        <v>31</v>
      </c>
      <c r="O435">
        <v>72</v>
      </c>
      <c r="P435">
        <v>54</v>
      </c>
      <c r="Q435">
        <v>76</v>
      </c>
      <c r="R435">
        <v>66</v>
      </c>
      <c r="S435">
        <v>68</v>
      </c>
      <c r="T435">
        <v>57</v>
      </c>
      <c r="U435">
        <v>0</v>
      </c>
      <c r="V435" s="3">
        <f t="shared" si="25"/>
        <v>664781</v>
      </c>
      <c r="W435">
        <v>55398.416666666664</v>
      </c>
      <c r="X435">
        <v>0</v>
      </c>
      <c r="Y435">
        <f t="shared" si="26"/>
        <v>55398.416666666664</v>
      </c>
      <c r="Z435">
        <f t="shared" si="27"/>
        <v>0</v>
      </c>
      <c r="AA435">
        <v>0</v>
      </c>
    </row>
    <row r="436" spans="1:27" x14ac:dyDescent="0.25">
      <c r="A436" s="1">
        <v>435</v>
      </c>
      <c r="B436" t="s">
        <v>689</v>
      </c>
      <c r="C436" t="s">
        <v>1136</v>
      </c>
      <c r="D436" t="s">
        <v>1146</v>
      </c>
      <c r="E436" t="s">
        <v>1143</v>
      </c>
      <c r="G436" t="s">
        <v>1157</v>
      </c>
      <c r="H436" t="s">
        <v>1157</v>
      </c>
      <c r="I436" t="s">
        <v>1157</v>
      </c>
      <c r="J436" t="s">
        <v>1233</v>
      </c>
      <c r="K436" t="s">
        <v>1212</v>
      </c>
      <c r="M436" s="3">
        <f t="shared" si="24"/>
        <v>87.142857142857139</v>
      </c>
      <c r="N436">
        <v>84</v>
      </c>
      <c r="O436">
        <v>95</v>
      </c>
      <c r="P436">
        <v>86</v>
      </c>
      <c r="Q436">
        <v>90</v>
      </c>
      <c r="R436">
        <v>90</v>
      </c>
      <c r="S436">
        <v>85</v>
      </c>
      <c r="T436">
        <v>80</v>
      </c>
      <c r="U436">
        <v>23</v>
      </c>
      <c r="V436" s="3">
        <f t="shared" si="25"/>
        <v>37879934</v>
      </c>
      <c r="W436">
        <v>3156661.1666666665</v>
      </c>
      <c r="X436">
        <v>0</v>
      </c>
      <c r="Y436">
        <f t="shared" si="26"/>
        <v>3156661.1666666665</v>
      </c>
      <c r="Z436">
        <f t="shared" si="27"/>
        <v>0</v>
      </c>
      <c r="AA436">
        <v>0</v>
      </c>
    </row>
    <row r="437" spans="1:27" x14ac:dyDescent="0.25">
      <c r="A437" s="1">
        <v>436</v>
      </c>
      <c r="B437" t="s">
        <v>1556</v>
      </c>
      <c r="C437" t="s">
        <v>1136</v>
      </c>
      <c r="D437" t="s">
        <v>1147</v>
      </c>
      <c r="E437" t="s">
        <v>1145</v>
      </c>
      <c r="H437" t="s">
        <v>1157</v>
      </c>
      <c r="I437" t="s">
        <v>1157</v>
      </c>
      <c r="J437" t="s">
        <v>1233</v>
      </c>
      <c r="K437" t="s">
        <v>1212</v>
      </c>
      <c r="M437" s="3">
        <f t="shared" si="24"/>
        <v>64.714285714285708</v>
      </c>
      <c r="N437">
        <v>40</v>
      </c>
      <c r="O437">
        <v>75</v>
      </c>
      <c r="P437">
        <v>63</v>
      </c>
      <c r="Q437">
        <v>70</v>
      </c>
      <c r="R437">
        <v>72</v>
      </c>
      <c r="S437">
        <v>73</v>
      </c>
      <c r="T437">
        <v>60</v>
      </c>
      <c r="U437">
        <v>0</v>
      </c>
      <c r="V437" s="3">
        <f t="shared" si="25"/>
        <v>1288255</v>
      </c>
      <c r="W437">
        <v>107354.58333333333</v>
      </c>
      <c r="X437">
        <v>0</v>
      </c>
      <c r="Y437">
        <f t="shared" si="26"/>
        <v>107354.58333333333</v>
      </c>
      <c r="Z437">
        <f t="shared" si="27"/>
        <v>0</v>
      </c>
      <c r="AA437">
        <v>0</v>
      </c>
    </row>
    <row r="438" spans="1:27" x14ac:dyDescent="0.25">
      <c r="A438" s="1">
        <v>437</v>
      </c>
      <c r="B438" t="s">
        <v>751</v>
      </c>
      <c r="C438" t="s">
        <v>1136</v>
      </c>
      <c r="D438" t="s">
        <v>1146</v>
      </c>
      <c r="E438" t="s">
        <v>1147</v>
      </c>
      <c r="G438" t="s">
        <v>1168</v>
      </c>
      <c r="H438" t="s">
        <v>1168</v>
      </c>
      <c r="I438" t="s">
        <v>1168</v>
      </c>
      <c r="J438" t="s">
        <v>1233</v>
      </c>
      <c r="K438" t="s">
        <v>1212</v>
      </c>
      <c r="M438" s="3">
        <f t="shared" si="24"/>
        <v>85.857142857142861</v>
      </c>
      <c r="N438">
        <v>80</v>
      </c>
      <c r="O438">
        <v>90</v>
      </c>
      <c r="P438">
        <v>87</v>
      </c>
      <c r="Q438">
        <v>86</v>
      </c>
      <c r="R438">
        <v>86</v>
      </c>
      <c r="S438">
        <v>88</v>
      </c>
      <c r="T438">
        <v>84</v>
      </c>
      <c r="U438">
        <v>22</v>
      </c>
      <c r="V438" s="3">
        <f t="shared" si="25"/>
        <v>32647925</v>
      </c>
      <c r="W438">
        <v>2720660.4166666665</v>
      </c>
      <c r="X438">
        <v>0</v>
      </c>
      <c r="Y438">
        <f t="shared" si="26"/>
        <v>2720660.4166666665</v>
      </c>
      <c r="Z438">
        <f t="shared" si="27"/>
        <v>0</v>
      </c>
      <c r="AA438">
        <v>0</v>
      </c>
    </row>
    <row r="439" spans="1:27" x14ac:dyDescent="0.25">
      <c r="A439" s="1">
        <v>438</v>
      </c>
      <c r="B439" t="s">
        <v>752</v>
      </c>
      <c r="C439" t="s">
        <v>1136</v>
      </c>
      <c r="D439" t="s">
        <v>1143</v>
      </c>
      <c r="E439" t="s">
        <v>1144</v>
      </c>
      <c r="F439" t="s">
        <v>1147</v>
      </c>
      <c r="G439" t="s">
        <v>1168</v>
      </c>
      <c r="H439" t="s">
        <v>1168</v>
      </c>
      <c r="I439" t="s">
        <v>1168</v>
      </c>
      <c r="J439" t="s">
        <v>1233</v>
      </c>
      <c r="K439" t="s">
        <v>1212</v>
      </c>
      <c r="M439" s="3">
        <f t="shared" si="24"/>
        <v>95.142857142857139</v>
      </c>
      <c r="N439">
        <v>97</v>
      </c>
      <c r="O439">
        <v>94</v>
      </c>
      <c r="P439">
        <v>98</v>
      </c>
      <c r="Q439">
        <v>100</v>
      </c>
      <c r="R439">
        <v>90</v>
      </c>
      <c r="S439">
        <v>88</v>
      </c>
      <c r="T439">
        <v>99</v>
      </c>
      <c r="U439">
        <v>10</v>
      </c>
      <c r="V439" s="3">
        <f t="shared" si="25"/>
        <v>91170252</v>
      </c>
      <c r="W439">
        <v>7597521</v>
      </c>
      <c r="X439">
        <v>0</v>
      </c>
      <c r="Y439">
        <f t="shared" si="26"/>
        <v>7597521</v>
      </c>
      <c r="Z439">
        <f t="shared" si="27"/>
        <v>0</v>
      </c>
      <c r="AA439">
        <v>0</v>
      </c>
    </row>
    <row r="440" spans="1:27" x14ac:dyDescent="0.25">
      <c r="A440" s="1">
        <v>439</v>
      </c>
      <c r="B440" t="s">
        <v>1117</v>
      </c>
      <c r="C440" t="s">
        <v>1137</v>
      </c>
      <c r="D440" t="s">
        <v>1137</v>
      </c>
      <c r="H440" t="s">
        <v>1157</v>
      </c>
      <c r="I440" t="s">
        <v>1157</v>
      </c>
      <c r="J440" t="s">
        <v>1233</v>
      </c>
      <c r="K440" t="s">
        <v>1212</v>
      </c>
      <c r="M440" s="3">
        <f t="shared" si="24"/>
        <v>83.857142857142861</v>
      </c>
      <c r="N440">
        <v>70</v>
      </c>
      <c r="O440">
        <v>85</v>
      </c>
      <c r="P440">
        <v>86</v>
      </c>
      <c r="Q440">
        <v>94</v>
      </c>
      <c r="R440">
        <v>93</v>
      </c>
      <c r="S440">
        <v>90</v>
      </c>
      <c r="T440">
        <v>69</v>
      </c>
      <c r="U440">
        <v>0</v>
      </c>
      <c r="V440" s="3">
        <f t="shared" si="25"/>
        <v>17194938</v>
      </c>
      <c r="W440">
        <v>1432911.5</v>
      </c>
      <c r="X440">
        <v>0</v>
      </c>
      <c r="Y440">
        <f t="shared" si="26"/>
        <v>1432911.5</v>
      </c>
      <c r="Z440">
        <f t="shared" si="27"/>
        <v>0</v>
      </c>
      <c r="AA440">
        <v>0</v>
      </c>
    </row>
    <row r="441" spans="1:27" x14ac:dyDescent="0.25">
      <c r="A441" s="1">
        <v>440</v>
      </c>
      <c r="B441" t="s">
        <v>2484</v>
      </c>
      <c r="C441" t="s">
        <v>1133</v>
      </c>
      <c r="D441" t="s">
        <v>1133</v>
      </c>
      <c r="H441" t="s">
        <v>1179</v>
      </c>
      <c r="I441" t="s">
        <v>1179</v>
      </c>
      <c r="J441" t="s">
        <v>1329</v>
      </c>
      <c r="K441" t="s">
        <v>1212</v>
      </c>
      <c r="M441" s="3">
        <f t="shared" si="24"/>
        <v>31.571428571428573</v>
      </c>
      <c r="N441">
        <v>8</v>
      </c>
      <c r="O441">
        <v>40</v>
      </c>
      <c r="P441">
        <v>34</v>
      </c>
      <c r="Q441">
        <v>38</v>
      </c>
      <c r="R441">
        <v>40</v>
      </c>
      <c r="S441">
        <v>42</v>
      </c>
      <c r="T441">
        <v>19</v>
      </c>
      <c r="U441">
        <v>0</v>
      </c>
      <c r="V441" s="3">
        <f t="shared" si="25"/>
        <v>984</v>
      </c>
      <c r="W441">
        <v>82</v>
      </c>
      <c r="X441">
        <v>0</v>
      </c>
      <c r="Y441">
        <f t="shared" si="26"/>
        <v>82</v>
      </c>
      <c r="Z441">
        <f t="shared" si="27"/>
        <v>0</v>
      </c>
      <c r="AA441">
        <v>0</v>
      </c>
    </row>
    <row r="442" spans="1:27" x14ac:dyDescent="0.25">
      <c r="A442" s="1">
        <v>441</v>
      </c>
      <c r="B442" t="s">
        <v>2501</v>
      </c>
      <c r="C442" t="s">
        <v>1133</v>
      </c>
      <c r="D442" t="s">
        <v>1133</v>
      </c>
      <c r="H442" t="s">
        <v>1179</v>
      </c>
      <c r="I442" t="s">
        <v>1179</v>
      </c>
      <c r="J442" t="s">
        <v>1329</v>
      </c>
      <c r="K442" t="s">
        <v>1212</v>
      </c>
      <c r="M442" s="3">
        <f t="shared" si="24"/>
        <v>31.857142857142858</v>
      </c>
      <c r="N442">
        <v>8</v>
      </c>
      <c r="O442">
        <v>42</v>
      </c>
      <c r="P442">
        <v>34</v>
      </c>
      <c r="Q442">
        <v>38</v>
      </c>
      <c r="R442">
        <v>40</v>
      </c>
      <c r="S442">
        <v>42</v>
      </c>
      <c r="T442">
        <v>19</v>
      </c>
      <c r="U442">
        <v>0</v>
      </c>
      <c r="V442" s="3">
        <f t="shared" si="25"/>
        <v>1077</v>
      </c>
      <c r="W442">
        <v>89.75</v>
      </c>
      <c r="X442">
        <v>0</v>
      </c>
      <c r="Y442">
        <f t="shared" si="26"/>
        <v>89.75</v>
      </c>
      <c r="Z442">
        <f t="shared" si="27"/>
        <v>0</v>
      </c>
      <c r="AA442">
        <v>0</v>
      </c>
    </row>
    <row r="443" spans="1:27" x14ac:dyDescent="0.25">
      <c r="A443" s="1">
        <v>442</v>
      </c>
      <c r="B443" t="s">
        <v>2483</v>
      </c>
      <c r="C443" t="s">
        <v>1133</v>
      </c>
      <c r="D443" t="s">
        <v>1133</v>
      </c>
      <c r="H443" t="s">
        <v>1179</v>
      </c>
      <c r="I443" t="s">
        <v>1179</v>
      </c>
      <c r="J443" t="s">
        <v>1329</v>
      </c>
      <c r="K443" t="s">
        <v>1212</v>
      </c>
      <c r="M443" s="3">
        <f t="shared" si="24"/>
        <v>35.428571428571431</v>
      </c>
      <c r="N443">
        <v>10</v>
      </c>
      <c r="O443">
        <v>46</v>
      </c>
      <c r="P443">
        <v>38</v>
      </c>
      <c r="Q443">
        <v>42</v>
      </c>
      <c r="R443">
        <v>44</v>
      </c>
      <c r="S443">
        <v>46</v>
      </c>
      <c r="T443">
        <v>22</v>
      </c>
      <c r="U443">
        <v>0</v>
      </c>
      <c r="V443" s="3">
        <f t="shared" si="25"/>
        <v>3116</v>
      </c>
      <c r="W443">
        <v>259.66666666666669</v>
      </c>
      <c r="X443">
        <v>0</v>
      </c>
      <c r="Y443">
        <f t="shared" si="26"/>
        <v>259.66666666666669</v>
      </c>
      <c r="Z443">
        <f t="shared" si="27"/>
        <v>0</v>
      </c>
      <c r="AA443">
        <v>0</v>
      </c>
    </row>
    <row r="444" spans="1:27" x14ac:dyDescent="0.25">
      <c r="A444" s="1">
        <v>443</v>
      </c>
      <c r="B444" t="s">
        <v>2486</v>
      </c>
      <c r="C444" t="s">
        <v>1134</v>
      </c>
      <c r="D444" t="s">
        <v>1138</v>
      </c>
      <c r="E444" t="s">
        <v>1144</v>
      </c>
      <c r="H444" t="s">
        <v>1179</v>
      </c>
      <c r="I444" t="s">
        <v>1179</v>
      </c>
      <c r="J444" t="s">
        <v>1329</v>
      </c>
      <c r="K444" t="s">
        <v>1212</v>
      </c>
      <c r="M444" s="3">
        <f t="shared" si="24"/>
        <v>28.142857142857142</v>
      </c>
      <c r="N444">
        <v>6</v>
      </c>
      <c r="O444">
        <v>36</v>
      </c>
      <c r="P444">
        <v>30</v>
      </c>
      <c r="Q444">
        <v>34</v>
      </c>
      <c r="R444">
        <v>36</v>
      </c>
      <c r="S444">
        <v>38</v>
      </c>
      <c r="T444">
        <v>17</v>
      </c>
      <c r="U444">
        <v>0</v>
      </c>
      <c r="V444" s="3">
        <f t="shared" si="25"/>
        <v>312</v>
      </c>
      <c r="W444">
        <v>26</v>
      </c>
      <c r="X444">
        <v>0</v>
      </c>
      <c r="Y444">
        <f t="shared" si="26"/>
        <v>26</v>
      </c>
      <c r="Z444">
        <f t="shared" si="27"/>
        <v>0</v>
      </c>
      <c r="AA444">
        <v>0</v>
      </c>
    </row>
    <row r="445" spans="1:27" x14ac:dyDescent="0.25">
      <c r="A445" s="1">
        <v>444</v>
      </c>
      <c r="B445" t="s">
        <v>2489</v>
      </c>
      <c r="C445" t="s">
        <v>1134</v>
      </c>
      <c r="D445" t="s">
        <v>1140</v>
      </c>
      <c r="E445" t="s">
        <v>1139</v>
      </c>
      <c r="H445" t="s">
        <v>1179</v>
      </c>
      <c r="I445" t="s">
        <v>1179</v>
      </c>
      <c r="J445" t="s">
        <v>1329</v>
      </c>
      <c r="K445" t="s">
        <v>1212</v>
      </c>
      <c r="M445" s="3">
        <f t="shared" si="24"/>
        <v>45.571428571428569</v>
      </c>
      <c r="N445">
        <v>33</v>
      </c>
      <c r="O445">
        <v>45</v>
      </c>
      <c r="P445">
        <v>50</v>
      </c>
      <c r="Q445">
        <v>50</v>
      </c>
      <c r="R445">
        <v>50</v>
      </c>
      <c r="S445">
        <v>55</v>
      </c>
      <c r="T445">
        <v>36</v>
      </c>
      <c r="U445">
        <v>0</v>
      </c>
      <c r="V445" s="3">
        <f t="shared" si="25"/>
        <v>38631</v>
      </c>
      <c r="W445">
        <v>74.916666666666671</v>
      </c>
      <c r="X445">
        <v>0</v>
      </c>
      <c r="Y445">
        <f t="shared" si="26"/>
        <v>3219.25</v>
      </c>
      <c r="Z445">
        <f t="shared" si="27"/>
        <v>-97.67</v>
      </c>
      <c r="AA445">
        <v>0</v>
      </c>
    </row>
    <row r="446" spans="1:27" x14ac:dyDescent="0.25">
      <c r="A446" s="1">
        <v>445</v>
      </c>
      <c r="B446" t="s">
        <v>2488</v>
      </c>
      <c r="C446" t="s">
        <v>1134</v>
      </c>
      <c r="D446" t="s">
        <v>1140</v>
      </c>
      <c r="E446" t="s">
        <v>1138</v>
      </c>
      <c r="H446" t="s">
        <v>1179</v>
      </c>
      <c r="I446" t="s">
        <v>1179</v>
      </c>
      <c r="J446" t="s">
        <v>1329</v>
      </c>
      <c r="K446" t="s">
        <v>1212</v>
      </c>
      <c r="M446" s="3">
        <f t="shared" si="24"/>
        <v>35.142857142857146</v>
      </c>
      <c r="N446">
        <v>9</v>
      </c>
      <c r="O446">
        <v>46</v>
      </c>
      <c r="P446">
        <v>38</v>
      </c>
      <c r="Q446">
        <v>42</v>
      </c>
      <c r="R446">
        <v>44</v>
      </c>
      <c r="S446">
        <v>46</v>
      </c>
      <c r="T446">
        <v>21</v>
      </c>
      <c r="U446">
        <v>0</v>
      </c>
      <c r="V446" s="3">
        <f t="shared" si="25"/>
        <v>2874</v>
      </c>
      <c r="W446">
        <v>239.5</v>
      </c>
      <c r="X446">
        <v>0</v>
      </c>
      <c r="Y446">
        <f t="shared" si="26"/>
        <v>239.5</v>
      </c>
      <c r="Z446">
        <f t="shared" si="27"/>
        <v>0</v>
      </c>
      <c r="AA446">
        <v>0</v>
      </c>
    </row>
    <row r="447" spans="1:27" x14ac:dyDescent="0.25">
      <c r="A447" s="1">
        <v>446</v>
      </c>
      <c r="B447" t="s">
        <v>2487</v>
      </c>
      <c r="C447" t="s">
        <v>1134</v>
      </c>
      <c r="D447" t="s">
        <v>1138</v>
      </c>
      <c r="E447" t="s">
        <v>1139</v>
      </c>
      <c r="H447" t="s">
        <v>1179</v>
      </c>
      <c r="I447" t="s">
        <v>1179</v>
      </c>
      <c r="J447" t="s">
        <v>1329</v>
      </c>
      <c r="K447" t="s">
        <v>1212</v>
      </c>
      <c r="M447" s="3">
        <f t="shared" si="24"/>
        <v>39.142857142857146</v>
      </c>
      <c r="N447">
        <v>12</v>
      </c>
      <c r="O447">
        <v>52</v>
      </c>
      <c r="P447">
        <v>42</v>
      </c>
      <c r="Q447">
        <v>46</v>
      </c>
      <c r="R447">
        <v>48</v>
      </c>
      <c r="S447">
        <v>50</v>
      </c>
      <c r="T447">
        <v>24</v>
      </c>
      <c r="U447">
        <v>0</v>
      </c>
      <c r="V447" s="3">
        <f t="shared" si="25"/>
        <v>8444</v>
      </c>
      <c r="W447">
        <v>703.66666666666663</v>
      </c>
      <c r="X447">
        <v>0</v>
      </c>
      <c r="Y447">
        <f t="shared" si="26"/>
        <v>703.66666666666663</v>
      </c>
      <c r="Z447">
        <f t="shared" si="27"/>
        <v>0</v>
      </c>
      <c r="AA447">
        <v>0</v>
      </c>
    </row>
    <row r="448" spans="1:27" x14ac:dyDescent="0.25">
      <c r="A448" s="1">
        <v>447</v>
      </c>
      <c r="B448" t="s">
        <v>2499</v>
      </c>
      <c r="C448" t="s">
        <v>1135</v>
      </c>
      <c r="D448" t="s">
        <v>1142</v>
      </c>
      <c r="E448" t="s">
        <v>1141</v>
      </c>
      <c r="H448" t="s">
        <v>1179</v>
      </c>
      <c r="I448" t="s">
        <v>1179</v>
      </c>
      <c r="J448" t="s">
        <v>1329</v>
      </c>
      <c r="K448" t="s">
        <v>1212</v>
      </c>
      <c r="M448" s="3">
        <f t="shared" si="24"/>
        <v>55.428571428571431</v>
      </c>
      <c r="N448">
        <v>18</v>
      </c>
      <c r="O448">
        <v>70</v>
      </c>
      <c r="P448">
        <v>62</v>
      </c>
      <c r="Q448">
        <v>64</v>
      </c>
      <c r="R448">
        <v>66</v>
      </c>
      <c r="S448">
        <v>68</v>
      </c>
      <c r="T448">
        <v>40</v>
      </c>
      <c r="U448">
        <v>0</v>
      </c>
      <c r="V448" s="3">
        <f t="shared" si="25"/>
        <v>273740</v>
      </c>
      <c r="W448">
        <v>22811.666666666668</v>
      </c>
      <c r="X448">
        <v>0</v>
      </c>
      <c r="Y448">
        <f t="shared" si="26"/>
        <v>22811.666666666668</v>
      </c>
      <c r="Z448">
        <f t="shared" si="27"/>
        <v>0</v>
      </c>
      <c r="AA448">
        <v>0</v>
      </c>
    </row>
    <row r="449" spans="1:27" x14ac:dyDescent="0.25">
      <c r="A449" s="1">
        <v>448</v>
      </c>
      <c r="B449" t="s">
        <v>2498</v>
      </c>
      <c r="C449" t="s">
        <v>1135</v>
      </c>
      <c r="D449" t="s">
        <v>1142</v>
      </c>
      <c r="E449" t="s">
        <v>1141</v>
      </c>
      <c r="H449" t="s">
        <v>1179</v>
      </c>
      <c r="I449" t="s">
        <v>1179</v>
      </c>
      <c r="J449" t="s">
        <v>1329</v>
      </c>
      <c r="K449" t="s">
        <v>1212</v>
      </c>
      <c r="M449" s="3">
        <f t="shared" si="24"/>
        <v>36.142857142857146</v>
      </c>
      <c r="N449">
        <v>10</v>
      </c>
      <c r="O449">
        <v>46</v>
      </c>
      <c r="P449">
        <v>38</v>
      </c>
      <c r="Q449">
        <v>44</v>
      </c>
      <c r="R449">
        <v>46</v>
      </c>
      <c r="S449">
        <v>48</v>
      </c>
      <c r="T449">
        <v>21</v>
      </c>
      <c r="U449">
        <v>0</v>
      </c>
      <c r="V449" s="3">
        <f t="shared" si="25"/>
        <v>3804</v>
      </c>
      <c r="W449">
        <v>317</v>
      </c>
      <c r="X449">
        <v>0</v>
      </c>
      <c r="Y449">
        <f t="shared" si="26"/>
        <v>317</v>
      </c>
      <c r="Z449">
        <f t="shared" si="27"/>
        <v>0</v>
      </c>
      <c r="AA449">
        <v>0</v>
      </c>
    </row>
    <row r="450" spans="1:27" x14ac:dyDescent="0.25">
      <c r="A450" s="1">
        <v>449</v>
      </c>
      <c r="B450" t="s">
        <v>2492</v>
      </c>
      <c r="C450" t="s">
        <v>1136</v>
      </c>
      <c r="D450" t="s">
        <v>1143</v>
      </c>
      <c r="E450" t="s">
        <v>1144</v>
      </c>
      <c r="H450" t="s">
        <v>1179</v>
      </c>
      <c r="I450" t="s">
        <v>1179</v>
      </c>
      <c r="J450" t="s">
        <v>1329</v>
      </c>
      <c r="K450" t="s">
        <v>1212</v>
      </c>
      <c r="M450" s="3">
        <f t="shared" ref="M450:M513" si="28">AVERAGE(N450:T450)</f>
        <v>40.857142857142854</v>
      </c>
      <c r="N450">
        <v>13</v>
      </c>
      <c r="O450">
        <v>54</v>
      </c>
      <c r="P450">
        <v>44</v>
      </c>
      <c r="Q450">
        <v>48</v>
      </c>
      <c r="R450">
        <v>50</v>
      </c>
      <c r="S450">
        <v>52</v>
      </c>
      <c r="T450">
        <v>25</v>
      </c>
      <c r="U450">
        <v>0</v>
      </c>
      <c r="V450" s="3">
        <f t="shared" ref="V450:V513" si="29">ROUNDUP(M450^10/1000000000000 * IF(U450&gt;0,1.5,1),0)</f>
        <v>12963</v>
      </c>
      <c r="W450">
        <v>1080.25</v>
      </c>
      <c r="X450">
        <v>0</v>
      </c>
      <c r="Y450">
        <f t="shared" ref="Y450:Y513" si="30">V450/12</f>
        <v>1080.25</v>
      </c>
      <c r="Z450">
        <f t="shared" ref="Z450:Z513" si="31">ROUND(((W450-Y450)/Y450)*100,2)</f>
        <v>0</v>
      </c>
      <c r="AA450">
        <v>0</v>
      </c>
    </row>
    <row r="451" spans="1:27" x14ac:dyDescent="0.25">
      <c r="A451" s="1">
        <v>450</v>
      </c>
      <c r="B451" t="s">
        <v>1327</v>
      </c>
      <c r="C451" t="s">
        <v>1136</v>
      </c>
      <c r="D451" t="s">
        <v>1143</v>
      </c>
      <c r="E451" t="s">
        <v>1144</v>
      </c>
      <c r="H451" t="s">
        <v>1179</v>
      </c>
      <c r="I451" t="s">
        <v>1179</v>
      </c>
      <c r="J451" t="s">
        <v>1329</v>
      </c>
      <c r="K451" t="s">
        <v>1212</v>
      </c>
      <c r="M451" s="3">
        <f t="shared" si="28"/>
        <v>37.285714285714285</v>
      </c>
      <c r="N451">
        <v>20</v>
      </c>
      <c r="O451">
        <v>44</v>
      </c>
      <c r="P451">
        <v>47</v>
      </c>
      <c r="Q451">
        <v>45</v>
      </c>
      <c r="R451">
        <v>42</v>
      </c>
      <c r="S451">
        <v>52</v>
      </c>
      <c r="T451">
        <v>11</v>
      </c>
      <c r="U451">
        <v>0</v>
      </c>
      <c r="V451" s="3">
        <f t="shared" si="29"/>
        <v>5194</v>
      </c>
      <c r="W451">
        <v>432.83333333333331</v>
      </c>
      <c r="X451">
        <v>0</v>
      </c>
      <c r="Y451">
        <f t="shared" si="30"/>
        <v>432.83333333333331</v>
      </c>
      <c r="Z451">
        <f t="shared" si="31"/>
        <v>0</v>
      </c>
      <c r="AA451">
        <v>0</v>
      </c>
    </row>
    <row r="452" spans="1:27" x14ac:dyDescent="0.25">
      <c r="A452" s="1">
        <v>451</v>
      </c>
      <c r="B452" t="s">
        <v>2491</v>
      </c>
      <c r="C452" t="s">
        <v>1136</v>
      </c>
      <c r="D452" t="s">
        <v>1144</v>
      </c>
      <c r="E452" t="s">
        <v>1138</v>
      </c>
      <c r="H452" t="s">
        <v>1179</v>
      </c>
      <c r="I452" t="s">
        <v>1179</v>
      </c>
      <c r="J452" t="s">
        <v>1329</v>
      </c>
      <c r="K452" t="s">
        <v>1212</v>
      </c>
      <c r="M452" s="3">
        <f t="shared" si="28"/>
        <v>34.428571428571431</v>
      </c>
      <c r="N452">
        <v>9</v>
      </c>
      <c r="O452">
        <v>44</v>
      </c>
      <c r="P452">
        <v>36</v>
      </c>
      <c r="Q452">
        <v>42</v>
      </c>
      <c r="R452">
        <v>44</v>
      </c>
      <c r="S452">
        <v>46</v>
      </c>
      <c r="T452">
        <v>20</v>
      </c>
      <c r="U452">
        <v>0</v>
      </c>
      <c r="V452" s="3">
        <f t="shared" si="29"/>
        <v>2340</v>
      </c>
      <c r="W452">
        <v>195</v>
      </c>
      <c r="X452">
        <v>0</v>
      </c>
      <c r="Y452">
        <f t="shared" si="30"/>
        <v>195</v>
      </c>
      <c r="Z452">
        <f t="shared" si="31"/>
        <v>0</v>
      </c>
      <c r="AA452">
        <v>0</v>
      </c>
    </row>
    <row r="453" spans="1:27" x14ac:dyDescent="0.25">
      <c r="A453" s="1">
        <v>452</v>
      </c>
      <c r="B453" t="s">
        <v>2500</v>
      </c>
      <c r="C453" t="s">
        <v>1136</v>
      </c>
      <c r="D453" t="s">
        <v>1147</v>
      </c>
      <c r="E453" t="s">
        <v>1145</v>
      </c>
      <c r="H453" t="s">
        <v>1179</v>
      </c>
      <c r="I453" t="s">
        <v>1179</v>
      </c>
      <c r="J453" t="s">
        <v>1329</v>
      </c>
      <c r="K453" t="s">
        <v>1212</v>
      </c>
      <c r="M453" s="3">
        <f t="shared" si="28"/>
        <v>52.142857142857146</v>
      </c>
      <c r="N453">
        <v>15</v>
      </c>
      <c r="O453">
        <v>64</v>
      </c>
      <c r="P453">
        <v>58</v>
      </c>
      <c r="Q453">
        <v>62</v>
      </c>
      <c r="R453">
        <v>64</v>
      </c>
      <c r="S453">
        <v>66</v>
      </c>
      <c r="T453">
        <v>36</v>
      </c>
      <c r="U453">
        <v>0</v>
      </c>
      <c r="V453" s="3">
        <f t="shared" si="29"/>
        <v>148576</v>
      </c>
      <c r="W453">
        <v>12381.333333333334</v>
      </c>
      <c r="X453">
        <v>0</v>
      </c>
      <c r="Y453">
        <f t="shared" si="30"/>
        <v>12381.333333333334</v>
      </c>
      <c r="Z453">
        <f t="shared" si="31"/>
        <v>0</v>
      </c>
      <c r="AA453">
        <v>0</v>
      </c>
    </row>
    <row r="454" spans="1:27" x14ac:dyDescent="0.25">
      <c r="A454" s="1">
        <v>453</v>
      </c>
      <c r="B454" t="s">
        <v>2495</v>
      </c>
      <c r="C454" t="s">
        <v>1136</v>
      </c>
      <c r="D454" t="s">
        <v>1145</v>
      </c>
      <c r="E454" t="s">
        <v>1147</v>
      </c>
      <c r="H454" t="s">
        <v>1179</v>
      </c>
      <c r="I454" t="s">
        <v>1179</v>
      </c>
      <c r="J454" t="s">
        <v>1329</v>
      </c>
      <c r="K454" t="s">
        <v>1212</v>
      </c>
      <c r="M454" s="3">
        <f t="shared" si="28"/>
        <v>29.857142857142858</v>
      </c>
      <c r="N454">
        <v>7</v>
      </c>
      <c r="O454">
        <v>38</v>
      </c>
      <c r="P454">
        <v>32</v>
      </c>
      <c r="Q454">
        <v>36</v>
      </c>
      <c r="R454">
        <v>38</v>
      </c>
      <c r="S454">
        <v>40</v>
      </c>
      <c r="T454">
        <v>18</v>
      </c>
      <c r="U454">
        <v>0</v>
      </c>
      <c r="V454" s="3">
        <f t="shared" si="29"/>
        <v>563</v>
      </c>
      <c r="W454">
        <v>46.916666666666664</v>
      </c>
      <c r="X454">
        <v>0</v>
      </c>
      <c r="Y454">
        <f t="shared" si="30"/>
        <v>46.916666666666664</v>
      </c>
      <c r="Z454">
        <f t="shared" si="31"/>
        <v>0</v>
      </c>
      <c r="AA454">
        <v>0</v>
      </c>
    </row>
    <row r="455" spans="1:27" x14ac:dyDescent="0.25">
      <c r="A455" s="1">
        <v>454</v>
      </c>
      <c r="B455" t="s">
        <v>2490</v>
      </c>
      <c r="C455" t="s">
        <v>1136</v>
      </c>
      <c r="D455" t="s">
        <v>1144</v>
      </c>
      <c r="E455" t="s">
        <v>1143</v>
      </c>
      <c r="H455" t="s">
        <v>1179</v>
      </c>
      <c r="I455" t="s">
        <v>1179</v>
      </c>
      <c r="J455" t="s">
        <v>1329</v>
      </c>
      <c r="K455" t="s">
        <v>1212</v>
      </c>
      <c r="M455" s="3">
        <f t="shared" si="28"/>
        <v>37.428571428571431</v>
      </c>
      <c r="N455">
        <v>11</v>
      </c>
      <c r="O455">
        <v>50</v>
      </c>
      <c r="P455">
        <v>40</v>
      </c>
      <c r="Q455">
        <v>44</v>
      </c>
      <c r="R455">
        <v>46</v>
      </c>
      <c r="S455">
        <v>48</v>
      </c>
      <c r="T455">
        <v>23</v>
      </c>
      <c r="U455">
        <v>0</v>
      </c>
      <c r="V455" s="3">
        <f t="shared" si="29"/>
        <v>5396</v>
      </c>
      <c r="W455">
        <v>449.66666666666669</v>
      </c>
      <c r="X455">
        <v>0</v>
      </c>
      <c r="Y455">
        <f t="shared" si="30"/>
        <v>449.66666666666669</v>
      </c>
      <c r="Z455">
        <f t="shared" si="31"/>
        <v>0</v>
      </c>
      <c r="AA455">
        <v>0</v>
      </c>
    </row>
    <row r="456" spans="1:27" x14ac:dyDescent="0.25">
      <c r="A456" s="1">
        <v>455</v>
      </c>
      <c r="B456" t="s">
        <v>2493</v>
      </c>
      <c r="C456" t="s">
        <v>1136</v>
      </c>
      <c r="D456" t="s">
        <v>1143</v>
      </c>
      <c r="E456" t="s">
        <v>1146</v>
      </c>
      <c r="H456" t="s">
        <v>1179</v>
      </c>
      <c r="I456" t="s">
        <v>1179</v>
      </c>
      <c r="J456" t="s">
        <v>1329</v>
      </c>
      <c r="K456" t="s">
        <v>1212</v>
      </c>
      <c r="M456" s="3">
        <f t="shared" si="28"/>
        <v>28</v>
      </c>
      <c r="N456">
        <v>6</v>
      </c>
      <c r="O456">
        <v>36</v>
      </c>
      <c r="P456">
        <v>30</v>
      </c>
      <c r="Q456">
        <v>34</v>
      </c>
      <c r="R456">
        <v>36</v>
      </c>
      <c r="S456">
        <v>38</v>
      </c>
      <c r="T456">
        <v>16</v>
      </c>
      <c r="U456">
        <v>0</v>
      </c>
      <c r="V456" s="3">
        <f t="shared" si="29"/>
        <v>297</v>
      </c>
      <c r="W456">
        <v>24.75</v>
      </c>
      <c r="X456">
        <v>0</v>
      </c>
      <c r="Y456">
        <f t="shared" si="30"/>
        <v>24.75</v>
      </c>
      <c r="Z456">
        <f t="shared" si="31"/>
        <v>0</v>
      </c>
      <c r="AA456">
        <v>0</v>
      </c>
    </row>
    <row r="457" spans="1:27" x14ac:dyDescent="0.25">
      <c r="A457" s="1">
        <v>456</v>
      </c>
      <c r="B457" t="s">
        <v>2494</v>
      </c>
      <c r="C457" t="s">
        <v>1136</v>
      </c>
      <c r="D457" t="s">
        <v>1145</v>
      </c>
      <c r="E457" t="s">
        <v>1143</v>
      </c>
      <c r="H457" t="s">
        <v>1179</v>
      </c>
      <c r="I457" t="s">
        <v>1179</v>
      </c>
      <c r="J457" t="s">
        <v>1329</v>
      </c>
      <c r="K457" t="s">
        <v>1212</v>
      </c>
      <c r="M457" s="3">
        <f t="shared" si="28"/>
        <v>36.571428571428569</v>
      </c>
      <c r="N457">
        <v>10</v>
      </c>
      <c r="O457">
        <v>48</v>
      </c>
      <c r="P457">
        <v>38</v>
      </c>
      <c r="Q457">
        <v>44</v>
      </c>
      <c r="R457">
        <v>46</v>
      </c>
      <c r="S457">
        <v>48</v>
      </c>
      <c r="T457">
        <v>22</v>
      </c>
      <c r="U457">
        <v>0</v>
      </c>
      <c r="V457" s="3">
        <f t="shared" si="29"/>
        <v>4280</v>
      </c>
      <c r="W457">
        <v>356.66666666666669</v>
      </c>
      <c r="X457">
        <v>0</v>
      </c>
      <c r="Y457">
        <f t="shared" si="30"/>
        <v>356.66666666666669</v>
      </c>
      <c r="Z457">
        <f t="shared" si="31"/>
        <v>0</v>
      </c>
      <c r="AA457">
        <v>0</v>
      </c>
    </row>
    <row r="458" spans="1:27" x14ac:dyDescent="0.25">
      <c r="A458" s="1">
        <v>457</v>
      </c>
      <c r="B458" t="s">
        <v>2496</v>
      </c>
      <c r="C458" t="s">
        <v>1136</v>
      </c>
      <c r="D458" t="s">
        <v>1146</v>
      </c>
      <c r="E458" t="s">
        <v>1144</v>
      </c>
      <c r="H458" t="s">
        <v>1179</v>
      </c>
      <c r="I458" t="s">
        <v>1179</v>
      </c>
      <c r="J458" t="s">
        <v>1329</v>
      </c>
      <c r="K458" t="s">
        <v>1212</v>
      </c>
      <c r="M458" s="3">
        <f t="shared" si="28"/>
        <v>38.285714285714285</v>
      </c>
      <c r="N458">
        <v>11</v>
      </c>
      <c r="O458">
        <v>50</v>
      </c>
      <c r="P458">
        <v>40</v>
      </c>
      <c r="Q458">
        <v>46</v>
      </c>
      <c r="R458">
        <v>48</v>
      </c>
      <c r="S458">
        <v>50</v>
      </c>
      <c r="T458">
        <v>23</v>
      </c>
      <c r="U458">
        <v>0</v>
      </c>
      <c r="V458" s="3">
        <f t="shared" si="29"/>
        <v>6767</v>
      </c>
      <c r="W458">
        <v>563.91666666666663</v>
      </c>
      <c r="X458">
        <v>0</v>
      </c>
      <c r="Y458">
        <f t="shared" si="30"/>
        <v>563.91666666666663</v>
      </c>
      <c r="Z458">
        <f t="shared" si="31"/>
        <v>0</v>
      </c>
      <c r="AA458">
        <v>0</v>
      </c>
    </row>
    <row r="459" spans="1:27" x14ac:dyDescent="0.25">
      <c r="A459" s="1">
        <v>458</v>
      </c>
      <c r="B459" t="s">
        <v>2497</v>
      </c>
      <c r="C459" t="s">
        <v>1136</v>
      </c>
      <c r="D459" t="s">
        <v>1147</v>
      </c>
      <c r="E459" t="s">
        <v>1145</v>
      </c>
      <c r="H459" t="s">
        <v>1179</v>
      </c>
      <c r="I459" t="s">
        <v>1179</v>
      </c>
      <c r="J459" t="s">
        <v>1329</v>
      </c>
      <c r="K459" t="s">
        <v>1212</v>
      </c>
      <c r="M459" s="3">
        <f t="shared" si="28"/>
        <v>42.571428571428569</v>
      </c>
      <c r="N459">
        <v>14</v>
      </c>
      <c r="O459">
        <v>56</v>
      </c>
      <c r="P459">
        <v>46</v>
      </c>
      <c r="Q459">
        <v>50</v>
      </c>
      <c r="R459">
        <v>52</v>
      </c>
      <c r="S459">
        <v>54</v>
      </c>
      <c r="T459">
        <v>26</v>
      </c>
      <c r="U459">
        <v>0</v>
      </c>
      <c r="V459" s="3">
        <f t="shared" si="29"/>
        <v>19552</v>
      </c>
      <c r="W459">
        <v>1629.3333333333333</v>
      </c>
      <c r="X459">
        <v>0</v>
      </c>
      <c r="Y459">
        <f t="shared" si="30"/>
        <v>1629.3333333333333</v>
      </c>
      <c r="Z459">
        <f t="shared" si="31"/>
        <v>0</v>
      </c>
      <c r="AA459">
        <v>0</v>
      </c>
    </row>
    <row r="460" spans="1:27" x14ac:dyDescent="0.25">
      <c r="A460" s="1">
        <v>459</v>
      </c>
      <c r="B460" t="s">
        <v>2485</v>
      </c>
      <c r="C460" t="s">
        <v>1137</v>
      </c>
      <c r="D460" t="s">
        <v>1137</v>
      </c>
      <c r="H460" t="s">
        <v>1179</v>
      </c>
      <c r="I460" t="s">
        <v>1179</v>
      </c>
      <c r="J460" t="s">
        <v>1329</v>
      </c>
      <c r="K460" t="s">
        <v>1212</v>
      </c>
      <c r="M460" s="3">
        <f t="shared" si="28"/>
        <v>33.571428571428569</v>
      </c>
      <c r="N460">
        <v>9</v>
      </c>
      <c r="O460">
        <v>44</v>
      </c>
      <c r="P460">
        <v>36</v>
      </c>
      <c r="Q460">
        <v>40</v>
      </c>
      <c r="R460">
        <v>42</v>
      </c>
      <c r="S460">
        <v>44</v>
      </c>
      <c r="T460">
        <v>20</v>
      </c>
      <c r="U460">
        <v>0</v>
      </c>
      <c r="V460" s="3">
        <f t="shared" si="29"/>
        <v>1819</v>
      </c>
      <c r="W460">
        <v>151.58333333333334</v>
      </c>
      <c r="X460">
        <v>0</v>
      </c>
      <c r="Y460">
        <f t="shared" si="30"/>
        <v>151.58333333333334</v>
      </c>
      <c r="Z460">
        <f t="shared" si="31"/>
        <v>0</v>
      </c>
      <c r="AA460">
        <v>0</v>
      </c>
    </row>
    <row r="461" spans="1:27" x14ac:dyDescent="0.25">
      <c r="A461" s="1">
        <v>460</v>
      </c>
      <c r="B461" t="s">
        <v>1989</v>
      </c>
      <c r="C461" t="s">
        <v>1133</v>
      </c>
      <c r="D461" t="s">
        <v>1133</v>
      </c>
      <c r="H461" t="s">
        <v>1205</v>
      </c>
      <c r="I461" t="s">
        <v>1205</v>
      </c>
      <c r="J461" t="s">
        <v>2676</v>
      </c>
      <c r="K461" t="s">
        <v>1212</v>
      </c>
      <c r="M461" s="3">
        <f t="shared" si="28"/>
        <v>68.857142857142861</v>
      </c>
      <c r="N461">
        <v>24</v>
      </c>
      <c r="O461">
        <v>78</v>
      </c>
      <c r="P461">
        <v>74</v>
      </c>
      <c r="Q461">
        <v>84</v>
      </c>
      <c r="R461">
        <v>86</v>
      </c>
      <c r="S461">
        <v>88</v>
      </c>
      <c r="T461">
        <v>48</v>
      </c>
      <c r="U461">
        <v>0</v>
      </c>
      <c r="V461" s="3">
        <f t="shared" si="29"/>
        <v>2396018</v>
      </c>
      <c r="W461">
        <v>199668.16666666666</v>
      </c>
      <c r="X461">
        <v>0</v>
      </c>
      <c r="Y461">
        <f t="shared" si="30"/>
        <v>199668.16666666666</v>
      </c>
      <c r="Z461">
        <f t="shared" si="31"/>
        <v>0</v>
      </c>
      <c r="AA461">
        <v>0</v>
      </c>
    </row>
    <row r="462" spans="1:27" x14ac:dyDescent="0.25">
      <c r="A462" s="1">
        <v>461</v>
      </c>
      <c r="B462" t="s">
        <v>103</v>
      </c>
      <c r="C462" t="s">
        <v>1133</v>
      </c>
      <c r="D462" t="s">
        <v>1133</v>
      </c>
      <c r="G462" t="s">
        <v>1205</v>
      </c>
      <c r="H462" t="s">
        <v>1205</v>
      </c>
      <c r="I462" t="s">
        <v>1205</v>
      </c>
      <c r="J462" t="s">
        <v>2676</v>
      </c>
      <c r="K462" t="s">
        <v>1212</v>
      </c>
      <c r="M462" s="3">
        <f t="shared" si="28"/>
        <v>71.714285714285708</v>
      </c>
      <c r="N462">
        <v>70</v>
      </c>
      <c r="O462">
        <v>79</v>
      </c>
      <c r="P462">
        <v>89</v>
      </c>
      <c r="Q462">
        <v>25</v>
      </c>
      <c r="R462">
        <v>76</v>
      </c>
      <c r="S462">
        <v>82</v>
      </c>
      <c r="T462">
        <v>81</v>
      </c>
      <c r="U462">
        <v>0</v>
      </c>
      <c r="V462" s="3">
        <f t="shared" si="29"/>
        <v>3597964</v>
      </c>
      <c r="W462">
        <v>299830.33333333331</v>
      </c>
      <c r="X462">
        <v>0</v>
      </c>
      <c r="Y462">
        <f t="shared" si="30"/>
        <v>299830.33333333331</v>
      </c>
      <c r="Z462">
        <f t="shared" si="31"/>
        <v>0</v>
      </c>
      <c r="AA462">
        <v>0</v>
      </c>
    </row>
    <row r="463" spans="1:27" x14ac:dyDescent="0.25">
      <c r="A463" s="1">
        <v>462</v>
      </c>
      <c r="B463" t="s">
        <v>1999</v>
      </c>
      <c r="C463" t="s">
        <v>1134</v>
      </c>
      <c r="D463" t="s">
        <v>1138</v>
      </c>
      <c r="E463" t="s">
        <v>1144</v>
      </c>
      <c r="H463" t="s">
        <v>1205</v>
      </c>
      <c r="I463" t="s">
        <v>1205</v>
      </c>
      <c r="J463" t="s">
        <v>2676</v>
      </c>
      <c r="K463" t="s">
        <v>1212</v>
      </c>
      <c r="M463" s="3">
        <f t="shared" si="28"/>
        <v>65.857142857142861</v>
      </c>
      <c r="N463">
        <v>21</v>
      </c>
      <c r="O463">
        <v>85</v>
      </c>
      <c r="P463">
        <v>73</v>
      </c>
      <c r="Q463">
        <v>81</v>
      </c>
      <c r="R463">
        <v>83</v>
      </c>
      <c r="S463">
        <v>85</v>
      </c>
      <c r="T463">
        <v>33</v>
      </c>
      <c r="U463">
        <v>0</v>
      </c>
      <c r="V463" s="3">
        <f t="shared" si="29"/>
        <v>1534719</v>
      </c>
      <c r="W463">
        <v>127893.25</v>
      </c>
      <c r="X463">
        <v>0</v>
      </c>
      <c r="Y463">
        <f t="shared" si="30"/>
        <v>127893.25</v>
      </c>
      <c r="Z463">
        <f t="shared" si="31"/>
        <v>0</v>
      </c>
      <c r="AA463">
        <v>0</v>
      </c>
    </row>
    <row r="464" spans="1:27" x14ac:dyDescent="0.25">
      <c r="A464" s="1">
        <v>463</v>
      </c>
      <c r="B464" t="s">
        <v>1990</v>
      </c>
      <c r="C464" t="s">
        <v>1134</v>
      </c>
      <c r="D464" t="s">
        <v>1140</v>
      </c>
      <c r="E464" t="s">
        <v>1138</v>
      </c>
      <c r="H464" t="s">
        <v>1205</v>
      </c>
      <c r="I464" t="s">
        <v>1205</v>
      </c>
      <c r="J464" t="s">
        <v>2676</v>
      </c>
      <c r="K464" t="s">
        <v>1212</v>
      </c>
      <c r="M464" s="3">
        <f t="shared" si="28"/>
        <v>63.571428571428569</v>
      </c>
      <c r="N464">
        <v>21</v>
      </c>
      <c r="O464">
        <v>86</v>
      </c>
      <c r="P464">
        <v>71</v>
      </c>
      <c r="Q464">
        <v>75</v>
      </c>
      <c r="R464">
        <v>77</v>
      </c>
      <c r="S464">
        <v>80</v>
      </c>
      <c r="T464">
        <v>35</v>
      </c>
      <c r="U464">
        <v>0</v>
      </c>
      <c r="V464" s="3">
        <f t="shared" si="29"/>
        <v>1078003</v>
      </c>
      <c r="W464">
        <v>89833.583333333328</v>
      </c>
      <c r="X464">
        <v>0</v>
      </c>
      <c r="Y464">
        <f t="shared" si="30"/>
        <v>89833.583333333328</v>
      </c>
      <c r="Z464">
        <f t="shared" si="31"/>
        <v>0</v>
      </c>
      <c r="AA464">
        <v>0</v>
      </c>
    </row>
    <row r="465" spans="1:27" x14ac:dyDescent="0.25">
      <c r="A465" s="1">
        <v>464</v>
      </c>
      <c r="B465" t="s">
        <v>396</v>
      </c>
      <c r="C465" t="s">
        <v>1134</v>
      </c>
      <c r="D465" t="s">
        <v>1138</v>
      </c>
      <c r="E465" t="s">
        <v>1144</v>
      </c>
      <c r="G465" t="s">
        <v>1205</v>
      </c>
      <c r="H465" t="s">
        <v>1205</v>
      </c>
      <c r="I465" t="s">
        <v>1205</v>
      </c>
      <c r="J465" t="s">
        <v>2676</v>
      </c>
      <c r="K465" t="s">
        <v>1212</v>
      </c>
      <c r="M465" s="3">
        <f t="shared" si="28"/>
        <v>86.428571428571431</v>
      </c>
      <c r="N465">
        <v>80</v>
      </c>
      <c r="O465">
        <v>85</v>
      </c>
      <c r="P465">
        <v>82</v>
      </c>
      <c r="Q465">
        <v>85</v>
      </c>
      <c r="R465">
        <v>91</v>
      </c>
      <c r="S465">
        <v>95</v>
      </c>
      <c r="T465">
        <v>87</v>
      </c>
      <c r="U465">
        <v>26</v>
      </c>
      <c r="V465" s="3">
        <f t="shared" si="29"/>
        <v>34887079</v>
      </c>
      <c r="W465">
        <v>2907256.5833333335</v>
      </c>
      <c r="X465">
        <v>0</v>
      </c>
      <c r="Y465">
        <f t="shared" si="30"/>
        <v>2907256.5833333335</v>
      </c>
      <c r="Z465">
        <f t="shared" si="31"/>
        <v>0</v>
      </c>
      <c r="AA465">
        <v>0</v>
      </c>
    </row>
    <row r="466" spans="1:27" x14ac:dyDescent="0.25">
      <c r="A466" s="1">
        <v>465</v>
      </c>
      <c r="B466" t="s">
        <v>1991</v>
      </c>
      <c r="C466" t="s">
        <v>1134</v>
      </c>
      <c r="D466" t="s">
        <v>1139</v>
      </c>
      <c r="E466" t="s">
        <v>1138</v>
      </c>
      <c r="H466" t="s">
        <v>1205</v>
      </c>
      <c r="I466" t="s">
        <v>1205</v>
      </c>
      <c r="J466" t="s">
        <v>2676</v>
      </c>
      <c r="K466" t="s">
        <v>1212</v>
      </c>
      <c r="M466" s="3">
        <f t="shared" si="28"/>
        <v>67.857142857142861</v>
      </c>
      <c r="N466">
        <v>23</v>
      </c>
      <c r="O466">
        <v>92</v>
      </c>
      <c r="P466">
        <v>76</v>
      </c>
      <c r="Q466">
        <v>80</v>
      </c>
      <c r="R466">
        <v>82</v>
      </c>
      <c r="S466">
        <v>84</v>
      </c>
      <c r="T466">
        <v>38</v>
      </c>
      <c r="U466">
        <v>0</v>
      </c>
      <c r="V466" s="3">
        <f t="shared" si="29"/>
        <v>2069931</v>
      </c>
      <c r="W466">
        <v>172494.25</v>
      </c>
      <c r="X466">
        <v>0</v>
      </c>
      <c r="Y466">
        <f t="shared" si="30"/>
        <v>172494.25</v>
      </c>
      <c r="Z466">
        <f t="shared" si="31"/>
        <v>0</v>
      </c>
      <c r="AA466">
        <v>0</v>
      </c>
    </row>
    <row r="467" spans="1:27" x14ac:dyDescent="0.25">
      <c r="A467" s="1">
        <v>466</v>
      </c>
      <c r="B467" t="s">
        <v>397</v>
      </c>
      <c r="C467" t="s">
        <v>1134</v>
      </c>
      <c r="D467" t="s">
        <v>1138</v>
      </c>
      <c r="E467" t="s">
        <v>1140</v>
      </c>
      <c r="F467" t="s">
        <v>1139</v>
      </c>
      <c r="G467" t="s">
        <v>1205</v>
      </c>
      <c r="H467" t="s">
        <v>1205</v>
      </c>
      <c r="I467" t="s">
        <v>1205</v>
      </c>
      <c r="J467" t="s">
        <v>2676</v>
      </c>
      <c r="K467" t="s">
        <v>1212</v>
      </c>
      <c r="M467" s="3">
        <f t="shared" si="28"/>
        <v>83.571428571428569</v>
      </c>
      <c r="N467">
        <v>78</v>
      </c>
      <c r="O467">
        <v>82</v>
      </c>
      <c r="P467">
        <v>81</v>
      </c>
      <c r="Q467">
        <v>81</v>
      </c>
      <c r="R467">
        <v>90</v>
      </c>
      <c r="S467">
        <v>93</v>
      </c>
      <c r="T467">
        <v>80</v>
      </c>
      <c r="U467">
        <v>26</v>
      </c>
      <c r="V467" s="3">
        <f t="shared" si="29"/>
        <v>24926972</v>
      </c>
      <c r="W467">
        <v>2077247.6666666667</v>
      </c>
      <c r="X467">
        <v>0</v>
      </c>
      <c r="Y467">
        <f t="shared" si="30"/>
        <v>2077247.6666666667</v>
      </c>
      <c r="Z467">
        <f t="shared" si="31"/>
        <v>0</v>
      </c>
      <c r="AA467">
        <v>0</v>
      </c>
    </row>
    <row r="468" spans="1:27" x14ac:dyDescent="0.25">
      <c r="A468" s="1">
        <v>467</v>
      </c>
      <c r="B468" t="s">
        <v>1997</v>
      </c>
      <c r="C468" t="s">
        <v>1135</v>
      </c>
      <c r="D468" t="s">
        <v>1142</v>
      </c>
      <c r="E468" t="s">
        <v>1141</v>
      </c>
      <c r="H468" t="s">
        <v>1205</v>
      </c>
      <c r="I468" t="s">
        <v>1205</v>
      </c>
      <c r="J468" t="s">
        <v>2676</v>
      </c>
      <c r="K468" t="s">
        <v>1212</v>
      </c>
      <c r="M468" s="3">
        <f t="shared" si="28"/>
        <v>62.571428571428569</v>
      </c>
      <c r="N468">
        <v>20</v>
      </c>
      <c r="O468">
        <v>82</v>
      </c>
      <c r="P468">
        <v>69</v>
      </c>
      <c r="Q468">
        <v>77</v>
      </c>
      <c r="R468">
        <v>79</v>
      </c>
      <c r="S468">
        <v>81</v>
      </c>
      <c r="T468">
        <v>30</v>
      </c>
      <c r="U468">
        <v>0</v>
      </c>
      <c r="V468" s="3">
        <f t="shared" si="29"/>
        <v>919943</v>
      </c>
      <c r="W468">
        <v>76661.916666666672</v>
      </c>
      <c r="X468">
        <v>0</v>
      </c>
      <c r="Y468">
        <f t="shared" si="30"/>
        <v>76661.916666666672</v>
      </c>
      <c r="Z468">
        <f t="shared" si="31"/>
        <v>0</v>
      </c>
      <c r="AA468">
        <v>0</v>
      </c>
    </row>
    <row r="469" spans="1:27" x14ac:dyDescent="0.25">
      <c r="A469" s="1">
        <v>468</v>
      </c>
      <c r="B469" t="s">
        <v>1998</v>
      </c>
      <c r="C469" t="s">
        <v>1135</v>
      </c>
      <c r="D469" t="s">
        <v>1142</v>
      </c>
      <c r="E469" t="s">
        <v>1147</v>
      </c>
      <c r="H469" t="s">
        <v>1205</v>
      </c>
      <c r="I469" t="s">
        <v>1205</v>
      </c>
      <c r="J469" t="s">
        <v>2676</v>
      </c>
      <c r="K469" t="s">
        <v>1212</v>
      </c>
      <c r="M469" s="3">
        <f t="shared" si="28"/>
        <v>78.571428571428569</v>
      </c>
      <c r="N469">
        <v>28</v>
      </c>
      <c r="O469">
        <v>98</v>
      </c>
      <c r="P469">
        <v>92</v>
      </c>
      <c r="Q469">
        <v>92</v>
      </c>
      <c r="R469">
        <v>94</v>
      </c>
      <c r="S469">
        <v>96</v>
      </c>
      <c r="T469">
        <v>50</v>
      </c>
      <c r="U469">
        <v>0</v>
      </c>
      <c r="V469" s="3">
        <f t="shared" si="29"/>
        <v>8966987</v>
      </c>
      <c r="W469">
        <v>747248.91666666663</v>
      </c>
      <c r="X469">
        <v>0</v>
      </c>
      <c r="Y469">
        <f t="shared" si="30"/>
        <v>747248.91666666663</v>
      </c>
      <c r="Z469">
        <f t="shared" si="31"/>
        <v>0</v>
      </c>
      <c r="AA469">
        <v>0</v>
      </c>
    </row>
    <row r="470" spans="1:27" x14ac:dyDescent="0.25">
      <c r="A470" s="1">
        <v>469</v>
      </c>
      <c r="B470" t="s">
        <v>1994</v>
      </c>
      <c r="C470" t="s">
        <v>1136</v>
      </c>
      <c r="D470" t="s">
        <v>1147</v>
      </c>
      <c r="E470" t="s">
        <v>1145</v>
      </c>
      <c r="H470" t="s">
        <v>1205</v>
      </c>
      <c r="I470" t="s">
        <v>1205</v>
      </c>
      <c r="J470" t="s">
        <v>2676</v>
      </c>
      <c r="K470" t="s">
        <v>1212</v>
      </c>
      <c r="M470" s="3">
        <f t="shared" si="28"/>
        <v>64.428571428571431</v>
      </c>
      <c r="N470">
        <v>21</v>
      </c>
      <c r="O470">
        <v>84</v>
      </c>
      <c r="P470">
        <v>71</v>
      </c>
      <c r="Q470">
        <v>79</v>
      </c>
      <c r="R470">
        <v>81</v>
      </c>
      <c r="S470">
        <v>83</v>
      </c>
      <c r="T470">
        <v>32</v>
      </c>
      <c r="U470">
        <v>0</v>
      </c>
      <c r="V470" s="3">
        <f t="shared" si="29"/>
        <v>1232495</v>
      </c>
      <c r="W470">
        <v>102707.91666666667</v>
      </c>
      <c r="X470">
        <v>0</v>
      </c>
      <c r="Y470">
        <f t="shared" si="30"/>
        <v>102707.91666666667</v>
      </c>
      <c r="Z470">
        <f t="shared" si="31"/>
        <v>0</v>
      </c>
      <c r="AA470">
        <v>0</v>
      </c>
    </row>
    <row r="471" spans="1:27" x14ac:dyDescent="0.25">
      <c r="A471" s="1">
        <v>470</v>
      </c>
      <c r="B471" t="s">
        <v>1992</v>
      </c>
      <c r="C471" t="s">
        <v>1136</v>
      </c>
      <c r="D471" t="s">
        <v>1143</v>
      </c>
      <c r="E471" t="s">
        <v>1144</v>
      </c>
      <c r="H471" t="s">
        <v>1205</v>
      </c>
      <c r="I471" t="s">
        <v>1205</v>
      </c>
      <c r="J471" t="s">
        <v>2676</v>
      </c>
      <c r="K471" t="s">
        <v>1212</v>
      </c>
      <c r="M471" s="3">
        <f t="shared" si="28"/>
        <v>65.571428571428569</v>
      </c>
      <c r="N471">
        <v>21</v>
      </c>
      <c r="O471">
        <v>88</v>
      </c>
      <c r="P471">
        <v>73</v>
      </c>
      <c r="Q471">
        <v>79</v>
      </c>
      <c r="R471">
        <v>81</v>
      </c>
      <c r="S471">
        <v>83</v>
      </c>
      <c r="T471">
        <v>34</v>
      </c>
      <c r="U471">
        <v>0</v>
      </c>
      <c r="V471" s="3">
        <f t="shared" si="29"/>
        <v>1469422</v>
      </c>
      <c r="W471">
        <v>122451.83333333333</v>
      </c>
      <c r="X471">
        <v>0</v>
      </c>
      <c r="Y471">
        <f t="shared" si="30"/>
        <v>122451.83333333333</v>
      </c>
      <c r="Z471">
        <f t="shared" si="31"/>
        <v>0</v>
      </c>
      <c r="AA471">
        <v>0</v>
      </c>
    </row>
    <row r="472" spans="1:27" x14ac:dyDescent="0.25">
      <c r="A472" s="1">
        <v>471</v>
      </c>
      <c r="B472" t="s">
        <v>1995</v>
      </c>
      <c r="C472" t="s">
        <v>1136</v>
      </c>
      <c r="D472" t="s">
        <v>1146</v>
      </c>
      <c r="E472" t="s">
        <v>1144</v>
      </c>
      <c r="H472" t="s">
        <v>1205</v>
      </c>
      <c r="I472" t="s">
        <v>1205</v>
      </c>
      <c r="J472" t="s">
        <v>2676</v>
      </c>
      <c r="K472" t="s">
        <v>1212</v>
      </c>
      <c r="M472" s="3">
        <f t="shared" si="28"/>
        <v>73.285714285714292</v>
      </c>
      <c r="N472">
        <v>26</v>
      </c>
      <c r="O472">
        <v>95</v>
      </c>
      <c r="P472">
        <v>83</v>
      </c>
      <c r="Q472">
        <v>87</v>
      </c>
      <c r="R472">
        <v>89</v>
      </c>
      <c r="S472">
        <v>91</v>
      </c>
      <c r="T472">
        <v>42</v>
      </c>
      <c r="U472">
        <v>0</v>
      </c>
      <c r="V472" s="3">
        <f t="shared" si="29"/>
        <v>4468825</v>
      </c>
      <c r="W472">
        <v>372402.08333333331</v>
      </c>
      <c r="X472">
        <v>0</v>
      </c>
      <c r="Y472">
        <f t="shared" si="30"/>
        <v>372402.08333333331</v>
      </c>
      <c r="Z472">
        <f t="shared" si="31"/>
        <v>0</v>
      </c>
      <c r="AA472">
        <v>0</v>
      </c>
    </row>
    <row r="473" spans="1:27" x14ac:dyDescent="0.25">
      <c r="A473" s="1">
        <v>472</v>
      </c>
      <c r="B473" t="s">
        <v>1993</v>
      </c>
      <c r="C473" t="s">
        <v>1136</v>
      </c>
      <c r="D473" t="s">
        <v>1146</v>
      </c>
      <c r="E473" t="s">
        <v>1144</v>
      </c>
      <c r="H473" t="s">
        <v>1205</v>
      </c>
      <c r="I473" t="s">
        <v>1205</v>
      </c>
      <c r="J473" t="s">
        <v>2676</v>
      </c>
      <c r="K473" t="s">
        <v>1212</v>
      </c>
      <c r="M473" s="3">
        <f t="shared" si="28"/>
        <v>66.142857142857139</v>
      </c>
      <c r="N473">
        <v>21</v>
      </c>
      <c r="O473">
        <v>86</v>
      </c>
      <c r="P473">
        <v>73</v>
      </c>
      <c r="Q473">
        <v>81</v>
      </c>
      <c r="R473">
        <v>83</v>
      </c>
      <c r="S473">
        <v>85</v>
      </c>
      <c r="T473">
        <v>34</v>
      </c>
      <c r="U473">
        <v>0</v>
      </c>
      <c r="V473" s="3">
        <f t="shared" si="29"/>
        <v>1602617</v>
      </c>
      <c r="W473">
        <v>133551.41666666666</v>
      </c>
      <c r="X473">
        <v>0</v>
      </c>
      <c r="Y473">
        <f t="shared" si="30"/>
        <v>133551.41666666666</v>
      </c>
      <c r="Z473">
        <f t="shared" si="31"/>
        <v>0</v>
      </c>
      <c r="AA473">
        <v>0</v>
      </c>
    </row>
    <row r="474" spans="1:27" x14ac:dyDescent="0.25">
      <c r="A474" s="1">
        <v>473</v>
      </c>
      <c r="B474" t="s">
        <v>990</v>
      </c>
      <c r="C474" t="s">
        <v>1136</v>
      </c>
      <c r="D474" t="s">
        <v>1144</v>
      </c>
      <c r="E474" t="s">
        <v>1138</v>
      </c>
      <c r="G474" t="s">
        <v>1205</v>
      </c>
      <c r="H474" t="s">
        <v>1205</v>
      </c>
      <c r="I474" t="s">
        <v>1205</v>
      </c>
      <c r="J474" t="s">
        <v>2676</v>
      </c>
      <c r="K474" t="s">
        <v>1212</v>
      </c>
      <c r="M474" s="3">
        <f t="shared" si="28"/>
        <v>89.428571428571431</v>
      </c>
      <c r="N474">
        <v>81</v>
      </c>
      <c r="O474">
        <v>88</v>
      </c>
      <c r="P474">
        <v>90</v>
      </c>
      <c r="Q474">
        <v>93</v>
      </c>
      <c r="R474">
        <v>94</v>
      </c>
      <c r="S474">
        <v>94</v>
      </c>
      <c r="T474">
        <v>86</v>
      </c>
      <c r="U474">
        <v>22</v>
      </c>
      <c r="V474" s="3">
        <f t="shared" si="29"/>
        <v>49074309</v>
      </c>
      <c r="W474">
        <v>4089525.75</v>
      </c>
      <c r="X474">
        <v>0</v>
      </c>
      <c r="Y474">
        <f t="shared" si="30"/>
        <v>4089525.75</v>
      </c>
      <c r="Z474">
        <f t="shared" si="31"/>
        <v>0</v>
      </c>
      <c r="AA474">
        <v>0</v>
      </c>
    </row>
    <row r="475" spans="1:27" x14ac:dyDescent="0.25">
      <c r="A475" s="1">
        <v>474</v>
      </c>
      <c r="B475" t="s">
        <v>2001</v>
      </c>
      <c r="C475" t="s">
        <v>1136</v>
      </c>
      <c r="D475" t="s">
        <v>1145</v>
      </c>
      <c r="E475" t="s">
        <v>1147</v>
      </c>
      <c r="H475" t="s">
        <v>1205</v>
      </c>
      <c r="I475" t="s">
        <v>1205</v>
      </c>
      <c r="J475" t="s">
        <v>2676</v>
      </c>
      <c r="K475" t="s">
        <v>1212</v>
      </c>
      <c r="M475" s="3">
        <f t="shared" si="28"/>
        <v>67.714285714285708</v>
      </c>
      <c r="N475">
        <v>22</v>
      </c>
      <c r="O475">
        <v>87</v>
      </c>
      <c r="P475">
        <v>75</v>
      </c>
      <c r="Q475">
        <v>83</v>
      </c>
      <c r="R475">
        <v>85</v>
      </c>
      <c r="S475">
        <v>87</v>
      </c>
      <c r="T475">
        <v>35</v>
      </c>
      <c r="U475">
        <v>0</v>
      </c>
      <c r="V475" s="3">
        <f t="shared" si="29"/>
        <v>2026764</v>
      </c>
      <c r="W475">
        <v>168897</v>
      </c>
      <c r="X475">
        <v>0</v>
      </c>
      <c r="Y475">
        <f t="shared" si="30"/>
        <v>168897</v>
      </c>
      <c r="Z475">
        <f t="shared" si="31"/>
        <v>0</v>
      </c>
      <c r="AA475">
        <v>0</v>
      </c>
    </row>
    <row r="476" spans="1:27" x14ac:dyDescent="0.25">
      <c r="A476" s="1">
        <v>475</v>
      </c>
      <c r="B476" t="s">
        <v>1996</v>
      </c>
      <c r="C476" t="s">
        <v>1136</v>
      </c>
      <c r="D476" t="s">
        <v>1147</v>
      </c>
      <c r="E476" t="s">
        <v>1146</v>
      </c>
      <c r="H476" t="s">
        <v>1205</v>
      </c>
      <c r="I476" t="s">
        <v>1205</v>
      </c>
      <c r="J476" t="s">
        <v>2676</v>
      </c>
      <c r="K476" t="s">
        <v>1212</v>
      </c>
      <c r="M476" s="3">
        <f t="shared" si="28"/>
        <v>71.285714285714292</v>
      </c>
      <c r="N476">
        <v>24</v>
      </c>
      <c r="O476">
        <v>93</v>
      </c>
      <c r="P476">
        <v>81</v>
      </c>
      <c r="Q476">
        <v>85</v>
      </c>
      <c r="R476">
        <v>87</v>
      </c>
      <c r="S476">
        <v>89</v>
      </c>
      <c r="T476">
        <v>40</v>
      </c>
      <c r="U476">
        <v>0</v>
      </c>
      <c r="V476" s="3">
        <f t="shared" si="29"/>
        <v>3388638</v>
      </c>
      <c r="W476">
        <v>282386.5</v>
      </c>
      <c r="X476">
        <v>0</v>
      </c>
      <c r="Y476">
        <f t="shared" si="30"/>
        <v>282386.5</v>
      </c>
      <c r="Z476">
        <f t="shared" si="31"/>
        <v>0</v>
      </c>
      <c r="AA476">
        <v>0</v>
      </c>
    </row>
    <row r="477" spans="1:27" x14ac:dyDescent="0.25">
      <c r="A477" s="1">
        <v>476</v>
      </c>
      <c r="B477" t="s">
        <v>2002</v>
      </c>
      <c r="C477" t="s">
        <v>1136</v>
      </c>
      <c r="D477" t="s">
        <v>1145</v>
      </c>
      <c r="E477" t="s">
        <v>1143</v>
      </c>
      <c r="H477" t="s">
        <v>1205</v>
      </c>
      <c r="I477" t="s">
        <v>1205</v>
      </c>
      <c r="J477" t="s">
        <v>2676</v>
      </c>
      <c r="K477" t="s">
        <v>1212</v>
      </c>
      <c r="M477" s="3">
        <f t="shared" si="28"/>
        <v>68.571428571428569</v>
      </c>
      <c r="N477">
        <v>23</v>
      </c>
      <c r="O477">
        <v>90</v>
      </c>
      <c r="P477">
        <v>77</v>
      </c>
      <c r="Q477">
        <v>85</v>
      </c>
      <c r="R477">
        <v>83</v>
      </c>
      <c r="S477">
        <v>85</v>
      </c>
      <c r="T477">
        <v>37</v>
      </c>
      <c r="U477">
        <v>0</v>
      </c>
      <c r="V477" s="3">
        <f t="shared" si="29"/>
        <v>2298434</v>
      </c>
      <c r="W477">
        <v>191536.16666666666</v>
      </c>
      <c r="X477">
        <v>0</v>
      </c>
      <c r="Y477">
        <f t="shared" si="30"/>
        <v>191536.16666666666</v>
      </c>
      <c r="Z477">
        <f t="shared" si="31"/>
        <v>0</v>
      </c>
      <c r="AA477">
        <v>0</v>
      </c>
    </row>
    <row r="478" spans="1:27" x14ac:dyDescent="0.25">
      <c r="A478" s="1">
        <v>477</v>
      </c>
      <c r="B478" t="s">
        <v>989</v>
      </c>
      <c r="C478" t="s">
        <v>1136</v>
      </c>
      <c r="D478" t="s">
        <v>1144</v>
      </c>
      <c r="E478" t="s">
        <v>1143</v>
      </c>
      <c r="F478" t="s">
        <v>1138</v>
      </c>
      <c r="G478" t="s">
        <v>1205</v>
      </c>
      <c r="H478" t="s">
        <v>1205</v>
      </c>
      <c r="I478" t="s">
        <v>1205</v>
      </c>
      <c r="J478" t="s">
        <v>2676</v>
      </c>
      <c r="K478" t="s">
        <v>1212</v>
      </c>
      <c r="M478" s="3">
        <f t="shared" si="28"/>
        <v>88</v>
      </c>
      <c r="N478">
        <v>84</v>
      </c>
      <c r="O478">
        <v>80</v>
      </c>
      <c r="P478">
        <v>89</v>
      </c>
      <c r="Q478">
        <v>89</v>
      </c>
      <c r="R478">
        <v>95</v>
      </c>
      <c r="S478">
        <v>95</v>
      </c>
      <c r="T478">
        <v>84</v>
      </c>
      <c r="U478">
        <v>26</v>
      </c>
      <c r="V478" s="3">
        <f t="shared" si="29"/>
        <v>41775147</v>
      </c>
      <c r="W478">
        <v>3481262.25</v>
      </c>
      <c r="X478">
        <v>0</v>
      </c>
      <c r="Y478">
        <f t="shared" si="30"/>
        <v>3481262.25</v>
      </c>
      <c r="Z478">
        <f t="shared" si="31"/>
        <v>0</v>
      </c>
      <c r="AA478">
        <v>0</v>
      </c>
    </row>
    <row r="479" spans="1:27" x14ac:dyDescent="0.25">
      <c r="A479" s="1">
        <v>478</v>
      </c>
      <c r="B479" t="s">
        <v>2000</v>
      </c>
      <c r="C479" t="s">
        <v>1136</v>
      </c>
      <c r="D479" t="s">
        <v>1143</v>
      </c>
      <c r="E479" t="s">
        <v>1144</v>
      </c>
      <c r="H479" t="s">
        <v>1205</v>
      </c>
      <c r="I479" t="s">
        <v>1205</v>
      </c>
      <c r="J479" t="s">
        <v>2676</v>
      </c>
      <c r="K479" t="s">
        <v>1212</v>
      </c>
      <c r="M479" s="3">
        <f t="shared" si="28"/>
        <v>66.428571428571431</v>
      </c>
      <c r="N479">
        <v>22</v>
      </c>
      <c r="O479">
        <v>89</v>
      </c>
      <c r="P479">
        <v>75</v>
      </c>
      <c r="Q479">
        <v>83</v>
      </c>
      <c r="R479">
        <v>79</v>
      </c>
      <c r="S479">
        <v>81</v>
      </c>
      <c r="T479">
        <v>36</v>
      </c>
      <c r="U479">
        <v>0</v>
      </c>
      <c r="V479" s="3">
        <f t="shared" si="29"/>
        <v>1673205</v>
      </c>
      <c r="W479">
        <v>139433.75</v>
      </c>
      <c r="X479">
        <v>0</v>
      </c>
      <c r="Y479">
        <f t="shared" si="30"/>
        <v>139433.75</v>
      </c>
      <c r="Z479">
        <f t="shared" si="31"/>
        <v>0</v>
      </c>
      <c r="AA479">
        <v>0</v>
      </c>
    </row>
    <row r="480" spans="1:27" x14ac:dyDescent="0.25">
      <c r="A480" s="1">
        <v>479</v>
      </c>
      <c r="B480" t="s">
        <v>2562</v>
      </c>
      <c r="C480" t="s">
        <v>1137</v>
      </c>
      <c r="D480" t="s">
        <v>1137</v>
      </c>
      <c r="H480" t="s">
        <v>1205</v>
      </c>
      <c r="I480" t="s">
        <v>1205</v>
      </c>
      <c r="J480" t="s">
        <v>2676</v>
      </c>
      <c r="K480" t="s">
        <v>1212</v>
      </c>
      <c r="M480" s="3">
        <f t="shared" si="28"/>
        <v>73.571428571428569</v>
      </c>
      <c r="N480">
        <v>50</v>
      </c>
      <c r="O480">
        <v>75</v>
      </c>
      <c r="P480">
        <v>71</v>
      </c>
      <c r="Q480">
        <v>81</v>
      </c>
      <c r="R480">
        <v>83</v>
      </c>
      <c r="S480">
        <v>85</v>
      </c>
      <c r="T480">
        <v>70</v>
      </c>
      <c r="U480">
        <v>0</v>
      </c>
      <c r="V480" s="3">
        <f t="shared" si="29"/>
        <v>4646136</v>
      </c>
      <c r="W480">
        <v>387178</v>
      </c>
      <c r="X480">
        <v>0</v>
      </c>
      <c r="Y480">
        <f t="shared" si="30"/>
        <v>387178</v>
      </c>
      <c r="Z480">
        <f t="shared" si="31"/>
        <v>0</v>
      </c>
      <c r="AA480">
        <v>0</v>
      </c>
    </row>
    <row r="481" spans="1:27" x14ac:dyDescent="0.25">
      <c r="A481" s="1">
        <v>480</v>
      </c>
      <c r="B481" t="s">
        <v>65</v>
      </c>
      <c r="C481" t="s">
        <v>1133</v>
      </c>
      <c r="D481" t="s">
        <v>1133</v>
      </c>
      <c r="G481" t="s">
        <v>1179</v>
      </c>
      <c r="H481" t="s">
        <v>1179</v>
      </c>
      <c r="I481" t="s">
        <v>1179</v>
      </c>
      <c r="J481" t="s">
        <v>1330</v>
      </c>
      <c r="K481" t="s">
        <v>1212</v>
      </c>
      <c r="M481" s="3">
        <f t="shared" si="28"/>
        <v>67.285714285714292</v>
      </c>
      <c r="N481">
        <v>60</v>
      </c>
      <c r="O481">
        <v>72</v>
      </c>
      <c r="P481">
        <v>39</v>
      </c>
      <c r="Q481">
        <v>69</v>
      </c>
      <c r="R481">
        <v>81</v>
      </c>
      <c r="S481">
        <v>80</v>
      </c>
      <c r="T481">
        <v>70</v>
      </c>
      <c r="U481">
        <v>0</v>
      </c>
      <c r="V481" s="3">
        <f t="shared" si="29"/>
        <v>1902080</v>
      </c>
      <c r="W481">
        <v>158506.66666666666</v>
      </c>
      <c r="X481">
        <v>0</v>
      </c>
      <c r="Y481">
        <f t="shared" si="30"/>
        <v>158506.66666666666</v>
      </c>
      <c r="Z481">
        <f t="shared" si="31"/>
        <v>0</v>
      </c>
      <c r="AA481">
        <v>0</v>
      </c>
    </row>
    <row r="482" spans="1:27" x14ac:dyDescent="0.25">
      <c r="A482" s="1">
        <v>481</v>
      </c>
      <c r="B482" t="s">
        <v>262</v>
      </c>
      <c r="C482" t="s">
        <v>1134</v>
      </c>
      <c r="D482" t="s">
        <v>1138</v>
      </c>
      <c r="G482" t="s">
        <v>1177</v>
      </c>
      <c r="H482" t="s">
        <v>1153</v>
      </c>
      <c r="I482" t="s">
        <v>1153</v>
      </c>
      <c r="J482" t="s">
        <v>1330</v>
      </c>
      <c r="K482" t="s">
        <v>1212</v>
      </c>
      <c r="M482" s="3">
        <f t="shared" si="28"/>
        <v>75.714285714285708</v>
      </c>
      <c r="N482">
        <v>50</v>
      </c>
      <c r="O482">
        <v>80</v>
      </c>
      <c r="P482">
        <v>74</v>
      </c>
      <c r="Q482">
        <v>83</v>
      </c>
      <c r="R482">
        <v>88</v>
      </c>
      <c r="S482">
        <v>90</v>
      </c>
      <c r="T482">
        <v>65</v>
      </c>
      <c r="U482">
        <v>26</v>
      </c>
      <c r="V482" s="3">
        <f t="shared" si="29"/>
        <v>9286875</v>
      </c>
      <c r="W482">
        <v>773906.25</v>
      </c>
      <c r="X482">
        <v>0</v>
      </c>
      <c r="Y482">
        <f t="shared" si="30"/>
        <v>773906.25</v>
      </c>
      <c r="Z482">
        <f t="shared" si="31"/>
        <v>0</v>
      </c>
      <c r="AA482">
        <v>0</v>
      </c>
    </row>
    <row r="483" spans="1:27" x14ac:dyDescent="0.25">
      <c r="A483" s="1">
        <v>482</v>
      </c>
      <c r="B483" t="s">
        <v>1817</v>
      </c>
      <c r="C483" t="s">
        <v>1134</v>
      </c>
      <c r="D483" t="s">
        <v>1140</v>
      </c>
      <c r="E483" t="s">
        <v>1138</v>
      </c>
      <c r="H483" t="s">
        <v>1199</v>
      </c>
      <c r="I483" t="s">
        <v>1199</v>
      </c>
      <c r="J483" t="s">
        <v>1330</v>
      </c>
      <c r="K483" t="s">
        <v>1212</v>
      </c>
      <c r="M483" s="3">
        <f t="shared" si="28"/>
        <v>59.142857142857146</v>
      </c>
      <c r="N483">
        <v>16</v>
      </c>
      <c r="O483">
        <v>66</v>
      </c>
      <c r="P483">
        <v>64</v>
      </c>
      <c r="Q483">
        <v>74</v>
      </c>
      <c r="R483">
        <v>80</v>
      </c>
      <c r="S483">
        <v>82</v>
      </c>
      <c r="T483">
        <v>32</v>
      </c>
      <c r="U483">
        <v>0</v>
      </c>
      <c r="V483" s="3">
        <f t="shared" si="29"/>
        <v>523629</v>
      </c>
      <c r="W483">
        <v>43635.75</v>
      </c>
      <c r="X483">
        <v>0</v>
      </c>
      <c r="Y483">
        <f t="shared" si="30"/>
        <v>43635.75</v>
      </c>
      <c r="Z483">
        <f t="shared" si="31"/>
        <v>0</v>
      </c>
      <c r="AA483">
        <v>0</v>
      </c>
    </row>
    <row r="484" spans="1:27" x14ac:dyDescent="0.25">
      <c r="A484" s="1">
        <v>483</v>
      </c>
      <c r="B484" t="s">
        <v>331</v>
      </c>
      <c r="C484" t="s">
        <v>1134</v>
      </c>
      <c r="D484" t="s">
        <v>1138</v>
      </c>
      <c r="G484" t="s">
        <v>1191</v>
      </c>
      <c r="H484" t="s">
        <v>1191</v>
      </c>
      <c r="I484" t="s">
        <v>1191</v>
      </c>
      <c r="J484" t="s">
        <v>1330</v>
      </c>
      <c r="K484" t="s">
        <v>1212</v>
      </c>
      <c r="M484" s="3">
        <f t="shared" si="28"/>
        <v>67.571428571428569</v>
      </c>
      <c r="N484">
        <v>45</v>
      </c>
      <c r="O484">
        <v>66</v>
      </c>
      <c r="P484">
        <v>71</v>
      </c>
      <c r="Q484">
        <v>71</v>
      </c>
      <c r="R484">
        <v>89</v>
      </c>
      <c r="S484">
        <v>81</v>
      </c>
      <c r="T484">
        <v>50</v>
      </c>
      <c r="U484">
        <v>0</v>
      </c>
      <c r="V484" s="3">
        <f t="shared" si="29"/>
        <v>1984409</v>
      </c>
      <c r="W484">
        <v>165367.41666666666</v>
      </c>
      <c r="X484">
        <v>0</v>
      </c>
      <c r="Y484">
        <f t="shared" si="30"/>
        <v>165367.41666666666</v>
      </c>
      <c r="Z484">
        <f t="shared" si="31"/>
        <v>0</v>
      </c>
      <c r="AA484">
        <v>0</v>
      </c>
    </row>
    <row r="485" spans="1:27" x14ac:dyDescent="0.25">
      <c r="A485" s="1">
        <v>484</v>
      </c>
      <c r="B485" t="s">
        <v>1819</v>
      </c>
      <c r="C485" t="s">
        <v>1134</v>
      </c>
      <c r="D485" t="s">
        <v>1138</v>
      </c>
      <c r="H485" t="s">
        <v>1199</v>
      </c>
      <c r="I485" t="s">
        <v>1199</v>
      </c>
      <c r="J485" t="s">
        <v>1330</v>
      </c>
      <c r="K485" t="s">
        <v>1212</v>
      </c>
      <c r="M485" s="3">
        <f t="shared" si="28"/>
        <v>56.142857142857146</v>
      </c>
      <c r="N485">
        <v>18</v>
      </c>
      <c r="O485">
        <v>62</v>
      </c>
      <c r="P485">
        <v>62</v>
      </c>
      <c r="Q485">
        <v>70</v>
      </c>
      <c r="R485">
        <v>74</v>
      </c>
      <c r="S485">
        <v>77</v>
      </c>
      <c r="T485">
        <v>30</v>
      </c>
      <c r="U485">
        <v>0</v>
      </c>
      <c r="V485" s="3">
        <f t="shared" si="29"/>
        <v>311133</v>
      </c>
      <c r="W485">
        <v>25927.75</v>
      </c>
      <c r="X485">
        <v>0</v>
      </c>
      <c r="Y485">
        <f t="shared" si="30"/>
        <v>25927.75</v>
      </c>
      <c r="Z485">
        <f t="shared" si="31"/>
        <v>0</v>
      </c>
      <c r="AA485">
        <v>0</v>
      </c>
    </row>
    <row r="486" spans="1:27" x14ac:dyDescent="0.25">
      <c r="A486" s="1">
        <v>485</v>
      </c>
      <c r="B486" t="s">
        <v>411</v>
      </c>
      <c r="C486" t="s">
        <v>1134</v>
      </c>
      <c r="D486" t="s">
        <v>1138</v>
      </c>
      <c r="E486" t="s">
        <v>1139</v>
      </c>
      <c r="G486" t="s">
        <v>1208</v>
      </c>
      <c r="H486" t="s">
        <v>1208</v>
      </c>
      <c r="I486" t="s">
        <v>1208</v>
      </c>
      <c r="J486" t="s">
        <v>1330</v>
      </c>
      <c r="K486" t="s">
        <v>1212</v>
      </c>
      <c r="M486" s="3">
        <f t="shared" si="28"/>
        <v>65.857142857142861</v>
      </c>
      <c r="N486">
        <v>55</v>
      </c>
      <c r="O486">
        <v>65</v>
      </c>
      <c r="P486">
        <v>72</v>
      </c>
      <c r="Q486">
        <v>71</v>
      </c>
      <c r="R486">
        <v>76</v>
      </c>
      <c r="S486">
        <v>70</v>
      </c>
      <c r="T486">
        <v>52</v>
      </c>
      <c r="U486">
        <v>0</v>
      </c>
      <c r="V486" s="3">
        <f t="shared" si="29"/>
        <v>1534719</v>
      </c>
      <c r="W486">
        <v>127893.25</v>
      </c>
      <c r="X486">
        <v>0</v>
      </c>
      <c r="Y486">
        <f t="shared" si="30"/>
        <v>127893.25</v>
      </c>
      <c r="Z486">
        <f t="shared" si="31"/>
        <v>0</v>
      </c>
      <c r="AA486">
        <v>0</v>
      </c>
    </row>
    <row r="487" spans="1:27" x14ac:dyDescent="0.25">
      <c r="A487" s="1">
        <v>486</v>
      </c>
      <c r="B487" t="s">
        <v>295</v>
      </c>
      <c r="C487" t="s">
        <v>1134</v>
      </c>
      <c r="D487" t="s">
        <v>1138</v>
      </c>
      <c r="G487" t="s">
        <v>1184</v>
      </c>
      <c r="H487" t="s">
        <v>1184</v>
      </c>
      <c r="I487" t="s">
        <v>1184</v>
      </c>
      <c r="J487" t="s">
        <v>1330</v>
      </c>
      <c r="K487" t="s">
        <v>1212</v>
      </c>
      <c r="M487" s="3">
        <f t="shared" si="28"/>
        <v>70.285714285714292</v>
      </c>
      <c r="N487">
        <v>30</v>
      </c>
      <c r="O487">
        <v>62</v>
      </c>
      <c r="P487">
        <v>94</v>
      </c>
      <c r="Q487">
        <v>72</v>
      </c>
      <c r="R487">
        <v>82</v>
      </c>
      <c r="S487">
        <v>90</v>
      </c>
      <c r="T487">
        <v>62</v>
      </c>
      <c r="U487">
        <v>0</v>
      </c>
      <c r="V487" s="3">
        <f t="shared" si="29"/>
        <v>2942190</v>
      </c>
      <c r="W487">
        <v>245182.5</v>
      </c>
      <c r="X487">
        <v>0</v>
      </c>
      <c r="Y487">
        <f t="shared" si="30"/>
        <v>245182.5</v>
      </c>
      <c r="Z487">
        <f t="shared" si="31"/>
        <v>0</v>
      </c>
      <c r="AA487">
        <v>0</v>
      </c>
    </row>
    <row r="488" spans="1:27" x14ac:dyDescent="0.25">
      <c r="A488" s="1">
        <v>487</v>
      </c>
      <c r="B488" t="s">
        <v>1818</v>
      </c>
      <c r="C488" t="s">
        <v>1134</v>
      </c>
      <c r="D488" t="s">
        <v>1138</v>
      </c>
      <c r="E488" t="s">
        <v>1144</v>
      </c>
      <c r="H488" t="s">
        <v>1199</v>
      </c>
      <c r="I488" t="s">
        <v>1199</v>
      </c>
      <c r="J488" t="s">
        <v>1330</v>
      </c>
      <c r="K488" t="s">
        <v>1212</v>
      </c>
      <c r="M488" s="3">
        <f t="shared" si="28"/>
        <v>66.285714285714292</v>
      </c>
      <c r="N488">
        <v>23</v>
      </c>
      <c r="O488">
        <v>76</v>
      </c>
      <c r="P488">
        <v>70</v>
      </c>
      <c r="Q488">
        <v>82</v>
      </c>
      <c r="R488">
        <v>84</v>
      </c>
      <c r="S488">
        <v>86</v>
      </c>
      <c r="T488">
        <v>43</v>
      </c>
      <c r="U488">
        <v>0</v>
      </c>
      <c r="V488" s="3">
        <f t="shared" si="29"/>
        <v>1637569</v>
      </c>
      <c r="W488">
        <v>136464.08333333334</v>
      </c>
      <c r="X488">
        <v>0</v>
      </c>
      <c r="Y488">
        <f t="shared" si="30"/>
        <v>136464.08333333334</v>
      </c>
      <c r="Z488">
        <f t="shared" si="31"/>
        <v>0</v>
      </c>
      <c r="AA488">
        <v>0</v>
      </c>
    </row>
    <row r="489" spans="1:27" x14ac:dyDescent="0.25">
      <c r="A489" s="1">
        <v>488</v>
      </c>
      <c r="B489" t="s">
        <v>526</v>
      </c>
      <c r="C489" t="s">
        <v>1135</v>
      </c>
      <c r="D489" t="s">
        <v>1141</v>
      </c>
      <c r="E489" t="s">
        <v>1145</v>
      </c>
      <c r="G489" t="s">
        <v>1177</v>
      </c>
      <c r="H489" t="s">
        <v>1153</v>
      </c>
      <c r="I489" t="s">
        <v>1153</v>
      </c>
      <c r="J489" t="s">
        <v>1330</v>
      </c>
      <c r="K489" t="s">
        <v>1212</v>
      </c>
      <c r="M489" s="3">
        <f t="shared" si="28"/>
        <v>79.571428571428569</v>
      </c>
      <c r="N489">
        <v>71</v>
      </c>
      <c r="O489">
        <v>82</v>
      </c>
      <c r="P489">
        <v>85</v>
      </c>
      <c r="Q489">
        <v>80</v>
      </c>
      <c r="R489">
        <v>80</v>
      </c>
      <c r="S489">
        <v>85</v>
      </c>
      <c r="T489">
        <v>74</v>
      </c>
      <c r="U489">
        <v>0</v>
      </c>
      <c r="V489" s="3">
        <f t="shared" si="29"/>
        <v>10175871</v>
      </c>
      <c r="W489">
        <v>720516.58333333337</v>
      </c>
      <c r="X489">
        <v>0</v>
      </c>
      <c r="Y489">
        <f t="shared" si="30"/>
        <v>847989.25</v>
      </c>
      <c r="Z489">
        <f t="shared" si="31"/>
        <v>-15.03</v>
      </c>
      <c r="AA489">
        <v>0</v>
      </c>
    </row>
    <row r="490" spans="1:27" x14ac:dyDescent="0.25">
      <c r="A490" s="1">
        <v>489</v>
      </c>
      <c r="B490" t="s">
        <v>1825</v>
      </c>
      <c r="C490" t="s">
        <v>1135</v>
      </c>
      <c r="D490" t="s">
        <v>1142</v>
      </c>
      <c r="E490" t="s">
        <v>1141</v>
      </c>
      <c r="H490" t="s">
        <v>1199</v>
      </c>
      <c r="I490" t="s">
        <v>1199</v>
      </c>
      <c r="J490" t="s">
        <v>1330</v>
      </c>
      <c r="K490" t="s">
        <v>1212</v>
      </c>
      <c r="M490" s="3">
        <f t="shared" si="28"/>
        <v>68</v>
      </c>
      <c r="N490">
        <v>24</v>
      </c>
      <c r="O490">
        <v>80</v>
      </c>
      <c r="P490">
        <v>80</v>
      </c>
      <c r="Q490">
        <v>81</v>
      </c>
      <c r="R490">
        <v>82</v>
      </c>
      <c r="S490">
        <v>85</v>
      </c>
      <c r="T490">
        <v>44</v>
      </c>
      <c r="U490">
        <v>0</v>
      </c>
      <c r="V490" s="3">
        <f t="shared" si="29"/>
        <v>2113923</v>
      </c>
      <c r="W490">
        <v>176160.25</v>
      </c>
      <c r="X490">
        <v>0</v>
      </c>
      <c r="Y490">
        <f t="shared" si="30"/>
        <v>176160.25</v>
      </c>
      <c r="Z490">
        <f t="shared" si="31"/>
        <v>0</v>
      </c>
      <c r="AA490">
        <v>0</v>
      </c>
    </row>
    <row r="491" spans="1:27" x14ac:dyDescent="0.25">
      <c r="A491" s="1">
        <v>490</v>
      </c>
      <c r="B491" t="s">
        <v>525</v>
      </c>
      <c r="C491" t="s">
        <v>1135</v>
      </c>
      <c r="D491" t="s">
        <v>1141</v>
      </c>
      <c r="E491" t="s">
        <v>1142</v>
      </c>
      <c r="G491" t="s">
        <v>1177</v>
      </c>
      <c r="H491" t="s">
        <v>1153</v>
      </c>
      <c r="I491" t="s">
        <v>1153</v>
      </c>
      <c r="J491" t="s">
        <v>1330</v>
      </c>
      <c r="K491" t="s">
        <v>1212</v>
      </c>
      <c r="M491" s="3">
        <f t="shared" si="28"/>
        <v>75.857142857142861</v>
      </c>
      <c r="N491">
        <v>70</v>
      </c>
      <c r="O491">
        <v>82</v>
      </c>
      <c r="P491">
        <v>80</v>
      </c>
      <c r="Q491">
        <v>76</v>
      </c>
      <c r="R491">
        <v>79</v>
      </c>
      <c r="S491">
        <v>80</v>
      </c>
      <c r="T491">
        <v>64</v>
      </c>
      <c r="U491">
        <v>0</v>
      </c>
      <c r="V491" s="3">
        <f t="shared" si="29"/>
        <v>6309063</v>
      </c>
      <c r="W491">
        <v>525755.25</v>
      </c>
      <c r="X491">
        <v>0</v>
      </c>
      <c r="Y491">
        <f t="shared" si="30"/>
        <v>525755.25</v>
      </c>
      <c r="Z491">
        <f t="shared" si="31"/>
        <v>0</v>
      </c>
      <c r="AA491">
        <v>0</v>
      </c>
    </row>
    <row r="492" spans="1:27" x14ac:dyDescent="0.25">
      <c r="A492" s="1">
        <v>491</v>
      </c>
      <c r="B492" t="s">
        <v>1823</v>
      </c>
      <c r="C492" t="s">
        <v>1136</v>
      </c>
      <c r="D492" t="s">
        <v>1146</v>
      </c>
      <c r="E492" t="s">
        <v>1144</v>
      </c>
      <c r="H492" t="s">
        <v>1199</v>
      </c>
      <c r="I492" t="s">
        <v>1199</v>
      </c>
      <c r="J492" t="s">
        <v>1330</v>
      </c>
      <c r="K492" t="s">
        <v>1212</v>
      </c>
      <c r="M492" s="3">
        <f t="shared" si="28"/>
        <v>57.142857142857146</v>
      </c>
      <c r="N492">
        <v>18</v>
      </c>
      <c r="O492">
        <v>64</v>
      </c>
      <c r="P492">
        <v>66</v>
      </c>
      <c r="Q492">
        <v>74</v>
      </c>
      <c r="R492">
        <v>72</v>
      </c>
      <c r="S492">
        <v>75</v>
      </c>
      <c r="T492">
        <v>31</v>
      </c>
      <c r="U492">
        <v>0</v>
      </c>
      <c r="V492" s="3">
        <f t="shared" si="29"/>
        <v>371210</v>
      </c>
      <c r="W492">
        <v>30934.166666666668</v>
      </c>
      <c r="X492">
        <v>0</v>
      </c>
      <c r="Y492">
        <f t="shared" si="30"/>
        <v>30934.166666666668</v>
      </c>
      <c r="Z492">
        <f t="shared" si="31"/>
        <v>0</v>
      </c>
      <c r="AA492">
        <v>0</v>
      </c>
    </row>
    <row r="493" spans="1:27" x14ac:dyDescent="0.25">
      <c r="A493" s="1">
        <v>492</v>
      </c>
      <c r="B493" t="s">
        <v>948</v>
      </c>
      <c r="C493" t="s">
        <v>1136</v>
      </c>
      <c r="D493" t="s">
        <v>1144</v>
      </c>
      <c r="E493" t="s">
        <v>1143</v>
      </c>
      <c r="F493" t="s">
        <v>1138</v>
      </c>
      <c r="G493" t="s">
        <v>1199</v>
      </c>
      <c r="H493" t="s">
        <v>1153</v>
      </c>
      <c r="I493" t="s">
        <v>1153</v>
      </c>
      <c r="J493" t="s">
        <v>1330</v>
      </c>
      <c r="K493" t="s">
        <v>1212</v>
      </c>
      <c r="M493" s="3">
        <f t="shared" si="28"/>
        <v>87.142857142857139</v>
      </c>
      <c r="N493">
        <v>73</v>
      </c>
      <c r="O493">
        <v>84</v>
      </c>
      <c r="P493">
        <v>95</v>
      </c>
      <c r="Q493">
        <v>84</v>
      </c>
      <c r="R493">
        <v>96</v>
      </c>
      <c r="S493">
        <v>98</v>
      </c>
      <c r="T493">
        <v>80</v>
      </c>
      <c r="U493">
        <v>1</v>
      </c>
      <c r="V493" s="3">
        <f t="shared" si="29"/>
        <v>37879934</v>
      </c>
      <c r="W493">
        <v>3156661.1666666665</v>
      </c>
      <c r="X493">
        <v>0</v>
      </c>
      <c r="Y493">
        <f t="shared" si="30"/>
        <v>3156661.1666666665</v>
      </c>
      <c r="Z493">
        <f t="shared" si="31"/>
        <v>0</v>
      </c>
      <c r="AA493">
        <v>0</v>
      </c>
    </row>
    <row r="494" spans="1:27" x14ac:dyDescent="0.25">
      <c r="A494" s="1">
        <v>493</v>
      </c>
      <c r="B494" t="s">
        <v>1003</v>
      </c>
      <c r="C494" t="s">
        <v>1136</v>
      </c>
      <c r="D494" t="s">
        <v>1144</v>
      </c>
      <c r="G494" t="s">
        <v>1208</v>
      </c>
      <c r="H494" t="s">
        <v>1208</v>
      </c>
      <c r="I494" t="s">
        <v>1208</v>
      </c>
      <c r="J494" t="s">
        <v>1330</v>
      </c>
      <c r="K494" t="s">
        <v>1212</v>
      </c>
      <c r="M494" s="3">
        <f t="shared" si="28"/>
        <v>70.714285714285708</v>
      </c>
      <c r="N494">
        <v>55</v>
      </c>
      <c r="O494">
        <v>70</v>
      </c>
      <c r="P494">
        <v>75</v>
      </c>
      <c r="Q494">
        <v>70</v>
      </c>
      <c r="R494">
        <v>77</v>
      </c>
      <c r="S494">
        <v>88</v>
      </c>
      <c r="T494">
        <v>60</v>
      </c>
      <c r="U494">
        <v>0</v>
      </c>
      <c r="V494" s="3">
        <f t="shared" si="29"/>
        <v>3126595</v>
      </c>
      <c r="W494">
        <v>260549.58333333334</v>
      </c>
      <c r="X494">
        <v>0</v>
      </c>
      <c r="Y494">
        <f t="shared" si="30"/>
        <v>260549.58333333334</v>
      </c>
      <c r="Z494">
        <f t="shared" si="31"/>
        <v>0</v>
      </c>
      <c r="AA494">
        <v>0</v>
      </c>
    </row>
    <row r="495" spans="1:27" x14ac:dyDescent="0.25">
      <c r="A495" s="1">
        <v>494</v>
      </c>
      <c r="B495" t="s">
        <v>1822</v>
      </c>
      <c r="C495" t="s">
        <v>1136</v>
      </c>
      <c r="D495" t="s">
        <v>1145</v>
      </c>
      <c r="E495" t="s">
        <v>1143</v>
      </c>
      <c r="H495" t="s">
        <v>1199</v>
      </c>
      <c r="I495" t="s">
        <v>1199</v>
      </c>
      <c r="J495" t="s">
        <v>1330</v>
      </c>
      <c r="K495" t="s">
        <v>1212</v>
      </c>
      <c r="M495" s="3">
        <f t="shared" si="28"/>
        <v>61.571428571428569</v>
      </c>
      <c r="N495">
        <v>21</v>
      </c>
      <c r="O495">
        <v>72</v>
      </c>
      <c r="P495">
        <v>68</v>
      </c>
      <c r="Q495">
        <v>80</v>
      </c>
      <c r="R495">
        <v>76</v>
      </c>
      <c r="S495">
        <v>78</v>
      </c>
      <c r="T495">
        <v>36</v>
      </c>
      <c r="U495">
        <v>0</v>
      </c>
      <c r="V495" s="3">
        <f t="shared" si="29"/>
        <v>783056</v>
      </c>
      <c r="W495">
        <v>65254.666666666664</v>
      </c>
      <c r="X495">
        <v>0</v>
      </c>
      <c r="Y495">
        <f t="shared" si="30"/>
        <v>65254.666666666664</v>
      </c>
      <c r="Z495">
        <f t="shared" si="31"/>
        <v>0</v>
      </c>
      <c r="AA495">
        <v>0</v>
      </c>
    </row>
    <row r="496" spans="1:27" x14ac:dyDescent="0.25">
      <c r="A496" s="1">
        <v>495</v>
      </c>
      <c r="B496" t="s">
        <v>947</v>
      </c>
      <c r="C496" t="s">
        <v>1136</v>
      </c>
      <c r="D496" t="s">
        <v>1143</v>
      </c>
      <c r="E496" t="s">
        <v>1147</v>
      </c>
      <c r="F496" t="s">
        <v>1146</v>
      </c>
      <c r="G496" t="s">
        <v>1199</v>
      </c>
      <c r="H496" t="s">
        <v>1153</v>
      </c>
      <c r="I496" t="s">
        <v>1153</v>
      </c>
      <c r="J496" t="s">
        <v>1330</v>
      </c>
      <c r="K496" t="s">
        <v>1212</v>
      </c>
      <c r="M496" s="3">
        <f t="shared" si="28"/>
        <v>83.571428571428569</v>
      </c>
      <c r="N496">
        <v>70</v>
      </c>
      <c r="O496">
        <v>81</v>
      </c>
      <c r="P496">
        <v>94</v>
      </c>
      <c r="Q496">
        <v>83</v>
      </c>
      <c r="R496">
        <v>90</v>
      </c>
      <c r="S496">
        <v>94</v>
      </c>
      <c r="T496">
        <v>73</v>
      </c>
      <c r="U496">
        <v>1</v>
      </c>
      <c r="V496" s="3">
        <f t="shared" si="29"/>
        <v>24926972</v>
      </c>
      <c r="W496">
        <v>2077247.6666666667</v>
      </c>
      <c r="X496">
        <v>0</v>
      </c>
      <c r="Y496">
        <f t="shared" si="30"/>
        <v>2077247.6666666667</v>
      </c>
      <c r="Z496">
        <f t="shared" si="31"/>
        <v>0</v>
      </c>
      <c r="AA496">
        <v>0</v>
      </c>
    </row>
    <row r="497" spans="1:27" x14ac:dyDescent="0.25">
      <c r="A497" s="1">
        <v>496</v>
      </c>
      <c r="B497" t="s">
        <v>1824</v>
      </c>
      <c r="C497" t="s">
        <v>1136</v>
      </c>
      <c r="D497" t="s">
        <v>1147</v>
      </c>
      <c r="E497" t="s">
        <v>1146</v>
      </c>
      <c r="H497" t="s">
        <v>1199</v>
      </c>
      <c r="I497" t="s">
        <v>1199</v>
      </c>
      <c r="J497" t="s">
        <v>1330</v>
      </c>
      <c r="K497" t="s">
        <v>1212</v>
      </c>
      <c r="M497" s="3">
        <f t="shared" si="28"/>
        <v>59.428571428571431</v>
      </c>
      <c r="N497">
        <v>19</v>
      </c>
      <c r="O497">
        <v>70</v>
      </c>
      <c r="P497">
        <v>68</v>
      </c>
      <c r="Q497">
        <v>76</v>
      </c>
      <c r="R497">
        <v>74</v>
      </c>
      <c r="S497">
        <v>76</v>
      </c>
      <c r="T497">
        <v>33</v>
      </c>
      <c r="U497">
        <v>0</v>
      </c>
      <c r="V497" s="3">
        <f t="shared" si="29"/>
        <v>549482</v>
      </c>
      <c r="W497">
        <v>45790.166666666664</v>
      </c>
      <c r="X497">
        <v>0</v>
      </c>
      <c r="Y497">
        <f t="shared" si="30"/>
        <v>45790.166666666664</v>
      </c>
      <c r="Z497">
        <f t="shared" si="31"/>
        <v>0</v>
      </c>
      <c r="AA497">
        <v>0</v>
      </c>
    </row>
    <row r="498" spans="1:27" x14ac:dyDescent="0.25">
      <c r="A498" s="1">
        <v>497</v>
      </c>
      <c r="B498" t="s">
        <v>1821</v>
      </c>
      <c r="C498" t="s">
        <v>1136</v>
      </c>
      <c r="D498" t="s">
        <v>1143</v>
      </c>
      <c r="E498" t="s">
        <v>1144</v>
      </c>
      <c r="H498" t="s">
        <v>1199</v>
      </c>
      <c r="I498" t="s">
        <v>1199</v>
      </c>
      <c r="J498" t="s">
        <v>1330</v>
      </c>
      <c r="K498" t="s">
        <v>1212</v>
      </c>
      <c r="M498" s="3">
        <f t="shared" si="28"/>
        <v>54.714285714285715</v>
      </c>
      <c r="N498">
        <v>16</v>
      </c>
      <c r="O498">
        <v>60</v>
      </c>
      <c r="P498">
        <v>64</v>
      </c>
      <c r="Q498">
        <v>72</v>
      </c>
      <c r="R498">
        <v>70</v>
      </c>
      <c r="S498">
        <v>73</v>
      </c>
      <c r="T498">
        <v>28</v>
      </c>
      <c r="U498">
        <v>0</v>
      </c>
      <c r="V498" s="3">
        <f t="shared" si="29"/>
        <v>240441</v>
      </c>
      <c r="W498">
        <v>20036.75</v>
      </c>
      <c r="X498">
        <v>0</v>
      </c>
      <c r="Y498">
        <f t="shared" si="30"/>
        <v>20036.75</v>
      </c>
      <c r="Z498">
        <f t="shared" si="31"/>
        <v>0</v>
      </c>
      <c r="AA498">
        <v>0</v>
      </c>
    </row>
    <row r="499" spans="1:27" x14ac:dyDescent="0.25">
      <c r="A499" s="1">
        <v>498</v>
      </c>
      <c r="B499" t="s">
        <v>1820</v>
      </c>
      <c r="C499" t="s">
        <v>1136</v>
      </c>
      <c r="D499" t="s">
        <v>1144</v>
      </c>
      <c r="E499" t="s">
        <v>1143</v>
      </c>
      <c r="H499" t="s">
        <v>1199</v>
      </c>
      <c r="I499" t="s">
        <v>1199</v>
      </c>
      <c r="J499" t="s">
        <v>1330</v>
      </c>
      <c r="K499" t="s">
        <v>1212</v>
      </c>
      <c r="M499" s="3">
        <f t="shared" si="28"/>
        <v>65.571428571428569</v>
      </c>
      <c r="N499">
        <v>24</v>
      </c>
      <c r="O499">
        <v>78</v>
      </c>
      <c r="P499">
        <v>74</v>
      </c>
      <c r="Q499">
        <v>84</v>
      </c>
      <c r="R499">
        <v>78</v>
      </c>
      <c r="S499">
        <v>80</v>
      </c>
      <c r="T499">
        <v>41</v>
      </c>
      <c r="U499">
        <v>0</v>
      </c>
      <c r="V499" s="3">
        <f t="shared" si="29"/>
        <v>1469422</v>
      </c>
      <c r="W499">
        <v>122451.83333333333</v>
      </c>
      <c r="X499">
        <v>0</v>
      </c>
      <c r="Y499">
        <f t="shared" si="30"/>
        <v>122451.83333333333</v>
      </c>
      <c r="Z499">
        <f t="shared" si="31"/>
        <v>0</v>
      </c>
      <c r="AA499">
        <v>0</v>
      </c>
    </row>
    <row r="500" spans="1:27" x14ac:dyDescent="0.25">
      <c r="A500" s="1">
        <v>499</v>
      </c>
      <c r="B500" t="s">
        <v>1816</v>
      </c>
      <c r="C500" t="s">
        <v>1137</v>
      </c>
      <c r="D500" t="s">
        <v>1137</v>
      </c>
      <c r="H500" t="s">
        <v>1199</v>
      </c>
      <c r="I500" t="s">
        <v>1199</v>
      </c>
      <c r="J500" t="s">
        <v>1330</v>
      </c>
      <c r="K500" t="s">
        <v>1212</v>
      </c>
      <c r="M500" s="3">
        <f t="shared" si="28"/>
        <v>62.285714285714285</v>
      </c>
      <c r="N500">
        <v>21</v>
      </c>
      <c r="O500">
        <v>74</v>
      </c>
      <c r="P500">
        <v>68</v>
      </c>
      <c r="Q500">
        <v>78</v>
      </c>
      <c r="R500">
        <v>76</v>
      </c>
      <c r="S500">
        <v>79</v>
      </c>
      <c r="T500">
        <v>40</v>
      </c>
      <c r="U500">
        <v>0</v>
      </c>
      <c r="V500" s="3">
        <f t="shared" si="29"/>
        <v>878789</v>
      </c>
      <c r="W500">
        <v>73232.416666666672</v>
      </c>
      <c r="X500">
        <v>0</v>
      </c>
      <c r="Y500">
        <f t="shared" si="30"/>
        <v>73232.416666666672</v>
      </c>
      <c r="Z500">
        <f t="shared" si="31"/>
        <v>0</v>
      </c>
      <c r="AA500">
        <v>0</v>
      </c>
    </row>
    <row r="501" spans="1:27" x14ac:dyDescent="0.25">
      <c r="A501" s="1">
        <v>500</v>
      </c>
      <c r="B501" t="s">
        <v>112</v>
      </c>
      <c r="C501" t="s">
        <v>1133</v>
      </c>
      <c r="D501" t="s">
        <v>1133</v>
      </c>
      <c r="G501" t="s">
        <v>1210</v>
      </c>
      <c r="H501" t="s">
        <v>1210</v>
      </c>
      <c r="I501" t="s">
        <v>1210</v>
      </c>
      <c r="J501" t="s">
        <v>1275</v>
      </c>
      <c r="K501" t="s">
        <v>1212</v>
      </c>
      <c r="M501" s="3">
        <f t="shared" si="28"/>
        <v>82.571428571428569</v>
      </c>
      <c r="N501">
        <v>67</v>
      </c>
      <c r="O501">
        <v>84</v>
      </c>
      <c r="P501">
        <v>84</v>
      </c>
      <c r="Q501">
        <v>85</v>
      </c>
      <c r="R501">
        <v>85</v>
      </c>
      <c r="S501">
        <v>93</v>
      </c>
      <c r="T501">
        <v>80</v>
      </c>
      <c r="U501">
        <v>29</v>
      </c>
      <c r="V501" s="3">
        <f t="shared" si="29"/>
        <v>22099846</v>
      </c>
      <c r="W501">
        <v>1841653.8333333333</v>
      </c>
      <c r="X501">
        <v>0</v>
      </c>
      <c r="Y501">
        <f t="shared" si="30"/>
        <v>1841653.8333333333</v>
      </c>
      <c r="Z501">
        <f t="shared" si="31"/>
        <v>0</v>
      </c>
      <c r="AA501">
        <v>0</v>
      </c>
    </row>
    <row r="502" spans="1:27" x14ac:dyDescent="0.25">
      <c r="A502" s="1">
        <v>501</v>
      </c>
      <c r="B502" t="s">
        <v>2644</v>
      </c>
      <c r="C502" t="s">
        <v>1133</v>
      </c>
      <c r="D502" t="s">
        <v>1133</v>
      </c>
      <c r="H502" t="s">
        <v>1210</v>
      </c>
      <c r="I502" t="s">
        <v>1210</v>
      </c>
      <c r="J502" t="s">
        <v>1275</v>
      </c>
      <c r="K502" t="s">
        <v>1212</v>
      </c>
      <c r="M502" s="3">
        <f t="shared" si="28"/>
        <v>62.285714285714285</v>
      </c>
      <c r="N502">
        <v>24</v>
      </c>
      <c r="O502">
        <v>71</v>
      </c>
      <c r="P502">
        <v>69</v>
      </c>
      <c r="Q502">
        <v>76</v>
      </c>
      <c r="R502">
        <v>78</v>
      </c>
      <c r="S502">
        <v>77</v>
      </c>
      <c r="T502">
        <v>41</v>
      </c>
      <c r="U502">
        <v>0</v>
      </c>
      <c r="V502" s="3">
        <f t="shared" si="29"/>
        <v>878789</v>
      </c>
      <c r="W502">
        <v>73232.416666666672</v>
      </c>
      <c r="X502">
        <v>0</v>
      </c>
      <c r="Y502">
        <f t="shared" si="30"/>
        <v>73232.416666666672</v>
      </c>
      <c r="Z502">
        <f t="shared" si="31"/>
        <v>0</v>
      </c>
      <c r="AA502">
        <v>0</v>
      </c>
    </row>
    <row r="503" spans="1:27" x14ac:dyDescent="0.25">
      <c r="A503" s="1">
        <v>502</v>
      </c>
      <c r="B503" t="s">
        <v>1665</v>
      </c>
      <c r="C503" t="s">
        <v>1134</v>
      </c>
      <c r="D503" t="s">
        <v>1138</v>
      </c>
      <c r="H503" t="s">
        <v>1210</v>
      </c>
      <c r="I503" t="s">
        <v>1210</v>
      </c>
      <c r="J503" t="s">
        <v>1275</v>
      </c>
      <c r="K503" t="s">
        <v>1212</v>
      </c>
      <c r="M503" s="3">
        <f t="shared" si="28"/>
        <v>57.142857142857146</v>
      </c>
      <c r="N503">
        <v>21</v>
      </c>
      <c r="O503">
        <v>62</v>
      </c>
      <c r="P503">
        <v>60</v>
      </c>
      <c r="Q503">
        <v>70</v>
      </c>
      <c r="R503">
        <v>74</v>
      </c>
      <c r="S503">
        <v>80</v>
      </c>
      <c r="T503">
        <v>33</v>
      </c>
      <c r="U503">
        <v>0</v>
      </c>
      <c r="V503" s="3">
        <f t="shared" si="29"/>
        <v>371210</v>
      </c>
      <c r="W503">
        <v>30934.166666666668</v>
      </c>
      <c r="X503">
        <v>0</v>
      </c>
      <c r="Y503">
        <f t="shared" si="30"/>
        <v>30934.166666666668</v>
      </c>
      <c r="Z503">
        <f t="shared" si="31"/>
        <v>0</v>
      </c>
      <c r="AA503">
        <v>0</v>
      </c>
    </row>
    <row r="504" spans="1:27" x14ac:dyDescent="0.25">
      <c r="A504" s="1">
        <v>503</v>
      </c>
      <c r="B504" t="s">
        <v>2658</v>
      </c>
      <c r="C504" t="s">
        <v>1134</v>
      </c>
      <c r="D504" t="s">
        <v>1138</v>
      </c>
      <c r="H504" t="s">
        <v>1210</v>
      </c>
      <c r="I504" t="s">
        <v>1210</v>
      </c>
      <c r="J504" t="s">
        <v>1275</v>
      </c>
      <c r="K504" t="s">
        <v>1212</v>
      </c>
      <c r="M504" s="3">
        <f t="shared" si="28"/>
        <v>57.142857142857146</v>
      </c>
      <c r="N504">
        <v>21</v>
      </c>
      <c r="O504">
        <v>62</v>
      </c>
      <c r="P504">
        <v>60</v>
      </c>
      <c r="Q504">
        <v>70</v>
      </c>
      <c r="R504">
        <v>74</v>
      </c>
      <c r="S504">
        <v>80</v>
      </c>
      <c r="T504">
        <v>33</v>
      </c>
      <c r="U504">
        <v>0</v>
      </c>
      <c r="V504" s="3">
        <f t="shared" si="29"/>
        <v>371210</v>
      </c>
      <c r="W504">
        <v>30934.166666666668</v>
      </c>
      <c r="X504">
        <v>0</v>
      </c>
      <c r="Y504">
        <f t="shared" si="30"/>
        <v>30934.166666666668</v>
      </c>
      <c r="Z504">
        <f t="shared" si="31"/>
        <v>0</v>
      </c>
      <c r="AA504">
        <v>0</v>
      </c>
    </row>
    <row r="505" spans="1:27" x14ac:dyDescent="0.25">
      <c r="A505" s="1">
        <v>504</v>
      </c>
      <c r="B505" t="s">
        <v>1658</v>
      </c>
      <c r="C505" t="s">
        <v>1134</v>
      </c>
      <c r="D505" t="s">
        <v>1138</v>
      </c>
      <c r="E505" t="s">
        <v>1139</v>
      </c>
      <c r="H505" t="s">
        <v>1210</v>
      </c>
      <c r="I505" t="s">
        <v>1210</v>
      </c>
      <c r="J505" t="s">
        <v>1275</v>
      </c>
      <c r="K505" t="s">
        <v>1212</v>
      </c>
      <c r="M505" s="3">
        <f t="shared" si="28"/>
        <v>57.142857142857146</v>
      </c>
      <c r="N505">
        <v>21</v>
      </c>
      <c r="O505">
        <v>62</v>
      </c>
      <c r="P505">
        <v>60</v>
      </c>
      <c r="Q505">
        <v>70</v>
      </c>
      <c r="R505">
        <v>74</v>
      </c>
      <c r="S505">
        <v>80</v>
      </c>
      <c r="T505">
        <v>33</v>
      </c>
      <c r="U505">
        <v>0</v>
      </c>
      <c r="V505" s="3">
        <f t="shared" si="29"/>
        <v>371210</v>
      </c>
      <c r="W505">
        <v>30934.166666666668</v>
      </c>
      <c r="X505">
        <v>0</v>
      </c>
      <c r="Y505">
        <f t="shared" si="30"/>
        <v>30934.166666666668</v>
      </c>
      <c r="Z505">
        <f t="shared" si="31"/>
        <v>0</v>
      </c>
      <c r="AA505">
        <v>0</v>
      </c>
    </row>
    <row r="506" spans="1:27" x14ac:dyDescent="0.25">
      <c r="A506" s="1">
        <v>505</v>
      </c>
      <c r="B506" t="s">
        <v>422</v>
      </c>
      <c r="C506" t="s">
        <v>1134</v>
      </c>
      <c r="D506" t="s">
        <v>1138</v>
      </c>
      <c r="G506" t="s">
        <v>1210</v>
      </c>
      <c r="H506" t="s">
        <v>1210</v>
      </c>
      <c r="I506" t="s">
        <v>1210</v>
      </c>
      <c r="J506" t="s">
        <v>1275</v>
      </c>
      <c r="K506" t="s">
        <v>1212</v>
      </c>
      <c r="M506" s="3">
        <f t="shared" si="28"/>
        <v>68.142857142857139</v>
      </c>
      <c r="N506">
        <v>50</v>
      </c>
      <c r="O506">
        <v>71</v>
      </c>
      <c r="P506">
        <v>70</v>
      </c>
      <c r="Q506">
        <v>65</v>
      </c>
      <c r="R506">
        <v>76</v>
      </c>
      <c r="S506">
        <v>85</v>
      </c>
      <c r="T506">
        <v>60</v>
      </c>
      <c r="U506">
        <v>0</v>
      </c>
      <c r="V506" s="3">
        <f t="shared" si="29"/>
        <v>2158756</v>
      </c>
      <c r="W506">
        <v>179896.33333333334</v>
      </c>
      <c r="X506">
        <v>0</v>
      </c>
      <c r="Y506">
        <f t="shared" si="30"/>
        <v>179896.33333333334</v>
      </c>
      <c r="Z506">
        <f t="shared" si="31"/>
        <v>0</v>
      </c>
      <c r="AA506">
        <v>0</v>
      </c>
    </row>
    <row r="507" spans="1:27" x14ac:dyDescent="0.25">
      <c r="A507" s="1">
        <v>506</v>
      </c>
      <c r="B507" t="s">
        <v>1659</v>
      </c>
      <c r="C507" t="s">
        <v>1134</v>
      </c>
      <c r="D507" t="s">
        <v>1138</v>
      </c>
      <c r="E507" t="s">
        <v>1140</v>
      </c>
      <c r="H507" t="s">
        <v>1210</v>
      </c>
      <c r="I507" t="s">
        <v>1210</v>
      </c>
      <c r="J507" t="s">
        <v>1275</v>
      </c>
      <c r="K507" t="s">
        <v>1212</v>
      </c>
      <c r="M507" s="3">
        <f t="shared" si="28"/>
        <v>60.714285714285715</v>
      </c>
      <c r="N507">
        <v>25</v>
      </c>
      <c r="O507">
        <v>68</v>
      </c>
      <c r="P507">
        <v>63</v>
      </c>
      <c r="Q507">
        <v>72</v>
      </c>
      <c r="R507">
        <v>78</v>
      </c>
      <c r="S507">
        <v>81</v>
      </c>
      <c r="T507">
        <v>38</v>
      </c>
      <c r="U507">
        <v>0</v>
      </c>
      <c r="V507" s="3">
        <f t="shared" si="29"/>
        <v>680627</v>
      </c>
      <c r="W507">
        <v>56718.916666666664</v>
      </c>
      <c r="X507">
        <v>0</v>
      </c>
      <c r="Y507">
        <f t="shared" si="30"/>
        <v>56718.916666666664</v>
      </c>
      <c r="Z507">
        <f t="shared" si="31"/>
        <v>0</v>
      </c>
      <c r="AA507">
        <v>0</v>
      </c>
    </row>
    <row r="508" spans="1:27" x14ac:dyDescent="0.25">
      <c r="A508" s="1">
        <v>507</v>
      </c>
      <c r="B508" t="s">
        <v>423</v>
      </c>
      <c r="C508" t="s">
        <v>1134</v>
      </c>
      <c r="D508" t="s">
        <v>1138</v>
      </c>
      <c r="G508" t="s">
        <v>1210</v>
      </c>
      <c r="H508" t="s">
        <v>1210</v>
      </c>
      <c r="I508" t="s">
        <v>1210</v>
      </c>
      <c r="J508" t="s">
        <v>1275</v>
      </c>
      <c r="K508" t="s">
        <v>1212</v>
      </c>
      <c r="M508" s="3">
        <f t="shared" si="28"/>
        <v>68.285714285714292</v>
      </c>
      <c r="N508">
        <v>51</v>
      </c>
      <c r="O508">
        <v>68</v>
      </c>
      <c r="P508">
        <v>71</v>
      </c>
      <c r="Q508">
        <v>73</v>
      </c>
      <c r="R508">
        <v>73</v>
      </c>
      <c r="S508">
        <v>84</v>
      </c>
      <c r="T508">
        <v>58</v>
      </c>
      <c r="U508">
        <v>0</v>
      </c>
      <c r="V508" s="3">
        <f t="shared" si="29"/>
        <v>2204442</v>
      </c>
      <c r="W508">
        <v>183703.5</v>
      </c>
      <c r="X508">
        <v>0</v>
      </c>
      <c r="Y508">
        <f t="shared" si="30"/>
        <v>183703.5</v>
      </c>
      <c r="Z508">
        <f t="shared" si="31"/>
        <v>0</v>
      </c>
      <c r="AA508">
        <v>0</v>
      </c>
    </row>
    <row r="509" spans="1:27" x14ac:dyDescent="0.25">
      <c r="A509" s="1">
        <v>508</v>
      </c>
      <c r="B509" t="s">
        <v>424</v>
      </c>
      <c r="C509" t="s">
        <v>1134</v>
      </c>
      <c r="D509" t="s">
        <v>1138</v>
      </c>
      <c r="E509" t="s">
        <v>1139</v>
      </c>
      <c r="G509" t="s">
        <v>1210</v>
      </c>
      <c r="H509" t="s">
        <v>1210</v>
      </c>
      <c r="I509" t="s">
        <v>1210</v>
      </c>
      <c r="J509" t="s">
        <v>1275</v>
      </c>
      <c r="K509" t="s">
        <v>1212</v>
      </c>
      <c r="M509" s="3">
        <f t="shared" si="28"/>
        <v>70.571428571428569</v>
      </c>
      <c r="N509">
        <v>58</v>
      </c>
      <c r="O509">
        <v>75</v>
      </c>
      <c r="P509">
        <v>70</v>
      </c>
      <c r="Q509">
        <v>72</v>
      </c>
      <c r="R509">
        <v>74</v>
      </c>
      <c r="S509">
        <v>80</v>
      </c>
      <c r="T509">
        <v>65</v>
      </c>
      <c r="U509">
        <v>0</v>
      </c>
      <c r="V509" s="3">
        <f t="shared" si="29"/>
        <v>3064003</v>
      </c>
      <c r="W509">
        <v>255333.58333333334</v>
      </c>
      <c r="X509">
        <v>0</v>
      </c>
      <c r="Y509">
        <f t="shared" si="30"/>
        <v>255333.58333333334</v>
      </c>
      <c r="Z509">
        <f t="shared" si="31"/>
        <v>0</v>
      </c>
      <c r="AA509">
        <v>0</v>
      </c>
    </row>
    <row r="510" spans="1:27" x14ac:dyDescent="0.25">
      <c r="A510" s="1">
        <v>509</v>
      </c>
      <c r="B510" t="s">
        <v>421</v>
      </c>
      <c r="C510" t="s">
        <v>1134</v>
      </c>
      <c r="D510" t="s">
        <v>1139</v>
      </c>
      <c r="E510" t="s">
        <v>1138</v>
      </c>
      <c r="G510" t="s">
        <v>1210</v>
      </c>
      <c r="H510" t="s">
        <v>1210</v>
      </c>
      <c r="I510" t="s">
        <v>1210</v>
      </c>
      <c r="J510" t="s">
        <v>1275</v>
      </c>
      <c r="K510" t="s">
        <v>1212</v>
      </c>
      <c r="M510" s="3">
        <f t="shared" si="28"/>
        <v>81.857142857142861</v>
      </c>
      <c r="N510">
        <v>80</v>
      </c>
      <c r="O510">
        <v>91</v>
      </c>
      <c r="P510">
        <v>80</v>
      </c>
      <c r="Q510">
        <v>80</v>
      </c>
      <c r="R510">
        <v>81</v>
      </c>
      <c r="S510">
        <v>83</v>
      </c>
      <c r="T510">
        <v>78</v>
      </c>
      <c r="U510">
        <v>18</v>
      </c>
      <c r="V510" s="3">
        <f t="shared" si="29"/>
        <v>20260823</v>
      </c>
      <c r="W510">
        <v>1688401.9166666667</v>
      </c>
      <c r="X510">
        <v>0</v>
      </c>
      <c r="Y510">
        <f t="shared" si="30"/>
        <v>1688401.9166666667</v>
      </c>
      <c r="Z510">
        <f t="shared" si="31"/>
        <v>0</v>
      </c>
      <c r="AA510">
        <v>0</v>
      </c>
    </row>
    <row r="511" spans="1:27" x14ac:dyDescent="0.25">
      <c r="A511" s="1">
        <v>510</v>
      </c>
      <c r="B511" t="s">
        <v>623</v>
      </c>
      <c r="C511" t="s">
        <v>1135</v>
      </c>
      <c r="D511" t="s">
        <v>1141</v>
      </c>
      <c r="G511" t="s">
        <v>1210</v>
      </c>
      <c r="H511" t="s">
        <v>1210</v>
      </c>
      <c r="I511" t="s">
        <v>1210</v>
      </c>
      <c r="J511" t="s">
        <v>1275</v>
      </c>
      <c r="K511" t="s">
        <v>1212</v>
      </c>
      <c r="M511" s="3">
        <f t="shared" si="28"/>
        <v>72.285714285714292</v>
      </c>
      <c r="N511">
        <v>41</v>
      </c>
      <c r="O511">
        <v>75</v>
      </c>
      <c r="P511">
        <v>80</v>
      </c>
      <c r="Q511">
        <v>75</v>
      </c>
      <c r="R511">
        <v>80</v>
      </c>
      <c r="S511">
        <v>82</v>
      </c>
      <c r="T511">
        <v>73</v>
      </c>
      <c r="U511">
        <v>0</v>
      </c>
      <c r="V511" s="3">
        <f t="shared" si="29"/>
        <v>3895156</v>
      </c>
      <c r="W511">
        <v>324596.33333333331</v>
      </c>
      <c r="X511">
        <v>0</v>
      </c>
      <c r="Y511">
        <f t="shared" si="30"/>
        <v>324596.33333333331</v>
      </c>
      <c r="Z511">
        <f t="shared" si="31"/>
        <v>0</v>
      </c>
      <c r="AA511">
        <v>0</v>
      </c>
    </row>
    <row r="512" spans="1:27" x14ac:dyDescent="0.25">
      <c r="A512" s="1">
        <v>511</v>
      </c>
      <c r="B512" t="s">
        <v>1662</v>
      </c>
      <c r="C512" t="s">
        <v>1135</v>
      </c>
      <c r="D512" t="s">
        <v>1141</v>
      </c>
      <c r="H512" t="s">
        <v>1210</v>
      </c>
      <c r="I512" t="s">
        <v>1210</v>
      </c>
      <c r="J512" t="s">
        <v>1275</v>
      </c>
      <c r="K512" t="s">
        <v>1212</v>
      </c>
      <c r="M512" s="3">
        <f t="shared" si="28"/>
        <v>67.285714285714292</v>
      </c>
      <c r="N512">
        <v>29</v>
      </c>
      <c r="O512">
        <v>77</v>
      </c>
      <c r="P512">
        <v>78</v>
      </c>
      <c r="Q512">
        <v>75</v>
      </c>
      <c r="R512">
        <v>80</v>
      </c>
      <c r="S512">
        <v>85</v>
      </c>
      <c r="T512">
        <v>47</v>
      </c>
      <c r="U512">
        <v>0</v>
      </c>
      <c r="V512" s="3">
        <f t="shared" si="29"/>
        <v>1902080</v>
      </c>
      <c r="W512">
        <v>158506.66666666666</v>
      </c>
      <c r="X512">
        <v>0</v>
      </c>
      <c r="Y512">
        <f t="shared" si="30"/>
        <v>158506.66666666666</v>
      </c>
      <c r="Z512">
        <f t="shared" si="31"/>
        <v>0</v>
      </c>
      <c r="AA512">
        <v>0</v>
      </c>
    </row>
    <row r="513" spans="1:27" x14ac:dyDescent="0.25">
      <c r="A513" s="1">
        <v>512</v>
      </c>
      <c r="B513" t="s">
        <v>1660</v>
      </c>
      <c r="C513" t="s">
        <v>1135</v>
      </c>
      <c r="D513" t="s">
        <v>1141</v>
      </c>
      <c r="E513" t="s">
        <v>1142</v>
      </c>
      <c r="H513" t="s">
        <v>1210</v>
      </c>
      <c r="I513" t="s">
        <v>1210</v>
      </c>
      <c r="J513" t="s">
        <v>1275</v>
      </c>
      <c r="K513" t="s">
        <v>1212</v>
      </c>
      <c r="M513" s="3">
        <f t="shared" si="28"/>
        <v>67.285714285714292</v>
      </c>
      <c r="N513">
        <v>29</v>
      </c>
      <c r="O513">
        <v>77</v>
      </c>
      <c r="P513">
        <v>78</v>
      </c>
      <c r="Q513">
        <v>75</v>
      </c>
      <c r="R513">
        <v>80</v>
      </c>
      <c r="S513">
        <v>85</v>
      </c>
      <c r="T513">
        <v>47</v>
      </c>
      <c r="U513">
        <v>0</v>
      </c>
      <c r="V513" s="3">
        <f t="shared" si="29"/>
        <v>1902080</v>
      </c>
      <c r="W513">
        <v>158506.66666666666</v>
      </c>
      <c r="X513">
        <v>0</v>
      </c>
      <c r="Y513">
        <f t="shared" si="30"/>
        <v>158506.66666666666</v>
      </c>
      <c r="Z513">
        <f t="shared" si="31"/>
        <v>0</v>
      </c>
      <c r="AA513">
        <v>0</v>
      </c>
    </row>
    <row r="514" spans="1:27" x14ac:dyDescent="0.25">
      <c r="A514" s="1">
        <v>513</v>
      </c>
      <c r="B514" t="s">
        <v>1661</v>
      </c>
      <c r="C514" t="s">
        <v>1135</v>
      </c>
      <c r="D514" t="s">
        <v>1141</v>
      </c>
      <c r="H514" t="s">
        <v>1210</v>
      </c>
      <c r="I514" t="s">
        <v>1210</v>
      </c>
      <c r="J514" t="s">
        <v>1275</v>
      </c>
      <c r="K514" t="s">
        <v>1212</v>
      </c>
      <c r="M514" s="3">
        <f t="shared" ref="M514:M577" si="32">AVERAGE(N514:T514)</f>
        <v>67.285714285714292</v>
      </c>
      <c r="N514">
        <v>29</v>
      </c>
      <c r="O514">
        <v>77</v>
      </c>
      <c r="P514">
        <v>78</v>
      </c>
      <c r="Q514">
        <v>75</v>
      </c>
      <c r="R514">
        <v>80</v>
      </c>
      <c r="S514">
        <v>85</v>
      </c>
      <c r="T514">
        <v>47</v>
      </c>
      <c r="U514">
        <v>0</v>
      </c>
      <c r="V514" s="3">
        <f t="shared" ref="V514:V577" si="33">ROUNDUP(M514^10/1000000000000 * IF(U514&gt;0,1.5,1),0)</f>
        <v>1902080</v>
      </c>
      <c r="W514">
        <v>158506.66666666666</v>
      </c>
      <c r="X514">
        <v>0</v>
      </c>
      <c r="Y514">
        <f t="shared" ref="Y514:Y577" si="34">V514/12</f>
        <v>158506.66666666666</v>
      </c>
      <c r="Z514">
        <f t="shared" ref="Z514:Z577" si="35">ROUND(((W514-Y514)/Y514)*100,2)</f>
        <v>0</v>
      </c>
      <c r="AA514">
        <v>0</v>
      </c>
    </row>
    <row r="515" spans="1:27" x14ac:dyDescent="0.25">
      <c r="A515" s="1">
        <v>514</v>
      </c>
      <c r="B515" t="s">
        <v>624</v>
      </c>
      <c r="C515" t="s">
        <v>1135</v>
      </c>
      <c r="D515" t="s">
        <v>1141</v>
      </c>
      <c r="G515" t="s">
        <v>1210</v>
      </c>
      <c r="H515" t="s">
        <v>1210</v>
      </c>
      <c r="I515" t="s">
        <v>1210</v>
      </c>
      <c r="J515" t="s">
        <v>1275</v>
      </c>
      <c r="K515" t="s">
        <v>1212</v>
      </c>
      <c r="M515" s="3">
        <f t="shared" si="32"/>
        <v>75.857142857142861</v>
      </c>
      <c r="N515">
        <v>45</v>
      </c>
      <c r="O515">
        <v>80</v>
      </c>
      <c r="P515">
        <v>83</v>
      </c>
      <c r="Q515">
        <v>77</v>
      </c>
      <c r="R515">
        <v>82</v>
      </c>
      <c r="S515">
        <v>88</v>
      </c>
      <c r="T515">
        <v>76</v>
      </c>
      <c r="U515">
        <v>0</v>
      </c>
      <c r="V515" s="3">
        <f t="shared" si="33"/>
        <v>6309063</v>
      </c>
      <c r="W515">
        <v>525755.25</v>
      </c>
      <c r="X515">
        <v>0</v>
      </c>
      <c r="Y515">
        <f t="shared" si="34"/>
        <v>525755.25</v>
      </c>
      <c r="Z515">
        <f t="shared" si="35"/>
        <v>0</v>
      </c>
      <c r="AA515">
        <v>0</v>
      </c>
    </row>
    <row r="516" spans="1:27" x14ac:dyDescent="0.25">
      <c r="A516" s="1">
        <v>515</v>
      </c>
      <c r="B516" t="s">
        <v>470</v>
      </c>
      <c r="C516" t="s">
        <v>1135</v>
      </c>
      <c r="D516" t="s">
        <v>1141</v>
      </c>
      <c r="G516" t="s">
        <v>1159</v>
      </c>
      <c r="H516" t="s">
        <v>1159</v>
      </c>
      <c r="I516" t="s">
        <v>1159</v>
      </c>
      <c r="J516" t="s">
        <v>1275</v>
      </c>
      <c r="K516" t="s">
        <v>1212</v>
      </c>
      <c r="M516" s="3">
        <f t="shared" si="32"/>
        <v>64.428571428571431</v>
      </c>
      <c r="N516">
        <v>34</v>
      </c>
      <c r="O516">
        <v>60</v>
      </c>
      <c r="P516">
        <v>79</v>
      </c>
      <c r="Q516">
        <v>71</v>
      </c>
      <c r="R516">
        <v>60</v>
      </c>
      <c r="S516">
        <v>96</v>
      </c>
      <c r="T516">
        <v>51</v>
      </c>
      <c r="U516">
        <v>0</v>
      </c>
      <c r="V516" s="3">
        <f t="shared" si="33"/>
        <v>1232495</v>
      </c>
      <c r="W516">
        <v>102707.91666666667</v>
      </c>
      <c r="X516">
        <v>0</v>
      </c>
      <c r="Y516">
        <f t="shared" si="34"/>
        <v>102707.91666666667</v>
      </c>
      <c r="Z516">
        <f t="shared" si="35"/>
        <v>0</v>
      </c>
      <c r="AA516">
        <v>0</v>
      </c>
    </row>
    <row r="517" spans="1:27" x14ac:dyDescent="0.25">
      <c r="A517" s="1">
        <v>516</v>
      </c>
      <c r="B517" t="s">
        <v>1017</v>
      </c>
      <c r="C517" t="s">
        <v>1136</v>
      </c>
      <c r="D517" t="s">
        <v>1144</v>
      </c>
      <c r="E517" t="s">
        <v>1138</v>
      </c>
      <c r="G517" t="s">
        <v>1210</v>
      </c>
      <c r="H517" t="s">
        <v>1210</v>
      </c>
      <c r="I517" t="s">
        <v>1210</v>
      </c>
      <c r="J517" t="s">
        <v>1275</v>
      </c>
      <c r="K517" t="s">
        <v>1212</v>
      </c>
      <c r="M517" s="3">
        <f t="shared" si="32"/>
        <v>54.428571428571431</v>
      </c>
      <c r="N517">
        <v>39</v>
      </c>
      <c r="O517">
        <v>64</v>
      </c>
      <c r="P517">
        <v>55</v>
      </c>
      <c r="Q517">
        <v>65</v>
      </c>
      <c r="R517">
        <v>72</v>
      </c>
      <c r="S517">
        <v>52</v>
      </c>
      <c r="T517">
        <v>34</v>
      </c>
      <c r="U517">
        <v>0</v>
      </c>
      <c r="V517" s="3">
        <f t="shared" si="33"/>
        <v>228176</v>
      </c>
      <c r="W517">
        <v>19014.666666666668</v>
      </c>
      <c r="X517">
        <v>0</v>
      </c>
      <c r="Y517">
        <f t="shared" si="34"/>
        <v>19014.666666666668</v>
      </c>
      <c r="Z517">
        <f t="shared" si="35"/>
        <v>0</v>
      </c>
      <c r="AA517">
        <v>0</v>
      </c>
    </row>
    <row r="518" spans="1:27" x14ac:dyDescent="0.25">
      <c r="A518" s="1">
        <v>517</v>
      </c>
      <c r="B518" t="s">
        <v>1016</v>
      </c>
      <c r="C518" t="s">
        <v>1136</v>
      </c>
      <c r="D518" t="s">
        <v>1143</v>
      </c>
      <c r="E518" t="s">
        <v>1144</v>
      </c>
      <c r="G518" t="s">
        <v>1210</v>
      </c>
      <c r="H518" t="s">
        <v>1210</v>
      </c>
      <c r="I518" t="s">
        <v>1210</v>
      </c>
      <c r="J518" t="s">
        <v>1275</v>
      </c>
      <c r="K518" t="s">
        <v>1212</v>
      </c>
      <c r="M518" s="3">
        <f t="shared" si="32"/>
        <v>59.857142857142854</v>
      </c>
      <c r="N518">
        <v>35</v>
      </c>
      <c r="O518">
        <v>60</v>
      </c>
      <c r="P518">
        <v>70</v>
      </c>
      <c r="Q518">
        <v>70</v>
      </c>
      <c r="R518">
        <v>70</v>
      </c>
      <c r="S518">
        <v>70</v>
      </c>
      <c r="T518">
        <v>44</v>
      </c>
      <c r="U518">
        <v>0</v>
      </c>
      <c r="V518" s="3">
        <f t="shared" si="33"/>
        <v>590419</v>
      </c>
      <c r="W518">
        <v>13437.5</v>
      </c>
      <c r="X518">
        <v>0</v>
      </c>
      <c r="Y518">
        <f t="shared" si="34"/>
        <v>49201.583333333336</v>
      </c>
      <c r="Z518">
        <f t="shared" si="35"/>
        <v>-72.69</v>
      </c>
      <c r="AA518">
        <v>0</v>
      </c>
    </row>
    <row r="519" spans="1:27" x14ac:dyDescent="0.25">
      <c r="A519" s="1">
        <v>518</v>
      </c>
      <c r="B519" t="s">
        <v>827</v>
      </c>
      <c r="C519" t="s">
        <v>1136</v>
      </c>
      <c r="D519" t="s">
        <v>1143</v>
      </c>
      <c r="E519" t="s">
        <v>1145</v>
      </c>
      <c r="F519" t="s">
        <v>1147</v>
      </c>
      <c r="G519" t="s">
        <v>1180</v>
      </c>
      <c r="H519" t="s">
        <v>1180</v>
      </c>
      <c r="I519" t="s">
        <v>1180</v>
      </c>
      <c r="J519" t="s">
        <v>1275</v>
      </c>
      <c r="K519" t="s">
        <v>1212</v>
      </c>
      <c r="M519" s="3">
        <f t="shared" si="32"/>
        <v>71.857142857142861</v>
      </c>
      <c r="N519">
        <v>56</v>
      </c>
      <c r="O519">
        <v>83</v>
      </c>
      <c r="P519">
        <v>70</v>
      </c>
      <c r="Q519">
        <v>80</v>
      </c>
      <c r="R519">
        <v>84</v>
      </c>
      <c r="S519">
        <v>90</v>
      </c>
      <c r="T519">
        <v>40</v>
      </c>
      <c r="U519">
        <v>0</v>
      </c>
      <c r="V519" s="3">
        <f t="shared" si="33"/>
        <v>3670283</v>
      </c>
      <c r="W519">
        <v>305856.91666666669</v>
      </c>
      <c r="X519">
        <v>0</v>
      </c>
      <c r="Y519">
        <f t="shared" si="34"/>
        <v>305856.91666666669</v>
      </c>
      <c r="Z519">
        <f t="shared" si="35"/>
        <v>0</v>
      </c>
      <c r="AA519">
        <v>0</v>
      </c>
    </row>
    <row r="520" spans="1:27" x14ac:dyDescent="0.25">
      <c r="A520" s="1">
        <v>519</v>
      </c>
      <c r="B520" t="s">
        <v>1014</v>
      </c>
      <c r="C520" t="s">
        <v>1136</v>
      </c>
      <c r="D520" t="s">
        <v>1147</v>
      </c>
      <c r="E520" t="s">
        <v>1144</v>
      </c>
      <c r="G520" t="s">
        <v>1210</v>
      </c>
      <c r="H520" t="s">
        <v>1210</v>
      </c>
      <c r="I520" t="s">
        <v>1210</v>
      </c>
      <c r="J520" t="s">
        <v>1275</v>
      </c>
      <c r="K520" t="s">
        <v>1212</v>
      </c>
      <c r="M520" s="3">
        <f t="shared" si="32"/>
        <v>84.142857142857139</v>
      </c>
      <c r="N520">
        <v>74</v>
      </c>
      <c r="O520">
        <v>90</v>
      </c>
      <c r="P520">
        <v>88</v>
      </c>
      <c r="Q520">
        <v>84</v>
      </c>
      <c r="R520">
        <v>83</v>
      </c>
      <c r="S520">
        <v>90</v>
      </c>
      <c r="T520">
        <v>80</v>
      </c>
      <c r="U520">
        <v>12</v>
      </c>
      <c r="V520" s="3">
        <f t="shared" si="33"/>
        <v>26684792</v>
      </c>
      <c r="W520">
        <v>2223732.6666666665</v>
      </c>
      <c r="X520">
        <v>0</v>
      </c>
      <c r="Y520">
        <f t="shared" si="34"/>
        <v>2223732.6666666665</v>
      </c>
      <c r="Z520">
        <f t="shared" si="35"/>
        <v>0</v>
      </c>
      <c r="AA520">
        <v>0</v>
      </c>
    </row>
    <row r="521" spans="1:27" x14ac:dyDescent="0.25">
      <c r="A521" s="1">
        <v>520</v>
      </c>
      <c r="B521" t="s">
        <v>1663</v>
      </c>
      <c r="C521" t="s">
        <v>1136</v>
      </c>
      <c r="D521" t="s">
        <v>1143</v>
      </c>
      <c r="E521" t="s">
        <v>1145</v>
      </c>
      <c r="H521" t="s">
        <v>1210</v>
      </c>
      <c r="I521" t="s">
        <v>1210</v>
      </c>
      <c r="J521" t="s">
        <v>1275</v>
      </c>
      <c r="K521" t="s">
        <v>1212</v>
      </c>
      <c r="M521" s="3">
        <f t="shared" si="32"/>
        <v>63.428571428571431</v>
      </c>
      <c r="N521">
        <v>26</v>
      </c>
      <c r="O521">
        <v>74</v>
      </c>
      <c r="P521">
        <v>69</v>
      </c>
      <c r="Q521">
        <v>79</v>
      </c>
      <c r="R521">
        <v>76</v>
      </c>
      <c r="S521">
        <v>78</v>
      </c>
      <c r="T521">
        <v>42</v>
      </c>
      <c r="U521">
        <v>0</v>
      </c>
      <c r="V521" s="3">
        <f t="shared" si="33"/>
        <v>1054022</v>
      </c>
      <c r="W521">
        <v>87835.166666666672</v>
      </c>
      <c r="X521">
        <v>0</v>
      </c>
      <c r="Y521">
        <f t="shared" si="34"/>
        <v>87835.166666666672</v>
      </c>
      <c r="Z521">
        <f t="shared" si="35"/>
        <v>0</v>
      </c>
      <c r="AA521">
        <v>0</v>
      </c>
    </row>
    <row r="522" spans="1:27" x14ac:dyDescent="0.25">
      <c r="A522" s="1">
        <v>521</v>
      </c>
      <c r="B522" t="s">
        <v>1664</v>
      </c>
      <c r="C522" t="s">
        <v>1136</v>
      </c>
      <c r="D522" t="s">
        <v>1147</v>
      </c>
      <c r="E522" t="s">
        <v>1144</v>
      </c>
      <c r="H522" t="s">
        <v>1210</v>
      </c>
      <c r="I522" t="s">
        <v>1210</v>
      </c>
      <c r="J522" t="s">
        <v>1275</v>
      </c>
      <c r="K522" t="s">
        <v>1212</v>
      </c>
      <c r="M522" s="3">
        <f t="shared" si="32"/>
        <v>53.285714285714285</v>
      </c>
      <c r="N522">
        <v>20</v>
      </c>
      <c r="O522">
        <v>61</v>
      </c>
      <c r="P522">
        <v>57</v>
      </c>
      <c r="Q522">
        <v>68</v>
      </c>
      <c r="R522">
        <v>66</v>
      </c>
      <c r="S522">
        <v>70</v>
      </c>
      <c r="T522">
        <v>31</v>
      </c>
      <c r="U522">
        <v>0</v>
      </c>
      <c r="V522" s="3">
        <f t="shared" si="33"/>
        <v>184548</v>
      </c>
      <c r="W522">
        <v>15379</v>
      </c>
      <c r="X522">
        <v>0</v>
      </c>
      <c r="Y522">
        <f t="shared" si="34"/>
        <v>15379</v>
      </c>
      <c r="Z522">
        <f t="shared" si="35"/>
        <v>0</v>
      </c>
      <c r="AA522">
        <v>0</v>
      </c>
    </row>
    <row r="523" spans="1:27" x14ac:dyDescent="0.25">
      <c r="A523" s="1">
        <v>522</v>
      </c>
      <c r="B523" t="s">
        <v>1015</v>
      </c>
      <c r="C523" t="s">
        <v>1136</v>
      </c>
      <c r="D523" t="s">
        <v>1147</v>
      </c>
      <c r="E523" t="s">
        <v>1144</v>
      </c>
      <c r="G523" t="s">
        <v>1210</v>
      </c>
      <c r="H523" t="s">
        <v>1210</v>
      </c>
      <c r="I523" t="s">
        <v>1210</v>
      </c>
      <c r="J523" t="s">
        <v>1275</v>
      </c>
      <c r="K523" t="s">
        <v>1212</v>
      </c>
      <c r="M523" s="3">
        <f t="shared" si="32"/>
        <v>54.857142857142854</v>
      </c>
      <c r="N523">
        <v>45</v>
      </c>
      <c r="O523">
        <v>73</v>
      </c>
      <c r="P523">
        <v>59</v>
      </c>
      <c r="Q523">
        <v>73</v>
      </c>
      <c r="R523">
        <v>50</v>
      </c>
      <c r="S523">
        <v>53</v>
      </c>
      <c r="T523">
        <v>31</v>
      </c>
      <c r="U523">
        <v>0</v>
      </c>
      <c r="V523" s="3">
        <f t="shared" si="33"/>
        <v>246793</v>
      </c>
      <c r="W523">
        <v>20566.083333333332</v>
      </c>
      <c r="X523">
        <v>0</v>
      </c>
      <c r="Y523">
        <f t="shared" si="34"/>
        <v>20566.083333333332</v>
      </c>
      <c r="Z523">
        <f t="shared" si="35"/>
        <v>0</v>
      </c>
      <c r="AA523">
        <v>0</v>
      </c>
    </row>
    <row r="524" spans="1:27" x14ac:dyDescent="0.25">
      <c r="A524" s="1">
        <v>523</v>
      </c>
      <c r="B524" t="s">
        <v>1094</v>
      </c>
      <c r="C524" t="s">
        <v>1137</v>
      </c>
      <c r="D524" t="s">
        <v>1137</v>
      </c>
      <c r="H524" t="s">
        <v>1210</v>
      </c>
      <c r="I524" t="s">
        <v>1210</v>
      </c>
      <c r="J524" t="s">
        <v>1275</v>
      </c>
      <c r="K524" t="s">
        <v>1212</v>
      </c>
      <c r="M524" s="3">
        <f t="shared" si="32"/>
        <v>70.142857142857139</v>
      </c>
      <c r="N524">
        <v>47</v>
      </c>
      <c r="O524">
        <v>69</v>
      </c>
      <c r="P524">
        <v>81</v>
      </c>
      <c r="Q524">
        <v>72</v>
      </c>
      <c r="R524">
        <v>72</v>
      </c>
      <c r="S524">
        <v>81</v>
      </c>
      <c r="T524">
        <v>69</v>
      </c>
      <c r="U524">
        <v>0</v>
      </c>
      <c r="V524" s="3">
        <f t="shared" si="33"/>
        <v>2882933</v>
      </c>
      <c r="W524">
        <v>240244.41666666666</v>
      </c>
      <c r="X524">
        <v>0</v>
      </c>
      <c r="Y524">
        <f t="shared" si="34"/>
        <v>240244.41666666666</v>
      </c>
      <c r="Z524">
        <f t="shared" si="35"/>
        <v>0</v>
      </c>
      <c r="AA524">
        <v>0</v>
      </c>
    </row>
    <row r="525" spans="1:27" x14ac:dyDescent="0.25">
      <c r="A525" s="1">
        <v>524</v>
      </c>
      <c r="B525" t="s">
        <v>2188</v>
      </c>
      <c r="C525" t="s">
        <v>1133</v>
      </c>
      <c r="D525" t="s">
        <v>1133</v>
      </c>
      <c r="H525" t="s">
        <v>1166</v>
      </c>
      <c r="I525" t="s">
        <v>1166</v>
      </c>
      <c r="J525" t="s">
        <v>2690</v>
      </c>
      <c r="K525" t="s">
        <v>1212</v>
      </c>
      <c r="M525" s="3">
        <f t="shared" si="32"/>
        <v>50.857142857142854</v>
      </c>
      <c r="N525">
        <v>8</v>
      </c>
      <c r="O525">
        <v>65</v>
      </c>
      <c r="P525">
        <v>58</v>
      </c>
      <c r="Q525">
        <v>63</v>
      </c>
      <c r="R525">
        <v>65</v>
      </c>
      <c r="S525">
        <v>67</v>
      </c>
      <c r="T525">
        <v>30</v>
      </c>
      <c r="U525">
        <v>0</v>
      </c>
      <c r="V525" s="3">
        <f t="shared" si="33"/>
        <v>115750</v>
      </c>
      <c r="W525">
        <v>9645.8333333333339</v>
      </c>
      <c r="X525">
        <v>0</v>
      </c>
      <c r="Y525">
        <f t="shared" si="34"/>
        <v>9645.8333333333339</v>
      </c>
      <c r="Z525">
        <f t="shared" si="35"/>
        <v>0</v>
      </c>
      <c r="AA525">
        <v>0</v>
      </c>
    </row>
    <row r="526" spans="1:27" x14ac:dyDescent="0.25">
      <c r="A526" s="1">
        <v>525</v>
      </c>
      <c r="B526" t="s">
        <v>2172</v>
      </c>
      <c r="C526" t="s">
        <v>1133</v>
      </c>
      <c r="D526" t="s">
        <v>1133</v>
      </c>
      <c r="H526" t="s">
        <v>1166</v>
      </c>
      <c r="I526" t="s">
        <v>1166</v>
      </c>
      <c r="J526" t="s">
        <v>2690</v>
      </c>
      <c r="K526" t="s">
        <v>1212</v>
      </c>
      <c r="M526" s="3">
        <f t="shared" si="32"/>
        <v>50.285714285714285</v>
      </c>
      <c r="N526">
        <v>8</v>
      </c>
      <c r="O526">
        <v>64</v>
      </c>
      <c r="P526">
        <v>56</v>
      </c>
      <c r="Q526">
        <v>63</v>
      </c>
      <c r="R526">
        <v>65</v>
      </c>
      <c r="S526">
        <v>67</v>
      </c>
      <c r="T526">
        <v>29</v>
      </c>
      <c r="U526">
        <v>0</v>
      </c>
      <c r="V526" s="3">
        <f t="shared" si="33"/>
        <v>103383</v>
      </c>
      <c r="W526">
        <v>8615.25</v>
      </c>
      <c r="X526">
        <v>0</v>
      </c>
      <c r="Y526">
        <f t="shared" si="34"/>
        <v>8615.25</v>
      </c>
      <c r="Z526">
        <f t="shared" si="35"/>
        <v>0</v>
      </c>
      <c r="AA526">
        <v>0</v>
      </c>
    </row>
    <row r="527" spans="1:27" x14ac:dyDescent="0.25">
      <c r="A527" s="1">
        <v>526</v>
      </c>
      <c r="B527" t="s">
        <v>2171</v>
      </c>
      <c r="C527" t="s">
        <v>1133</v>
      </c>
      <c r="D527" t="s">
        <v>1133</v>
      </c>
      <c r="H527" t="s">
        <v>1166</v>
      </c>
      <c r="I527" t="s">
        <v>1166</v>
      </c>
      <c r="J527" t="s">
        <v>2690</v>
      </c>
      <c r="K527" t="s">
        <v>1212</v>
      </c>
      <c r="M527" s="3">
        <f t="shared" si="32"/>
        <v>52.714285714285715</v>
      </c>
      <c r="N527">
        <v>10</v>
      </c>
      <c r="O527">
        <v>67</v>
      </c>
      <c r="P527">
        <v>59</v>
      </c>
      <c r="Q527">
        <v>65</v>
      </c>
      <c r="R527">
        <v>67</v>
      </c>
      <c r="S527">
        <v>69</v>
      </c>
      <c r="T527">
        <v>32</v>
      </c>
      <c r="U527">
        <v>0</v>
      </c>
      <c r="V527" s="3">
        <f t="shared" si="33"/>
        <v>165686</v>
      </c>
      <c r="W527">
        <v>13807.166666666666</v>
      </c>
      <c r="X527">
        <v>0</v>
      </c>
      <c r="Y527">
        <f t="shared" si="34"/>
        <v>13807.166666666666</v>
      </c>
      <c r="Z527">
        <f t="shared" si="35"/>
        <v>0</v>
      </c>
      <c r="AA527">
        <v>0</v>
      </c>
    </row>
    <row r="528" spans="1:27" x14ac:dyDescent="0.25">
      <c r="A528" s="1">
        <v>527</v>
      </c>
      <c r="B528" t="s">
        <v>2178</v>
      </c>
      <c r="C528" t="s">
        <v>1134</v>
      </c>
      <c r="D528" t="s">
        <v>1139</v>
      </c>
      <c r="E528" t="s">
        <v>1138</v>
      </c>
      <c r="H528" t="s">
        <v>1166</v>
      </c>
      <c r="I528" t="s">
        <v>1166</v>
      </c>
      <c r="J528" t="s">
        <v>2690</v>
      </c>
      <c r="K528" t="s">
        <v>1212</v>
      </c>
      <c r="M528" s="3">
        <f t="shared" si="32"/>
        <v>59.571428571428569</v>
      </c>
      <c r="N528">
        <v>36</v>
      </c>
      <c r="O528">
        <v>70</v>
      </c>
      <c r="P528">
        <v>62</v>
      </c>
      <c r="Q528">
        <v>66</v>
      </c>
      <c r="R528">
        <v>68</v>
      </c>
      <c r="S528">
        <v>70</v>
      </c>
      <c r="T528">
        <v>45</v>
      </c>
      <c r="U528">
        <v>0</v>
      </c>
      <c r="V528" s="3">
        <f t="shared" si="33"/>
        <v>562834</v>
      </c>
      <c r="W528">
        <v>19014.666666666668</v>
      </c>
      <c r="X528">
        <v>0</v>
      </c>
      <c r="Y528">
        <f t="shared" si="34"/>
        <v>46902.833333333336</v>
      </c>
      <c r="Z528">
        <f t="shared" si="35"/>
        <v>-59.46</v>
      </c>
      <c r="AA528">
        <v>0</v>
      </c>
    </row>
    <row r="529" spans="1:27" x14ac:dyDescent="0.25">
      <c r="A529" s="1">
        <v>528</v>
      </c>
      <c r="B529" t="s">
        <v>2176</v>
      </c>
      <c r="C529" t="s">
        <v>1134</v>
      </c>
      <c r="D529" t="s">
        <v>1140</v>
      </c>
      <c r="E529" t="s">
        <v>1138</v>
      </c>
      <c r="H529" t="s">
        <v>1166</v>
      </c>
      <c r="I529" t="s">
        <v>1166</v>
      </c>
      <c r="J529" t="s">
        <v>2690</v>
      </c>
      <c r="K529" t="s">
        <v>1212</v>
      </c>
      <c r="M529" s="3">
        <f t="shared" si="32"/>
        <v>52.857142857142854</v>
      </c>
      <c r="N529">
        <v>9</v>
      </c>
      <c r="O529">
        <v>69</v>
      </c>
      <c r="P529">
        <v>60</v>
      </c>
      <c r="Q529">
        <v>65</v>
      </c>
      <c r="R529">
        <v>67</v>
      </c>
      <c r="S529">
        <v>69</v>
      </c>
      <c r="T529">
        <v>31</v>
      </c>
      <c r="U529">
        <v>0</v>
      </c>
      <c r="V529" s="3">
        <f t="shared" si="33"/>
        <v>170231</v>
      </c>
      <c r="W529">
        <v>14185.916666666666</v>
      </c>
      <c r="X529">
        <v>0</v>
      </c>
      <c r="Y529">
        <f t="shared" si="34"/>
        <v>14185.916666666666</v>
      </c>
      <c r="Z529">
        <f t="shared" si="35"/>
        <v>0</v>
      </c>
      <c r="AA529">
        <v>0</v>
      </c>
    </row>
    <row r="530" spans="1:27" x14ac:dyDescent="0.25">
      <c r="A530" s="1">
        <v>529</v>
      </c>
      <c r="B530" t="s">
        <v>2175</v>
      </c>
      <c r="C530" t="s">
        <v>1134</v>
      </c>
      <c r="D530" t="s">
        <v>1138</v>
      </c>
      <c r="E530" t="s">
        <v>1139</v>
      </c>
      <c r="H530" t="s">
        <v>1166</v>
      </c>
      <c r="I530" t="s">
        <v>1166</v>
      </c>
      <c r="J530" t="s">
        <v>2690</v>
      </c>
      <c r="K530" t="s">
        <v>1212</v>
      </c>
      <c r="M530" s="3">
        <f t="shared" si="32"/>
        <v>55.428571428571431</v>
      </c>
      <c r="N530">
        <v>12</v>
      </c>
      <c r="O530">
        <v>71</v>
      </c>
      <c r="P530">
        <v>63</v>
      </c>
      <c r="Q530">
        <v>67</v>
      </c>
      <c r="R530">
        <v>69</v>
      </c>
      <c r="S530">
        <v>71</v>
      </c>
      <c r="T530">
        <v>35</v>
      </c>
      <c r="U530">
        <v>0</v>
      </c>
      <c r="V530" s="3">
        <f t="shared" si="33"/>
        <v>273740</v>
      </c>
      <c r="W530">
        <v>22811.666666666668</v>
      </c>
      <c r="X530">
        <v>0</v>
      </c>
      <c r="Y530">
        <f t="shared" si="34"/>
        <v>22811.666666666668</v>
      </c>
      <c r="Z530">
        <f t="shared" si="35"/>
        <v>0</v>
      </c>
      <c r="AA530">
        <v>0</v>
      </c>
    </row>
    <row r="531" spans="1:27" x14ac:dyDescent="0.25">
      <c r="A531" s="1">
        <v>530</v>
      </c>
      <c r="B531" t="s">
        <v>2174</v>
      </c>
      <c r="C531" t="s">
        <v>1134</v>
      </c>
      <c r="D531" t="s">
        <v>1138</v>
      </c>
      <c r="E531" t="s">
        <v>1144</v>
      </c>
      <c r="H531" t="s">
        <v>1166</v>
      </c>
      <c r="I531" t="s">
        <v>1166</v>
      </c>
      <c r="J531" t="s">
        <v>2690</v>
      </c>
      <c r="K531" t="s">
        <v>1212</v>
      </c>
      <c r="M531" s="3">
        <f t="shared" si="32"/>
        <v>69.857142857142861</v>
      </c>
      <c r="N531">
        <v>45</v>
      </c>
      <c r="O531">
        <v>76</v>
      </c>
      <c r="P531">
        <v>67</v>
      </c>
      <c r="Q531">
        <v>68</v>
      </c>
      <c r="R531">
        <v>85</v>
      </c>
      <c r="S531">
        <v>88</v>
      </c>
      <c r="T531">
        <v>60</v>
      </c>
      <c r="U531">
        <v>26</v>
      </c>
      <c r="V531" s="3">
        <f t="shared" si="33"/>
        <v>4151447</v>
      </c>
      <c r="W531">
        <v>140930.5</v>
      </c>
      <c r="X531">
        <v>0</v>
      </c>
      <c r="Y531">
        <f t="shared" si="34"/>
        <v>345953.91666666669</v>
      </c>
      <c r="Z531">
        <f t="shared" si="35"/>
        <v>-59.26</v>
      </c>
      <c r="AA531">
        <v>0</v>
      </c>
    </row>
    <row r="532" spans="1:27" x14ac:dyDescent="0.25">
      <c r="A532" s="1">
        <v>531</v>
      </c>
      <c r="B532" t="s">
        <v>2177</v>
      </c>
      <c r="C532" t="s">
        <v>1134</v>
      </c>
      <c r="D532" t="s">
        <v>1140</v>
      </c>
      <c r="E532" t="s">
        <v>1139</v>
      </c>
      <c r="H532" t="s">
        <v>1166</v>
      </c>
      <c r="I532" t="s">
        <v>1166</v>
      </c>
      <c r="J532" t="s">
        <v>2690</v>
      </c>
      <c r="K532" t="s">
        <v>1212</v>
      </c>
      <c r="M532" s="3">
        <f t="shared" si="32"/>
        <v>50.428571428571431</v>
      </c>
      <c r="N532">
        <v>7</v>
      </c>
      <c r="O532">
        <v>65</v>
      </c>
      <c r="P532">
        <v>58</v>
      </c>
      <c r="Q532">
        <v>63</v>
      </c>
      <c r="R532">
        <v>65</v>
      </c>
      <c r="S532">
        <v>67</v>
      </c>
      <c r="T532">
        <v>28</v>
      </c>
      <c r="U532">
        <v>0</v>
      </c>
      <c r="V532" s="3">
        <f t="shared" si="33"/>
        <v>106358</v>
      </c>
      <c r="W532">
        <v>8863.1666666666661</v>
      </c>
      <c r="X532">
        <v>0</v>
      </c>
      <c r="Y532">
        <f t="shared" si="34"/>
        <v>8863.1666666666661</v>
      </c>
      <c r="Z532">
        <f t="shared" si="35"/>
        <v>0</v>
      </c>
      <c r="AA532">
        <v>0</v>
      </c>
    </row>
    <row r="533" spans="1:27" x14ac:dyDescent="0.25">
      <c r="A533" s="1">
        <v>532</v>
      </c>
      <c r="B533" t="s">
        <v>2185</v>
      </c>
      <c r="C533" t="s">
        <v>1135</v>
      </c>
      <c r="D533" t="s">
        <v>1142</v>
      </c>
      <c r="E533" t="s">
        <v>1141</v>
      </c>
      <c r="H533" t="s">
        <v>1166</v>
      </c>
      <c r="I533" t="s">
        <v>1166</v>
      </c>
      <c r="J533" t="s">
        <v>2690</v>
      </c>
      <c r="K533" t="s">
        <v>1212</v>
      </c>
      <c r="M533" s="3">
        <f t="shared" si="32"/>
        <v>55</v>
      </c>
      <c r="N533">
        <v>10</v>
      </c>
      <c r="O533">
        <v>70</v>
      </c>
      <c r="P533">
        <v>63</v>
      </c>
      <c r="Q533">
        <v>68</v>
      </c>
      <c r="R533">
        <v>70</v>
      </c>
      <c r="S533">
        <v>72</v>
      </c>
      <c r="T533">
        <v>32</v>
      </c>
      <c r="U533">
        <v>0</v>
      </c>
      <c r="V533" s="3">
        <f t="shared" si="33"/>
        <v>253296</v>
      </c>
      <c r="W533">
        <v>21108</v>
      </c>
      <c r="X533">
        <v>0</v>
      </c>
      <c r="Y533">
        <f t="shared" si="34"/>
        <v>21108</v>
      </c>
      <c r="Z533">
        <f t="shared" si="35"/>
        <v>0</v>
      </c>
      <c r="AA533">
        <v>0</v>
      </c>
    </row>
    <row r="534" spans="1:27" x14ac:dyDescent="0.25">
      <c r="A534" s="1">
        <v>533</v>
      </c>
      <c r="B534" t="s">
        <v>2184</v>
      </c>
      <c r="C534" t="s">
        <v>1135</v>
      </c>
      <c r="D534" t="s">
        <v>1142</v>
      </c>
      <c r="E534" t="s">
        <v>1141</v>
      </c>
      <c r="H534" t="s">
        <v>1166</v>
      </c>
      <c r="I534" t="s">
        <v>1166</v>
      </c>
      <c r="J534" t="s">
        <v>2690</v>
      </c>
      <c r="K534" t="s">
        <v>1212</v>
      </c>
      <c r="M534" s="3">
        <f t="shared" si="32"/>
        <v>60</v>
      </c>
      <c r="N534">
        <v>14</v>
      </c>
      <c r="O534">
        <v>75</v>
      </c>
      <c r="P534">
        <v>68</v>
      </c>
      <c r="Q534">
        <v>73</v>
      </c>
      <c r="R534">
        <v>75</v>
      </c>
      <c r="S534">
        <v>77</v>
      </c>
      <c r="T534">
        <v>38</v>
      </c>
      <c r="U534">
        <v>0</v>
      </c>
      <c r="V534" s="3">
        <f t="shared" si="33"/>
        <v>604662</v>
      </c>
      <c r="W534">
        <v>50388.5</v>
      </c>
      <c r="X534">
        <v>0</v>
      </c>
      <c r="Y534">
        <f t="shared" si="34"/>
        <v>50388.5</v>
      </c>
      <c r="Z534">
        <f t="shared" si="35"/>
        <v>0</v>
      </c>
      <c r="AA534">
        <v>0</v>
      </c>
    </row>
    <row r="535" spans="1:27" x14ac:dyDescent="0.25">
      <c r="A535" s="1">
        <v>534</v>
      </c>
      <c r="B535" t="s">
        <v>2186</v>
      </c>
      <c r="C535" t="s">
        <v>1135</v>
      </c>
      <c r="D535" t="s">
        <v>1141</v>
      </c>
      <c r="E535" t="s">
        <v>1142</v>
      </c>
      <c r="H535" t="s">
        <v>1166</v>
      </c>
      <c r="I535" t="s">
        <v>1166</v>
      </c>
      <c r="J535" t="s">
        <v>2690</v>
      </c>
      <c r="K535" t="s">
        <v>1212</v>
      </c>
      <c r="M535" s="3">
        <f t="shared" si="32"/>
        <v>63.857142857142854</v>
      </c>
      <c r="N535">
        <v>15</v>
      </c>
      <c r="O535">
        <v>75</v>
      </c>
      <c r="P535">
        <v>80</v>
      </c>
      <c r="Q535">
        <v>75</v>
      </c>
      <c r="R535">
        <v>77</v>
      </c>
      <c r="S535">
        <v>80</v>
      </c>
      <c r="T535">
        <v>45</v>
      </c>
      <c r="U535">
        <v>0</v>
      </c>
      <c r="V535" s="3">
        <f t="shared" si="33"/>
        <v>1127444</v>
      </c>
      <c r="W535">
        <v>93953.666666666672</v>
      </c>
      <c r="X535">
        <v>0</v>
      </c>
      <c r="Y535">
        <f t="shared" si="34"/>
        <v>93953.666666666672</v>
      </c>
      <c r="Z535">
        <f t="shared" si="35"/>
        <v>0</v>
      </c>
      <c r="AA535">
        <v>0</v>
      </c>
    </row>
    <row r="536" spans="1:27" x14ac:dyDescent="0.25">
      <c r="A536" s="1">
        <v>535</v>
      </c>
      <c r="B536" t="s">
        <v>2183</v>
      </c>
      <c r="C536" t="s">
        <v>1136</v>
      </c>
      <c r="D536" t="s">
        <v>1146</v>
      </c>
      <c r="E536" t="s">
        <v>1144</v>
      </c>
      <c r="H536" t="s">
        <v>1166</v>
      </c>
      <c r="I536" t="s">
        <v>1166</v>
      </c>
      <c r="J536" t="s">
        <v>2690</v>
      </c>
      <c r="K536" t="s">
        <v>1212</v>
      </c>
      <c r="M536" s="3">
        <f t="shared" si="32"/>
        <v>49.857142857142854</v>
      </c>
      <c r="N536">
        <v>7</v>
      </c>
      <c r="O536">
        <v>64</v>
      </c>
      <c r="P536">
        <v>57</v>
      </c>
      <c r="Q536">
        <v>63</v>
      </c>
      <c r="R536">
        <v>65</v>
      </c>
      <c r="S536">
        <v>67</v>
      </c>
      <c r="T536">
        <v>26</v>
      </c>
      <c r="U536">
        <v>0</v>
      </c>
      <c r="V536" s="3">
        <f t="shared" si="33"/>
        <v>94902</v>
      </c>
      <c r="W536">
        <v>7908.5</v>
      </c>
      <c r="X536">
        <v>0</v>
      </c>
      <c r="Y536">
        <f t="shared" si="34"/>
        <v>7908.5</v>
      </c>
      <c r="Z536">
        <f t="shared" si="35"/>
        <v>0</v>
      </c>
      <c r="AA536">
        <v>0</v>
      </c>
    </row>
    <row r="537" spans="1:27" x14ac:dyDescent="0.25">
      <c r="A537" s="1">
        <v>536</v>
      </c>
      <c r="B537" t="s">
        <v>2182</v>
      </c>
      <c r="C537" t="s">
        <v>1136</v>
      </c>
      <c r="D537" t="s">
        <v>1145</v>
      </c>
      <c r="E537" t="s">
        <v>1147</v>
      </c>
      <c r="H537" t="s">
        <v>1166</v>
      </c>
      <c r="I537" t="s">
        <v>1166</v>
      </c>
      <c r="J537" t="s">
        <v>2690</v>
      </c>
      <c r="K537" t="s">
        <v>1212</v>
      </c>
      <c r="M537" s="3">
        <f t="shared" si="32"/>
        <v>54.428571428571431</v>
      </c>
      <c r="N537">
        <v>10</v>
      </c>
      <c r="O537">
        <v>69</v>
      </c>
      <c r="P537">
        <v>62</v>
      </c>
      <c r="Q537">
        <v>67</v>
      </c>
      <c r="R537">
        <v>69</v>
      </c>
      <c r="S537">
        <v>71</v>
      </c>
      <c r="T537">
        <v>33</v>
      </c>
      <c r="U537">
        <v>0</v>
      </c>
      <c r="V537" s="3">
        <f t="shared" si="33"/>
        <v>228176</v>
      </c>
      <c r="W537">
        <v>19014.666666666668</v>
      </c>
      <c r="X537">
        <v>0</v>
      </c>
      <c r="Y537">
        <f t="shared" si="34"/>
        <v>19014.666666666668</v>
      </c>
      <c r="Z537">
        <f t="shared" si="35"/>
        <v>0</v>
      </c>
      <c r="AA537">
        <v>0</v>
      </c>
    </row>
    <row r="538" spans="1:27" x14ac:dyDescent="0.25">
      <c r="A538" s="1">
        <v>537</v>
      </c>
      <c r="B538" t="s">
        <v>2653</v>
      </c>
      <c r="C538" t="s">
        <v>1136</v>
      </c>
      <c r="D538" t="s">
        <v>1147</v>
      </c>
      <c r="E538" t="s">
        <v>1145</v>
      </c>
      <c r="H538" t="s">
        <v>1166</v>
      </c>
      <c r="I538" t="s">
        <v>1166</v>
      </c>
      <c r="J538" t="s">
        <v>2690</v>
      </c>
      <c r="K538" t="s">
        <v>1212</v>
      </c>
      <c r="M538" s="3">
        <f t="shared" si="32"/>
        <v>63.285714285714285</v>
      </c>
      <c r="N538">
        <v>35</v>
      </c>
      <c r="O538">
        <v>71</v>
      </c>
      <c r="P538">
        <v>64</v>
      </c>
      <c r="Q538">
        <v>69</v>
      </c>
      <c r="R538">
        <v>71</v>
      </c>
      <c r="S538">
        <v>73</v>
      </c>
      <c r="T538">
        <v>60</v>
      </c>
      <c r="U538">
        <v>0</v>
      </c>
      <c r="V538" s="3">
        <f t="shared" si="33"/>
        <v>1030522</v>
      </c>
      <c r="W538">
        <v>25927.75</v>
      </c>
      <c r="X538">
        <v>0</v>
      </c>
      <c r="Y538">
        <f t="shared" si="34"/>
        <v>85876.833333333328</v>
      </c>
      <c r="Z538">
        <f t="shared" si="35"/>
        <v>-69.81</v>
      </c>
      <c r="AA538">
        <v>0</v>
      </c>
    </row>
    <row r="539" spans="1:27" x14ac:dyDescent="0.25">
      <c r="A539" s="1">
        <v>538</v>
      </c>
      <c r="B539" t="s">
        <v>2181</v>
      </c>
      <c r="C539" t="s">
        <v>1136</v>
      </c>
      <c r="D539" t="s">
        <v>1145</v>
      </c>
      <c r="E539" t="s">
        <v>1143</v>
      </c>
      <c r="H539" t="s">
        <v>1166</v>
      </c>
      <c r="I539" t="s">
        <v>1166</v>
      </c>
      <c r="J539" t="s">
        <v>2690</v>
      </c>
      <c r="K539" t="s">
        <v>1212</v>
      </c>
      <c r="M539" s="3">
        <f t="shared" si="32"/>
        <v>48</v>
      </c>
      <c r="N539">
        <v>6</v>
      </c>
      <c r="O539">
        <v>60</v>
      </c>
      <c r="P539">
        <v>54</v>
      </c>
      <c r="Q539">
        <v>62</v>
      </c>
      <c r="R539">
        <v>64</v>
      </c>
      <c r="S539">
        <v>66</v>
      </c>
      <c r="T539">
        <v>24</v>
      </c>
      <c r="U539">
        <v>0</v>
      </c>
      <c r="V539" s="3">
        <f t="shared" si="33"/>
        <v>64926</v>
      </c>
      <c r="W539">
        <v>5410.5</v>
      </c>
      <c r="X539">
        <v>0</v>
      </c>
      <c r="Y539">
        <f t="shared" si="34"/>
        <v>5410.5</v>
      </c>
      <c r="Z539">
        <f t="shared" si="35"/>
        <v>0</v>
      </c>
      <c r="AA539">
        <v>0</v>
      </c>
    </row>
    <row r="540" spans="1:27" x14ac:dyDescent="0.25">
      <c r="A540" s="1">
        <v>539</v>
      </c>
      <c r="B540" t="s">
        <v>2180</v>
      </c>
      <c r="C540" t="s">
        <v>1136</v>
      </c>
      <c r="D540" t="s">
        <v>1143</v>
      </c>
      <c r="E540" t="s">
        <v>1144</v>
      </c>
      <c r="H540" t="s">
        <v>1166</v>
      </c>
      <c r="I540" t="s">
        <v>1166</v>
      </c>
      <c r="J540" t="s">
        <v>2690</v>
      </c>
      <c r="K540" t="s">
        <v>1212</v>
      </c>
      <c r="M540" s="3">
        <f t="shared" si="32"/>
        <v>58.285714285714285</v>
      </c>
      <c r="N540">
        <v>13</v>
      </c>
      <c r="O540">
        <v>73</v>
      </c>
      <c r="P540">
        <v>66</v>
      </c>
      <c r="Q540">
        <v>71</v>
      </c>
      <c r="R540">
        <v>73</v>
      </c>
      <c r="S540">
        <v>75</v>
      </c>
      <c r="T540">
        <v>37</v>
      </c>
      <c r="U540">
        <v>0</v>
      </c>
      <c r="V540" s="3">
        <f t="shared" si="33"/>
        <v>452503</v>
      </c>
      <c r="W540">
        <v>37708.583333333336</v>
      </c>
      <c r="X540">
        <v>0</v>
      </c>
      <c r="Y540">
        <f t="shared" si="34"/>
        <v>37708.583333333336</v>
      </c>
      <c r="Z540">
        <f t="shared" si="35"/>
        <v>0</v>
      </c>
      <c r="AA540">
        <v>0</v>
      </c>
    </row>
    <row r="541" spans="1:27" x14ac:dyDescent="0.25">
      <c r="A541" s="1">
        <v>540</v>
      </c>
      <c r="B541" t="s">
        <v>781</v>
      </c>
      <c r="C541" t="s">
        <v>1136</v>
      </c>
      <c r="D541" t="s">
        <v>1143</v>
      </c>
      <c r="E541" t="s">
        <v>1147</v>
      </c>
      <c r="G541" t="s">
        <v>1173</v>
      </c>
      <c r="H541" t="s">
        <v>1173</v>
      </c>
      <c r="I541" t="s">
        <v>1173</v>
      </c>
      <c r="J541" t="s">
        <v>2690</v>
      </c>
      <c r="K541" t="s">
        <v>1212</v>
      </c>
      <c r="M541" s="3">
        <f t="shared" si="32"/>
        <v>72.142857142857139</v>
      </c>
      <c r="N541">
        <v>65</v>
      </c>
      <c r="O541">
        <v>67</v>
      </c>
      <c r="P541">
        <v>79</v>
      </c>
      <c r="Q541">
        <v>75</v>
      </c>
      <c r="R541">
        <v>83</v>
      </c>
      <c r="S541">
        <v>84</v>
      </c>
      <c r="T541">
        <v>52</v>
      </c>
      <c r="U541">
        <v>0</v>
      </c>
      <c r="V541" s="3">
        <f t="shared" si="33"/>
        <v>3818857</v>
      </c>
      <c r="W541">
        <v>318238.08333333331</v>
      </c>
      <c r="X541">
        <v>0</v>
      </c>
      <c r="Y541">
        <f t="shared" si="34"/>
        <v>318238.08333333331</v>
      </c>
      <c r="Z541">
        <f t="shared" si="35"/>
        <v>0</v>
      </c>
      <c r="AA541">
        <v>0</v>
      </c>
    </row>
    <row r="542" spans="1:27" x14ac:dyDescent="0.25">
      <c r="A542" s="1">
        <v>541</v>
      </c>
      <c r="B542" t="s">
        <v>2179</v>
      </c>
      <c r="C542" t="s">
        <v>1136</v>
      </c>
      <c r="D542" t="s">
        <v>1144</v>
      </c>
      <c r="E542" t="s">
        <v>1143</v>
      </c>
      <c r="H542" t="s">
        <v>1166</v>
      </c>
      <c r="I542" t="s">
        <v>1166</v>
      </c>
      <c r="J542" t="s">
        <v>2690</v>
      </c>
      <c r="K542" t="s">
        <v>1212</v>
      </c>
      <c r="M542" s="3">
        <f t="shared" si="32"/>
        <v>53.428571428571431</v>
      </c>
      <c r="N542">
        <v>9</v>
      </c>
      <c r="O542">
        <v>68</v>
      </c>
      <c r="P542">
        <v>60</v>
      </c>
      <c r="Q542">
        <v>67</v>
      </c>
      <c r="R542">
        <v>69</v>
      </c>
      <c r="S542">
        <v>71</v>
      </c>
      <c r="T542">
        <v>30</v>
      </c>
      <c r="U542">
        <v>0</v>
      </c>
      <c r="V542" s="3">
        <f t="shared" si="33"/>
        <v>189556</v>
      </c>
      <c r="W542">
        <v>15796.333333333334</v>
      </c>
      <c r="X542">
        <v>0</v>
      </c>
      <c r="Y542">
        <f t="shared" si="34"/>
        <v>15796.333333333334</v>
      </c>
      <c r="Z542">
        <f t="shared" si="35"/>
        <v>0</v>
      </c>
      <c r="AA542">
        <v>0</v>
      </c>
    </row>
    <row r="543" spans="1:27" x14ac:dyDescent="0.25">
      <c r="A543" s="1">
        <v>542</v>
      </c>
      <c r="B543" t="s">
        <v>2187</v>
      </c>
      <c r="C543" t="s">
        <v>1136</v>
      </c>
      <c r="D543" t="s">
        <v>1147</v>
      </c>
      <c r="E543" t="s">
        <v>1145</v>
      </c>
      <c r="H543" t="s">
        <v>1166</v>
      </c>
      <c r="I543" t="s">
        <v>1166</v>
      </c>
      <c r="J543" t="s">
        <v>2690</v>
      </c>
      <c r="K543" t="s">
        <v>1212</v>
      </c>
      <c r="M543" s="3">
        <f t="shared" si="32"/>
        <v>62.571428571428569</v>
      </c>
      <c r="N543">
        <v>14</v>
      </c>
      <c r="O543">
        <v>73</v>
      </c>
      <c r="P543">
        <v>77</v>
      </c>
      <c r="Q543">
        <v>75</v>
      </c>
      <c r="R543">
        <v>77</v>
      </c>
      <c r="S543">
        <v>79</v>
      </c>
      <c r="T543">
        <v>43</v>
      </c>
      <c r="U543">
        <v>0</v>
      </c>
      <c r="V543" s="3">
        <f t="shared" si="33"/>
        <v>919943</v>
      </c>
      <c r="W543">
        <v>76661.916666666672</v>
      </c>
      <c r="X543">
        <v>0</v>
      </c>
      <c r="Y543">
        <f t="shared" si="34"/>
        <v>76661.916666666672</v>
      </c>
      <c r="Z543">
        <f t="shared" si="35"/>
        <v>0</v>
      </c>
      <c r="AA543">
        <v>0</v>
      </c>
    </row>
    <row r="544" spans="1:27" x14ac:dyDescent="0.25">
      <c r="A544" s="1">
        <v>543</v>
      </c>
      <c r="B544" t="s">
        <v>2173</v>
      </c>
      <c r="C544" t="s">
        <v>1137</v>
      </c>
      <c r="D544" t="s">
        <v>1137</v>
      </c>
      <c r="H544" t="s">
        <v>1166</v>
      </c>
      <c r="I544" t="s">
        <v>1166</v>
      </c>
      <c r="J544" t="s">
        <v>2690</v>
      </c>
      <c r="K544" t="s">
        <v>1212</v>
      </c>
      <c r="M544" s="3">
        <f t="shared" si="32"/>
        <v>51.285714285714285</v>
      </c>
      <c r="N544">
        <v>9</v>
      </c>
      <c r="O544">
        <v>65</v>
      </c>
      <c r="P544">
        <v>57</v>
      </c>
      <c r="Q544">
        <v>64</v>
      </c>
      <c r="R544">
        <v>66</v>
      </c>
      <c r="S544">
        <v>68</v>
      </c>
      <c r="T544">
        <v>30</v>
      </c>
      <c r="U544">
        <v>0</v>
      </c>
      <c r="V544" s="3">
        <f t="shared" si="33"/>
        <v>125883</v>
      </c>
      <c r="W544">
        <v>10490.25</v>
      </c>
      <c r="X544">
        <v>0</v>
      </c>
      <c r="Y544">
        <f t="shared" si="34"/>
        <v>10490.25</v>
      </c>
      <c r="Z544">
        <f t="shared" si="35"/>
        <v>0</v>
      </c>
      <c r="AA544">
        <v>0</v>
      </c>
    </row>
    <row r="545" spans="1:27" x14ac:dyDescent="0.25">
      <c r="A545" s="1">
        <v>544</v>
      </c>
      <c r="B545" t="s">
        <v>67</v>
      </c>
      <c r="C545" t="s">
        <v>1133</v>
      </c>
      <c r="D545" t="s">
        <v>1133</v>
      </c>
      <c r="G545" t="s">
        <v>1180</v>
      </c>
      <c r="H545" t="s">
        <v>1180</v>
      </c>
      <c r="I545" t="s">
        <v>1180</v>
      </c>
      <c r="J545" t="s">
        <v>1252</v>
      </c>
      <c r="K545" t="s">
        <v>1212</v>
      </c>
      <c r="M545" s="3">
        <f t="shared" si="32"/>
        <v>70.285714285714292</v>
      </c>
      <c r="N545">
        <v>42</v>
      </c>
      <c r="O545">
        <v>94</v>
      </c>
      <c r="P545">
        <v>70</v>
      </c>
      <c r="Q545">
        <v>72</v>
      </c>
      <c r="R545">
        <v>74</v>
      </c>
      <c r="S545">
        <v>80</v>
      </c>
      <c r="T545">
        <v>60</v>
      </c>
      <c r="U545">
        <v>0</v>
      </c>
      <c r="V545" s="3">
        <f t="shared" si="33"/>
        <v>2942190</v>
      </c>
      <c r="W545">
        <v>245182.5</v>
      </c>
      <c r="X545">
        <v>0</v>
      </c>
      <c r="Y545">
        <f t="shared" si="34"/>
        <v>245182.5</v>
      </c>
      <c r="Z545">
        <f t="shared" si="35"/>
        <v>0</v>
      </c>
      <c r="AA545">
        <v>0</v>
      </c>
    </row>
    <row r="546" spans="1:27" x14ac:dyDescent="0.25">
      <c r="A546" s="1">
        <v>545</v>
      </c>
      <c r="B546" t="s">
        <v>277</v>
      </c>
      <c r="C546" t="s">
        <v>1134</v>
      </c>
      <c r="D546" t="s">
        <v>1138</v>
      </c>
      <c r="E546" t="s">
        <v>1144</v>
      </c>
      <c r="G546" t="s">
        <v>1180</v>
      </c>
      <c r="H546" t="s">
        <v>1180</v>
      </c>
      <c r="I546" t="s">
        <v>1180</v>
      </c>
      <c r="J546" t="s">
        <v>1252</v>
      </c>
      <c r="K546" t="s">
        <v>1212</v>
      </c>
      <c r="M546" s="3">
        <f t="shared" si="32"/>
        <v>79.571428571428569</v>
      </c>
      <c r="N546">
        <v>60</v>
      </c>
      <c r="O546">
        <v>77</v>
      </c>
      <c r="P546">
        <v>87</v>
      </c>
      <c r="Q546">
        <v>85</v>
      </c>
      <c r="R546">
        <v>85</v>
      </c>
      <c r="S546">
        <v>93</v>
      </c>
      <c r="T546">
        <v>70</v>
      </c>
      <c r="U546">
        <v>28</v>
      </c>
      <c r="V546" s="3">
        <f t="shared" si="33"/>
        <v>15263806</v>
      </c>
      <c r="W546">
        <v>1271983.8333333333</v>
      </c>
      <c r="X546">
        <v>0</v>
      </c>
      <c r="Y546">
        <f t="shared" si="34"/>
        <v>1271983.8333333333</v>
      </c>
      <c r="Z546">
        <f t="shared" si="35"/>
        <v>0</v>
      </c>
      <c r="AA546">
        <v>0</v>
      </c>
    </row>
    <row r="547" spans="1:27" x14ac:dyDescent="0.25">
      <c r="A547" s="1">
        <v>546</v>
      </c>
      <c r="B547" t="s">
        <v>278</v>
      </c>
      <c r="C547" t="s">
        <v>1134</v>
      </c>
      <c r="D547" t="s">
        <v>1138</v>
      </c>
      <c r="E547" t="s">
        <v>1140</v>
      </c>
      <c r="G547" t="s">
        <v>1180</v>
      </c>
      <c r="H547" t="s">
        <v>1180</v>
      </c>
      <c r="I547" t="s">
        <v>1180</v>
      </c>
      <c r="J547" t="s">
        <v>1252</v>
      </c>
      <c r="K547" t="s">
        <v>1212</v>
      </c>
      <c r="M547" s="3">
        <f t="shared" si="32"/>
        <v>75.142857142857139</v>
      </c>
      <c r="N547">
        <v>50</v>
      </c>
      <c r="O547">
        <v>72</v>
      </c>
      <c r="P547">
        <v>80</v>
      </c>
      <c r="Q547">
        <v>81</v>
      </c>
      <c r="R547">
        <v>88</v>
      </c>
      <c r="S547">
        <v>90</v>
      </c>
      <c r="T547">
        <v>65</v>
      </c>
      <c r="U547">
        <v>0</v>
      </c>
      <c r="V547" s="3">
        <f t="shared" si="33"/>
        <v>5739540</v>
      </c>
      <c r="W547">
        <v>478295</v>
      </c>
      <c r="X547">
        <v>0</v>
      </c>
      <c r="Y547">
        <f t="shared" si="34"/>
        <v>478295</v>
      </c>
      <c r="Z547">
        <f t="shared" si="35"/>
        <v>0</v>
      </c>
      <c r="AA547">
        <v>0</v>
      </c>
    </row>
    <row r="548" spans="1:27" x14ac:dyDescent="0.25">
      <c r="A548" s="1">
        <v>547</v>
      </c>
      <c r="B548" t="s">
        <v>1858</v>
      </c>
      <c r="C548" t="s">
        <v>1134</v>
      </c>
      <c r="D548" t="s">
        <v>1139</v>
      </c>
      <c r="E548" t="s">
        <v>1138</v>
      </c>
      <c r="H548" t="s">
        <v>1180</v>
      </c>
      <c r="I548" t="s">
        <v>1180</v>
      </c>
      <c r="J548" t="s">
        <v>1252</v>
      </c>
      <c r="K548" t="s">
        <v>1212</v>
      </c>
      <c r="M548" s="3">
        <f t="shared" si="32"/>
        <v>55.285714285714285</v>
      </c>
      <c r="N548">
        <v>16</v>
      </c>
      <c r="O548">
        <v>61</v>
      </c>
      <c r="P548">
        <v>57</v>
      </c>
      <c r="Q548">
        <v>69</v>
      </c>
      <c r="R548">
        <v>75</v>
      </c>
      <c r="S548">
        <v>77</v>
      </c>
      <c r="T548">
        <v>32</v>
      </c>
      <c r="U548">
        <v>0</v>
      </c>
      <c r="V548" s="3">
        <f t="shared" si="33"/>
        <v>266766</v>
      </c>
      <c r="W548">
        <v>22230.5</v>
      </c>
      <c r="X548">
        <v>0</v>
      </c>
      <c r="Y548">
        <f t="shared" si="34"/>
        <v>22230.5</v>
      </c>
      <c r="Z548">
        <f t="shared" si="35"/>
        <v>0</v>
      </c>
      <c r="AA548">
        <v>0</v>
      </c>
    </row>
    <row r="549" spans="1:27" x14ac:dyDescent="0.25">
      <c r="A549" s="1">
        <v>548</v>
      </c>
      <c r="B549" t="s">
        <v>279</v>
      </c>
      <c r="C549" t="s">
        <v>1134</v>
      </c>
      <c r="D549" t="s">
        <v>1138</v>
      </c>
      <c r="G549" t="s">
        <v>1180</v>
      </c>
      <c r="H549" t="s">
        <v>1180</v>
      </c>
      <c r="I549" t="s">
        <v>1180</v>
      </c>
      <c r="J549" t="s">
        <v>1252</v>
      </c>
      <c r="K549" t="s">
        <v>1212</v>
      </c>
      <c r="M549" s="3">
        <f t="shared" si="32"/>
        <v>73</v>
      </c>
      <c r="N549">
        <v>51</v>
      </c>
      <c r="O549">
        <v>73</v>
      </c>
      <c r="P549">
        <v>78</v>
      </c>
      <c r="Q549">
        <v>80</v>
      </c>
      <c r="R549">
        <v>82</v>
      </c>
      <c r="S549">
        <v>87</v>
      </c>
      <c r="T549">
        <v>60</v>
      </c>
      <c r="U549">
        <v>0</v>
      </c>
      <c r="V549" s="3">
        <f t="shared" si="33"/>
        <v>4297626</v>
      </c>
      <c r="W549">
        <v>358135.5</v>
      </c>
      <c r="X549">
        <v>0</v>
      </c>
      <c r="Y549">
        <f t="shared" si="34"/>
        <v>358135.5</v>
      </c>
      <c r="Z549">
        <f t="shared" si="35"/>
        <v>0</v>
      </c>
      <c r="AA549">
        <v>0</v>
      </c>
    </row>
    <row r="550" spans="1:27" x14ac:dyDescent="0.25">
      <c r="A550" s="1">
        <v>549</v>
      </c>
      <c r="B550" t="s">
        <v>1851</v>
      </c>
      <c r="C550" t="s">
        <v>1134</v>
      </c>
      <c r="D550" t="s">
        <v>1138</v>
      </c>
      <c r="E550" t="s">
        <v>1144</v>
      </c>
      <c r="H550" t="s">
        <v>1180</v>
      </c>
      <c r="I550" t="s">
        <v>1180</v>
      </c>
      <c r="J550" t="s">
        <v>1252</v>
      </c>
      <c r="K550" t="s">
        <v>1212</v>
      </c>
      <c r="M550" s="3">
        <f t="shared" si="32"/>
        <v>66.285714285714292</v>
      </c>
      <c r="N550">
        <v>23</v>
      </c>
      <c r="O550">
        <v>76</v>
      </c>
      <c r="P550">
        <v>70</v>
      </c>
      <c r="Q550">
        <v>82</v>
      </c>
      <c r="R550">
        <v>84</v>
      </c>
      <c r="S550">
        <v>86</v>
      </c>
      <c r="T550">
        <v>43</v>
      </c>
      <c r="U550">
        <v>0</v>
      </c>
      <c r="V550" s="3">
        <f t="shared" si="33"/>
        <v>1637569</v>
      </c>
      <c r="W550">
        <v>136464.08333333334</v>
      </c>
      <c r="X550">
        <v>0</v>
      </c>
      <c r="Y550">
        <f t="shared" si="34"/>
        <v>136464.08333333334</v>
      </c>
      <c r="Z550">
        <f t="shared" si="35"/>
        <v>0</v>
      </c>
      <c r="AA550">
        <v>0</v>
      </c>
    </row>
    <row r="551" spans="1:27" x14ac:dyDescent="0.25">
      <c r="A551" s="1">
        <v>550</v>
      </c>
      <c r="B551" t="s">
        <v>2563</v>
      </c>
      <c r="C551" t="s">
        <v>1135</v>
      </c>
      <c r="D551" t="s">
        <v>1142</v>
      </c>
      <c r="E551" t="s">
        <v>1141</v>
      </c>
      <c r="H551" t="s">
        <v>1180</v>
      </c>
      <c r="I551" t="s">
        <v>1180</v>
      </c>
      <c r="J551" t="s">
        <v>1252</v>
      </c>
      <c r="K551" t="s">
        <v>1212</v>
      </c>
      <c r="M551" s="3">
        <f t="shared" si="32"/>
        <v>64.428571428571431</v>
      </c>
      <c r="N551">
        <v>24</v>
      </c>
      <c r="O551">
        <v>75</v>
      </c>
      <c r="P551">
        <v>75</v>
      </c>
      <c r="Q551">
        <v>76</v>
      </c>
      <c r="R551">
        <v>77</v>
      </c>
      <c r="S551">
        <v>80</v>
      </c>
      <c r="T551">
        <v>44</v>
      </c>
      <c r="U551">
        <v>0</v>
      </c>
      <c r="V551" s="3">
        <f t="shared" si="33"/>
        <v>1232495</v>
      </c>
      <c r="W551">
        <v>102707.91666666667</v>
      </c>
      <c r="X551">
        <v>0</v>
      </c>
      <c r="Y551">
        <f t="shared" si="34"/>
        <v>102707.91666666667</v>
      </c>
      <c r="Z551">
        <f t="shared" si="35"/>
        <v>0</v>
      </c>
      <c r="AA551">
        <v>0</v>
      </c>
    </row>
    <row r="552" spans="1:27" x14ac:dyDescent="0.25">
      <c r="A552" s="1">
        <v>551</v>
      </c>
      <c r="B552" t="s">
        <v>536</v>
      </c>
      <c r="C552" t="s">
        <v>1135</v>
      </c>
      <c r="D552" t="s">
        <v>1141</v>
      </c>
      <c r="G552" t="s">
        <v>1180</v>
      </c>
      <c r="H552" t="s">
        <v>1180</v>
      </c>
      <c r="I552" t="s">
        <v>1180</v>
      </c>
      <c r="J552" t="s">
        <v>1252</v>
      </c>
      <c r="K552" t="s">
        <v>1212</v>
      </c>
      <c r="M552" s="3">
        <f t="shared" si="32"/>
        <v>66.857142857142861</v>
      </c>
      <c r="N552">
        <v>45</v>
      </c>
      <c r="O552">
        <v>75</v>
      </c>
      <c r="P552">
        <v>76</v>
      </c>
      <c r="Q552">
        <v>70</v>
      </c>
      <c r="R552">
        <v>75</v>
      </c>
      <c r="S552">
        <v>77</v>
      </c>
      <c r="T552">
        <v>50</v>
      </c>
      <c r="U552">
        <v>0</v>
      </c>
      <c r="V552" s="3">
        <f t="shared" si="33"/>
        <v>1784343</v>
      </c>
      <c r="W552">
        <v>22811.666666666668</v>
      </c>
      <c r="X552">
        <v>0</v>
      </c>
      <c r="Y552">
        <f t="shared" si="34"/>
        <v>148695.25</v>
      </c>
      <c r="Z552">
        <f t="shared" si="35"/>
        <v>-84.66</v>
      </c>
      <c r="AA552">
        <v>0</v>
      </c>
    </row>
    <row r="553" spans="1:27" x14ac:dyDescent="0.25">
      <c r="A553" s="1">
        <v>552</v>
      </c>
      <c r="B553" t="s">
        <v>537</v>
      </c>
      <c r="C553" t="s">
        <v>1135</v>
      </c>
      <c r="D553" t="s">
        <v>1142</v>
      </c>
      <c r="G553" t="s">
        <v>1180</v>
      </c>
      <c r="H553" t="s">
        <v>1180</v>
      </c>
      <c r="I553" t="s">
        <v>1180</v>
      </c>
      <c r="J553" t="s">
        <v>1252</v>
      </c>
      <c r="K553" t="s">
        <v>1212</v>
      </c>
      <c r="M553" s="3">
        <f t="shared" si="32"/>
        <v>63.428571428571431</v>
      </c>
      <c r="N553">
        <v>45</v>
      </c>
      <c r="O553">
        <v>85</v>
      </c>
      <c r="P553">
        <v>61</v>
      </c>
      <c r="Q553">
        <v>80</v>
      </c>
      <c r="R553">
        <v>61</v>
      </c>
      <c r="S553">
        <v>65</v>
      </c>
      <c r="T553">
        <v>47</v>
      </c>
      <c r="U553">
        <v>0</v>
      </c>
      <c r="V553" s="3">
        <f t="shared" si="33"/>
        <v>1054022</v>
      </c>
      <c r="W553">
        <v>24015.166666666668</v>
      </c>
      <c r="X553">
        <v>0</v>
      </c>
      <c r="Y553">
        <f t="shared" si="34"/>
        <v>87835.166666666672</v>
      </c>
      <c r="Z553">
        <f t="shared" si="35"/>
        <v>-72.66</v>
      </c>
      <c r="AA553">
        <v>0</v>
      </c>
    </row>
    <row r="554" spans="1:27" x14ac:dyDescent="0.25">
      <c r="A554" s="1">
        <v>553</v>
      </c>
      <c r="B554" t="s">
        <v>535</v>
      </c>
      <c r="C554" t="s">
        <v>1135</v>
      </c>
      <c r="D554" t="s">
        <v>1141</v>
      </c>
      <c r="G554" t="s">
        <v>1180</v>
      </c>
      <c r="H554" t="s">
        <v>1180</v>
      </c>
      <c r="I554" t="s">
        <v>1180</v>
      </c>
      <c r="J554" t="s">
        <v>1252</v>
      </c>
      <c r="K554" t="s">
        <v>1212</v>
      </c>
      <c r="M554" s="3">
        <f t="shared" si="32"/>
        <v>82.428571428571431</v>
      </c>
      <c r="N554">
        <v>70</v>
      </c>
      <c r="O554">
        <v>85</v>
      </c>
      <c r="P554">
        <v>88</v>
      </c>
      <c r="Q554">
        <v>85</v>
      </c>
      <c r="R554">
        <v>80</v>
      </c>
      <c r="S554">
        <v>85</v>
      </c>
      <c r="T554">
        <v>84</v>
      </c>
      <c r="U554">
        <v>12</v>
      </c>
      <c r="V554" s="3">
        <f t="shared" si="33"/>
        <v>21720459</v>
      </c>
      <c r="W554">
        <v>1810038.25</v>
      </c>
      <c r="X554">
        <v>0</v>
      </c>
      <c r="Y554">
        <f t="shared" si="34"/>
        <v>1810038.25</v>
      </c>
      <c r="Z554">
        <f t="shared" si="35"/>
        <v>0</v>
      </c>
      <c r="AA554">
        <v>0</v>
      </c>
    </row>
    <row r="555" spans="1:27" x14ac:dyDescent="0.25">
      <c r="A555" s="1">
        <v>554</v>
      </c>
      <c r="B555" t="s">
        <v>828</v>
      </c>
      <c r="C555" t="s">
        <v>1136</v>
      </c>
      <c r="D555" t="s">
        <v>1143</v>
      </c>
      <c r="E555" t="s">
        <v>1146</v>
      </c>
      <c r="F555" t="s">
        <v>1145</v>
      </c>
      <c r="G555" t="s">
        <v>1180</v>
      </c>
      <c r="H555" t="s">
        <v>1180</v>
      </c>
      <c r="I555" t="s">
        <v>1180</v>
      </c>
      <c r="J555" t="s">
        <v>1252</v>
      </c>
      <c r="K555" t="s">
        <v>1212</v>
      </c>
      <c r="M555" s="3">
        <f t="shared" si="32"/>
        <v>72.142857142857139</v>
      </c>
      <c r="N555">
        <v>60</v>
      </c>
      <c r="O555">
        <v>82</v>
      </c>
      <c r="P555">
        <v>79</v>
      </c>
      <c r="Q555">
        <v>73</v>
      </c>
      <c r="R555">
        <v>79</v>
      </c>
      <c r="S555">
        <v>88</v>
      </c>
      <c r="T555">
        <v>44</v>
      </c>
      <c r="U555">
        <v>0</v>
      </c>
      <c r="V555" s="3">
        <f t="shared" si="33"/>
        <v>3818857</v>
      </c>
      <c r="W555">
        <v>318238.08333333331</v>
      </c>
      <c r="X555">
        <v>0</v>
      </c>
      <c r="Y555">
        <f t="shared" si="34"/>
        <v>318238.08333333331</v>
      </c>
      <c r="Z555">
        <f t="shared" si="35"/>
        <v>0</v>
      </c>
      <c r="AA555">
        <v>0</v>
      </c>
    </row>
    <row r="556" spans="1:27" x14ac:dyDescent="0.25">
      <c r="A556" s="1">
        <v>555</v>
      </c>
      <c r="B556" t="s">
        <v>1852</v>
      </c>
      <c r="C556" t="s">
        <v>1136</v>
      </c>
      <c r="D556" t="s">
        <v>1143</v>
      </c>
      <c r="E556" t="s">
        <v>1144</v>
      </c>
      <c r="H556" t="s">
        <v>1180</v>
      </c>
      <c r="I556" t="s">
        <v>1180</v>
      </c>
      <c r="J556" t="s">
        <v>1252</v>
      </c>
      <c r="K556" t="s">
        <v>1212</v>
      </c>
      <c r="M556" s="3">
        <f t="shared" si="32"/>
        <v>62</v>
      </c>
      <c r="N556">
        <v>24</v>
      </c>
      <c r="O556">
        <v>73</v>
      </c>
      <c r="P556">
        <v>69</v>
      </c>
      <c r="Q556">
        <v>79</v>
      </c>
      <c r="R556">
        <v>73</v>
      </c>
      <c r="S556">
        <v>75</v>
      </c>
      <c r="T556">
        <v>41</v>
      </c>
      <c r="U556">
        <v>0</v>
      </c>
      <c r="V556" s="3">
        <f t="shared" si="33"/>
        <v>839300</v>
      </c>
      <c r="W556">
        <v>69941.666666666672</v>
      </c>
      <c r="X556">
        <v>0</v>
      </c>
      <c r="Y556">
        <f t="shared" si="34"/>
        <v>69941.666666666672</v>
      </c>
      <c r="Z556">
        <f t="shared" si="35"/>
        <v>0</v>
      </c>
      <c r="AA556">
        <v>0</v>
      </c>
    </row>
    <row r="557" spans="1:27" x14ac:dyDescent="0.25">
      <c r="A557" s="1">
        <v>556</v>
      </c>
      <c r="B557" t="s">
        <v>1853</v>
      </c>
      <c r="C557" t="s">
        <v>1136</v>
      </c>
      <c r="D557" t="s">
        <v>1145</v>
      </c>
      <c r="E557" t="s">
        <v>1143</v>
      </c>
      <c r="H557" t="s">
        <v>1180</v>
      </c>
      <c r="I557" t="s">
        <v>1180</v>
      </c>
      <c r="J557" t="s">
        <v>1252</v>
      </c>
      <c r="K557" t="s">
        <v>1212</v>
      </c>
      <c r="M557" s="3">
        <f t="shared" si="32"/>
        <v>51.142857142857146</v>
      </c>
      <c r="N557">
        <v>16</v>
      </c>
      <c r="O557">
        <v>55</v>
      </c>
      <c r="P557">
        <v>59</v>
      </c>
      <c r="Q557">
        <v>67</v>
      </c>
      <c r="R557">
        <v>65</v>
      </c>
      <c r="S557">
        <v>68</v>
      </c>
      <c r="T557">
        <v>28</v>
      </c>
      <c r="U557">
        <v>0</v>
      </c>
      <c r="V557" s="3">
        <f t="shared" si="33"/>
        <v>122420</v>
      </c>
      <c r="W557">
        <v>10201.666666666666</v>
      </c>
      <c r="X557">
        <v>0</v>
      </c>
      <c r="Y557">
        <f t="shared" si="34"/>
        <v>10201.666666666666</v>
      </c>
      <c r="Z557">
        <f t="shared" si="35"/>
        <v>0</v>
      </c>
      <c r="AA557">
        <v>0</v>
      </c>
    </row>
    <row r="558" spans="1:27" x14ac:dyDescent="0.25">
      <c r="A558" s="1">
        <v>557</v>
      </c>
      <c r="B558" t="s">
        <v>1855</v>
      </c>
      <c r="C558" t="s">
        <v>1136</v>
      </c>
      <c r="D558" t="s">
        <v>1147</v>
      </c>
      <c r="E558" t="s">
        <v>1146</v>
      </c>
      <c r="H558" t="s">
        <v>1180</v>
      </c>
      <c r="I558" t="s">
        <v>1180</v>
      </c>
      <c r="J558" t="s">
        <v>1252</v>
      </c>
      <c r="K558" t="s">
        <v>1212</v>
      </c>
      <c r="M558" s="3">
        <f t="shared" si="32"/>
        <v>53.571428571428569</v>
      </c>
      <c r="N558">
        <v>18</v>
      </c>
      <c r="O558">
        <v>59</v>
      </c>
      <c r="P558">
        <v>61</v>
      </c>
      <c r="Q558">
        <v>69</v>
      </c>
      <c r="R558">
        <v>67</v>
      </c>
      <c r="S558">
        <v>70</v>
      </c>
      <c r="T558">
        <v>31</v>
      </c>
      <c r="U558">
        <v>0</v>
      </c>
      <c r="V558" s="3">
        <f t="shared" si="33"/>
        <v>194685</v>
      </c>
      <c r="W558">
        <v>16223.75</v>
      </c>
      <c r="X558">
        <v>0</v>
      </c>
      <c r="Y558">
        <f t="shared" si="34"/>
        <v>16223.75</v>
      </c>
      <c r="Z558">
        <f t="shared" si="35"/>
        <v>0</v>
      </c>
      <c r="AA558">
        <v>0</v>
      </c>
    </row>
    <row r="559" spans="1:27" x14ac:dyDescent="0.25">
      <c r="A559" s="1">
        <v>558</v>
      </c>
      <c r="B559" t="s">
        <v>1857</v>
      </c>
      <c r="C559" t="s">
        <v>1136</v>
      </c>
      <c r="D559" t="s">
        <v>1144</v>
      </c>
      <c r="E559" t="s">
        <v>1143</v>
      </c>
      <c r="H559" t="s">
        <v>1180</v>
      </c>
      <c r="I559" t="s">
        <v>1180</v>
      </c>
      <c r="J559" t="s">
        <v>1252</v>
      </c>
      <c r="K559" t="s">
        <v>1212</v>
      </c>
      <c r="M559" s="3">
        <f t="shared" si="32"/>
        <v>56.142857142857146</v>
      </c>
      <c r="N559">
        <v>18</v>
      </c>
      <c r="O559">
        <v>62</v>
      </c>
      <c r="P559">
        <v>62</v>
      </c>
      <c r="Q559">
        <v>70</v>
      </c>
      <c r="R559">
        <v>74</v>
      </c>
      <c r="S559">
        <v>77</v>
      </c>
      <c r="T559">
        <v>30</v>
      </c>
      <c r="U559">
        <v>0</v>
      </c>
      <c r="V559" s="3">
        <f t="shared" si="33"/>
        <v>311133</v>
      </c>
      <c r="W559">
        <v>25927.75</v>
      </c>
      <c r="X559">
        <v>0</v>
      </c>
      <c r="Y559">
        <f t="shared" si="34"/>
        <v>25927.75</v>
      </c>
      <c r="Z559">
        <f t="shared" si="35"/>
        <v>0</v>
      </c>
      <c r="AA559">
        <v>0</v>
      </c>
    </row>
    <row r="560" spans="1:27" x14ac:dyDescent="0.25">
      <c r="A560" s="1">
        <v>559</v>
      </c>
      <c r="B560" t="s">
        <v>830</v>
      </c>
      <c r="C560" t="s">
        <v>1136</v>
      </c>
      <c r="D560" t="s">
        <v>1146</v>
      </c>
      <c r="E560" t="s">
        <v>1143</v>
      </c>
      <c r="G560" t="s">
        <v>1180</v>
      </c>
      <c r="H560" t="s">
        <v>1180</v>
      </c>
      <c r="I560" t="s">
        <v>1180</v>
      </c>
      <c r="J560" t="s">
        <v>1252</v>
      </c>
      <c r="K560" t="s">
        <v>1212</v>
      </c>
      <c r="M560" s="3">
        <f t="shared" si="32"/>
        <v>76.142857142857139</v>
      </c>
      <c r="N560">
        <v>61</v>
      </c>
      <c r="O560">
        <v>93</v>
      </c>
      <c r="P560">
        <v>84</v>
      </c>
      <c r="Q560">
        <v>82</v>
      </c>
      <c r="R560">
        <v>79</v>
      </c>
      <c r="S560">
        <v>75</v>
      </c>
      <c r="T560">
        <v>59</v>
      </c>
      <c r="U560">
        <v>0</v>
      </c>
      <c r="V560" s="3">
        <f t="shared" si="33"/>
        <v>6550761</v>
      </c>
      <c r="W560">
        <v>545896.75</v>
      </c>
      <c r="X560">
        <v>0</v>
      </c>
      <c r="Y560">
        <f t="shared" si="34"/>
        <v>545896.75</v>
      </c>
      <c r="Z560">
        <f t="shared" si="35"/>
        <v>0</v>
      </c>
      <c r="AA560">
        <v>0</v>
      </c>
    </row>
    <row r="561" spans="1:27" x14ac:dyDescent="0.25">
      <c r="A561" s="1">
        <v>560</v>
      </c>
      <c r="B561" t="s">
        <v>1854</v>
      </c>
      <c r="C561" t="s">
        <v>1136</v>
      </c>
      <c r="D561" t="s">
        <v>1146</v>
      </c>
      <c r="E561" t="s">
        <v>1144</v>
      </c>
      <c r="H561" t="s">
        <v>1180</v>
      </c>
      <c r="I561" t="s">
        <v>1180</v>
      </c>
      <c r="J561" t="s">
        <v>1252</v>
      </c>
      <c r="K561" t="s">
        <v>1212</v>
      </c>
      <c r="M561" s="3">
        <f t="shared" si="32"/>
        <v>61.571428571428569</v>
      </c>
      <c r="N561">
        <v>21</v>
      </c>
      <c r="O561">
        <v>72</v>
      </c>
      <c r="P561">
        <v>68</v>
      </c>
      <c r="Q561">
        <v>80</v>
      </c>
      <c r="R561">
        <v>76</v>
      </c>
      <c r="S561">
        <v>78</v>
      </c>
      <c r="T561">
        <v>36</v>
      </c>
      <c r="U561">
        <v>0</v>
      </c>
      <c r="V561" s="3">
        <f t="shared" si="33"/>
        <v>783056</v>
      </c>
      <c r="W561">
        <v>65254.666666666664</v>
      </c>
      <c r="X561">
        <v>0</v>
      </c>
      <c r="Y561">
        <f t="shared" si="34"/>
        <v>65254.666666666664</v>
      </c>
      <c r="Z561">
        <f t="shared" si="35"/>
        <v>0</v>
      </c>
      <c r="AA561">
        <v>0</v>
      </c>
    </row>
    <row r="562" spans="1:27" x14ac:dyDescent="0.25">
      <c r="A562" s="1">
        <v>561</v>
      </c>
      <c r="B562" t="s">
        <v>829</v>
      </c>
      <c r="C562" t="s">
        <v>1136</v>
      </c>
      <c r="D562" t="s">
        <v>1144</v>
      </c>
      <c r="E562" t="s">
        <v>1138</v>
      </c>
      <c r="G562" t="s">
        <v>1180</v>
      </c>
      <c r="H562" t="s">
        <v>1180</v>
      </c>
      <c r="I562" t="s">
        <v>1180</v>
      </c>
      <c r="J562" t="s">
        <v>1252</v>
      </c>
      <c r="K562" t="s">
        <v>1212</v>
      </c>
      <c r="M562" s="3">
        <f t="shared" si="32"/>
        <v>69.428571428571431</v>
      </c>
      <c r="N562">
        <v>50</v>
      </c>
      <c r="O562">
        <v>76</v>
      </c>
      <c r="P562">
        <v>80</v>
      </c>
      <c r="Q562">
        <v>78</v>
      </c>
      <c r="R562">
        <v>85</v>
      </c>
      <c r="S562">
        <v>76</v>
      </c>
      <c r="T562">
        <v>41</v>
      </c>
      <c r="U562">
        <v>0</v>
      </c>
      <c r="V562" s="3">
        <f t="shared" si="33"/>
        <v>2602450</v>
      </c>
      <c r="W562">
        <v>216870.83333333334</v>
      </c>
      <c r="X562">
        <v>0</v>
      </c>
      <c r="Y562">
        <f t="shared" si="34"/>
        <v>216870.83333333334</v>
      </c>
      <c r="Z562">
        <f t="shared" si="35"/>
        <v>0</v>
      </c>
      <c r="AA562">
        <v>0</v>
      </c>
    </row>
    <row r="563" spans="1:27" x14ac:dyDescent="0.25">
      <c r="A563" s="1">
        <v>562</v>
      </c>
      <c r="B563" t="s">
        <v>1856</v>
      </c>
      <c r="C563" t="s">
        <v>1136</v>
      </c>
      <c r="D563" t="s">
        <v>1147</v>
      </c>
      <c r="E563" t="s">
        <v>1145</v>
      </c>
      <c r="H563" t="s">
        <v>1180</v>
      </c>
      <c r="I563" t="s">
        <v>1180</v>
      </c>
      <c r="J563" t="s">
        <v>1252</v>
      </c>
      <c r="K563" t="s">
        <v>1212</v>
      </c>
      <c r="M563" s="3">
        <f t="shared" si="32"/>
        <v>59.428571428571431</v>
      </c>
      <c r="N563">
        <v>19</v>
      </c>
      <c r="O563">
        <v>70</v>
      </c>
      <c r="P563">
        <v>68</v>
      </c>
      <c r="Q563">
        <v>76</v>
      </c>
      <c r="R563">
        <v>74</v>
      </c>
      <c r="S563">
        <v>76</v>
      </c>
      <c r="T563">
        <v>33</v>
      </c>
      <c r="U563">
        <v>0</v>
      </c>
      <c r="V563" s="3">
        <f t="shared" si="33"/>
        <v>549482</v>
      </c>
      <c r="W563">
        <v>45790.166666666664</v>
      </c>
      <c r="X563">
        <v>0</v>
      </c>
      <c r="Y563">
        <f t="shared" si="34"/>
        <v>45790.166666666664</v>
      </c>
      <c r="Z563">
        <f t="shared" si="35"/>
        <v>0</v>
      </c>
      <c r="AA563">
        <v>0</v>
      </c>
    </row>
    <row r="564" spans="1:27" x14ac:dyDescent="0.25">
      <c r="A564" s="1">
        <v>563</v>
      </c>
      <c r="B564" t="s">
        <v>2604</v>
      </c>
      <c r="C564" t="s">
        <v>1137</v>
      </c>
      <c r="D564" t="s">
        <v>1137</v>
      </c>
      <c r="H564" t="s">
        <v>1180</v>
      </c>
      <c r="I564" t="s">
        <v>1180</v>
      </c>
      <c r="J564" t="s">
        <v>1252</v>
      </c>
      <c r="K564" t="s">
        <v>1212</v>
      </c>
      <c r="M564" s="3">
        <f t="shared" si="32"/>
        <v>61.857142857142854</v>
      </c>
      <c r="N564">
        <v>21</v>
      </c>
      <c r="O564">
        <v>72</v>
      </c>
      <c r="P564">
        <v>66</v>
      </c>
      <c r="Q564">
        <v>76</v>
      </c>
      <c r="R564">
        <v>78</v>
      </c>
      <c r="S564">
        <v>80</v>
      </c>
      <c r="T564">
        <v>40</v>
      </c>
      <c r="U564">
        <v>0</v>
      </c>
      <c r="V564" s="3">
        <f t="shared" si="33"/>
        <v>820160</v>
      </c>
      <c r="W564">
        <v>68346.666666666672</v>
      </c>
      <c r="X564">
        <v>0</v>
      </c>
      <c r="Y564">
        <f t="shared" si="34"/>
        <v>68346.666666666672</v>
      </c>
      <c r="Z564">
        <f t="shared" si="35"/>
        <v>0</v>
      </c>
      <c r="AA564">
        <v>0</v>
      </c>
    </row>
    <row r="565" spans="1:27" x14ac:dyDescent="0.25">
      <c r="A565" s="1">
        <v>564</v>
      </c>
      <c r="B565" t="s">
        <v>1608</v>
      </c>
      <c r="C565" t="s">
        <v>1133</v>
      </c>
      <c r="D565" t="s">
        <v>1133</v>
      </c>
      <c r="H565" t="s">
        <v>1150</v>
      </c>
      <c r="I565" t="s">
        <v>1150</v>
      </c>
      <c r="J565" t="s">
        <v>1225</v>
      </c>
      <c r="K565" t="s">
        <v>1212</v>
      </c>
      <c r="M565" s="3">
        <f t="shared" si="32"/>
        <v>60.428571428571431</v>
      </c>
      <c r="N565">
        <v>22</v>
      </c>
      <c r="O565">
        <v>63</v>
      </c>
      <c r="P565">
        <v>68</v>
      </c>
      <c r="Q565">
        <v>72</v>
      </c>
      <c r="R565">
        <v>73</v>
      </c>
      <c r="S565">
        <v>74</v>
      </c>
      <c r="T565">
        <v>51</v>
      </c>
      <c r="U565">
        <v>0</v>
      </c>
      <c r="V565" s="3">
        <f t="shared" si="33"/>
        <v>649267</v>
      </c>
      <c r="W565">
        <v>54105.583333333336</v>
      </c>
      <c r="X565">
        <v>0</v>
      </c>
      <c r="Y565">
        <f t="shared" si="34"/>
        <v>54105.583333333336</v>
      </c>
      <c r="Z565">
        <f t="shared" si="35"/>
        <v>0</v>
      </c>
      <c r="AA565">
        <v>0</v>
      </c>
    </row>
    <row r="566" spans="1:27" x14ac:dyDescent="0.25">
      <c r="A566" s="1">
        <v>565</v>
      </c>
      <c r="B566" t="s">
        <v>22</v>
      </c>
      <c r="C566" t="s">
        <v>1133</v>
      </c>
      <c r="D566" t="s">
        <v>1133</v>
      </c>
      <c r="G566" t="s">
        <v>1150</v>
      </c>
      <c r="H566" t="s">
        <v>1150</v>
      </c>
      <c r="I566" t="s">
        <v>1150</v>
      </c>
      <c r="J566" t="s">
        <v>1225</v>
      </c>
      <c r="K566" t="s">
        <v>1212</v>
      </c>
      <c r="M566" s="3">
        <f t="shared" si="32"/>
        <v>60.142857142857146</v>
      </c>
      <c r="N566">
        <v>31</v>
      </c>
      <c r="O566">
        <v>60</v>
      </c>
      <c r="P566">
        <v>70</v>
      </c>
      <c r="Q566">
        <v>70</v>
      </c>
      <c r="R566">
        <v>70</v>
      </c>
      <c r="S566">
        <v>70</v>
      </c>
      <c r="T566">
        <v>50</v>
      </c>
      <c r="U566">
        <v>0</v>
      </c>
      <c r="V566" s="3">
        <f t="shared" si="33"/>
        <v>619214</v>
      </c>
      <c r="W566">
        <v>51601.166666666664</v>
      </c>
      <c r="X566">
        <v>0</v>
      </c>
      <c r="Y566">
        <f t="shared" si="34"/>
        <v>51601.166666666664</v>
      </c>
      <c r="Z566">
        <f t="shared" si="35"/>
        <v>0</v>
      </c>
      <c r="AA566">
        <v>0</v>
      </c>
    </row>
    <row r="567" spans="1:27" x14ac:dyDescent="0.25">
      <c r="A567" s="1">
        <v>566</v>
      </c>
      <c r="B567" t="s">
        <v>1612</v>
      </c>
      <c r="C567" t="s">
        <v>1134</v>
      </c>
      <c r="D567" t="s">
        <v>1140</v>
      </c>
      <c r="E567" t="s">
        <v>1144</v>
      </c>
      <c r="H567" t="s">
        <v>1150</v>
      </c>
      <c r="I567" t="s">
        <v>1150</v>
      </c>
      <c r="J567" t="s">
        <v>1225</v>
      </c>
      <c r="K567" t="s">
        <v>1212</v>
      </c>
      <c r="M567" s="3">
        <f t="shared" si="32"/>
        <v>66.571428571428569</v>
      </c>
      <c r="N567">
        <v>40</v>
      </c>
      <c r="O567">
        <v>81</v>
      </c>
      <c r="P567">
        <v>59</v>
      </c>
      <c r="Q567">
        <v>74</v>
      </c>
      <c r="R567">
        <v>73</v>
      </c>
      <c r="S567">
        <v>79</v>
      </c>
      <c r="T567">
        <v>60</v>
      </c>
      <c r="U567">
        <v>0</v>
      </c>
      <c r="V567" s="3">
        <f t="shared" si="33"/>
        <v>1709539</v>
      </c>
      <c r="W567">
        <v>142461.58333333334</v>
      </c>
      <c r="X567">
        <v>0</v>
      </c>
      <c r="Y567">
        <f t="shared" si="34"/>
        <v>142461.58333333334</v>
      </c>
      <c r="Z567">
        <f t="shared" si="35"/>
        <v>0</v>
      </c>
      <c r="AA567">
        <v>0</v>
      </c>
    </row>
    <row r="568" spans="1:27" x14ac:dyDescent="0.25">
      <c r="A568" s="1">
        <v>567</v>
      </c>
      <c r="B568" t="s">
        <v>130</v>
      </c>
      <c r="C568" t="s">
        <v>1134</v>
      </c>
      <c r="D568" t="s">
        <v>1140</v>
      </c>
      <c r="E568" t="s">
        <v>1144</v>
      </c>
      <c r="G568" t="s">
        <v>1150</v>
      </c>
      <c r="H568" t="s">
        <v>1150</v>
      </c>
      <c r="I568" t="s">
        <v>1150</v>
      </c>
      <c r="J568" t="s">
        <v>1225</v>
      </c>
      <c r="K568" t="s">
        <v>1212</v>
      </c>
      <c r="M568" s="3">
        <f t="shared" si="32"/>
        <v>72.142857142857139</v>
      </c>
      <c r="N568">
        <v>59</v>
      </c>
      <c r="O568">
        <v>90</v>
      </c>
      <c r="P568">
        <v>60</v>
      </c>
      <c r="Q568">
        <v>72</v>
      </c>
      <c r="R568">
        <v>70</v>
      </c>
      <c r="S568">
        <v>84</v>
      </c>
      <c r="T568">
        <v>70</v>
      </c>
      <c r="U568">
        <v>0</v>
      </c>
      <c r="V568" s="3">
        <f t="shared" si="33"/>
        <v>3818857</v>
      </c>
      <c r="W568">
        <v>318238.08333333331</v>
      </c>
      <c r="X568">
        <v>0</v>
      </c>
      <c r="Y568">
        <f t="shared" si="34"/>
        <v>318238.08333333331</v>
      </c>
      <c r="Z568">
        <f t="shared" si="35"/>
        <v>0</v>
      </c>
      <c r="AA568">
        <v>0</v>
      </c>
    </row>
    <row r="569" spans="1:27" x14ac:dyDescent="0.25">
      <c r="A569" s="1">
        <v>568</v>
      </c>
      <c r="B569" t="s">
        <v>1609</v>
      </c>
      <c r="C569" t="s">
        <v>1134</v>
      </c>
      <c r="D569" t="s">
        <v>1138</v>
      </c>
      <c r="E569" t="s">
        <v>1144</v>
      </c>
      <c r="H569" t="s">
        <v>1150</v>
      </c>
      <c r="I569" t="s">
        <v>1150</v>
      </c>
      <c r="J569" t="s">
        <v>1225</v>
      </c>
      <c r="K569" t="s">
        <v>1212</v>
      </c>
      <c r="M569" s="3">
        <f t="shared" si="32"/>
        <v>69.428571428571431</v>
      </c>
      <c r="N569">
        <v>37</v>
      </c>
      <c r="O569">
        <v>72</v>
      </c>
      <c r="P569">
        <v>65</v>
      </c>
      <c r="Q569">
        <v>84</v>
      </c>
      <c r="R569">
        <v>86</v>
      </c>
      <c r="S569">
        <v>85</v>
      </c>
      <c r="T569">
        <v>57</v>
      </c>
      <c r="U569">
        <v>0</v>
      </c>
      <c r="V569" s="3">
        <f t="shared" si="33"/>
        <v>2602450</v>
      </c>
      <c r="W569">
        <v>216870.83333333334</v>
      </c>
      <c r="X569">
        <v>0</v>
      </c>
      <c r="Y569">
        <f t="shared" si="34"/>
        <v>216870.83333333334</v>
      </c>
      <c r="Z569">
        <f t="shared" si="35"/>
        <v>0</v>
      </c>
      <c r="AA569">
        <v>0</v>
      </c>
    </row>
    <row r="570" spans="1:27" x14ac:dyDescent="0.25">
      <c r="A570" s="1">
        <v>569</v>
      </c>
      <c r="B570" t="s">
        <v>127</v>
      </c>
      <c r="C570" t="s">
        <v>1134</v>
      </c>
      <c r="D570" t="s">
        <v>1138</v>
      </c>
      <c r="G570" t="s">
        <v>1150</v>
      </c>
      <c r="H570" t="s">
        <v>1150</v>
      </c>
      <c r="I570" t="s">
        <v>1150</v>
      </c>
      <c r="J570" t="s">
        <v>1225</v>
      </c>
      <c r="K570" t="s">
        <v>1212</v>
      </c>
      <c r="M570" s="3">
        <f t="shared" si="32"/>
        <v>78.142857142857139</v>
      </c>
      <c r="N570">
        <v>65</v>
      </c>
      <c r="O570">
        <v>70</v>
      </c>
      <c r="P570">
        <v>67</v>
      </c>
      <c r="Q570">
        <v>87</v>
      </c>
      <c r="R570">
        <v>90</v>
      </c>
      <c r="S570">
        <v>90</v>
      </c>
      <c r="T570">
        <v>78</v>
      </c>
      <c r="U570">
        <v>0</v>
      </c>
      <c r="V570" s="3">
        <f t="shared" si="33"/>
        <v>8489711</v>
      </c>
      <c r="W570">
        <v>707475.91666666663</v>
      </c>
      <c r="X570">
        <v>0</v>
      </c>
      <c r="Y570">
        <f t="shared" si="34"/>
        <v>707475.91666666663</v>
      </c>
      <c r="Z570">
        <f t="shared" si="35"/>
        <v>0</v>
      </c>
      <c r="AA570">
        <v>0</v>
      </c>
    </row>
    <row r="571" spans="1:27" x14ac:dyDescent="0.25">
      <c r="A571" s="1">
        <v>570</v>
      </c>
      <c r="B571" t="s">
        <v>129</v>
      </c>
      <c r="C571" t="s">
        <v>1134</v>
      </c>
      <c r="D571" t="s">
        <v>1138</v>
      </c>
      <c r="G571" t="s">
        <v>1150</v>
      </c>
      <c r="H571" t="s">
        <v>1150</v>
      </c>
      <c r="I571" t="s">
        <v>1150</v>
      </c>
      <c r="J571" t="s">
        <v>1225</v>
      </c>
      <c r="K571" t="s">
        <v>1212</v>
      </c>
      <c r="M571" s="3">
        <f t="shared" si="32"/>
        <v>64.714285714285708</v>
      </c>
      <c r="N571">
        <v>51</v>
      </c>
      <c r="O571">
        <v>65</v>
      </c>
      <c r="P571">
        <v>65</v>
      </c>
      <c r="Q571">
        <v>68</v>
      </c>
      <c r="R571">
        <v>63</v>
      </c>
      <c r="S571">
        <v>78</v>
      </c>
      <c r="T571">
        <v>63</v>
      </c>
      <c r="U571">
        <v>0</v>
      </c>
      <c r="V571" s="3">
        <f t="shared" si="33"/>
        <v>1288255</v>
      </c>
      <c r="W571">
        <v>107354.58333333333</v>
      </c>
      <c r="X571">
        <v>0</v>
      </c>
      <c r="Y571">
        <f t="shared" si="34"/>
        <v>107354.58333333333</v>
      </c>
      <c r="Z571">
        <f t="shared" si="35"/>
        <v>0</v>
      </c>
      <c r="AA571">
        <v>0</v>
      </c>
    </row>
    <row r="572" spans="1:27" x14ac:dyDescent="0.25">
      <c r="A572" s="1">
        <v>571</v>
      </c>
      <c r="B572" t="s">
        <v>1611</v>
      </c>
      <c r="C572" t="s">
        <v>1134</v>
      </c>
      <c r="D572" t="s">
        <v>1138</v>
      </c>
      <c r="H572" t="s">
        <v>1150</v>
      </c>
      <c r="I572" t="s">
        <v>1150</v>
      </c>
      <c r="J572" t="s">
        <v>1225</v>
      </c>
      <c r="K572" t="s">
        <v>1212</v>
      </c>
      <c r="M572" s="3">
        <f t="shared" si="32"/>
        <v>66.571428571428569</v>
      </c>
      <c r="N572">
        <v>40</v>
      </c>
      <c r="O572">
        <v>81</v>
      </c>
      <c r="P572">
        <v>59</v>
      </c>
      <c r="Q572">
        <v>74</v>
      </c>
      <c r="R572">
        <v>73</v>
      </c>
      <c r="S572">
        <v>79</v>
      </c>
      <c r="T572">
        <v>60</v>
      </c>
      <c r="U572">
        <v>0</v>
      </c>
      <c r="V572" s="3">
        <f t="shared" si="33"/>
        <v>1709539</v>
      </c>
      <c r="W572">
        <v>142461.58333333334</v>
      </c>
      <c r="X572">
        <v>0</v>
      </c>
      <c r="Y572">
        <f t="shared" si="34"/>
        <v>142461.58333333334</v>
      </c>
      <c r="Z572">
        <f t="shared" si="35"/>
        <v>0</v>
      </c>
      <c r="AA572">
        <v>0</v>
      </c>
    </row>
    <row r="573" spans="1:27" x14ac:dyDescent="0.25">
      <c r="A573" s="1">
        <v>572</v>
      </c>
      <c r="B573" t="s">
        <v>1610</v>
      </c>
      <c r="C573" t="s">
        <v>1134</v>
      </c>
      <c r="D573" t="s">
        <v>1138</v>
      </c>
      <c r="E573" t="s">
        <v>1139</v>
      </c>
      <c r="H573" t="s">
        <v>1150</v>
      </c>
      <c r="I573" t="s">
        <v>1150</v>
      </c>
      <c r="J573" t="s">
        <v>1225</v>
      </c>
      <c r="K573" t="s">
        <v>1212</v>
      </c>
      <c r="M573" s="3">
        <f t="shared" si="32"/>
        <v>64.428571428571431</v>
      </c>
      <c r="N573">
        <v>26</v>
      </c>
      <c r="O573">
        <v>77</v>
      </c>
      <c r="P573">
        <v>61</v>
      </c>
      <c r="Q573">
        <v>79</v>
      </c>
      <c r="R573">
        <v>74</v>
      </c>
      <c r="S573">
        <v>80</v>
      </c>
      <c r="T573">
        <v>54</v>
      </c>
      <c r="U573">
        <v>0</v>
      </c>
      <c r="V573" s="3">
        <f t="shared" si="33"/>
        <v>1232495</v>
      </c>
      <c r="W573">
        <v>102707.91666666667</v>
      </c>
      <c r="X573">
        <v>0</v>
      </c>
      <c r="Y573">
        <f t="shared" si="34"/>
        <v>102707.91666666667</v>
      </c>
      <c r="Z573">
        <f t="shared" si="35"/>
        <v>0</v>
      </c>
      <c r="AA573">
        <v>0</v>
      </c>
    </row>
    <row r="574" spans="1:27" x14ac:dyDescent="0.25">
      <c r="A574" s="1">
        <v>573</v>
      </c>
      <c r="B574" t="s">
        <v>128</v>
      </c>
      <c r="C574" t="s">
        <v>1134</v>
      </c>
      <c r="D574" t="s">
        <v>1138</v>
      </c>
      <c r="G574" t="s">
        <v>1150</v>
      </c>
      <c r="H574" t="s">
        <v>1150</v>
      </c>
      <c r="I574" t="s">
        <v>1150</v>
      </c>
      <c r="J574" t="s">
        <v>1225</v>
      </c>
      <c r="K574" t="s">
        <v>1212</v>
      </c>
      <c r="M574" s="3">
        <f t="shared" si="32"/>
        <v>72.571428571428569</v>
      </c>
      <c r="N574">
        <v>45</v>
      </c>
      <c r="O574">
        <v>74</v>
      </c>
      <c r="P574">
        <v>74</v>
      </c>
      <c r="Q574">
        <v>93</v>
      </c>
      <c r="R574">
        <v>66</v>
      </c>
      <c r="S574">
        <v>84</v>
      </c>
      <c r="T574">
        <v>72</v>
      </c>
      <c r="U574">
        <v>0</v>
      </c>
      <c r="V574" s="3">
        <f t="shared" si="33"/>
        <v>4051882</v>
      </c>
      <c r="W574">
        <v>337656.83333333331</v>
      </c>
      <c r="X574">
        <v>0</v>
      </c>
      <c r="Y574">
        <f t="shared" si="34"/>
        <v>337656.83333333331</v>
      </c>
      <c r="Z574">
        <f t="shared" si="35"/>
        <v>0</v>
      </c>
      <c r="AA574">
        <v>0</v>
      </c>
    </row>
    <row r="575" spans="1:27" x14ac:dyDescent="0.25">
      <c r="A575" s="1">
        <v>574</v>
      </c>
      <c r="B575" t="s">
        <v>440</v>
      </c>
      <c r="C575" t="s">
        <v>1135</v>
      </c>
      <c r="D575" t="s">
        <v>1141</v>
      </c>
      <c r="E575" t="s">
        <v>1142</v>
      </c>
      <c r="G575" t="s">
        <v>1150</v>
      </c>
      <c r="H575" t="s">
        <v>1150</v>
      </c>
      <c r="I575" t="s">
        <v>1150</v>
      </c>
      <c r="J575" t="s">
        <v>1225</v>
      </c>
      <c r="K575" t="s">
        <v>1212</v>
      </c>
      <c r="M575" s="3">
        <f t="shared" si="32"/>
        <v>80.142857142857139</v>
      </c>
      <c r="N575">
        <v>65</v>
      </c>
      <c r="O575">
        <v>91</v>
      </c>
      <c r="P575">
        <v>85</v>
      </c>
      <c r="Q575">
        <v>80</v>
      </c>
      <c r="R575">
        <v>80</v>
      </c>
      <c r="S575">
        <v>80</v>
      </c>
      <c r="T575">
        <v>80</v>
      </c>
      <c r="U575">
        <v>3</v>
      </c>
      <c r="V575" s="3">
        <f t="shared" si="33"/>
        <v>16396059</v>
      </c>
      <c r="W575">
        <v>1366338.25</v>
      </c>
      <c r="X575">
        <v>0</v>
      </c>
      <c r="Y575">
        <f t="shared" si="34"/>
        <v>1366338.25</v>
      </c>
      <c r="Z575">
        <f t="shared" si="35"/>
        <v>0</v>
      </c>
      <c r="AA575">
        <v>0</v>
      </c>
    </row>
    <row r="576" spans="1:27" x14ac:dyDescent="0.25">
      <c r="A576" s="1">
        <v>575</v>
      </c>
      <c r="B576" t="s">
        <v>1614</v>
      </c>
      <c r="C576" t="s">
        <v>1135</v>
      </c>
      <c r="D576" t="s">
        <v>1141</v>
      </c>
      <c r="E576" t="s">
        <v>1142</v>
      </c>
      <c r="H576" t="s">
        <v>1150</v>
      </c>
      <c r="I576" t="s">
        <v>1150</v>
      </c>
      <c r="J576" t="s">
        <v>1225</v>
      </c>
      <c r="K576" t="s">
        <v>1212</v>
      </c>
      <c r="M576" s="3">
        <f t="shared" si="32"/>
        <v>68.714285714285708</v>
      </c>
      <c r="N576">
        <v>33</v>
      </c>
      <c r="O576">
        <v>83</v>
      </c>
      <c r="P576">
        <v>72</v>
      </c>
      <c r="Q576">
        <v>77</v>
      </c>
      <c r="R576">
        <v>76</v>
      </c>
      <c r="S576">
        <v>78</v>
      </c>
      <c r="T576">
        <v>62</v>
      </c>
      <c r="U576">
        <v>0</v>
      </c>
      <c r="V576" s="3">
        <f t="shared" si="33"/>
        <v>2346770</v>
      </c>
      <c r="W576">
        <v>195564.16666666666</v>
      </c>
      <c r="X576">
        <v>0</v>
      </c>
      <c r="Y576">
        <f t="shared" si="34"/>
        <v>195564.16666666666</v>
      </c>
      <c r="Z576">
        <f t="shared" si="35"/>
        <v>0</v>
      </c>
      <c r="AA576">
        <v>0</v>
      </c>
    </row>
    <row r="577" spans="1:27" x14ac:dyDescent="0.25">
      <c r="A577" s="1">
        <v>576</v>
      </c>
      <c r="B577" t="s">
        <v>439</v>
      </c>
      <c r="C577" t="s">
        <v>1135</v>
      </c>
      <c r="D577" t="s">
        <v>1141</v>
      </c>
      <c r="E577" t="s">
        <v>1145</v>
      </c>
      <c r="G577" t="s">
        <v>1150</v>
      </c>
      <c r="H577" t="s">
        <v>1150</v>
      </c>
      <c r="I577" t="s">
        <v>1150</v>
      </c>
      <c r="J577" t="s">
        <v>1225</v>
      </c>
      <c r="K577" t="s">
        <v>1212</v>
      </c>
      <c r="M577" s="3">
        <f t="shared" si="32"/>
        <v>78</v>
      </c>
      <c r="N577">
        <v>60</v>
      </c>
      <c r="O577">
        <v>78</v>
      </c>
      <c r="P577">
        <v>92</v>
      </c>
      <c r="Q577">
        <v>75</v>
      </c>
      <c r="R577">
        <v>86</v>
      </c>
      <c r="S577">
        <v>95</v>
      </c>
      <c r="T577">
        <v>60</v>
      </c>
      <c r="U577">
        <v>0</v>
      </c>
      <c r="V577" s="3">
        <f t="shared" si="33"/>
        <v>8335776</v>
      </c>
      <c r="W577">
        <v>694648</v>
      </c>
      <c r="X577">
        <v>0</v>
      </c>
      <c r="Y577">
        <f t="shared" si="34"/>
        <v>694648</v>
      </c>
      <c r="Z577">
        <f t="shared" si="35"/>
        <v>0</v>
      </c>
      <c r="AA577">
        <v>0</v>
      </c>
    </row>
    <row r="578" spans="1:27" x14ac:dyDescent="0.25">
      <c r="A578" s="1">
        <v>577</v>
      </c>
      <c r="B578" t="s">
        <v>1613</v>
      </c>
      <c r="C578" t="s">
        <v>1135</v>
      </c>
      <c r="D578" t="s">
        <v>1141</v>
      </c>
      <c r="E578" t="s">
        <v>1145</v>
      </c>
      <c r="H578" t="s">
        <v>1150</v>
      </c>
      <c r="I578" t="s">
        <v>1150</v>
      </c>
      <c r="J578" t="s">
        <v>1225</v>
      </c>
      <c r="K578" t="s">
        <v>1212</v>
      </c>
      <c r="M578" s="3">
        <f t="shared" ref="M578:M641" si="36">AVERAGE(N578:T578)</f>
        <v>66.428571428571431</v>
      </c>
      <c r="N578">
        <v>28</v>
      </c>
      <c r="O578">
        <v>70</v>
      </c>
      <c r="P578">
        <v>78</v>
      </c>
      <c r="Q578">
        <v>73</v>
      </c>
      <c r="R578">
        <v>79</v>
      </c>
      <c r="S578">
        <v>82</v>
      </c>
      <c r="T578">
        <v>55</v>
      </c>
      <c r="U578">
        <v>0</v>
      </c>
      <c r="V578" s="3">
        <f t="shared" ref="V578:V641" si="37">ROUNDUP(M578^10/1000000000000 * IF(U578&gt;0,1.5,1),0)</f>
        <v>1673205</v>
      </c>
      <c r="W578">
        <v>139433.75</v>
      </c>
      <c r="X578">
        <v>0</v>
      </c>
      <c r="Y578">
        <f t="shared" ref="Y578:Y641" si="38">V578/12</f>
        <v>139433.75</v>
      </c>
      <c r="Z578">
        <f t="shared" ref="Z578:Z641" si="39">ROUND(((W578-Y578)/Y578)*100,2)</f>
        <v>0</v>
      </c>
      <c r="AA578">
        <v>0</v>
      </c>
    </row>
    <row r="579" spans="1:27" x14ac:dyDescent="0.25">
      <c r="A579" s="1">
        <v>578</v>
      </c>
      <c r="B579" t="s">
        <v>567</v>
      </c>
      <c r="C579" t="s">
        <v>1135</v>
      </c>
      <c r="D579" t="s">
        <v>1141</v>
      </c>
      <c r="E579" t="s">
        <v>1145</v>
      </c>
      <c r="G579" t="s">
        <v>1191</v>
      </c>
      <c r="H579" t="s">
        <v>1191</v>
      </c>
      <c r="I579" t="s">
        <v>1191</v>
      </c>
      <c r="J579" t="s">
        <v>1225</v>
      </c>
      <c r="K579" t="s">
        <v>1212</v>
      </c>
      <c r="M579" s="3">
        <f t="shared" si="36"/>
        <v>54.857142857142854</v>
      </c>
      <c r="N579">
        <v>15</v>
      </c>
      <c r="O579">
        <v>58</v>
      </c>
      <c r="P579">
        <v>68</v>
      </c>
      <c r="Q579">
        <v>66</v>
      </c>
      <c r="R579">
        <v>71</v>
      </c>
      <c r="S579">
        <v>76</v>
      </c>
      <c r="T579">
        <v>30</v>
      </c>
      <c r="U579">
        <v>0</v>
      </c>
      <c r="V579" s="3">
        <f t="shared" si="37"/>
        <v>246793</v>
      </c>
      <c r="W579">
        <v>20566.083333333332</v>
      </c>
      <c r="X579">
        <v>0</v>
      </c>
      <c r="Y579">
        <f t="shared" si="38"/>
        <v>20566.083333333332</v>
      </c>
      <c r="Z579">
        <f t="shared" si="39"/>
        <v>0</v>
      </c>
      <c r="AA579">
        <v>0</v>
      </c>
    </row>
    <row r="580" spans="1:27" x14ac:dyDescent="0.25">
      <c r="A580" s="1">
        <v>579</v>
      </c>
      <c r="B580" t="s">
        <v>1615</v>
      </c>
      <c r="C580" t="s">
        <v>1135</v>
      </c>
      <c r="D580" t="s">
        <v>1141</v>
      </c>
      <c r="H580" t="s">
        <v>1150</v>
      </c>
      <c r="I580" t="s">
        <v>1150</v>
      </c>
      <c r="J580" t="s">
        <v>1225</v>
      </c>
      <c r="K580" t="s">
        <v>1212</v>
      </c>
      <c r="M580" s="3">
        <f t="shared" si="36"/>
        <v>65.857142857142861</v>
      </c>
      <c r="N580">
        <v>31</v>
      </c>
      <c r="O580">
        <v>74</v>
      </c>
      <c r="P580">
        <v>76</v>
      </c>
      <c r="Q580">
        <v>75</v>
      </c>
      <c r="R580">
        <v>72</v>
      </c>
      <c r="S580">
        <v>80</v>
      </c>
      <c r="T580">
        <v>53</v>
      </c>
      <c r="U580">
        <v>0</v>
      </c>
      <c r="V580" s="3">
        <f t="shared" si="37"/>
        <v>1534719</v>
      </c>
      <c r="W580">
        <v>127893.25</v>
      </c>
      <c r="X580">
        <v>0</v>
      </c>
      <c r="Y580">
        <f t="shared" si="38"/>
        <v>127893.25</v>
      </c>
      <c r="Z580">
        <f t="shared" si="39"/>
        <v>0</v>
      </c>
      <c r="AA580">
        <v>0</v>
      </c>
    </row>
    <row r="581" spans="1:27" x14ac:dyDescent="0.25">
      <c r="A581" s="1">
        <v>580</v>
      </c>
      <c r="B581" t="s">
        <v>696</v>
      </c>
      <c r="C581" t="s">
        <v>1136</v>
      </c>
      <c r="D581" t="s">
        <v>1143</v>
      </c>
      <c r="G581" t="s">
        <v>1158</v>
      </c>
      <c r="H581" t="s">
        <v>1158</v>
      </c>
      <c r="I581" t="s">
        <v>1158</v>
      </c>
      <c r="J581" t="s">
        <v>1225</v>
      </c>
      <c r="K581" t="s">
        <v>1212</v>
      </c>
      <c r="M581" s="3">
        <f t="shared" si="36"/>
        <v>61.428571428571431</v>
      </c>
      <c r="N581">
        <v>30</v>
      </c>
      <c r="O581">
        <v>63</v>
      </c>
      <c r="P581">
        <v>68</v>
      </c>
      <c r="Q581">
        <v>70</v>
      </c>
      <c r="R581">
        <v>72</v>
      </c>
      <c r="S581">
        <v>76</v>
      </c>
      <c r="T581">
        <v>51</v>
      </c>
      <c r="U581">
        <v>0</v>
      </c>
      <c r="V581" s="3">
        <f t="shared" si="37"/>
        <v>765076</v>
      </c>
      <c r="W581">
        <v>63756.333333333336</v>
      </c>
      <c r="X581">
        <v>0</v>
      </c>
      <c r="Y581">
        <f t="shared" si="38"/>
        <v>63756.333333333336</v>
      </c>
      <c r="Z581">
        <f t="shared" si="39"/>
        <v>0</v>
      </c>
      <c r="AA581">
        <v>0</v>
      </c>
    </row>
    <row r="582" spans="1:27" x14ac:dyDescent="0.25">
      <c r="A582" s="1">
        <v>581</v>
      </c>
      <c r="B582" t="s">
        <v>985</v>
      </c>
      <c r="C582" t="s">
        <v>1136</v>
      </c>
      <c r="D582" t="s">
        <v>1144</v>
      </c>
      <c r="E582" t="s">
        <v>1138</v>
      </c>
      <c r="G582" t="s">
        <v>1204</v>
      </c>
      <c r="H582" t="s">
        <v>1204</v>
      </c>
      <c r="I582" t="s">
        <v>1204</v>
      </c>
      <c r="J582" t="s">
        <v>1225</v>
      </c>
      <c r="K582" t="s">
        <v>1212</v>
      </c>
      <c r="M582" s="3">
        <f t="shared" si="36"/>
        <v>54.428571428571431</v>
      </c>
      <c r="N582">
        <v>61</v>
      </c>
      <c r="O582">
        <v>52</v>
      </c>
      <c r="P582">
        <v>60</v>
      </c>
      <c r="Q582">
        <v>56</v>
      </c>
      <c r="R582">
        <v>62</v>
      </c>
      <c r="S582">
        <v>52</v>
      </c>
      <c r="T582">
        <v>38</v>
      </c>
      <c r="U582">
        <v>0</v>
      </c>
      <c r="V582" s="3">
        <f t="shared" si="37"/>
        <v>228176</v>
      </c>
      <c r="W582">
        <v>19014.666666666668</v>
      </c>
      <c r="X582">
        <v>0</v>
      </c>
      <c r="Y582">
        <f t="shared" si="38"/>
        <v>19014.666666666668</v>
      </c>
      <c r="Z582">
        <f t="shared" si="39"/>
        <v>0</v>
      </c>
      <c r="AA582">
        <v>0</v>
      </c>
    </row>
    <row r="583" spans="1:27" x14ac:dyDescent="0.25">
      <c r="A583" s="1">
        <v>582</v>
      </c>
      <c r="B583" t="s">
        <v>643</v>
      </c>
      <c r="C583" t="s">
        <v>1136</v>
      </c>
      <c r="D583" t="s">
        <v>1143</v>
      </c>
      <c r="E583" t="s">
        <v>1147</v>
      </c>
      <c r="F583" t="s">
        <v>1145</v>
      </c>
      <c r="G583" t="s">
        <v>1150</v>
      </c>
      <c r="H583" t="s">
        <v>1150</v>
      </c>
      <c r="I583" t="s">
        <v>1150</v>
      </c>
      <c r="J583" t="s">
        <v>1225</v>
      </c>
      <c r="K583" t="s">
        <v>1212</v>
      </c>
      <c r="M583" s="3">
        <f t="shared" si="36"/>
        <v>73.428571428571431</v>
      </c>
      <c r="N583">
        <v>50</v>
      </c>
      <c r="O583">
        <v>77</v>
      </c>
      <c r="P583">
        <v>83</v>
      </c>
      <c r="Q583">
        <v>77</v>
      </c>
      <c r="R583">
        <v>75</v>
      </c>
      <c r="S583">
        <v>87</v>
      </c>
      <c r="T583">
        <v>65</v>
      </c>
      <c r="U583">
        <v>0</v>
      </c>
      <c r="V583" s="3">
        <f t="shared" si="37"/>
        <v>4556704</v>
      </c>
      <c r="W583">
        <v>379725.33333333331</v>
      </c>
      <c r="X583">
        <v>0</v>
      </c>
      <c r="Y583">
        <f t="shared" si="38"/>
        <v>379725.33333333331</v>
      </c>
      <c r="Z583">
        <f t="shared" si="39"/>
        <v>0</v>
      </c>
      <c r="AA583">
        <v>0</v>
      </c>
    </row>
    <row r="584" spans="1:27" x14ac:dyDescent="0.25">
      <c r="A584" s="1">
        <v>583</v>
      </c>
      <c r="B584" t="s">
        <v>1616</v>
      </c>
      <c r="C584" t="s">
        <v>1136</v>
      </c>
      <c r="D584" t="s">
        <v>1143</v>
      </c>
      <c r="E584" t="s">
        <v>1147</v>
      </c>
      <c r="H584" t="s">
        <v>1150</v>
      </c>
      <c r="I584" t="s">
        <v>1150</v>
      </c>
      <c r="J584" t="s">
        <v>1225</v>
      </c>
      <c r="K584" t="s">
        <v>1212</v>
      </c>
      <c r="M584" s="3">
        <f t="shared" si="36"/>
        <v>65.857142857142861</v>
      </c>
      <c r="N584">
        <v>31</v>
      </c>
      <c r="O584">
        <v>74</v>
      </c>
      <c r="P584">
        <v>76</v>
      </c>
      <c r="Q584">
        <v>75</v>
      </c>
      <c r="R584">
        <v>72</v>
      </c>
      <c r="S584">
        <v>80</v>
      </c>
      <c r="T584">
        <v>53</v>
      </c>
      <c r="U584">
        <v>0</v>
      </c>
      <c r="V584" s="3">
        <f t="shared" si="37"/>
        <v>1534719</v>
      </c>
      <c r="W584">
        <v>127893.25</v>
      </c>
      <c r="X584">
        <v>0</v>
      </c>
      <c r="Y584">
        <f t="shared" si="38"/>
        <v>127893.25</v>
      </c>
      <c r="Z584">
        <f t="shared" si="39"/>
        <v>0</v>
      </c>
      <c r="AA584">
        <v>0</v>
      </c>
    </row>
    <row r="585" spans="1:27" x14ac:dyDescent="0.25">
      <c r="A585" s="1">
        <v>584</v>
      </c>
      <c r="B585" t="s">
        <v>976</v>
      </c>
      <c r="C585" t="s">
        <v>1136</v>
      </c>
      <c r="D585" t="s">
        <v>1144</v>
      </c>
      <c r="G585" t="s">
        <v>1203</v>
      </c>
      <c r="H585" t="s">
        <v>1203</v>
      </c>
      <c r="I585" t="s">
        <v>1203</v>
      </c>
      <c r="J585" t="s">
        <v>1225</v>
      </c>
      <c r="K585" t="s">
        <v>1212</v>
      </c>
      <c r="M585" s="3">
        <f t="shared" si="36"/>
        <v>69.142857142857139</v>
      </c>
      <c r="N585">
        <v>59</v>
      </c>
      <c r="O585">
        <v>70</v>
      </c>
      <c r="P585">
        <v>70</v>
      </c>
      <c r="Q585">
        <v>70</v>
      </c>
      <c r="R585">
        <v>80</v>
      </c>
      <c r="S585">
        <v>80</v>
      </c>
      <c r="T585">
        <v>55</v>
      </c>
      <c r="U585">
        <v>0</v>
      </c>
      <c r="V585" s="3">
        <f t="shared" si="37"/>
        <v>2497315</v>
      </c>
      <c r="W585">
        <v>42593.083333333336</v>
      </c>
      <c r="X585">
        <v>0</v>
      </c>
      <c r="Y585">
        <f t="shared" si="38"/>
        <v>208109.58333333334</v>
      </c>
      <c r="Z585">
        <f t="shared" si="39"/>
        <v>-79.53</v>
      </c>
      <c r="AA585">
        <v>0</v>
      </c>
    </row>
    <row r="586" spans="1:27" x14ac:dyDescent="0.25">
      <c r="A586" s="1">
        <v>585</v>
      </c>
      <c r="B586" t="s">
        <v>644</v>
      </c>
      <c r="C586" t="s">
        <v>1136</v>
      </c>
      <c r="D586" t="s">
        <v>1147</v>
      </c>
      <c r="E586" t="s">
        <v>1143</v>
      </c>
      <c r="G586" t="s">
        <v>1150</v>
      </c>
      <c r="H586" t="s">
        <v>1150</v>
      </c>
      <c r="I586" t="s">
        <v>1150</v>
      </c>
      <c r="J586" t="s">
        <v>1225</v>
      </c>
      <c r="K586" t="s">
        <v>1212</v>
      </c>
      <c r="M586" s="3">
        <f t="shared" si="36"/>
        <v>74.857142857142861</v>
      </c>
      <c r="N586">
        <v>51</v>
      </c>
      <c r="O586">
        <v>86</v>
      </c>
      <c r="P586">
        <v>80</v>
      </c>
      <c r="Q586">
        <v>84</v>
      </c>
      <c r="R586">
        <v>73</v>
      </c>
      <c r="S586">
        <v>84</v>
      </c>
      <c r="T586">
        <v>66</v>
      </c>
      <c r="U586">
        <v>3</v>
      </c>
      <c r="V586" s="3">
        <f t="shared" si="37"/>
        <v>8287504</v>
      </c>
      <c r="W586">
        <v>615498.83333333337</v>
      </c>
      <c r="X586">
        <v>0</v>
      </c>
      <c r="Y586">
        <f t="shared" si="38"/>
        <v>690625.33333333337</v>
      </c>
      <c r="Z586">
        <f t="shared" si="39"/>
        <v>-10.88</v>
      </c>
      <c r="AA586">
        <v>0</v>
      </c>
    </row>
    <row r="587" spans="1:27" x14ac:dyDescent="0.25">
      <c r="A587" s="1">
        <v>586</v>
      </c>
      <c r="B587" t="s">
        <v>1617</v>
      </c>
      <c r="C587" t="s">
        <v>1136</v>
      </c>
      <c r="D587" t="s">
        <v>1147</v>
      </c>
      <c r="E587" t="s">
        <v>1146</v>
      </c>
      <c r="F587" t="s">
        <v>1143</v>
      </c>
      <c r="H587" t="s">
        <v>1150</v>
      </c>
      <c r="I587" t="s">
        <v>1150</v>
      </c>
      <c r="J587" t="s">
        <v>1225</v>
      </c>
      <c r="K587" t="s">
        <v>1212</v>
      </c>
      <c r="M587" s="3">
        <f t="shared" si="36"/>
        <v>70.714285714285708</v>
      </c>
      <c r="N587">
        <v>40</v>
      </c>
      <c r="O587">
        <v>86</v>
      </c>
      <c r="P587">
        <v>72</v>
      </c>
      <c r="Q587">
        <v>80</v>
      </c>
      <c r="R587">
        <v>70</v>
      </c>
      <c r="S587">
        <v>77</v>
      </c>
      <c r="T587">
        <v>70</v>
      </c>
      <c r="U587">
        <v>23</v>
      </c>
      <c r="V587" s="3">
        <f t="shared" si="37"/>
        <v>4689893</v>
      </c>
      <c r="W587">
        <v>390824.41666666669</v>
      </c>
      <c r="X587">
        <v>0</v>
      </c>
      <c r="Y587">
        <f t="shared" si="38"/>
        <v>390824.41666666669</v>
      </c>
      <c r="Z587">
        <f t="shared" si="39"/>
        <v>0</v>
      </c>
      <c r="AA587">
        <v>0</v>
      </c>
    </row>
    <row r="588" spans="1:27" x14ac:dyDescent="0.25">
      <c r="A588" s="1">
        <v>587</v>
      </c>
      <c r="B588" t="s">
        <v>661</v>
      </c>
      <c r="C588" t="s">
        <v>1136</v>
      </c>
      <c r="D588" t="s">
        <v>1146</v>
      </c>
      <c r="E588" t="s">
        <v>1143</v>
      </c>
      <c r="G588" t="s">
        <v>1152</v>
      </c>
      <c r="H588" t="s">
        <v>1152</v>
      </c>
      <c r="I588" t="s">
        <v>1152</v>
      </c>
      <c r="J588" t="s">
        <v>1225</v>
      </c>
      <c r="K588" t="s">
        <v>1212</v>
      </c>
      <c r="M588" s="3">
        <f t="shared" si="36"/>
        <v>54.142857142857146</v>
      </c>
      <c r="N588">
        <v>18</v>
      </c>
      <c r="O588">
        <v>80</v>
      </c>
      <c r="P588">
        <v>60</v>
      </c>
      <c r="Q588">
        <v>63</v>
      </c>
      <c r="R588">
        <v>68</v>
      </c>
      <c r="S588">
        <v>62</v>
      </c>
      <c r="T588">
        <v>28</v>
      </c>
      <c r="U588">
        <v>0</v>
      </c>
      <c r="V588" s="3">
        <f t="shared" si="37"/>
        <v>216477</v>
      </c>
      <c r="W588">
        <v>18039.75</v>
      </c>
      <c r="X588">
        <v>0</v>
      </c>
      <c r="Y588">
        <f t="shared" si="38"/>
        <v>18039.75</v>
      </c>
      <c r="Z588">
        <f t="shared" si="39"/>
        <v>0</v>
      </c>
      <c r="AA588">
        <v>0</v>
      </c>
    </row>
    <row r="589" spans="1:27" x14ac:dyDescent="0.25">
      <c r="A589" s="1">
        <v>588</v>
      </c>
      <c r="B589" t="s">
        <v>1106</v>
      </c>
      <c r="C589" t="s">
        <v>1137</v>
      </c>
      <c r="D589" t="s">
        <v>1137</v>
      </c>
      <c r="H589" t="s">
        <v>1150</v>
      </c>
      <c r="I589" t="s">
        <v>1150</v>
      </c>
      <c r="J589" t="s">
        <v>1225</v>
      </c>
      <c r="K589" t="s">
        <v>1212</v>
      </c>
      <c r="M589" s="3">
        <f t="shared" si="36"/>
        <v>69.714285714285708</v>
      </c>
      <c r="N589">
        <v>68</v>
      </c>
      <c r="O589">
        <v>81</v>
      </c>
      <c r="P589">
        <v>73</v>
      </c>
      <c r="Q589">
        <v>79</v>
      </c>
      <c r="R589">
        <v>79</v>
      </c>
      <c r="S589">
        <v>65</v>
      </c>
      <c r="T589">
        <v>43</v>
      </c>
      <c r="U589">
        <v>0</v>
      </c>
      <c r="V589" s="3">
        <f t="shared" si="37"/>
        <v>2711552</v>
      </c>
      <c r="W589">
        <v>225962.66666666666</v>
      </c>
      <c r="X589">
        <v>0</v>
      </c>
      <c r="Y589">
        <f t="shared" si="38"/>
        <v>225962.66666666666</v>
      </c>
      <c r="Z589">
        <f t="shared" si="39"/>
        <v>0</v>
      </c>
      <c r="AA589">
        <v>0</v>
      </c>
    </row>
    <row r="590" spans="1:27" x14ac:dyDescent="0.25">
      <c r="A590" s="1">
        <v>589</v>
      </c>
      <c r="B590" t="s">
        <v>2561</v>
      </c>
      <c r="C590" t="s">
        <v>1133</v>
      </c>
      <c r="D590" t="s">
        <v>1133</v>
      </c>
      <c r="H590" t="s">
        <v>1168</v>
      </c>
      <c r="I590" t="s">
        <v>1168</v>
      </c>
      <c r="J590" t="s">
        <v>2674</v>
      </c>
      <c r="K590" t="s">
        <v>1212</v>
      </c>
      <c r="M590" s="3">
        <f t="shared" si="36"/>
        <v>56.285714285714285</v>
      </c>
      <c r="N590">
        <v>10</v>
      </c>
      <c r="O590">
        <v>72</v>
      </c>
      <c r="P590">
        <v>64</v>
      </c>
      <c r="Q590">
        <v>70</v>
      </c>
      <c r="R590">
        <v>72</v>
      </c>
      <c r="S590">
        <v>74</v>
      </c>
      <c r="T590">
        <v>32</v>
      </c>
      <c r="U590">
        <v>0</v>
      </c>
      <c r="V590" s="3">
        <f t="shared" si="37"/>
        <v>319141</v>
      </c>
      <c r="W590">
        <v>26595.083333333332</v>
      </c>
      <c r="X590">
        <v>0</v>
      </c>
      <c r="Y590">
        <f t="shared" si="38"/>
        <v>26595.083333333332</v>
      </c>
      <c r="Z590">
        <f t="shared" si="39"/>
        <v>0</v>
      </c>
      <c r="AA590">
        <v>0</v>
      </c>
    </row>
    <row r="591" spans="1:27" x14ac:dyDescent="0.25">
      <c r="A591" s="1">
        <v>590</v>
      </c>
      <c r="B591" t="s">
        <v>2221</v>
      </c>
      <c r="C591" t="s">
        <v>1133</v>
      </c>
      <c r="D591" t="s">
        <v>1133</v>
      </c>
      <c r="H591" t="s">
        <v>1168</v>
      </c>
      <c r="I591" t="s">
        <v>1168</v>
      </c>
      <c r="J591" t="s">
        <v>2674</v>
      </c>
      <c r="K591" t="s">
        <v>1212</v>
      </c>
      <c r="M591" s="3">
        <f t="shared" si="36"/>
        <v>53.857142857142854</v>
      </c>
      <c r="N591">
        <v>8</v>
      </c>
      <c r="O591">
        <v>69</v>
      </c>
      <c r="P591">
        <v>61</v>
      </c>
      <c r="Q591">
        <v>68</v>
      </c>
      <c r="R591">
        <v>70</v>
      </c>
      <c r="S591">
        <v>72</v>
      </c>
      <c r="T591">
        <v>29</v>
      </c>
      <c r="U591">
        <v>0</v>
      </c>
      <c r="V591" s="3">
        <f t="shared" si="37"/>
        <v>205321</v>
      </c>
      <c r="W591">
        <v>17110.083333333332</v>
      </c>
      <c r="X591">
        <v>0</v>
      </c>
      <c r="Y591">
        <f t="shared" si="38"/>
        <v>17110.083333333332</v>
      </c>
      <c r="Z591">
        <f t="shared" si="39"/>
        <v>0</v>
      </c>
      <c r="AA591">
        <v>0</v>
      </c>
    </row>
    <row r="592" spans="1:27" x14ac:dyDescent="0.25">
      <c r="A592" s="1">
        <v>591</v>
      </c>
      <c r="B592" t="s">
        <v>2647</v>
      </c>
      <c r="C592" t="s">
        <v>1134</v>
      </c>
      <c r="D592" t="s">
        <v>1138</v>
      </c>
      <c r="E592" t="s">
        <v>1139</v>
      </c>
      <c r="H592" t="s">
        <v>1168</v>
      </c>
      <c r="I592" t="s">
        <v>1168</v>
      </c>
      <c r="J592" t="s">
        <v>2674</v>
      </c>
      <c r="K592" t="s">
        <v>1212</v>
      </c>
      <c r="M592" s="3">
        <f t="shared" si="36"/>
        <v>63</v>
      </c>
      <c r="N592">
        <v>33</v>
      </c>
      <c r="O592">
        <v>76</v>
      </c>
      <c r="P592">
        <v>75</v>
      </c>
      <c r="Q592">
        <v>72</v>
      </c>
      <c r="R592">
        <v>74</v>
      </c>
      <c r="S592">
        <v>76</v>
      </c>
      <c r="T592">
        <v>35</v>
      </c>
      <c r="U592">
        <v>16</v>
      </c>
      <c r="V592" s="3">
        <f t="shared" si="37"/>
        <v>1477396</v>
      </c>
      <c r="W592">
        <v>42593.083333333336</v>
      </c>
      <c r="X592">
        <v>0</v>
      </c>
      <c r="Y592">
        <f t="shared" si="38"/>
        <v>123116.33333333333</v>
      </c>
      <c r="Z592">
        <f t="shared" si="39"/>
        <v>-65.400000000000006</v>
      </c>
      <c r="AA592">
        <v>0</v>
      </c>
    </row>
    <row r="593" spans="1:27" x14ac:dyDescent="0.25">
      <c r="A593" s="1">
        <v>592</v>
      </c>
      <c r="B593" t="s">
        <v>2225</v>
      </c>
      <c r="C593" t="s">
        <v>1134</v>
      </c>
      <c r="D593" t="s">
        <v>1140</v>
      </c>
      <c r="E593" t="s">
        <v>1139</v>
      </c>
      <c r="H593" t="s">
        <v>1168</v>
      </c>
      <c r="I593" t="s">
        <v>1168</v>
      </c>
      <c r="J593" t="s">
        <v>2674</v>
      </c>
      <c r="K593" t="s">
        <v>1212</v>
      </c>
      <c r="M593" s="3">
        <f t="shared" si="36"/>
        <v>54</v>
      </c>
      <c r="N593">
        <v>7</v>
      </c>
      <c r="O593">
        <v>70</v>
      </c>
      <c r="P593">
        <v>63</v>
      </c>
      <c r="Q593">
        <v>68</v>
      </c>
      <c r="R593">
        <v>70</v>
      </c>
      <c r="S593">
        <v>72</v>
      </c>
      <c r="T593">
        <v>28</v>
      </c>
      <c r="U593">
        <v>0</v>
      </c>
      <c r="V593" s="3">
        <f t="shared" si="37"/>
        <v>210833</v>
      </c>
      <c r="W593">
        <v>17569.416666666668</v>
      </c>
      <c r="X593">
        <v>0</v>
      </c>
      <c r="Y593">
        <f t="shared" si="38"/>
        <v>17569.416666666668</v>
      </c>
      <c r="Z593">
        <f t="shared" si="39"/>
        <v>0</v>
      </c>
      <c r="AA593">
        <v>0</v>
      </c>
    </row>
    <row r="594" spans="1:27" x14ac:dyDescent="0.25">
      <c r="A594" s="1">
        <v>593</v>
      </c>
      <c r="B594" t="s">
        <v>2226</v>
      </c>
      <c r="C594" t="s">
        <v>1134</v>
      </c>
      <c r="D594" t="s">
        <v>1139</v>
      </c>
      <c r="E594" t="s">
        <v>1138</v>
      </c>
      <c r="H594" t="s">
        <v>1168</v>
      </c>
      <c r="I594" t="s">
        <v>1168</v>
      </c>
      <c r="J594" t="s">
        <v>2674</v>
      </c>
      <c r="K594" t="s">
        <v>1212</v>
      </c>
      <c r="M594" s="3">
        <f t="shared" si="36"/>
        <v>58</v>
      </c>
      <c r="N594">
        <v>11</v>
      </c>
      <c r="O594">
        <v>75</v>
      </c>
      <c r="P594">
        <v>67</v>
      </c>
      <c r="Q594">
        <v>71</v>
      </c>
      <c r="R594">
        <v>73</v>
      </c>
      <c r="S594">
        <v>75</v>
      </c>
      <c r="T594">
        <v>34</v>
      </c>
      <c r="U594">
        <v>0</v>
      </c>
      <c r="V594" s="3">
        <f t="shared" si="37"/>
        <v>430805</v>
      </c>
      <c r="W594">
        <v>35900.416666666664</v>
      </c>
      <c r="X594">
        <v>0</v>
      </c>
      <c r="Y594">
        <f t="shared" si="38"/>
        <v>35900.416666666664</v>
      </c>
      <c r="Z594">
        <f t="shared" si="39"/>
        <v>0</v>
      </c>
      <c r="AA594">
        <v>0</v>
      </c>
    </row>
    <row r="595" spans="1:27" x14ac:dyDescent="0.25">
      <c r="A595" s="1">
        <v>594</v>
      </c>
      <c r="B595" t="s">
        <v>2223</v>
      </c>
      <c r="C595" t="s">
        <v>1134</v>
      </c>
      <c r="D595" t="s">
        <v>1138</v>
      </c>
      <c r="E595" t="s">
        <v>1144</v>
      </c>
      <c r="H595" t="s">
        <v>1168</v>
      </c>
      <c r="I595" t="s">
        <v>1168</v>
      </c>
      <c r="J595" t="s">
        <v>2674</v>
      </c>
      <c r="K595" t="s">
        <v>1212</v>
      </c>
      <c r="M595" s="3">
        <f t="shared" si="36"/>
        <v>51</v>
      </c>
      <c r="N595">
        <v>6</v>
      </c>
      <c r="O595">
        <v>66</v>
      </c>
      <c r="P595">
        <v>59</v>
      </c>
      <c r="Q595">
        <v>65</v>
      </c>
      <c r="R595">
        <v>67</v>
      </c>
      <c r="S595">
        <v>69</v>
      </c>
      <c r="T595">
        <v>25</v>
      </c>
      <c r="U595">
        <v>0</v>
      </c>
      <c r="V595" s="3">
        <f t="shared" si="37"/>
        <v>119043</v>
      </c>
      <c r="W595">
        <v>9920.25</v>
      </c>
      <c r="X595">
        <v>0</v>
      </c>
      <c r="Y595">
        <f t="shared" si="38"/>
        <v>9920.25</v>
      </c>
      <c r="Z595">
        <f t="shared" si="39"/>
        <v>0</v>
      </c>
      <c r="AA595">
        <v>0</v>
      </c>
    </row>
    <row r="596" spans="1:27" x14ac:dyDescent="0.25">
      <c r="A596" s="1">
        <v>595</v>
      </c>
      <c r="B596" t="s">
        <v>2224</v>
      </c>
      <c r="C596" t="s">
        <v>1134</v>
      </c>
      <c r="D596" t="s">
        <v>1140</v>
      </c>
      <c r="E596" t="s">
        <v>1138</v>
      </c>
      <c r="H596" t="s">
        <v>1168</v>
      </c>
      <c r="I596" t="s">
        <v>1168</v>
      </c>
      <c r="J596" t="s">
        <v>2674</v>
      </c>
      <c r="K596" t="s">
        <v>1212</v>
      </c>
      <c r="M596" s="3">
        <f t="shared" si="36"/>
        <v>56.428571428571431</v>
      </c>
      <c r="N596">
        <v>9</v>
      </c>
      <c r="O596">
        <v>74</v>
      </c>
      <c r="P596">
        <v>65</v>
      </c>
      <c r="Q596">
        <v>70</v>
      </c>
      <c r="R596">
        <v>72</v>
      </c>
      <c r="S596">
        <v>74</v>
      </c>
      <c r="T596">
        <v>31</v>
      </c>
      <c r="U596">
        <v>0</v>
      </c>
      <c r="V596" s="3">
        <f t="shared" si="37"/>
        <v>327334</v>
      </c>
      <c r="W596">
        <v>27277.833333333332</v>
      </c>
      <c r="X596">
        <v>0</v>
      </c>
      <c r="Y596">
        <f t="shared" si="38"/>
        <v>27277.833333333332</v>
      </c>
      <c r="Z596">
        <f t="shared" si="39"/>
        <v>0</v>
      </c>
      <c r="AA596">
        <v>0</v>
      </c>
    </row>
    <row r="597" spans="1:27" x14ac:dyDescent="0.25">
      <c r="A597" s="1">
        <v>596</v>
      </c>
      <c r="B597" t="s">
        <v>2233</v>
      </c>
      <c r="C597" t="s">
        <v>1135</v>
      </c>
      <c r="D597" t="s">
        <v>1141</v>
      </c>
      <c r="E597" t="s">
        <v>1142</v>
      </c>
      <c r="H597" t="s">
        <v>1168</v>
      </c>
      <c r="I597" t="s">
        <v>1168</v>
      </c>
      <c r="J597" t="s">
        <v>2674</v>
      </c>
      <c r="K597" t="s">
        <v>1212</v>
      </c>
      <c r="M597" s="3">
        <f t="shared" si="36"/>
        <v>73</v>
      </c>
      <c r="N597">
        <v>25</v>
      </c>
      <c r="O597">
        <v>90</v>
      </c>
      <c r="P597">
        <v>84</v>
      </c>
      <c r="Q597">
        <v>86</v>
      </c>
      <c r="R597">
        <v>88</v>
      </c>
      <c r="S597">
        <v>90</v>
      </c>
      <c r="T597">
        <v>48</v>
      </c>
      <c r="U597">
        <v>0</v>
      </c>
      <c r="V597" s="3">
        <f t="shared" si="37"/>
        <v>4297626</v>
      </c>
      <c r="W597">
        <v>358135.5</v>
      </c>
      <c r="X597">
        <v>0</v>
      </c>
      <c r="Y597">
        <f t="shared" si="38"/>
        <v>358135.5</v>
      </c>
      <c r="Z597">
        <f t="shared" si="39"/>
        <v>0</v>
      </c>
      <c r="AA597">
        <v>0</v>
      </c>
    </row>
    <row r="598" spans="1:27" x14ac:dyDescent="0.25">
      <c r="A598" s="1">
        <v>597</v>
      </c>
      <c r="B598" t="s">
        <v>2232</v>
      </c>
      <c r="C598" t="s">
        <v>1135</v>
      </c>
      <c r="D598" t="s">
        <v>1142</v>
      </c>
      <c r="E598" t="s">
        <v>1141</v>
      </c>
      <c r="H598" t="s">
        <v>1168</v>
      </c>
      <c r="I598" t="s">
        <v>1168</v>
      </c>
      <c r="J598" t="s">
        <v>2674</v>
      </c>
      <c r="K598" t="s">
        <v>1212</v>
      </c>
      <c r="M598" s="3">
        <f t="shared" si="36"/>
        <v>58.571428571428569</v>
      </c>
      <c r="N598">
        <v>10</v>
      </c>
      <c r="O598">
        <v>75</v>
      </c>
      <c r="P598">
        <v>68</v>
      </c>
      <c r="Q598">
        <v>73</v>
      </c>
      <c r="R598">
        <v>75</v>
      </c>
      <c r="S598">
        <v>77</v>
      </c>
      <c r="T598">
        <v>32</v>
      </c>
      <c r="U598">
        <v>0</v>
      </c>
      <c r="V598" s="3">
        <f t="shared" si="37"/>
        <v>475181</v>
      </c>
      <c r="W598">
        <v>39598.416666666664</v>
      </c>
      <c r="X598">
        <v>0</v>
      </c>
      <c r="Y598">
        <f t="shared" si="38"/>
        <v>39598.416666666664</v>
      </c>
      <c r="Z598">
        <f t="shared" si="39"/>
        <v>0</v>
      </c>
      <c r="AA598">
        <v>0</v>
      </c>
    </row>
    <row r="599" spans="1:27" x14ac:dyDescent="0.25">
      <c r="A599" s="1">
        <v>598</v>
      </c>
      <c r="B599" t="s">
        <v>2546</v>
      </c>
      <c r="C599" t="s">
        <v>1136</v>
      </c>
      <c r="D599" t="s">
        <v>1146</v>
      </c>
      <c r="E599" t="s">
        <v>1144</v>
      </c>
      <c r="H599" t="s">
        <v>1168</v>
      </c>
      <c r="I599" t="s">
        <v>1168</v>
      </c>
      <c r="J599" t="s">
        <v>2674</v>
      </c>
      <c r="K599" t="s">
        <v>1212</v>
      </c>
      <c r="M599" s="3">
        <f t="shared" si="36"/>
        <v>68.857142857142861</v>
      </c>
      <c r="N599">
        <v>45</v>
      </c>
      <c r="O599">
        <v>80</v>
      </c>
      <c r="P599">
        <v>73</v>
      </c>
      <c r="Q599">
        <v>78</v>
      </c>
      <c r="R599">
        <v>80</v>
      </c>
      <c r="S599">
        <v>82</v>
      </c>
      <c r="T599">
        <v>44</v>
      </c>
      <c r="U599">
        <v>0</v>
      </c>
      <c r="V599" s="3">
        <f t="shared" si="37"/>
        <v>2396018</v>
      </c>
      <c r="W599">
        <v>199668.16666666666</v>
      </c>
      <c r="X599">
        <v>0</v>
      </c>
      <c r="Y599">
        <f t="shared" si="38"/>
        <v>199668.16666666666</v>
      </c>
      <c r="Z599">
        <f t="shared" si="39"/>
        <v>0</v>
      </c>
      <c r="AA599">
        <v>0</v>
      </c>
    </row>
    <row r="600" spans="1:27" x14ac:dyDescent="0.25">
      <c r="A600" s="1">
        <v>599</v>
      </c>
      <c r="B600" t="s">
        <v>2236</v>
      </c>
      <c r="C600" t="s">
        <v>1136</v>
      </c>
      <c r="D600" t="s">
        <v>1144</v>
      </c>
      <c r="E600" t="s">
        <v>1138</v>
      </c>
      <c r="H600" t="s">
        <v>1168</v>
      </c>
      <c r="I600" t="s">
        <v>1168</v>
      </c>
      <c r="J600" t="s">
        <v>2674</v>
      </c>
      <c r="K600" t="s">
        <v>1212</v>
      </c>
      <c r="M600" s="3">
        <f t="shared" si="36"/>
        <v>61.857142857142854</v>
      </c>
      <c r="N600">
        <v>13</v>
      </c>
      <c r="O600">
        <v>78</v>
      </c>
      <c r="P600">
        <v>71</v>
      </c>
      <c r="Q600">
        <v>76</v>
      </c>
      <c r="R600">
        <v>78</v>
      </c>
      <c r="S600">
        <v>80</v>
      </c>
      <c r="T600">
        <v>37</v>
      </c>
      <c r="U600">
        <v>0</v>
      </c>
      <c r="V600" s="3">
        <f t="shared" si="37"/>
        <v>820160</v>
      </c>
      <c r="W600">
        <v>68346.666666666672</v>
      </c>
      <c r="X600">
        <v>0</v>
      </c>
      <c r="Y600">
        <f t="shared" si="38"/>
        <v>68346.666666666672</v>
      </c>
      <c r="Z600">
        <f t="shared" si="39"/>
        <v>0</v>
      </c>
      <c r="AA600">
        <v>0</v>
      </c>
    </row>
    <row r="601" spans="1:27" x14ac:dyDescent="0.25">
      <c r="A601" s="1">
        <v>600</v>
      </c>
      <c r="B601" t="s">
        <v>2235</v>
      </c>
      <c r="C601" t="s">
        <v>1136</v>
      </c>
      <c r="D601" t="s">
        <v>1147</v>
      </c>
      <c r="E601" t="s">
        <v>1145</v>
      </c>
      <c r="H601" t="s">
        <v>1168</v>
      </c>
      <c r="I601" t="s">
        <v>1168</v>
      </c>
      <c r="J601" t="s">
        <v>2674</v>
      </c>
      <c r="K601" t="s">
        <v>1212</v>
      </c>
      <c r="M601" s="3">
        <f t="shared" si="36"/>
        <v>76.571428571428569</v>
      </c>
      <c r="N601">
        <v>28</v>
      </c>
      <c r="O601">
        <v>92</v>
      </c>
      <c r="P601">
        <v>88</v>
      </c>
      <c r="Q601">
        <v>90</v>
      </c>
      <c r="R601">
        <v>92</v>
      </c>
      <c r="S601">
        <v>94</v>
      </c>
      <c r="T601">
        <v>52</v>
      </c>
      <c r="U601">
        <v>0</v>
      </c>
      <c r="V601" s="3">
        <f t="shared" si="37"/>
        <v>6928952</v>
      </c>
      <c r="W601">
        <v>577412.66666666663</v>
      </c>
      <c r="X601">
        <v>0</v>
      </c>
      <c r="Y601">
        <f t="shared" si="38"/>
        <v>577412.66666666663</v>
      </c>
      <c r="Z601">
        <f t="shared" si="39"/>
        <v>0</v>
      </c>
      <c r="AA601">
        <v>0</v>
      </c>
    </row>
    <row r="602" spans="1:27" x14ac:dyDescent="0.25">
      <c r="A602" s="1">
        <v>601</v>
      </c>
      <c r="B602" t="s">
        <v>716</v>
      </c>
      <c r="C602" t="s">
        <v>1136</v>
      </c>
      <c r="D602" t="s">
        <v>1147</v>
      </c>
      <c r="G602" t="s">
        <v>1162</v>
      </c>
      <c r="H602" t="s">
        <v>1162</v>
      </c>
      <c r="I602" t="s">
        <v>1162</v>
      </c>
      <c r="J602" t="s">
        <v>2674</v>
      </c>
      <c r="K602" t="s">
        <v>1212</v>
      </c>
      <c r="M602" s="3">
        <f t="shared" si="36"/>
        <v>61.714285714285715</v>
      </c>
      <c r="N602">
        <v>40</v>
      </c>
      <c r="O602">
        <v>74</v>
      </c>
      <c r="P602">
        <v>71</v>
      </c>
      <c r="Q602">
        <v>65</v>
      </c>
      <c r="R602">
        <v>60</v>
      </c>
      <c r="S602">
        <v>72</v>
      </c>
      <c r="T602">
        <v>50</v>
      </c>
      <c r="U602">
        <v>0</v>
      </c>
      <c r="V602" s="3">
        <f t="shared" si="37"/>
        <v>801415</v>
      </c>
      <c r="W602">
        <v>66784.583333333328</v>
      </c>
      <c r="X602">
        <v>0</v>
      </c>
      <c r="Y602">
        <f t="shared" si="38"/>
        <v>66784.583333333328</v>
      </c>
      <c r="Z602">
        <f t="shared" si="39"/>
        <v>0</v>
      </c>
      <c r="AA602">
        <v>0</v>
      </c>
    </row>
    <row r="603" spans="1:27" x14ac:dyDescent="0.25">
      <c r="A603" s="1">
        <v>602</v>
      </c>
      <c r="B603" t="s">
        <v>2230</v>
      </c>
      <c r="C603" t="s">
        <v>1136</v>
      </c>
      <c r="D603" t="s">
        <v>1145</v>
      </c>
      <c r="E603" t="s">
        <v>1143</v>
      </c>
      <c r="H603" t="s">
        <v>1168</v>
      </c>
      <c r="I603" t="s">
        <v>1168</v>
      </c>
      <c r="J603" t="s">
        <v>2674</v>
      </c>
      <c r="K603" t="s">
        <v>1212</v>
      </c>
      <c r="M603" s="3">
        <f t="shared" si="36"/>
        <v>53.428571428571431</v>
      </c>
      <c r="N603">
        <v>7</v>
      </c>
      <c r="O603">
        <v>69</v>
      </c>
      <c r="P603">
        <v>62</v>
      </c>
      <c r="Q603">
        <v>68</v>
      </c>
      <c r="R603">
        <v>70</v>
      </c>
      <c r="S603">
        <v>72</v>
      </c>
      <c r="T603">
        <v>26</v>
      </c>
      <c r="U603">
        <v>0</v>
      </c>
      <c r="V603" s="3">
        <f t="shared" si="37"/>
        <v>189556</v>
      </c>
      <c r="W603">
        <v>15796.333333333334</v>
      </c>
      <c r="X603">
        <v>0</v>
      </c>
      <c r="Y603">
        <f t="shared" si="38"/>
        <v>15796.333333333334</v>
      </c>
      <c r="Z603">
        <f t="shared" si="39"/>
        <v>0</v>
      </c>
      <c r="AA603">
        <v>0</v>
      </c>
    </row>
    <row r="604" spans="1:27" x14ac:dyDescent="0.25">
      <c r="A604" s="1">
        <v>603</v>
      </c>
      <c r="B604" t="s">
        <v>2228</v>
      </c>
      <c r="C604" t="s">
        <v>1136</v>
      </c>
      <c r="D604" t="s">
        <v>1143</v>
      </c>
      <c r="E604" t="s">
        <v>1144</v>
      </c>
      <c r="H604" t="s">
        <v>1168</v>
      </c>
      <c r="I604" t="s">
        <v>1168</v>
      </c>
      <c r="J604" t="s">
        <v>2674</v>
      </c>
      <c r="K604" t="s">
        <v>1212</v>
      </c>
      <c r="M604" s="3">
        <f t="shared" si="36"/>
        <v>51.571428571428569</v>
      </c>
      <c r="N604">
        <v>6</v>
      </c>
      <c r="O604">
        <v>65</v>
      </c>
      <c r="P604">
        <v>59</v>
      </c>
      <c r="Q604">
        <v>67</v>
      </c>
      <c r="R604">
        <v>69</v>
      </c>
      <c r="S604">
        <v>71</v>
      </c>
      <c r="T604">
        <v>24</v>
      </c>
      <c r="U604">
        <v>0</v>
      </c>
      <c r="V604" s="3">
        <f t="shared" si="37"/>
        <v>133074</v>
      </c>
      <c r="W604">
        <v>11089.5</v>
      </c>
      <c r="X604">
        <v>0</v>
      </c>
      <c r="Y604">
        <f t="shared" si="38"/>
        <v>11089.5</v>
      </c>
      <c r="Z604">
        <f t="shared" si="39"/>
        <v>0</v>
      </c>
      <c r="AA604">
        <v>0</v>
      </c>
    </row>
    <row r="605" spans="1:27" x14ac:dyDescent="0.25">
      <c r="A605" s="1">
        <v>604</v>
      </c>
      <c r="B605" t="s">
        <v>2231</v>
      </c>
      <c r="C605" t="s">
        <v>1136</v>
      </c>
      <c r="D605" t="s">
        <v>1145</v>
      </c>
      <c r="E605" t="s">
        <v>1147</v>
      </c>
      <c r="H605" t="s">
        <v>1168</v>
      </c>
      <c r="I605" t="s">
        <v>1168</v>
      </c>
      <c r="J605" t="s">
        <v>2674</v>
      </c>
      <c r="K605" t="s">
        <v>1212</v>
      </c>
      <c r="M605" s="3">
        <f t="shared" si="36"/>
        <v>59.714285714285715</v>
      </c>
      <c r="N605">
        <v>11</v>
      </c>
      <c r="O605">
        <v>76</v>
      </c>
      <c r="P605">
        <v>69</v>
      </c>
      <c r="Q605">
        <v>74</v>
      </c>
      <c r="R605">
        <v>76</v>
      </c>
      <c r="S605">
        <v>78</v>
      </c>
      <c r="T605">
        <v>34</v>
      </c>
      <c r="U605">
        <v>0</v>
      </c>
      <c r="V605" s="3">
        <f t="shared" si="37"/>
        <v>576478</v>
      </c>
      <c r="W605">
        <v>48039.833333333336</v>
      </c>
      <c r="X605">
        <v>0</v>
      </c>
      <c r="Y605">
        <f t="shared" si="38"/>
        <v>48039.833333333336</v>
      </c>
      <c r="Z605">
        <f t="shared" si="39"/>
        <v>0</v>
      </c>
      <c r="AA605">
        <v>0</v>
      </c>
    </row>
    <row r="606" spans="1:27" x14ac:dyDescent="0.25">
      <c r="A606" s="1">
        <v>605</v>
      </c>
      <c r="B606" t="s">
        <v>2229</v>
      </c>
      <c r="C606" t="s">
        <v>1136</v>
      </c>
      <c r="D606" t="s">
        <v>1143</v>
      </c>
      <c r="E606" t="s">
        <v>1146</v>
      </c>
      <c r="H606" t="s">
        <v>1168</v>
      </c>
      <c r="I606" t="s">
        <v>1168</v>
      </c>
      <c r="J606" t="s">
        <v>2674</v>
      </c>
      <c r="K606" t="s">
        <v>1212</v>
      </c>
      <c r="M606" s="3">
        <f t="shared" si="36"/>
        <v>58</v>
      </c>
      <c r="N606">
        <v>10</v>
      </c>
      <c r="O606">
        <v>74</v>
      </c>
      <c r="P606">
        <v>67</v>
      </c>
      <c r="Q606">
        <v>72</v>
      </c>
      <c r="R606">
        <v>74</v>
      </c>
      <c r="S606">
        <v>76</v>
      </c>
      <c r="T606">
        <v>33</v>
      </c>
      <c r="U606">
        <v>0</v>
      </c>
      <c r="V606" s="3">
        <f t="shared" si="37"/>
        <v>430805</v>
      </c>
      <c r="W606">
        <v>35900.416666666664</v>
      </c>
      <c r="X606">
        <v>0</v>
      </c>
      <c r="Y606">
        <f t="shared" si="38"/>
        <v>35900.416666666664</v>
      </c>
      <c r="Z606">
        <f t="shared" si="39"/>
        <v>0</v>
      </c>
      <c r="AA606">
        <v>0</v>
      </c>
    </row>
    <row r="607" spans="1:27" x14ac:dyDescent="0.25">
      <c r="A607" s="1">
        <v>606</v>
      </c>
      <c r="B607" t="s">
        <v>2227</v>
      </c>
      <c r="C607" t="s">
        <v>1136</v>
      </c>
      <c r="D607" t="s">
        <v>1144</v>
      </c>
      <c r="E607" t="s">
        <v>1143</v>
      </c>
      <c r="H607" t="s">
        <v>1168</v>
      </c>
      <c r="I607" t="s">
        <v>1168</v>
      </c>
      <c r="J607" t="s">
        <v>2674</v>
      </c>
      <c r="K607" t="s">
        <v>1212</v>
      </c>
      <c r="M607" s="3">
        <f t="shared" si="36"/>
        <v>57</v>
      </c>
      <c r="N607">
        <v>9</v>
      </c>
      <c r="O607">
        <v>73</v>
      </c>
      <c r="P607">
        <v>65</v>
      </c>
      <c r="Q607">
        <v>72</v>
      </c>
      <c r="R607">
        <v>74</v>
      </c>
      <c r="S607">
        <v>76</v>
      </c>
      <c r="T607">
        <v>30</v>
      </c>
      <c r="U607">
        <v>0</v>
      </c>
      <c r="V607" s="3">
        <f t="shared" si="37"/>
        <v>362034</v>
      </c>
      <c r="W607">
        <v>30169.5</v>
      </c>
      <c r="X607">
        <v>0</v>
      </c>
      <c r="Y607">
        <f t="shared" si="38"/>
        <v>30169.5</v>
      </c>
      <c r="Z607">
        <f t="shared" si="39"/>
        <v>0</v>
      </c>
      <c r="AA607">
        <v>0</v>
      </c>
    </row>
    <row r="608" spans="1:27" x14ac:dyDescent="0.25">
      <c r="A608" s="1">
        <v>607</v>
      </c>
      <c r="B608" t="s">
        <v>2234</v>
      </c>
      <c r="C608" t="s">
        <v>1136</v>
      </c>
      <c r="D608" t="s">
        <v>1147</v>
      </c>
      <c r="E608" t="s">
        <v>1146</v>
      </c>
      <c r="H608" t="s">
        <v>1168</v>
      </c>
      <c r="I608" t="s">
        <v>1168</v>
      </c>
      <c r="J608" t="s">
        <v>2674</v>
      </c>
      <c r="K608" t="s">
        <v>1212</v>
      </c>
      <c r="M608" s="3">
        <f t="shared" si="36"/>
        <v>55.142857142857146</v>
      </c>
      <c r="N608">
        <v>8</v>
      </c>
      <c r="O608">
        <v>70</v>
      </c>
      <c r="P608">
        <v>64</v>
      </c>
      <c r="Q608">
        <v>70</v>
      </c>
      <c r="R608">
        <v>72</v>
      </c>
      <c r="S608">
        <v>74</v>
      </c>
      <c r="T608">
        <v>28</v>
      </c>
      <c r="U608">
        <v>0</v>
      </c>
      <c r="V608" s="3">
        <f t="shared" si="37"/>
        <v>259952</v>
      </c>
      <c r="W608">
        <v>21662.666666666668</v>
      </c>
      <c r="X608">
        <v>0</v>
      </c>
      <c r="Y608">
        <f t="shared" si="38"/>
        <v>21662.666666666668</v>
      </c>
      <c r="Z608">
        <f t="shared" si="39"/>
        <v>0</v>
      </c>
      <c r="AA608">
        <v>0</v>
      </c>
    </row>
    <row r="609" spans="1:27" x14ac:dyDescent="0.25">
      <c r="A609" s="1">
        <v>608</v>
      </c>
      <c r="B609" t="s">
        <v>2222</v>
      </c>
      <c r="C609" t="s">
        <v>1137</v>
      </c>
      <c r="D609" t="s">
        <v>1137</v>
      </c>
      <c r="H609" t="s">
        <v>1168</v>
      </c>
      <c r="I609" t="s">
        <v>1168</v>
      </c>
      <c r="J609" t="s">
        <v>2674</v>
      </c>
      <c r="K609" t="s">
        <v>1212</v>
      </c>
      <c r="M609" s="3">
        <f t="shared" si="36"/>
        <v>54.857142857142854</v>
      </c>
      <c r="N609">
        <v>9</v>
      </c>
      <c r="O609">
        <v>70</v>
      </c>
      <c r="P609">
        <v>62</v>
      </c>
      <c r="Q609">
        <v>69</v>
      </c>
      <c r="R609">
        <v>71</v>
      </c>
      <c r="S609">
        <v>73</v>
      </c>
      <c r="T609">
        <v>30</v>
      </c>
      <c r="U609">
        <v>0</v>
      </c>
      <c r="V609" s="3">
        <f t="shared" si="37"/>
        <v>246793</v>
      </c>
      <c r="W609">
        <v>20566.083333333332</v>
      </c>
      <c r="X609">
        <v>0</v>
      </c>
      <c r="Y609">
        <f t="shared" si="38"/>
        <v>20566.083333333332</v>
      </c>
      <c r="Z609">
        <f t="shared" si="39"/>
        <v>0</v>
      </c>
      <c r="AA609">
        <v>0</v>
      </c>
    </row>
    <row r="610" spans="1:27" x14ac:dyDescent="0.25">
      <c r="A610" s="1">
        <v>609</v>
      </c>
      <c r="B610" t="s">
        <v>1618</v>
      </c>
      <c r="C610" t="s">
        <v>1133</v>
      </c>
      <c r="D610" t="s">
        <v>1133</v>
      </c>
      <c r="H610" t="s">
        <v>1195</v>
      </c>
      <c r="I610" t="s">
        <v>1195</v>
      </c>
      <c r="J610" t="s">
        <v>2672</v>
      </c>
      <c r="K610" t="s">
        <v>1212</v>
      </c>
      <c r="M610" s="3">
        <f t="shared" si="36"/>
        <v>69.857142857142861</v>
      </c>
      <c r="N610">
        <v>40</v>
      </c>
      <c r="O610">
        <v>75</v>
      </c>
      <c r="P610">
        <v>75</v>
      </c>
      <c r="Q610">
        <v>78</v>
      </c>
      <c r="R610">
        <v>80</v>
      </c>
      <c r="S610">
        <v>81</v>
      </c>
      <c r="T610">
        <v>60</v>
      </c>
      <c r="U610">
        <v>0</v>
      </c>
      <c r="V610" s="3">
        <f t="shared" si="37"/>
        <v>2767632</v>
      </c>
      <c r="W610">
        <v>117219.66666666667</v>
      </c>
      <c r="X610">
        <v>0</v>
      </c>
      <c r="Y610">
        <f t="shared" si="38"/>
        <v>230636</v>
      </c>
      <c r="Z610">
        <f t="shared" si="39"/>
        <v>-49.18</v>
      </c>
      <c r="AA610">
        <v>0</v>
      </c>
    </row>
    <row r="611" spans="1:27" x14ac:dyDescent="0.25">
      <c r="A611" s="1">
        <v>610</v>
      </c>
      <c r="B611" t="s">
        <v>87</v>
      </c>
      <c r="C611" t="s">
        <v>1133</v>
      </c>
      <c r="D611" t="s">
        <v>1133</v>
      </c>
      <c r="G611" t="s">
        <v>1195</v>
      </c>
      <c r="H611" t="s">
        <v>1213</v>
      </c>
      <c r="I611" t="s">
        <v>1213</v>
      </c>
      <c r="J611" t="s">
        <v>2672</v>
      </c>
      <c r="K611" t="s">
        <v>1212</v>
      </c>
      <c r="M611" s="3">
        <f t="shared" si="36"/>
        <v>82.857142857142861</v>
      </c>
      <c r="N611">
        <v>70</v>
      </c>
      <c r="O611">
        <v>93</v>
      </c>
      <c r="P611">
        <v>90</v>
      </c>
      <c r="Q611">
        <v>85</v>
      </c>
      <c r="R611">
        <v>80</v>
      </c>
      <c r="S611">
        <v>92</v>
      </c>
      <c r="T611">
        <v>70</v>
      </c>
      <c r="U611">
        <v>31</v>
      </c>
      <c r="V611" s="3">
        <f t="shared" si="37"/>
        <v>22876564</v>
      </c>
      <c r="W611">
        <v>1441188.0833333333</v>
      </c>
      <c r="X611">
        <v>0</v>
      </c>
      <c r="Y611">
        <f t="shared" si="38"/>
        <v>1906380.3333333333</v>
      </c>
      <c r="Z611">
        <f t="shared" si="39"/>
        <v>-24.4</v>
      </c>
      <c r="AA611">
        <v>0</v>
      </c>
    </row>
    <row r="612" spans="1:27" x14ac:dyDescent="0.25">
      <c r="A612" s="1">
        <v>611</v>
      </c>
      <c r="B612" t="s">
        <v>1619</v>
      </c>
      <c r="C612" t="s">
        <v>1134</v>
      </c>
      <c r="D612" t="s">
        <v>1138</v>
      </c>
      <c r="E612" t="s">
        <v>1144</v>
      </c>
      <c r="G612" t="s">
        <v>1195</v>
      </c>
      <c r="H612" t="s">
        <v>1195</v>
      </c>
      <c r="I612" t="s">
        <v>1195</v>
      </c>
      <c r="J612" t="s">
        <v>2672</v>
      </c>
      <c r="K612" t="s">
        <v>1212</v>
      </c>
      <c r="M612" s="3">
        <f t="shared" si="36"/>
        <v>70.857142857142861</v>
      </c>
      <c r="N612">
        <v>36</v>
      </c>
      <c r="O612">
        <v>74</v>
      </c>
      <c r="P612">
        <v>68</v>
      </c>
      <c r="Q612">
        <v>86</v>
      </c>
      <c r="R612">
        <v>88</v>
      </c>
      <c r="S612">
        <v>86</v>
      </c>
      <c r="T612">
        <v>58</v>
      </c>
      <c r="U612">
        <v>0</v>
      </c>
      <c r="V612" s="3">
        <f t="shared" si="37"/>
        <v>3190336</v>
      </c>
      <c r="W612">
        <v>265861.33333333331</v>
      </c>
      <c r="X612">
        <v>0</v>
      </c>
      <c r="Y612">
        <f t="shared" si="38"/>
        <v>265861.33333333331</v>
      </c>
      <c r="Z612">
        <f t="shared" si="39"/>
        <v>0</v>
      </c>
      <c r="AA612">
        <v>0</v>
      </c>
    </row>
    <row r="613" spans="1:27" x14ac:dyDescent="0.25">
      <c r="A613" s="1">
        <v>612</v>
      </c>
      <c r="B613" t="s">
        <v>316</v>
      </c>
      <c r="C613" t="s">
        <v>1134</v>
      </c>
      <c r="D613" t="s">
        <v>1138</v>
      </c>
      <c r="E613" t="s">
        <v>1140</v>
      </c>
      <c r="F613" t="s">
        <v>1144</v>
      </c>
      <c r="G613" t="s">
        <v>1188</v>
      </c>
      <c r="H613" t="s">
        <v>1188</v>
      </c>
      <c r="I613" t="s">
        <v>1188</v>
      </c>
      <c r="J613" t="s">
        <v>2672</v>
      </c>
      <c r="K613" t="s">
        <v>1212</v>
      </c>
      <c r="M613" s="3">
        <f t="shared" si="36"/>
        <v>92.571428571428569</v>
      </c>
      <c r="N613">
        <v>84</v>
      </c>
      <c r="O613">
        <v>86</v>
      </c>
      <c r="P613">
        <v>90</v>
      </c>
      <c r="Q613">
        <v>99</v>
      </c>
      <c r="R613">
        <v>95</v>
      </c>
      <c r="S613">
        <v>98</v>
      </c>
      <c r="T613">
        <v>96</v>
      </c>
      <c r="U613">
        <v>27</v>
      </c>
      <c r="V613" s="3">
        <f t="shared" si="37"/>
        <v>69320378</v>
      </c>
      <c r="W613">
        <v>5776698.166666667</v>
      </c>
      <c r="X613">
        <v>0</v>
      </c>
      <c r="Y613">
        <f t="shared" si="38"/>
        <v>5776698.166666667</v>
      </c>
      <c r="Z613">
        <f t="shared" si="39"/>
        <v>0</v>
      </c>
      <c r="AA613">
        <v>0</v>
      </c>
    </row>
    <row r="614" spans="1:27" x14ac:dyDescent="0.25">
      <c r="A614" s="1">
        <v>613</v>
      </c>
      <c r="B614" t="s">
        <v>352</v>
      </c>
      <c r="C614" t="s">
        <v>1134</v>
      </c>
      <c r="D614" t="s">
        <v>1138</v>
      </c>
      <c r="G614" t="s">
        <v>1195</v>
      </c>
      <c r="H614" t="s">
        <v>1195</v>
      </c>
      <c r="I614" t="s">
        <v>1195</v>
      </c>
      <c r="J614" t="s">
        <v>2672</v>
      </c>
      <c r="K614" t="s">
        <v>1212</v>
      </c>
      <c r="M614" s="3">
        <f t="shared" si="36"/>
        <v>78.142857142857139</v>
      </c>
      <c r="N614">
        <v>61</v>
      </c>
      <c r="O614">
        <v>75</v>
      </c>
      <c r="P614">
        <v>85</v>
      </c>
      <c r="Q614">
        <v>80</v>
      </c>
      <c r="R614">
        <v>81</v>
      </c>
      <c r="S614">
        <v>95</v>
      </c>
      <c r="T614">
        <v>70</v>
      </c>
      <c r="U614">
        <v>27</v>
      </c>
      <c r="V614" s="3">
        <f t="shared" si="37"/>
        <v>12734566</v>
      </c>
      <c r="W614">
        <v>1061213.8333333333</v>
      </c>
      <c r="X614">
        <v>0</v>
      </c>
      <c r="Y614">
        <f t="shared" si="38"/>
        <v>1061213.8333333333</v>
      </c>
      <c r="Z614">
        <f t="shared" si="39"/>
        <v>0</v>
      </c>
      <c r="AA614">
        <v>0</v>
      </c>
    </row>
    <row r="615" spans="1:27" x14ac:dyDescent="0.25">
      <c r="A615" s="1">
        <v>614</v>
      </c>
      <c r="B615" t="s">
        <v>1622</v>
      </c>
      <c r="C615" t="s">
        <v>1134</v>
      </c>
      <c r="D615" t="s">
        <v>1138</v>
      </c>
      <c r="E615" t="s">
        <v>1139</v>
      </c>
      <c r="H615" t="s">
        <v>1195</v>
      </c>
      <c r="I615" t="s">
        <v>1195</v>
      </c>
      <c r="J615" t="s">
        <v>2672</v>
      </c>
      <c r="K615" t="s">
        <v>1212</v>
      </c>
      <c r="M615" s="3">
        <f t="shared" si="36"/>
        <v>60.285714285714285</v>
      </c>
      <c r="N615">
        <v>19</v>
      </c>
      <c r="O615">
        <v>79</v>
      </c>
      <c r="P615">
        <v>50</v>
      </c>
      <c r="Q615">
        <v>72</v>
      </c>
      <c r="R615">
        <v>74</v>
      </c>
      <c r="S615">
        <v>77</v>
      </c>
      <c r="T615">
        <v>51</v>
      </c>
      <c r="U615">
        <v>0</v>
      </c>
      <c r="V615" s="3">
        <f t="shared" si="37"/>
        <v>634081</v>
      </c>
      <c r="W615">
        <v>52840.083333333336</v>
      </c>
      <c r="X615">
        <v>0</v>
      </c>
      <c r="Y615">
        <f t="shared" si="38"/>
        <v>52840.083333333336</v>
      </c>
      <c r="Z615">
        <f t="shared" si="39"/>
        <v>0</v>
      </c>
      <c r="AA615">
        <v>0</v>
      </c>
    </row>
    <row r="616" spans="1:27" x14ac:dyDescent="0.25">
      <c r="A616" s="1">
        <v>615</v>
      </c>
      <c r="B616" t="s">
        <v>1621</v>
      </c>
      <c r="C616" t="s">
        <v>1134</v>
      </c>
      <c r="D616" t="s">
        <v>1140</v>
      </c>
      <c r="E616" t="s">
        <v>1139</v>
      </c>
      <c r="H616" t="s">
        <v>1195</v>
      </c>
      <c r="I616" t="s">
        <v>1195</v>
      </c>
      <c r="J616" t="s">
        <v>2672</v>
      </c>
      <c r="K616" t="s">
        <v>1212</v>
      </c>
      <c r="M616" s="3">
        <f t="shared" si="36"/>
        <v>65.857142857142861</v>
      </c>
      <c r="N616">
        <v>38</v>
      </c>
      <c r="O616">
        <v>66</v>
      </c>
      <c r="P616">
        <v>63</v>
      </c>
      <c r="Q616">
        <v>80</v>
      </c>
      <c r="R616">
        <v>76</v>
      </c>
      <c r="S616">
        <v>82</v>
      </c>
      <c r="T616">
        <v>56</v>
      </c>
      <c r="U616">
        <v>0</v>
      </c>
      <c r="V616" s="3">
        <f t="shared" si="37"/>
        <v>1534719</v>
      </c>
      <c r="W616">
        <v>127893.25</v>
      </c>
      <c r="X616">
        <v>0</v>
      </c>
      <c r="Y616">
        <f t="shared" si="38"/>
        <v>127893.25</v>
      </c>
      <c r="Z616">
        <f t="shared" si="39"/>
        <v>0</v>
      </c>
      <c r="AA616">
        <v>0</v>
      </c>
    </row>
    <row r="617" spans="1:27" x14ac:dyDescent="0.25">
      <c r="A617" s="1">
        <v>616</v>
      </c>
      <c r="B617" t="s">
        <v>351</v>
      </c>
      <c r="C617" t="s">
        <v>1134</v>
      </c>
      <c r="D617" t="s">
        <v>1138</v>
      </c>
      <c r="E617" t="s">
        <v>1140</v>
      </c>
      <c r="G617" t="s">
        <v>1195</v>
      </c>
      <c r="H617" t="s">
        <v>1195</v>
      </c>
      <c r="I617" t="s">
        <v>1195</v>
      </c>
      <c r="J617" t="s">
        <v>2672</v>
      </c>
      <c r="K617" t="s">
        <v>1212</v>
      </c>
      <c r="M617" s="3">
        <f t="shared" si="36"/>
        <v>84.142857142857139</v>
      </c>
      <c r="N617">
        <v>77</v>
      </c>
      <c r="O617">
        <v>80</v>
      </c>
      <c r="P617">
        <v>90</v>
      </c>
      <c r="Q617">
        <v>87</v>
      </c>
      <c r="R617">
        <v>88</v>
      </c>
      <c r="S617">
        <v>89</v>
      </c>
      <c r="T617">
        <v>78</v>
      </c>
      <c r="U617">
        <v>26</v>
      </c>
      <c r="V617" s="3">
        <f t="shared" si="37"/>
        <v>26684792</v>
      </c>
      <c r="W617">
        <v>2223732.6666666665</v>
      </c>
      <c r="X617">
        <v>0</v>
      </c>
      <c r="Y617">
        <f t="shared" si="38"/>
        <v>2223732.6666666665</v>
      </c>
      <c r="Z617">
        <f t="shared" si="39"/>
        <v>0</v>
      </c>
      <c r="AA617">
        <v>0</v>
      </c>
    </row>
    <row r="618" spans="1:27" x14ac:dyDescent="0.25">
      <c r="A618" s="1">
        <v>617</v>
      </c>
      <c r="B618" t="s">
        <v>1620</v>
      </c>
      <c r="C618" t="s">
        <v>1134</v>
      </c>
      <c r="D618" t="s">
        <v>1138</v>
      </c>
      <c r="E618" t="s">
        <v>1140</v>
      </c>
      <c r="H618" t="s">
        <v>1195</v>
      </c>
      <c r="I618" t="s">
        <v>1195</v>
      </c>
      <c r="J618" t="s">
        <v>2672</v>
      </c>
      <c r="K618" t="s">
        <v>1212</v>
      </c>
      <c r="M618" s="3">
        <f t="shared" si="36"/>
        <v>63.571428571428569</v>
      </c>
      <c r="N618">
        <v>21</v>
      </c>
      <c r="O618">
        <v>82</v>
      </c>
      <c r="P618">
        <v>57</v>
      </c>
      <c r="Q618">
        <v>75</v>
      </c>
      <c r="R618">
        <v>78</v>
      </c>
      <c r="S618">
        <v>80</v>
      </c>
      <c r="T618">
        <v>52</v>
      </c>
      <c r="U618">
        <v>0</v>
      </c>
      <c r="V618" s="3">
        <f t="shared" si="37"/>
        <v>1078003</v>
      </c>
      <c r="W618">
        <v>89833.583333333328</v>
      </c>
      <c r="X618">
        <v>0</v>
      </c>
      <c r="Y618">
        <f t="shared" si="38"/>
        <v>89833.583333333328</v>
      </c>
      <c r="Z618">
        <f t="shared" si="39"/>
        <v>0</v>
      </c>
      <c r="AA618">
        <v>0</v>
      </c>
    </row>
    <row r="619" spans="1:27" x14ac:dyDescent="0.25">
      <c r="A619" s="1">
        <v>618</v>
      </c>
      <c r="B619" t="s">
        <v>350</v>
      </c>
      <c r="C619" t="s">
        <v>1134</v>
      </c>
      <c r="D619" t="s">
        <v>1138</v>
      </c>
      <c r="E619" t="s">
        <v>1140</v>
      </c>
      <c r="G619" t="s">
        <v>1195</v>
      </c>
      <c r="H619" t="s">
        <v>1195</v>
      </c>
      <c r="I619" t="s">
        <v>1195</v>
      </c>
      <c r="J619" t="s">
        <v>2672</v>
      </c>
      <c r="K619" t="s">
        <v>1212</v>
      </c>
      <c r="M619" s="3">
        <f t="shared" si="36"/>
        <v>83.428571428571431</v>
      </c>
      <c r="N619">
        <v>75</v>
      </c>
      <c r="O619">
        <v>76</v>
      </c>
      <c r="P619">
        <v>93</v>
      </c>
      <c r="Q619">
        <v>85</v>
      </c>
      <c r="R619">
        <v>86</v>
      </c>
      <c r="S619">
        <v>89</v>
      </c>
      <c r="T619">
        <v>80</v>
      </c>
      <c r="U619">
        <v>26</v>
      </c>
      <c r="V619" s="3">
        <f t="shared" si="37"/>
        <v>24504133</v>
      </c>
      <c r="W619">
        <v>2042011.0833333333</v>
      </c>
      <c r="X619">
        <v>0</v>
      </c>
      <c r="Y619">
        <f t="shared" si="38"/>
        <v>2042011.0833333333</v>
      </c>
      <c r="Z619">
        <f t="shared" si="39"/>
        <v>0</v>
      </c>
      <c r="AA619">
        <v>0</v>
      </c>
    </row>
    <row r="620" spans="1:27" x14ac:dyDescent="0.25">
      <c r="A620" s="1">
        <v>619</v>
      </c>
      <c r="B620" t="s">
        <v>582</v>
      </c>
      <c r="C620" t="s">
        <v>1135</v>
      </c>
      <c r="D620" t="s">
        <v>1141</v>
      </c>
      <c r="E620" t="s">
        <v>1142</v>
      </c>
      <c r="G620" t="s">
        <v>1195</v>
      </c>
      <c r="H620" t="s">
        <v>1195</v>
      </c>
      <c r="I620" t="s">
        <v>1195</v>
      </c>
      <c r="J620" t="s">
        <v>2672</v>
      </c>
      <c r="K620" t="s">
        <v>1212</v>
      </c>
      <c r="M620" s="3">
        <f t="shared" si="36"/>
        <v>77.571428571428569</v>
      </c>
      <c r="N620">
        <v>62</v>
      </c>
      <c r="O620">
        <v>80</v>
      </c>
      <c r="P620">
        <v>85</v>
      </c>
      <c r="Q620">
        <v>81</v>
      </c>
      <c r="R620">
        <v>80</v>
      </c>
      <c r="S620">
        <v>85</v>
      </c>
      <c r="T620">
        <v>70</v>
      </c>
      <c r="U620">
        <v>16</v>
      </c>
      <c r="V620" s="3">
        <f t="shared" si="37"/>
        <v>11833390</v>
      </c>
      <c r="W620">
        <v>986115.83333333337</v>
      </c>
      <c r="X620">
        <v>0</v>
      </c>
      <c r="Y620">
        <f t="shared" si="38"/>
        <v>986115.83333333337</v>
      </c>
      <c r="Z620">
        <f t="shared" si="39"/>
        <v>0</v>
      </c>
      <c r="AA620">
        <v>0</v>
      </c>
    </row>
    <row r="621" spans="1:27" x14ac:dyDescent="0.25">
      <c r="A621" s="1">
        <v>620</v>
      </c>
      <c r="B621" t="s">
        <v>583</v>
      </c>
      <c r="C621" t="s">
        <v>1135</v>
      </c>
      <c r="D621" t="s">
        <v>1141</v>
      </c>
      <c r="E621" t="s">
        <v>1142</v>
      </c>
      <c r="G621" t="s">
        <v>1195</v>
      </c>
      <c r="H621" t="s">
        <v>1195</v>
      </c>
      <c r="I621" t="s">
        <v>1195</v>
      </c>
      <c r="J621" t="s">
        <v>2672</v>
      </c>
      <c r="K621" t="s">
        <v>1212</v>
      </c>
      <c r="M621" s="3">
        <f t="shared" si="36"/>
        <v>91.142857142857139</v>
      </c>
      <c r="N621">
        <v>86</v>
      </c>
      <c r="O621">
        <v>86</v>
      </c>
      <c r="P621">
        <v>97</v>
      </c>
      <c r="Q621">
        <v>86</v>
      </c>
      <c r="R621">
        <v>91</v>
      </c>
      <c r="S621">
        <v>98</v>
      </c>
      <c r="T621">
        <v>94</v>
      </c>
      <c r="U621">
        <v>7</v>
      </c>
      <c r="V621" s="3">
        <f t="shared" si="37"/>
        <v>59335916</v>
      </c>
      <c r="W621">
        <v>4944659.666666667</v>
      </c>
      <c r="X621">
        <v>0</v>
      </c>
      <c r="Y621">
        <f t="shared" si="38"/>
        <v>4944659.666666667</v>
      </c>
      <c r="Z621">
        <f t="shared" si="39"/>
        <v>0</v>
      </c>
      <c r="AA621">
        <v>0</v>
      </c>
    </row>
    <row r="622" spans="1:27" x14ac:dyDescent="0.25">
      <c r="A622" s="1">
        <v>621</v>
      </c>
      <c r="B622" t="s">
        <v>1623</v>
      </c>
      <c r="C622" t="s">
        <v>1135</v>
      </c>
      <c r="D622" t="s">
        <v>1141</v>
      </c>
      <c r="E622" t="s">
        <v>1142</v>
      </c>
      <c r="H622" t="s">
        <v>1195</v>
      </c>
      <c r="I622" t="s">
        <v>1195</v>
      </c>
      <c r="J622" t="s">
        <v>2672</v>
      </c>
      <c r="K622" t="s">
        <v>1212</v>
      </c>
      <c r="M622" s="3">
        <f t="shared" si="36"/>
        <v>69.714285714285708</v>
      </c>
      <c r="N622">
        <v>45</v>
      </c>
      <c r="O622">
        <v>78</v>
      </c>
      <c r="P622">
        <v>70</v>
      </c>
      <c r="Q622">
        <v>77</v>
      </c>
      <c r="R622">
        <v>84</v>
      </c>
      <c r="S622">
        <v>79</v>
      </c>
      <c r="T622">
        <v>55</v>
      </c>
      <c r="U622">
        <v>0</v>
      </c>
      <c r="V622" s="3">
        <f t="shared" si="37"/>
        <v>2711552</v>
      </c>
      <c r="W622">
        <v>172494.25</v>
      </c>
      <c r="X622">
        <v>0</v>
      </c>
      <c r="Y622">
        <f t="shared" si="38"/>
        <v>225962.66666666666</v>
      </c>
      <c r="Z622">
        <f t="shared" si="39"/>
        <v>-23.66</v>
      </c>
      <c r="AA622">
        <v>0</v>
      </c>
    </row>
    <row r="623" spans="1:27" x14ac:dyDescent="0.25">
      <c r="A623" s="1">
        <v>622</v>
      </c>
      <c r="B623" t="s">
        <v>584</v>
      </c>
      <c r="C623" t="s">
        <v>1135</v>
      </c>
      <c r="D623" t="s">
        <v>1141</v>
      </c>
      <c r="E623" t="s">
        <v>1145</v>
      </c>
      <c r="G623" t="s">
        <v>1195</v>
      </c>
      <c r="H623" t="s">
        <v>1195</v>
      </c>
      <c r="I623" t="s">
        <v>1195</v>
      </c>
      <c r="J623" t="s">
        <v>2672</v>
      </c>
      <c r="K623" t="s">
        <v>1212</v>
      </c>
      <c r="M623" s="3">
        <f t="shared" si="36"/>
        <v>65.857142857142861</v>
      </c>
      <c r="N623">
        <v>45</v>
      </c>
      <c r="O623">
        <v>72</v>
      </c>
      <c r="P623">
        <v>73</v>
      </c>
      <c r="Q623">
        <v>70</v>
      </c>
      <c r="R623">
        <v>70</v>
      </c>
      <c r="S623">
        <v>79</v>
      </c>
      <c r="T623">
        <v>52</v>
      </c>
      <c r="U623">
        <v>0</v>
      </c>
      <c r="V623" s="3">
        <f t="shared" si="37"/>
        <v>1534719</v>
      </c>
      <c r="W623">
        <v>127893.25</v>
      </c>
      <c r="X623">
        <v>0</v>
      </c>
      <c r="Y623">
        <f t="shared" si="38"/>
        <v>127893.25</v>
      </c>
      <c r="Z623">
        <f t="shared" si="39"/>
        <v>0</v>
      </c>
      <c r="AA623">
        <v>0</v>
      </c>
    </row>
    <row r="624" spans="1:27" x14ac:dyDescent="0.25">
      <c r="A624" s="1">
        <v>623</v>
      </c>
      <c r="B624" t="s">
        <v>1624</v>
      </c>
      <c r="C624" t="s">
        <v>1135</v>
      </c>
      <c r="D624" t="s">
        <v>1141</v>
      </c>
      <c r="E624" t="s">
        <v>1145</v>
      </c>
      <c r="G624" t="s">
        <v>1195</v>
      </c>
      <c r="H624" t="s">
        <v>1195</v>
      </c>
      <c r="I624" t="s">
        <v>1195</v>
      </c>
      <c r="J624" t="s">
        <v>2672</v>
      </c>
      <c r="K624" t="s">
        <v>1212</v>
      </c>
      <c r="M624" s="3">
        <f t="shared" si="36"/>
        <v>74.714285714285708</v>
      </c>
      <c r="N624">
        <v>45</v>
      </c>
      <c r="O624">
        <v>80</v>
      </c>
      <c r="P624">
        <v>85</v>
      </c>
      <c r="Q624">
        <v>80</v>
      </c>
      <c r="R624">
        <v>83</v>
      </c>
      <c r="S624">
        <v>90</v>
      </c>
      <c r="T624">
        <v>60</v>
      </c>
      <c r="U624">
        <v>7</v>
      </c>
      <c r="V624" s="3">
        <f t="shared" si="37"/>
        <v>8130697</v>
      </c>
      <c r="W624">
        <v>677558.08333333337</v>
      </c>
      <c r="X624">
        <v>0</v>
      </c>
      <c r="Y624">
        <f t="shared" si="38"/>
        <v>677558.08333333337</v>
      </c>
      <c r="Z624">
        <f t="shared" si="39"/>
        <v>0</v>
      </c>
      <c r="AA624">
        <v>0</v>
      </c>
    </row>
    <row r="625" spans="1:27" x14ac:dyDescent="0.25">
      <c r="A625" s="1">
        <v>624</v>
      </c>
      <c r="B625" t="s">
        <v>1625</v>
      </c>
      <c r="C625" t="s">
        <v>1136</v>
      </c>
      <c r="D625" t="s">
        <v>1143</v>
      </c>
      <c r="E625" t="s">
        <v>1145</v>
      </c>
      <c r="H625" t="s">
        <v>1195</v>
      </c>
      <c r="I625" t="s">
        <v>1195</v>
      </c>
      <c r="J625" t="s">
        <v>2672</v>
      </c>
      <c r="K625" t="s">
        <v>1212</v>
      </c>
      <c r="M625" s="3">
        <f t="shared" si="36"/>
        <v>68.428571428571431</v>
      </c>
      <c r="N625">
        <v>35</v>
      </c>
      <c r="O625">
        <v>78</v>
      </c>
      <c r="P625">
        <v>71</v>
      </c>
      <c r="Q625">
        <v>82</v>
      </c>
      <c r="R625">
        <v>79</v>
      </c>
      <c r="S625">
        <v>77</v>
      </c>
      <c r="T625">
        <v>57</v>
      </c>
      <c r="U625">
        <v>0</v>
      </c>
      <c r="V625" s="3">
        <f t="shared" si="37"/>
        <v>2250997</v>
      </c>
      <c r="W625">
        <v>187583.08333333334</v>
      </c>
      <c r="X625">
        <v>0</v>
      </c>
      <c r="Y625">
        <f t="shared" si="38"/>
        <v>187583.08333333334</v>
      </c>
      <c r="Z625">
        <f t="shared" si="39"/>
        <v>0</v>
      </c>
      <c r="AA625">
        <v>0</v>
      </c>
    </row>
    <row r="626" spans="1:27" x14ac:dyDescent="0.25">
      <c r="A626" s="1">
        <v>625</v>
      </c>
      <c r="B626" t="s">
        <v>922</v>
      </c>
      <c r="C626" t="s">
        <v>1136</v>
      </c>
      <c r="D626" t="s">
        <v>1145</v>
      </c>
      <c r="E626" t="s">
        <v>1147</v>
      </c>
      <c r="F626" t="s">
        <v>1146</v>
      </c>
      <c r="G626" t="s">
        <v>1195</v>
      </c>
      <c r="H626" t="s">
        <v>1195</v>
      </c>
      <c r="I626" t="s">
        <v>1195</v>
      </c>
      <c r="J626" t="s">
        <v>2672</v>
      </c>
      <c r="K626" t="s">
        <v>1212</v>
      </c>
      <c r="M626" s="3">
        <f t="shared" si="36"/>
        <v>89.857142857142861</v>
      </c>
      <c r="N626">
        <v>90</v>
      </c>
      <c r="O626">
        <v>83</v>
      </c>
      <c r="P626">
        <v>95</v>
      </c>
      <c r="Q626">
        <v>93</v>
      </c>
      <c r="R626">
        <v>89</v>
      </c>
      <c r="S626">
        <v>88</v>
      </c>
      <c r="T626">
        <v>91</v>
      </c>
      <c r="U626">
        <v>24</v>
      </c>
      <c r="V626" s="3">
        <f t="shared" si="37"/>
        <v>51477485</v>
      </c>
      <c r="W626">
        <v>4289790.416666667</v>
      </c>
      <c r="X626">
        <v>0</v>
      </c>
      <c r="Y626">
        <f t="shared" si="38"/>
        <v>4289790.416666667</v>
      </c>
      <c r="Z626">
        <f t="shared" si="39"/>
        <v>0</v>
      </c>
      <c r="AA626">
        <v>0</v>
      </c>
    </row>
    <row r="627" spans="1:27" x14ac:dyDescent="0.25">
      <c r="A627" s="1">
        <v>626</v>
      </c>
      <c r="B627" t="s">
        <v>920</v>
      </c>
      <c r="C627" t="s">
        <v>1136</v>
      </c>
      <c r="D627" t="s">
        <v>1143</v>
      </c>
      <c r="E627" t="s">
        <v>1145</v>
      </c>
      <c r="G627" t="s">
        <v>1195</v>
      </c>
      <c r="H627" t="s">
        <v>1195</v>
      </c>
      <c r="I627" t="s">
        <v>1195</v>
      </c>
      <c r="J627" t="s">
        <v>2672</v>
      </c>
      <c r="K627" t="s">
        <v>1212</v>
      </c>
      <c r="M627" s="3">
        <f t="shared" si="36"/>
        <v>87.428571428571431</v>
      </c>
      <c r="N627">
        <v>88</v>
      </c>
      <c r="O627">
        <v>85</v>
      </c>
      <c r="P627">
        <v>92</v>
      </c>
      <c r="Q627">
        <v>85</v>
      </c>
      <c r="R627">
        <v>90</v>
      </c>
      <c r="S627">
        <v>92</v>
      </c>
      <c r="T627">
        <v>80</v>
      </c>
      <c r="U627">
        <v>26</v>
      </c>
      <c r="V627" s="3">
        <f t="shared" si="37"/>
        <v>39140384</v>
      </c>
      <c r="W627">
        <v>3261698.6666666665</v>
      </c>
      <c r="X627">
        <v>0</v>
      </c>
      <c r="Y627">
        <f t="shared" si="38"/>
        <v>3261698.6666666665</v>
      </c>
      <c r="Z627">
        <f t="shared" si="39"/>
        <v>0</v>
      </c>
      <c r="AA627">
        <v>0</v>
      </c>
    </row>
    <row r="628" spans="1:27" x14ac:dyDescent="0.25">
      <c r="A628" s="1">
        <v>627</v>
      </c>
      <c r="B628" t="s">
        <v>923</v>
      </c>
      <c r="C628" t="s">
        <v>1136</v>
      </c>
      <c r="D628" t="s">
        <v>1144</v>
      </c>
      <c r="E628" t="s">
        <v>1143</v>
      </c>
      <c r="F628" t="s">
        <v>1138</v>
      </c>
      <c r="G628" t="s">
        <v>1195</v>
      </c>
      <c r="H628" t="s">
        <v>1195</v>
      </c>
      <c r="I628" t="s">
        <v>1195</v>
      </c>
      <c r="J628" t="s">
        <v>2672</v>
      </c>
      <c r="K628" t="s">
        <v>1212</v>
      </c>
      <c r="M628" s="3">
        <f t="shared" si="36"/>
        <v>88.285714285714292</v>
      </c>
      <c r="N628">
        <v>84</v>
      </c>
      <c r="O628">
        <v>80</v>
      </c>
      <c r="P628">
        <v>92</v>
      </c>
      <c r="Q628">
        <v>84</v>
      </c>
      <c r="R628">
        <v>98</v>
      </c>
      <c r="S628">
        <v>97</v>
      </c>
      <c r="T628">
        <v>83</v>
      </c>
      <c r="U628">
        <v>18</v>
      </c>
      <c r="V628" s="3">
        <f t="shared" si="37"/>
        <v>43151472</v>
      </c>
      <c r="W628">
        <v>3595956</v>
      </c>
      <c r="X628">
        <v>0</v>
      </c>
      <c r="Y628">
        <f t="shared" si="38"/>
        <v>3595956</v>
      </c>
      <c r="Z628">
        <f t="shared" si="39"/>
        <v>0</v>
      </c>
      <c r="AA628">
        <v>0</v>
      </c>
    </row>
    <row r="629" spans="1:27" x14ac:dyDescent="0.25">
      <c r="A629" s="1">
        <v>628</v>
      </c>
      <c r="B629" t="s">
        <v>1626</v>
      </c>
      <c r="C629" t="s">
        <v>1136</v>
      </c>
      <c r="D629" t="s">
        <v>1143</v>
      </c>
      <c r="E629" t="s">
        <v>1144</v>
      </c>
      <c r="H629" t="s">
        <v>1195</v>
      </c>
      <c r="I629" t="s">
        <v>1195</v>
      </c>
      <c r="J629" t="s">
        <v>2672</v>
      </c>
      <c r="K629" t="s">
        <v>1212</v>
      </c>
      <c r="M629" s="3">
        <f t="shared" si="36"/>
        <v>63.714285714285715</v>
      </c>
      <c r="N629">
        <v>28</v>
      </c>
      <c r="O629">
        <v>73</v>
      </c>
      <c r="P629">
        <v>64</v>
      </c>
      <c r="Q629">
        <v>76</v>
      </c>
      <c r="R629">
        <v>77</v>
      </c>
      <c r="S629">
        <v>75</v>
      </c>
      <c r="T629">
        <v>53</v>
      </c>
      <c r="U629">
        <v>0</v>
      </c>
      <c r="V629" s="3">
        <f t="shared" si="37"/>
        <v>1102474</v>
      </c>
      <c r="W629">
        <v>91872.833333333328</v>
      </c>
      <c r="X629">
        <v>0</v>
      </c>
      <c r="Y629">
        <f t="shared" si="38"/>
        <v>91872.833333333328</v>
      </c>
      <c r="Z629">
        <f t="shared" si="39"/>
        <v>0</v>
      </c>
      <c r="AA629">
        <v>0</v>
      </c>
    </row>
    <row r="630" spans="1:27" x14ac:dyDescent="0.25">
      <c r="A630" s="1">
        <v>629</v>
      </c>
      <c r="B630" t="s">
        <v>1627</v>
      </c>
      <c r="C630" t="s">
        <v>1136</v>
      </c>
      <c r="D630" t="s">
        <v>1144</v>
      </c>
      <c r="E630" t="s">
        <v>1138</v>
      </c>
      <c r="H630" t="s">
        <v>1195</v>
      </c>
      <c r="I630" t="s">
        <v>1195</v>
      </c>
      <c r="J630" t="s">
        <v>2672</v>
      </c>
      <c r="K630" t="s">
        <v>1212</v>
      </c>
      <c r="M630" s="3">
        <f t="shared" si="36"/>
        <v>67.142857142857139</v>
      </c>
      <c r="N630">
        <v>32</v>
      </c>
      <c r="O630">
        <v>69</v>
      </c>
      <c r="P630">
        <v>67</v>
      </c>
      <c r="Q630">
        <v>78</v>
      </c>
      <c r="R630">
        <v>85</v>
      </c>
      <c r="S630">
        <v>80</v>
      </c>
      <c r="T630">
        <v>59</v>
      </c>
      <c r="U630">
        <v>0</v>
      </c>
      <c r="V630" s="3">
        <f t="shared" si="37"/>
        <v>1862080</v>
      </c>
      <c r="W630">
        <v>155173.33333333334</v>
      </c>
      <c r="X630">
        <v>0</v>
      </c>
      <c r="Y630">
        <f t="shared" si="38"/>
        <v>155173.33333333334</v>
      </c>
      <c r="Z630">
        <f t="shared" si="39"/>
        <v>0</v>
      </c>
      <c r="AA630">
        <v>0</v>
      </c>
    </row>
    <row r="631" spans="1:27" x14ac:dyDescent="0.25">
      <c r="A631" s="1">
        <v>630</v>
      </c>
      <c r="B631" t="s">
        <v>921</v>
      </c>
      <c r="C631" t="s">
        <v>1136</v>
      </c>
      <c r="D631" t="s">
        <v>1143</v>
      </c>
      <c r="E631" t="s">
        <v>1145</v>
      </c>
      <c r="G631" t="s">
        <v>1195</v>
      </c>
      <c r="H631" t="s">
        <v>1195</v>
      </c>
      <c r="I631" t="s">
        <v>1195</v>
      </c>
      <c r="J631" t="s">
        <v>2672</v>
      </c>
      <c r="K631" t="s">
        <v>1212</v>
      </c>
      <c r="M631" s="3">
        <f t="shared" si="36"/>
        <v>85.571428571428569</v>
      </c>
      <c r="N631">
        <v>83</v>
      </c>
      <c r="O631">
        <v>82</v>
      </c>
      <c r="P631">
        <v>84</v>
      </c>
      <c r="Q631">
        <v>85</v>
      </c>
      <c r="R631">
        <v>91</v>
      </c>
      <c r="S631">
        <v>93</v>
      </c>
      <c r="T631">
        <v>81</v>
      </c>
      <c r="U631">
        <v>18</v>
      </c>
      <c r="V631" s="3">
        <f t="shared" si="37"/>
        <v>31577598</v>
      </c>
      <c r="W631">
        <v>2631466.5</v>
      </c>
      <c r="X631">
        <v>0</v>
      </c>
      <c r="Y631">
        <f t="shared" si="38"/>
        <v>2631466.5</v>
      </c>
      <c r="Z631">
        <f t="shared" si="39"/>
        <v>0</v>
      </c>
      <c r="AA631">
        <v>0</v>
      </c>
    </row>
    <row r="632" spans="1:27" x14ac:dyDescent="0.25">
      <c r="A632" s="1">
        <v>631</v>
      </c>
      <c r="B632" t="s">
        <v>2555</v>
      </c>
      <c r="C632" t="s">
        <v>1133</v>
      </c>
      <c r="D632" t="s">
        <v>1133</v>
      </c>
      <c r="H632" t="s">
        <v>1151</v>
      </c>
      <c r="I632" t="s">
        <v>1151</v>
      </c>
      <c r="J632" t="s">
        <v>1290</v>
      </c>
      <c r="K632" t="s">
        <v>1212</v>
      </c>
      <c r="M632" s="3">
        <f t="shared" si="36"/>
        <v>64</v>
      </c>
      <c r="N632">
        <v>20</v>
      </c>
      <c r="O632">
        <v>77</v>
      </c>
      <c r="P632">
        <v>73</v>
      </c>
      <c r="Q632">
        <v>77</v>
      </c>
      <c r="R632">
        <v>79</v>
      </c>
      <c r="S632">
        <v>81</v>
      </c>
      <c r="T632">
        <v>41</v>
      </c>
      <c r="U632">
        <v>0</v>
      </c>
      <c r="V632" s="3">
        <f t="shared" si="37"/>
        <v>1152922</v>
      </c>
      <c r="W632">
        <v>96076.833333333328</v>
      </c>
      <c r="X632">
        <v>0</v>
      </c>
      <c r="Y632">
        <f t="shared" si="38"/>
        <v>96076.833333333328</v>
      </c>
      <c r="Z632">
        <f t="shared" si="39"/>
        <v>0</v>
      </c>
      <c r="AA632">
        <v>0</v>
      </c>
    </row>
    <row r="633" spans="1:27" x14ac:dyDescent="0.25">
      <c r="A633" s="1">
        <v>632</v>
      </c>
      <c r="B633" t="s">
        <v>2128</v>
      </c>
      <c r="C633" t="s">
        <v>1133</v>
      </c>
      <c r="D633" t="s">
        <v>1133</v>
      </c>
      <c r="H633" t="s">
        <v>1151</v>
      </c>
      <c r="I633" t="s">
        <v>1151</v>
      </c>
      <c r="J633" t="s">
        <v>1290</v>
      </c>
      <c r="K633" t="s">
        <v>1212</v>
      </c>
      <c r="M633" s="3">
        <f t="shared" si="36"/>
        <v>66.428571428571431</v>
      </c>
      <c r="N633">
        <v>22</v>
      </c>
      <c r="O633">
        <v>81</v>
      </c>
      <c r="P633">
        <v>75</v>
      </c>
      <c r="Q633">
        <v>79</v>
      </c>
      <c r="R633">
        <v>81</v>
      </c>
      <c r="S633">
        <v>83</v>
      </c>
      <c r="T633">
        <v>44</v>
      </c>
      <c r="U633">
        <v>0</v>
      </c>
      <c r="V633" s="3">
        <f t="shared" si="37"/>
        <v>1673205</v>
      </c>
      <c r="W633">
        <v>139433.75</v>
      </c>
      <c r="X633">
        <v>0</v>
      </c>
      <c r="Y633">
        <f t="shared" si="38"/>
        <v>139433.75</v>
      </c>
      <c r="Z633">
        <f t="shared" si="39"/>
        <v>0</v>
      </c>
      <c r="AA633">
        <v>0</v>
      </c>
    </row>
    <row r="634" spans="1:27" x14ac:dyDescent="0.25">
      <c r="A634" s="1">
        <v>633</v>
      </c>
      <c r="B634" t="s">
        <v>2130</v>
      </c>
      <c r="C634" t="s">
        <v>1134</v>
      </c>
      <c r="D634" t="s">
        <v>1138</v>
      </c>
      <c r="E634" t="s">
        <v>1144</v>
      </c>
      <c r="H634" t="s">
        <v>1151</v>
      </c>
      <c r="I634" t="s">
        <v>1151</v>
      </c>
      <c r="J634" t="s">
        <v>1290</v>
      </c>
      <c r="K634" t="s">
        <v>1212</v>
      </c>
      <c r="M634" s="3">
        <f t="shared" si="36"/>
        <v>63</v>
      </c>
      <c r="N634">
        <v>20</v>
      </c>
      <c r="O634">
        <v>80</v>
      </c>
      <c r="P634">
        <v>71</v>
      </c>
      <c r="Q634">
        <v>75</v>
      </c>
      <c r="R634">
        <v>77</v>
      </c>
      <c r="S634">
        <v>79</v>
      </c>
      <c r="T634">
        <v>39</v>
      </c>
      <c r="U634">
        <v>0</v>
      </c>
      <c r="V634" s="3">
        <f t="shared" si="37"/>
        <v>984931</v>
      </c>
      <c r="W634">
        <v>82077.583333333328</v>
      </c>
      <c r="X634">
        <v>0</v>
      </c>
      <c r="Y634">
        <f t="shared" si="38"/>
        <v>82077.583333333328</v>
      </c>
      <c r="Z634">
        <f t="shared" si="39"/>
        <v>0</v>
      </c>
      <c r="AA634">
        <v>0</v>
      </c>
    </row>
    <row r="635" spans="1:27" x14ac:dyDescent="0.25">
      <c r="A635" s="1">
        <v>634</v>
      </c>
      <c r="B635" t="s">
        <v>2131</v>
      </c>
      <c r="C635" t="s">
        <v>1134</v>
      </c>
      <c r="D635" t="s">
        <v>1138</v>
      </c>
      <c r="E635" t="s">
        <v>1139</v>
      </c>
      <c r="H635" t="s">
        <v>1151</v>
      </c>
      <c r="I635" t="s">
        <v>1151</v>
      </c>
      <c r="J635" t="s">
        <v>1290</v>
      </c>
      <c r="K635" t="s">
        <v>1212</v>
      </c>
      <c r="M635" s="3">
        <f t="shared" si="36"/>
        <v>69.571428571428569</v>
      </c>
      <c r="N635">
        <v>25</v>
      </c>
      <c r="O635">
        <v>87</v>
      </c>
      <c r="P635">
        <v>79</v>
      </c>
      <c r="Q635">
        <v>81</v>
      </c>
      <c r="R635">
        <v>83</v>
      </c>
      <c r="S635">
        <v>85</v>
      </c>
      <c r="T635">
        <v>47</v>
      </c>
      <c r="U635">
        <v>0</v>
      </c>
      <c r="V635" s="3">
        <f t="shared" si="37"/>
        <v>2656497</v>
      </c>
      <c r="W635">
        <v>221374.75</v>
      </c>
      <c r="X635">
        <v>0</v>
      </c>
      <c r="Y635">
        <f t="shared" si="38"/>
        <v>221374.75</v>
      </c>
      <c r="Z635">
        <f t="shared" si="39"/>
        <v>0</v>
      </c>
      <c r="AA635">
        <v>0</v>
      </c>
    </row>
    <row r="636" spans="1:27" x14ac:dyDescent="0.25">
      <c r="A636" s="1">
        <v>635</v>
      </c>
      <c r="B636" t="s">
        <v>2134</v>
      </c>
      <c r="C636" t="s">
        <v>1134</v>
      </c>
      <c r="D636" t="s">
        <v>1139</v>
      </c>
      <c r="E636" t="s">
        <v>1138</v>
      </c>
      <c r="H636" t="s">
        <v>1151</v>
      </c>
      <c r="I636" t="s">
        <v>1151</v>
      </c>
      <c r="J636" t="s">
        <v>1290</v>
      </c>
      <c r="K636" t="s">
        <v>1212</v>
      </c>
      <c r="M636" s="3">
        <f t="shared" si="36"/>
        <v>69.142857142857139</v>
      </c>
      <c r="N636">
        <v>24</v>
      </c>
      <c r="O636">
        <v>86</v>
      </c>
      <c r="P636">
        <v>79</v>
      </c>
      <c r="Q636">
        <v>81</v>
      </c>
      <c r="R636">
        <v>83</v>
      </c>
      <c r="S636">
        <v>85</v>
      </c>
      <c r="T636">
        <v>46</v>
      </c>
      <c r="U636">
        <v>0</v>
      </c>
      <c r="V636" s="3">
        <f t="shared" si="37"/>
        <v>2497315</v>
      </c>
      <c r="W636">
        <v>208109.58333333334</v>
      </c>
      <c r="X636">
        <v>0</v>
      </c>
      <c r="Y636">
        <f t="shared" si="38"/>
        <v>208109.58333333334</v>
      </c>
      <c r="Z636">
        <f t="shared" si="39"/>
        <v>0</v>
      </c>
      <c r="AA636">
        <v>0</v>
      </c>
    </row>
    <row r="637" spans="1:27" x14ac:dyDescent="0.25">
      <c r="A637" s="1">
        <v>636</v>
      </c>
      <c r="B637" t="s">
        <v>2133</v>
      </c>
      <c r="C637" t="s">
        <v>1134</v>
      </c>
      <c r="D637" t="s">
        <v>1140</v>
      </c>
      <c r="E637" t="s">
        <v>1139</v>
      </c>
      <c r="H637" t="s">
        <v>1151</v>
      </c>
      <c r="I637" t="s">
        <v>1151</v>
      </c>
      <c r="J637" t="s">
        <v>1290</v>
      </c>
      <c r="K637" t="s">
        <v>1212</v>
      </c>
      <c r="M637" s="3">
        <f t="shared" si="36"/>
        <v>64.142857142857139</v>
      </c>
      <c r="N637">
        <v>20</v>
      </c>
      <c r="O637">
        <v>79</v>
      </c>
      <c r="P637">
        <v>73</v>
      </c>
      <c r="Q637">
        <v>77</v>
      </c>
      <c r="R637">
        <v>79</v>
      </c>
      <c r="S637">
        <v>81</v>
      </c>
      <c r="T637">
        <v>40</v>
      </c>
      <c r="U637">
        <v>0</v>
      </c>
      <c r="V637" s="3">
        <f t="shared" si="37"/>
        <v>1178917</v>
      </c>
      <c r="W637">
        <v>98243.083333333328</v>
      </c>
      <c r="X637">
        <v>0</v>
      </c>
      <c r="Y637">
        <f t="shared" si="38"/>
        <v>98243.083333333328</v>
      </c>
      <c r="Z637">
        <f t="shared" si="39"/>
        <v>0</v>
      </c>
      <c r="AA637">
        <v>0</v>
      </c>
    </row>
    <row r="638" spans="1:27" x14ac:dyDescent="0.25">
      <c r="A638" s="1">
        <v>637</v>
      </c>
      <c r="B638" t="s">
        <v>2132</v>
      </c>
      <c r="C638" t="s">
        <v>1134</v>
      </c>
      <c r="D638" t="s">
        <v>1140</v>
      </c>
      <c r="E638" t="s">
        <v>1138</v>
      </c>
      <c r="H638" t="s">
        <v>1151</v>
      </c>
      <c r="I638" t="s">
        <v>1151</v>
      </c>
      <c r="J638" t="s">
        <v>1290</v>
      </c>
      <c r="K638" t="s">
        <v>1212</v>
      </c>
      <c r="M638" s="3">
        <f t="shared" si="36"/>
        <v>67.428571428571431</v>
      </c>
      <c r="N638">
        <v>23</v>
      </c>
      <c r="O638">
        <v>85</v>
      </c>
      <c r="P638">
        <v>77</v>
      </c>
      <c r="Q638">
        <v>79</v>
      </c>
      <c r="R638">
        <v>81</v>
      </c>
      <c r="S638">
        <v>83</v>
      </c>
      <c r="T638">
        <v>44</v>
      </c>
      <c r="U638">
        <v>0</v>
      </c>
      <c r="V638" s="3">
        <f t="shared" si="37"/>
        <v>1942852</v>
      </c>
      <c r="W638">
        <v>161904.33333333334</v>
      </c>
      <c r="X638">
        <v>0</v>
      </c>
      <c r="Y638">
        <f t="shared" si="38"/>
        <v>161904.33333333334</v>
      </c>
      <c r="Z638">
        <f t="shared" si="39"/>
        <v>0</v>
      </c>
      <c r="AA638">
        <v>0</v>
      </c>
    </row>
    <row r="639" spans="1:27" x14ac:dyDescent="0.25">
      <c r="A639" s="1">
        <v>638</v>
      </c>
      <c r="B639" t="s">
        <v>2554</v>
      </c>
      <c r="C639" t="s">
        <v>1135</v>
      </c>
      <c r="D639" t="s">
        <v>1141</v>
      </c>
      <c r="E639" t="s">
        <v>1142</v>
      </c>
      <c r="H639" t="s">
        <v>1151</v>
      </c>
      <c r="I639" t="s">
        <v>1151</v>
      </c>
      <c r="J639" t="s">
        <v>1290</v>
      </c>
      <c r="K639" t="s">
        <v>1212</v>
      </c>
      <c r="M639" s="3">
        <f t="shared" si="36"/>
        <v>75.571428571428569</v>
      </c>
      <c r="N639">
        <v>29</v>
      </c>
      <c r="O639">
        <v>92</v>
      </c>
      <c r="P639">
        <v>87</v>
      </c>
      <c r="Q639">
        <v>87</v>
      </c>
      <c r="R639">
        <v>89</v>
      </c>
      <c r="S639">
        <v>91</v>
      </c>
      <c r="T639">
        <v>54</v>
      </c>
      <c r="U639">
        <v>0</v>
      </c>
      <c r="V639" s="3">
        <f t="shared" si="37"/>
        <v>6075421</v>
      </c>
      <c r="W639">
        <v>506285.08333333331</v>
      </c>
      <c r="X639">
        <v>0</v>
      </c>
      <c r="Y639">
        <f t="shared" si="38"/>
        <v>506285.08333333331</v>
      </c>
      <c r="Z639">
        <f t="shared" si="39"/>
        <v>0</v>
      </c>
      <c r="AA639">
        <v>0</v>
      </c>
    </row>
    <row r="640" spans="1:27" x14ac:dyDescent="0.25">
      <c r="A640" s="1">
        <v>639</v>
      </c>
      <c r="B640" t="s">
        <v>2141</v>
      </c>
      <c r="C640" t="s">
        <v>1135</v>
      </c>
      <c r="D640" t="s">
        <v>1142</v>
      </c>
      <c r="E640" t="s">
        <v>1141</v>
      </c>
      <c r="H640" t="s">
        <v>1151</v>
      </c>
      <c r="I640" t="s">
        <v>1151</v>
      </c>
      <c r="J640" t="s">
        <v>1290</v>
      </c>
      <c r="K640" t="s">
        <v>1212</v>
      </c>
      <c r="M640" s="3">
        <f t="shared" si="36"/>
        <v>65.142857142857139</v>
      </c>
      <c r="N640">
        <v>21</v>
      </c>
      <c r="O640">
        <v>82</v>
      </c>
      <c r="P640">
        <v>74</v>
      </c>
      <c r="Q640">
        <v>77</v>
      </c>
      <c r="R640">
        <v>79</v>
      </c>
      <c r="S640">
        <v>81</v>
      </c>
      <c r="T640">
        <v>42</v>
      </c>
      <c r="U640">
        <v>0</v>
      </c>
      <c r="V640" s="3">
        <f t="shared" si="37"/>
        <v>1376158</v>
      </c>
      <c r="W640">
        <v>114679.83333333333</v>
      </c>
      <c r="X640">
        <v>0</v>
      </c>
      <c r="Y640">
        <f t="shared" si="38"/>
        <v>114679.83333333333</v>
      </c>
      <c r="Z640">
        <f t="shared" si="39"/>
        <v>0</v>
      </c>
      <c r="AA640">
        <v>0</v>
      </c>
    </row>
    <row r="641" spans="1:27" x14ac:dyDescent="0.25">
      <c r="A641" s="1">
        <v>640</v>
      </c>
      <c r="B641" t="s">
        <v>2140</v>
      </c>
      <c r="C641" t="s">
        <v>1135</v>
      </c>
      <c r="D641" t="s">
        <v>1142</v>
      </c>
      <c r="E641" t="s">
        <v>1141</v>
      </c>
      <c r="H641" t="s">
        <v>1151</v>
      </c>
      <c r="I641" t="s">
        <v>1151</v>
      </c>
      <c r="J641" t="s">
        <v>1290</v>
      </c>
      <c r="K641" t="s">
        <v>1212</v>
      </c>
      <c r="M641" s="3">
        <f t="shared" si="36"/>
        <v>70.571428571428569</v>
      </c>
      <c r="N641">
        <v>45</v>
      </c>
      <c r="O641">
        <v>85</v>
      </c>
      <c r="P641">
        <v>77</v>
      </c>
      <c r="Q641">
        <v>79</v>
      </c>
      <c r="R641">
        <v>81</v>
      </c>
      <c r="S641">
        <v>83</v>
      </c>
      <c r="T641">
        <v>44</v>
      </c>
      <c r="U641">
        <v>0</v>
      </c>
      <c r="V641" s="3">
        <f t="shared" si="37"/>
        <v>3064003</v>
      </c>
      <c r="W641">
        <v>161904.33333333334</v>
      </c>
      <c r="X641">
        <v>0</v>
      </c>
      <c r="Y641">
        <f t="shared" si="38"/>
        <v>255333.58333333334</v>
      </c>
      <c r="Z641">
        <f t="shared" si="39"/>
        <v>-36.590000000000003</v>
      </c>
      <c r="AA641">
        <v>0</v>
      </c>
    </row>
    <row r="642" spans="1:27" x14ac:dyDescent="0.25">
      <c r="A642" s="1">
        <v>641</v>
      </c>
      <c r="B642" t="s">
        <v>2136</v>
      </c>
      <c r="C642" t="s">
        <v>1136</v>
      </c>
      <c r="D642" t="s">
        <v>1145</v>
      </c>
      <c r="E642" t="s">
        <v>1143</v>
      </c>
      <c r="H642" t="s">
        <v>1151</v>
      </c>
      <c r="I642" t="s">
        <v>1151</v>
      </c>
      <c r="J642" t="s">
        <v>1290</v>
      </c>
      <c r="K642" t="s">
        <v>1212</v>
      </c>
      <c r="M642" s="3">
        <f t="shared" ref="M642:M705" si="40">AVERAGE(N642:T642)</f>
        <v>64.714285714285708</v>
      </c>
      <c r="N642">
        <v>21</v>
      </c>
      <c r="O642">
        <v>81</v>
      </c>
      <c r="P642">
        <v>73</v>
      </c>
      <c r="Q642">
        <v>77</v>
      </c>
      <c r="R642">
        <v>79</v>
      </c>
      <c r="S642">
        <v>81</v>
      </c>
      <c r="T642">
        <v>41</v>
      </c>
      <c r="U642">
        <v>0</v>
      </c>
      <c r="V642" s="3">
        <f t="shared" ref="V642:V705" si="41">ROUNDUP(M642^10/1000000000000 * IF(U642&gt;0,1.5,1),0)</f>
        <v>1288255</v>
      </c>
      <c r="W642">
        <v>107354.58333333333</v>
      </c>
      <c r="X642">
        <v>0</v>
      </c>
      <c r="Y642">
        <f t="shared" ref="Y642:Y705" si="42">V642/12</f>
        <v>107354.58333333333</v>
      </c>
      <c r="Z642">
        <f t="shared" ref="Z642:Z705" si="43">ROUND(((W642-Y642)/Y642)*100,2)</f>
        <v>0</v>
      </c>
      <c r="AA642">
        <v>0</v>
      </c>
    </row>
    <row r="643" spans="1:27" x14ac:dyDescent="0.25">
      <c r="A643" s="1">
        <v>642</v>
      </c>
      <c r="B643" t="s">
        <v>649</v>
      </c>
      <c r="C643" t="s">
        <v>1136</v>
      </c>
      <c r="D643" t="s">
        <v>1144</v>
      </c>
      <c r="E643" t="s">
        <v>1143</v>
      </c>
      <c r="F643" t="s">
        <v>1138</v>
      </c>
      <c r="G643" t="s">
        <v>1151</v>
      </c>
      <c r="H643" t="s">
        <v>1151</v>
      </c>
      <c r="I643" t="s">
        <v>1151</v>
      </c>
      <c r="J643" t="s">
        <v>1290</v>
      </c>
      <c r="K643" t="s">
        <v>1212</v>
      </c>
      <c r="M643" s="3">
        <f t="shared" si="40"/>
        <v>87</v>
      </c>
      <c r="N643">
        <v>84</v>
      </c>
      <c r="O643">
        <v>85</v>
      </c>
      <c r="P643">
        <v>88</v>
      </c>
      <c r="Q643">
        <v>92</v>
      </c>
      <c r="R643">
        <v>90</v>
      </c>
      <c r="S643">
        <v>90</v>
      </c>
      <c r="T643">
        <v>80</v>
      </c>
      <c r="U643">
        <v>24</v>
      </c>
      <c r="V643" s="3">
        <f t="shared" si="41"/>
        <v>37263513</v>
      </c>
      <c r="W643">
        <v>1659166.25</v>
      </c>
      <c r="X643">
        <v>0</v>
      </c>
      <c r="Y643">
        <f t="shared" si="42"/>
        <v>3105292.75</v>
      </c>
      <c r="Z643">
        <f t="shared" si="43"/>
        <v>-46.57</v>
      </c>
      <c r="AA643">
        <v>0</v>
      </c>
    </row>
    <row r="644" spans="1:27" x14ac:dyDescent="0.25">
      <c r="A644" s="1">
        <v>643</v>
      </c>
      <c r="B644" t="s">
        <v>2583</v>
      </c>
      <c r="C644" t="s">
        <v>1136</v>
      </c>
      <c r="D644" t="s">
        <v>1147</v>
      </c>
      <c r="E644" t="s">
        <v>1145</v>
      </c>
      <c r="H644" t="s">
        <v>1151</v>
      </c>
      <c r="I644" t="s">
        <v>1151</v>
      </c>
      <c r="J644" t="s">
        <v>1290</v>
      </c>
      <c r="K644" t="s">
        <v>1212</v>
      </c>
      <c r="M644" s="3">
        <f t="shared" si="40"/>
        <v>73.142857142857139</v>
      </c>
      <c r="N644">
        <v>28</v>
      </c>
      <c r="O644">
        <v>90</v>
      </c>
      <c r="P644">
        <v>83</v>
      </c>
      <c r="Q644">
        <v>85</v>
      </c>
      <c r="R644">
        <v>87</v>
      </c>
      <c r="S644">
        <v>89</v>
      </c>
      <c r="T644">
        <v>50</v>
      </c>
      <c r="U644">
        <v>0</v>
      </c>
      <c r="V644" s="3">
        <f t="shared" si="41"/>
        <v>4382473</v>
      </c>
      <c r="W644">
        <v>365206.08333333331</v>
      </c>
      <c r="X644">
        <v>0</v>
      </c>
      <c r="Y644">
        <f t="shared" si="42"/>
        <v>365206.08333333331</v>
      </c>
      <c r="Z644">
        <f t="shared" si="43"/>
        <v>0</v>
      </c>
      <c r="AA644">
        <v>0</v>
      </c>
    </row>
    <row r="645" spans="1:27" x14ac:dyDescent="0.25">
      <c r="A645" s="1">
        <v>644</v>
      </c>
      <c r="B645" t="s">
        <v>2137</v>
      </c>
      <c r="C645" t="s">
        <v>1136</v>
      </c>
      <c r="D645" t="s">
        <v>1145</v>
      </c>
      <c r="E645" t="s">
        <v>1147</v>
      </c>
      <c r="H645" t="s">
        <v>1151</v>
      </c>
      <c r="I645" t="s">
        <v>1151</v>
      </c>
      <c r="J645" t="s">
        <v>1290</v>
      </c>
      <c r="K645" t="s">
        <v>1212</v>
      </c>
      <c r="M645" s="3">
        <f t="shared" si="40"/>
        <v>69.285714285714292</v>
      </c>
      <c r="N645">
        <v>24</v>
      </c>
      <c r="O645">
        <v>87</v>
      </c>
      <c r="P645">
        <v>79</v>
      </c>
      <c r="Q645">
        <v>81</v>
      </c>
      <c r="R645">
        <v>83</v>
      </c>
      <c r="S645">
        <v>85</v>
      </c>
      <c r="T645">
        <v>46</v>
      </c>
      <c r="U645">
        <v>0</v>
      </c>
      <c r="V645" s="3">
        <f t="shared" si="41"/>
        <v>2549395</v>
      </c>
      <c r="W645">
        <v>212449.58333333334</v>
      </c>
      <c r="X645">
        <v>0</v>
      </c>
      <c r="Y645">
        <f t="shared" si="42"/>
        <v>212449.58333333334</v>
      </c>
      <c r="Z645">
        <f t="shared" si="43"/>
        <v>0</v>
      </c>
      <c r="AA645">
        <v>0</v>
      </c>
    </row>
    <row r="646" spans="1:27" x14ac:dyDescent="0.25">
      <c r="A646" s="1">
        <v>645</v>
      </c>
      <c r="B646" t="s">
        <v>2135</v>
      </c>
      <c r="C646" t="s">
        <v>1136</v>
      </c>
      <c r="D646" t="s">
        <v>1144</v>
      </c>
      <c r="E646" t="s">
        <v>1143</v>
      </c>
      <c r="H646" t="s">
        <v>1151</v>
      </c>
      <c r="I646" t="s">
        <v>1151</v>
      </c>
      <c r="J646" t="s">
        <v>1290</v>
      </c>
      <c r="K646" t="s">
        <v>1212</v>
      </c>
      <c r="M646" s="3">
        <f t="shared" si="40"/>
        <v>66.428571428571431</v>
      </c>
      <c r="N646">
        <v>22</v>
      </c>
      <c r="O646">
        <v>83</v>
      </c>
      <c r="P646">
        <v>75</v>
      </c>
      <c r="Q646">
        <v>79</v>
      </c>
      <c r="R646">
        <v>81</v>
      </c>
      <c r="S646">
        <v>83</v>
      </c>
      <c r="T646">
        <v>42</v>
      </c>
      <c r="U646">
        <v>0</v>
      </c>
      <c r="V646" s="3">
        <f t="shared" si="41"/>
        <v>1673205</v>
      </c>
      <c r="W646">
        <v>139433.75</v>
      </c>
      <c r="X646">
        <v>0</v>
      </c>
      <c r="Y646">
        <f t="shared" si="42"/>
        <v>139433.75</v>
      </c>
      <c r="Z646">
        <f t="shared" si="43"/>
        <v>0</v>
      </c>
      <c r="AA646">
        <v>0</v>
      </c>
    </row>
    <row r="647" spans="1:27" x14ac:dyDescent="0.25">
      <c r="A647" s="1">
        <v>646</v>
      </c>
      <c r="B647" t="s">
        <v>2628</v>
      </c>
      <c r="C647" t="s">
        <v>1136</v>
      </c>
      <c r="D647" t="s">
        <v>1143</v>
      </c>
      <c r="E647" t="s">
        <v>1144</v>
      </c>
      <c r="H647" t="s">
        <v>1151</v>
      </c>
      <c r="I647" t="s">
        <v>1151</v>
      </c>
      <c r="J647" t="s">
        <v>1290</v>
      </c>
      <c r="K647" t="s">
        <v>1212</v>
      </c>
      <c r="M647" s="3">
        <f t="shared" si="40"/>
        <v>73.142857142857139</v>
      </c>
      <c r="N647">
        <v>26</v>
      </c>
      <c r="O647">
        <v>91</v>
      </c>
      <c r="P647">
        <v>83</v>
      </c>
      <c r="Q647">
        <v>85</v>
      </c>
      <c r="R647">
        <v>87</v>
      </c>
      <c r="S647">
        <v>89</v>
      </c>
      <c r="T647">
        <v>51</v>
      </c>
      <c r="U647">
        <v>0</v>
      </c>
      <c r="V647" s="3">
        <f t="shared" si="41"/>
        <v>4382473</v>
      </c>
      <c r="W647">
        <v>365206.08333333331</v>
      </c>
      <c r="X647">
        <v>0</v>
      </c>
      <c r="Y647">
        <f t="shared" si="42"/>
        <v>365206.08333333331</v>
      </c>
      <c r="Z647">
        <f t="shared" si="43"/>
        <v>0</v>
      </c>
      <c r="AA647">
        <v>0</v>
      </c>
    </row>
    <row r="648" spans="1:27" x14ac:dyDescent="0.25">
      <c r="A648" s="1">
        <v>647</v>
      </c>
      <c r="B648" t="s">
        <v>654</v>
      </c>
      <c r="C648" t="s">
        <v>1136</v>
      </c>
      <c r="D648" t="s">
        <v>1143</v>
      </c>
      <c r="E648" t="s">
        <v>1146</v>
      </c>
      <c r="F648" t="s">
        <v>1147</v>
      </c>
      <c r="G648" t="s">
        <v>1151</v>
      </c>
      <c r="H648" t="s">
        <v>1151</v>
      </c>
      <c r="I648" t="s">
        <v>1151</v>
      </c>
      <c r="J648" t="s">
        <v>1290</v>
      </c>
      <c r="K648" t="s">
        <v>1212</v>
      </c>
      <c r="M648" s="3">
        <f t="shared" si="40"/>
        <v>86.142857142857139</v>
      </c>
      <c r="N648">
        <v>88</v>
      </c>
      <c r="O648">
        <v>88</v>
      </c>
      <c r="P648">
        <v>85</v>
      </c>
      <c r="Q648">
        <v>89</v>
      </c>
      <c r="R648">
        <v>80</v>
      </c>
      <c r="S648">
        <v>83</v>
      </c>
      <c r="T648">
        <v>90</v>
      </c>
      <c r="U648">
        <v>22</v>
      </c>
      <c r="V648" s="3">
        <f t="shared" si="41"/>
        <v>33750793</v>
      </c>
      <c r="W648">
        <v>2812566.0833333335</v>
      </c>
      <c r="X648">
        <v>0</v>
      </c>
      <c r="Y648">
        <f t="shared" si="42"/>
        <v>2812566.0833333335</v>
      </c>
      <c r="Z648">
        <f t="shared" si="43"/>
        <v>0</v>
      </c>
      <c r="AA648">
        <v>0</v>
      </c>
    </row>
    <row r="649" spans="1:27" x14ac:dyDescent="0.25">
      <c r="A649" s="1">
        <v>648</v>
      </c>
      <c r="B649" t="s">
        <v>2139</v>
      </c>
      <c r="C649" t="s">
        <v>1136</v>
      </c>
      <c r="D649" t="s">
        <v>1147</v>
      </c>
      <c r="E649" t="s">
        <v>1145</v>
      </c>
      <c r="H649" t="s">
        <v>1151</v>
      </c>
      <c r="I649" t="s">
        <v>1151</v>
      </c>
      <c r="J649" t="s">
        <v>1290</v>
      </c>
      <c r="K649" t="s">
        <v>1212</v>
      </c>
      <c r="M649" s="3">
        <f t="shared" si="40"/>
        <v>67.142857142857139</v>
      </c>
      <c r="N649">
        <v>23</v>
      </c>
      <c r="O649">
        <v>84</v>
      </c>
      <c r="P649">
        <v>77</v>
      </c>
      <c r="Q649">
        <v>79</v>
      </c>
      <c r="R649">
        <v>81</v>
      </c>
      <c r="S649">
        <v>83</v>
      </c>
      <c r="T649">
        <v>43</v>
      </c>
      <c r="U649">
        <v>0</v>
      </c>
      <c r="V649" s="3">
        <f t="shared" si="41"/>
        <v>1862080</v>
      </c>
      <c r="W649">
        <v>155173.33333333334</v>
      </c>
      <c r="X649">
        <v>0</v>
      </c>
      <c r="Y649">
        <f t="shared" si="42"/>
        <v>155173.33333333334</v>
      </c>
      <c r="Z649">
        <f t="shared" si="43"/>
        <v>0</v>
      </c>
      <c r="AA649">
        <v>0</v>
      </c>
    </row>
    <row r="650" spans="1:27" x14ac:dyDescent="0.25">
      <c r="A650" s="1">
        <v>649</v>
      </c>
      <c r="B650" t="s">
        <v>2138</v>
      </c>
      <c r="C650" t="s">
        <v>1136</v>
      </c>
      <c r="D650" t="s">
        <v>1146</v>
      </c>
      <c r="E650" t="s">
        <v>1144</v>
      </c>
      <c r="H650" t="s">
        <v>1151</v>
      </c>
      <c r="I650" t="s">
        <v>1151</v>
      </c>
      <c r="J650" t="s">
        <v>1290</v>
      </c>
      <c r="K650" t="s">
        <v>1212</v>
      </c>
      <c r="M650" s="3">
        <f t="shared" si="40"/>
        <v>62.428571428571431</v>
      </c>
      <c r="N650">
        <v>20</v>
      </c>
      <c r="O650">
        <v>77</v>
      </c>
      <c r="P650">
        <v>71</v>
      </c>
      <c r="Q650">
        <v>75</v>
      </c>
      <c r="R650">
        <v>77</v>
      </c>
      <c r="S650">
        <v>79</v>
      </c>
      <c r="T650">
        <v>38</v>
      </c>
      <c r="U650">
        <v>0</v>
      </c>
      <c r="V650" s="3">
        <f t="shared" si="41"/>
        <v>899154</v>
      </c>
      <c r="W650">
        <v>74929.5</v>
      </c>
      <c r="X650">
        <v>0</v>
      </c>
      <c r="Y650">
        <f t="shared" si="42"/>
        <v>74929.5</v>
      </c>
      <c r="Z650">
        <f t="shared" si="43"/>
        <v>0</v>
      </c>
      <c r="AA650">
        <v>0</v>
      </c>
    </row>
    <row r="651" spans="1:27" x14ac:dyDescent="0.25">
      <c r="A651" s="1">
        <v>650</v>
      </c>
      <c r="B651" t="s">
        <v>2129</v>
      </c>
      <c r="C651" t="s">
        <v>1137</v>
      </c>
      <c r="D651" t="s">
        <v>1137</v>
      </c>
      <c r="H651" t="s">
        <v>1151</v>
      </c>
      <c r="I651" t="s">
        <v>1151</v>
      </c>
      <c r="J651" t="s">
        <v>1290</v>
      </c>
      <c r="K651" t="s">
        <v>1212</v>
      </c>
      <c r="M651" s="3">
        <f t="shared" si="40"/>
        <v>65.142857142857139</v>
      </c>
      <c r="N651">
        <v>21</v>
      </c>
      <c r="O651">
        <v>79</v>
      </c>
      <c r="P651">
        <v>74</v>
      </c>
      <c r="Q651">
        <v>78</v>
      </c>
      <c r="R651">
        <v>80</v>
      </c>
      <c r="S651">
        <v>82</v>
      </c>
      <c r="T651">
        <v>42</v>
      </c>
      <c r="U651">
        <v>0</v>
      </c>
      <c r="V651" s="3">
        <f t="shared" si="41"/>
        <v>1376158</v>
      </c>
      <c r="W651">
        <v>114679.83333333333</v>
      </c>
      <c r="X651">
        <v>0</v>
      </c>
      <c r="Y651">
        <f t="shared" si="42"/>
        <v>114679.83333333333</v>
      </c>
      <c r="Z651">
        <f t="shared" si="43"/>
        <v>0</v>
      </c>
      <c r="AA651">
        <v>0</v>
      </c>
    </row>
    <row r="652" spans="1:27" x14ac:dyDescent="0.25">
      <c r="A652" s="1">
        <v>651</v>
      </c>
      <c r="B652" t="s">
        <v>46</v>
      </c>
      <c r="C652" t="s">
        <v>1133</v>
      </c>
      <c r="D652" t="s">
        <v>1133</v>
      </c>
      <c r="G652" t="s">
        <v>1165</v>
      </c>
      <c r="H652" t="s">
        <v>1165</v>
      </c>
      <c r="I652" t="s">
        <v>1165</v>
      </c>
      <c r="J652" t="s">
        <v>1239</v>
      </c>
      <c r="K652" t="s">
        <v>1212</v>
      </c>
      <c r="M652" s="3">
        <f t="shared" si="40"/>
        <v>59</v>
      </c>
      <c r="N652">
        <v>46</v>
      </c>
      <c r="O652">
        <v>60</v>
      </c>
      <c r="P652">
        <v>52</v>
      </c>
      <c r="Q652">
        <v>55</v>
      </c>
      <c r="R652">
        <v>77</v>
      </c>
      <c r="S652">
        <v>78</v>
      </c>
      <c r="T652">
        <v>45</v>
      </c>
      <c r="U652">
        <v>0</v>
      </c>
      <c r="V652" s="3">
        <f t="shared" si="41"/>
        <v>511117</v>
      </c>
      <c r="W652">
        <v>42593.083333333336</v>
      </c>
      <c r="X652">
        <v>0</v>
      </c>
      <c r="Y652">
        <f t="shared" si="42"/>
        <v>42593.083333333336</v>
      </c>
      <c r="Z652">
        <f t="shared" si="43"/>
        <v>0</v>
      </c>
      <c r="AA652">
        <v>0</v>
      </c>
    </row>
    <row r="653" spans="1:27" x14ac:dyDescent="0.25">
      <c r="A653" s="1">
        <v>652</v>
      </c>
      <c r="B653" t="s">
        <v>203</v>
      </c>
      <c r="C653" t="s">
        <v>1134</v>
      </c>
      <c r="D653" t="s">
        <v>1140</v>
      </c>
      <c r="G653" t="s">
        <v>1165</v>
      </c>
      <c r="H653" t="s">
        <v>1165</v>
      </c>
      <c r="I653" t="s">
        <v>1165</v>
      </c>
      <c r="J653" t="s">
        <v>1239</v>
      </c>
      <c r="K653" t="s">
        <v>1212</v>
      </c>
      <c r="M653" s="3">
        <f t="shared" si="40"/>
        <v>65.285714285714292</v>
      </c>
      <c r="N653">
        <v>60</v>
      </c>
      <c r="O653">
        <v>77</v>
      </c>
      <c r="P653">
        <v>46</v>
      </c>
      <c r="Q653">
        <v>65</v>
      </c>
      <c r="R653">
        <v>61</v>
      </c>
      <c r="S653">
        <v>66</v>
      </c>
      <c r="T653">
        <v>82</v>
      </c>
      <c r="U653">
        <v>0</v>
      </c>
      <c r="V653" s="3">
        <f t="shared" si="41"/>
        <v>1406636</v>
      </c>
      <c r="W653">
        <v>117219.66666666667</v>
      </c>
      <c r="X653">
        <v>0</v>
      </c>
      <c r="Y653">
        <f t="shared" si="42"/>
        <v>117219.66666666667</v>
      </c>
      <c r="Z653">
        <f t="shared" si="43"/>
        <v>0</v>
      </c>
      <c r="AA653">
        <v>0</v>
      </c>
    </row>
    <row r="654" spans="1:27" x14ac:dyDescent="0.25">
      <c r="A654" s="1">
        <v>653</v>
      </c>
      <c r="B654" t="s">
        <v>1860</v>
      </c>
      <c r="C654" t="s">
        <v>1134</v>
      </c>
      <c r="D654" t="s">
        <v>1138</v>
      </c>
      <c r="E654" t="s">
        <v>1144</v>
      </c>
      <c r="H654" t="s">
        <v>1165</v>
      </c>
      <c r="I654" t="s">
        <v>1165</v>
      </c>
      <c r="J654" t="s">
        <v>1239</v>
      </c>
      <c r="K654" t="s">
        <v>1212</v>
      </c>
      <c r="M654" s="3">
        <f t="shared" si="40"/>
        <v>58.857142857142854</v>
      </c>
      <c r="N654">
        <v>16</v>
      </c>
      <c r="O654">
        <v>66</v>
      </c>
      <c r="P654">
        <v>62</v>
      </c>
      <c r="Q654">
        <v>74</v>
      </c>
      <c r="R654">
        <v>80</v>
      </c>
      <c r="S654">
        <v>82</v>
      </c>
      <c r="T654">
        <v>32</v>
      </c>
      <c r="U654">
        <v>0</v>
      </c>
      <c r="V654" s="3">
        <f t="shared" si="41"/>
        <v>498876</v>
      </c>
      <c r="W654">
        <v>41573</v>
      </c>
      <c r="X654">
        <v>0</v>
      </c>
      <c r="Y654">
        <f t="shared" si="42"/>
        <v>41573</v>
      </c>
      <c r="Z654">
        <f t="shared" si="43"/>
        <v>0</v>
      </c>
      <c r="AA654">
        <v>0</v>
      </c>
    </row>
    <row r="655" spans="1:27" x14ac:dyDescent="0.25">
      <c r="A655" s="1">
        <v>654</v>
      </c>
      <c r="B655" t="s">
        <v>1650</v>
      </c>
      <c r="C655" t="s">
        <v>1134</v>
      </c>
      <c r="D655" t="s">
        <v>1140</v>
      </c>
      <c r="E655" t="s">
        <v>1138</v>
      </c>
      <c r="H655" t="s">
        <v>1165</v>
      </c>
      <c r="I655" t="s">
        <v>1165</v>
      </c>
      <c r="J655" t="s">
        <v>1239</v>
      </c>
      <c r="K655" t="s">
        <v>1212</v>
      </c>
      <c r="M655" s="3">
        <f t="shared" si="40"/>
        <v>66.285714285714292</v>
      </c>
      <c r="N655">
        <v>23</v>
      </c>
      <c r="O655">
        <v>76</v>
      </c>
      <c r="P655">
        <v>70</v>
      </c>
      <c r="Q655">
        <v>82</v>
      </c>
      <c r="R655">
        <v>84</v>
      </c>
      <c r="S655">
        <v>86</v>
      </c>
      <c r="T655">
        <v>43</v>
      </c>
      <c r="U655">
        <v>0</v>
      </c>
      <c r="V655" s="3">
        <f t="shared" si="41"/>
        <v>1637569</v>
      </c>
      <c r="W655">
        <v>136464.08333333334</v>
      </c>
      <c r="X655">
        <v>0</v>
      </c>
      <c r="Y655">
        <f t="shared" si="42"/>
        <v>136464.08333333334</v>
      </c>
      <c r="Z655">
        <f t="shared" si="43"/>
        <v>0</v>
      </c>
      <c r="AA655">
        <v>0</v>
      </c>
    </row>
    <row r="656" spans="1:27" x14ac:dyDescent="0.25">
      <c r="A656" s="1">
        <v>655</v>
      </c>
      <c r="B656" t="s">
        <v>204</v>
      </c>
      <c r="C656" t="s">
        <v>1134</v>
      </c>
      <c r="D656" t="s">
        <v>1138</v>
      </c>
      <c r="E656" t="s">
        <v>1144</v>
      </c>
      <c r="G656" t="s">
        <v>1165</v>
      </c>
      <c r="H656" t="s">
        <v>1165</v>
      </c>
      <c r="I656" t="s">
        <v>1165</v>
      </c>
      <c r="J656" t="s">
        <v>1239</v>
      </c>
      <c r="K656" t="s">
        <v>1212</v>
      </c>
      <c r="M656" s="3">
        <f t="shared" si="40"/>
        <v>67.857142857142861</v>
      </c>
      <c r="N656">
        <v>55</v>
      </c>
      <c r="O656">
        <v>74</v>
      </c>
      <c r="P656">
        <v>53</v>
      </c>
      <c r="Q656">
        <v>65</v>
      </c>
      <c r="R656">
        <v>82</v>
      </c>
      <c r="S656">
        <v>81</v>
      </c>
      <c r="T656">
        <v>65</v>
      </c>
      <c r="U656">
        <v>0</v>
      </c>
      <c r="V656" s="3">
        <f t="shared" si="41"/>
        <v>2069931</v>
      </c>
      <c r="W656">
        <v>172494.25</v>
      </c>
      <c r="X656">
        <v>0</v>
      </c>
      <c r="Y656">
        <f t="shared" si="42"/>
        <v>172494.25</v>
      </c>
      <c r="Z656">
        <f t="shared" si="43"/>
        <v>0</v>
      </c>
      <c r="AA656">
        <v>0</v>
      </c>
    </row>
    <row r="657" spans="1:27" x14ac:dyDescent="0.25">
      <c r="A657" s="1">
        <v>656</v>
      </c>
      <c r="B657" t="s">
        <v>205</v>
      </c>
      <c r="C657" t="s">
        <v>1134</v>
      </c>
      <c r="D657" t="s">
        <v>1139</v>
      </c>
      <c r="G657" t="s">
        <v>1165</v>
      </c>
      <c r="H657" t="s">
        <v>1165</v>
      </c>
      <c r="I657" t="s">
        <v>1165</v>
      </c>
      <c r="J657" t="s">
        <v>1239</v>
      </c>
      <c r="K657" t="s">
        <v>1212</v>
      </c>
      <c r="M657" s="3">
        <f t="shared" si="40"/>
        <v>60.428571428571431</v>
      </c>
      <c r="N657">
        <v>51</v>
      </c>
      <c r="O657">
        <v>73</v>
      </c>
      <c r="P657">
        <v>52</v>
      </c>
      <c r="Q657">
        <v>55</v>
      </c>
      <c r="R657">
        <v>61</v>
      </c>
      <c r="S657">
        <v>69</v>
      </c>
      <c r="T657">
        <v>62</v>
      </c>
      <c r="U657">
        <v>0</v>
      </c>
      <c r="V657" s="3">
        <f t="shared" si="41"/>
        <v>649267</v>
      </c>
      <c r="W657">
        <v>54105.583333333336</v>
      </c>
      <c r="X657">
        <v>0</v>
      </c>
      <c r="Y657">
        <f t="shared" si="42"/>
        <v>54105.583333333336</v>
      </c>
      <c r="Z657">
        <f t="shared" si="43"/>
        <v>0</v>
      </c>
      <c r="AA657">
        <v>0</v>
      </c>
    </row>
    <row r="658" spans="1:27" x14ac:dyDescent="0.25">
      <c r="A658" s="1">
        <v>657</v>
      </c>
      <c r="B658" t="s">
        <v>206</v>
      </c>
      <c r="C658" t="s">
        <v>1134</v>
      </c>
      <c r="D658" t="s">
        <v>1140</v>
      </c>
      <c r="G658" t="s">
        <v>1165</v>
      </c>
      <c r="H658" t="s">
        <v>1165</v>
      </c>
      <c r="I658" t="s">
        <v>1165</v>
      </c>
      <c r="J658" t="s">
        <v>1239</v>
      </c>
      <c r="K658" t="s">
        <v>1212</v>
      </c>
      <c r="M658" s="3">
        <f t="shared" si="40"/>
        <v>61.571428571428569</v>
      </c>
      <c r="N658">
        <v>52</v>
      </c>
      <c r="O658">
        <v>72</v>
      </c>
      <c r="P658">
        <v>51</v>
      </c>
      <c r="Q658">
        <v>80</v>
      </c>
      <c r="R658">
        <v>52</v>
      </c>
      <c r="S658">
        <v>63</v>
      </c>
      <c r="T658">
        <v>61</v>
      </c>
      <c r="U658">
        <v>0</v>
      </c>
      <c r="V658" s="3">
        <f t="shared" si="41"/>
        <v>783056</v>
      </c>
      <c r="W658">
        <v>65254.666666666664</v>
      </c>
      <c r="X658">
        <v>0</v>
      </c>
      <c r="Y658">
        <f t="shared" si="42"/>
        <v>65254.666666666664</v>
      </c>
      <c r="Z658">
        <f t="shared" si="43"/>
        <v>0</v>
      </c>
      <c r="AA658">
        <v>0</v>
      </c>
    </row>
    <row r="659" spans="1:27" x14ac:dyDescent="0.25">
      <c r="A659" s="1">
        <v>658</v>
      </c>
      <c r="B659" t="s">
        <v>488</v>
      </c>
      <c r="C659" t="s">
        <v>1135</v>
      </c>
      <c r="D659" t="s">
        <v>1141</v>
      </c>
      <c r="G659" t="s">
        <v>1165</v>
      </c>
      <c r="H659" t="s">
        <v>1165</v>
      </c>
      <c r="I659" t="s">
        <v>1165</v>
      </c>
      <c r="J659" t="s">
        <v>1239</v>
      </c>
      <c r="K659" t="s">
        <v>1212</v>
      </c>
      <c r="M659" s="3">
        <f t="shared" si="40"/>
        <v>68.857142857142861</v>
      </c>
      <c r="N659">
        <v>46</v>
      </c>
      <c r="O659">
        <v>74</v>
      </c>
      <c r="P659">
        <v>77</v>
      </c>
      <c r="Q659">
        <v>74</v>
      </c>
      <c r="R659">
        <v>70</v>
      </c>
      <c r="S659">
        <v>80</v>
      </c>
      <c r="T659">
        <v>61</v>
      </c>
      <c r="U659">
        <v>0</v>
      </c>
      <c r="V659" s="3">
        <f t="shared" si="41"/>
        <v>2396018</v>
      </c>
      <c r="W659">
        <v>199668.16666666666</v>
      </c>
      <c r="X659">
        <v>0</v>
      </c>
      <c r="Y659">
        <f t="shared" si="42"/>
        <v>199668.16666666666</v>
      </c>
      <c r="Z659">
        <f t="shared" si="43"/>
        <v>0</v>
      </c>
      <c r="AA659">
        <v>0</v>
      </c>
    </row>
    <row r="660" spans="1:27" x14ac:dyDescent="0.25">
      <c r="A660" s="1">
        <v>659</v>
      </c>
      <c r="B660" t="s">
        <v>1653</v>
      </c>
      <c r="C660" t="s">
        <v>1135</v>
      </c>
      <c r="D660" t="s">
        <v>1142</v>
      </c>
      <c r="E660" t="s">
        <v>1141</v>
      </c>
      <c r="H660" t="s">
        <v>1165</v>
      </c>
      <c r="I660" t="s">
        <v>1165</v>
      </c>
      <c r="J660" t="s">
        <v>1239</v>
      </c>
      <c r="K660" t="s">
        <v>1212</v>
      </c>
      <c r="M660" s="3">
        <f t="shared" si="40"/>
        <v>68</v>
      </c>
      <c r="N660">
        <v>24</v>
      </c>
      <c r="O660">
        <v>80</v>
      </c>
      <c r="P660">
        <v>80</v>
      </c>
      <c r="Q660">
        <v>81</v>
      </c>
      <c r="R660">
        <v>82</v>
      </c>
      <c r="S660">
        <v>85</v>
      </c>
      <c r="T660">
        <v>44</v>
      </c>
      <c r="U660">
        <v>0</v>
      </c>
      <c r="V660" s="3">
        <f t="shared" si="41"/>
        <v>2113923</v>
      </c>
      <c r="W660">
        <v>176160.25</v>
      </c>
      <c r="X660">
        <v>0</v>
      </c>
      <c r="Y660">
        <f t="shared" si="42"/>
        <v>176160.25</v>
      </c>
      <c r="Z660">
        <f t="shared" si="43"/>
        <v>0</v>
      </c>
      <c r="AA660">
        <v>0</v>
      </c>
    </row>
    <row r="661" spans="1:27" x14ac:dyDescent="0.25">
      <c r="A661" s="1">
        <v>660</v>
      </c>
      <c r="B661" t="s">
        <v>487</v>
      </c>
      <c r="C661" t="s">
        <v>1135</v>
      </c>
      <c r="D661" t="s">
        <v>1141</v>
      </c>
      <c r="G661" t="s">
        <v>1165</v>
      </c>
      <c r="H661" t="s">
        <v>1165</v>
      </c>
      <c r="I661" t="s">
        <v>1165</v>
      </c>
      <c r="J661" t="s">
        <v>1239</v>
      </c>
      <c r="K661" t="s">
        <v>1212</v>
      </c>
      <c r="M661" s="3">
        <f t="shared" si="40"/>
        <v>70</v>
      </c>
      <c r="N661">
        <v>53</v>
      </c>
      <c r="O661">
        <v>80</v>
      </c>
      <c r="P661">
        <v>76</v>
      </c>
      <c r="Q661">
        <v>71</v>
      </c>
      <c r="R661">
        <v>69</v>
      </c>
      <c r="S661">
        <v>78</v>
      </c>
      <c r="T661">
        <v>63</v>
      </c>
      <c r="U661">
        <v>0</v>
      </c>
      <c r="V661" s="3">
        <f t="shared" si="41"/>
        <v>2824753</v>
      </c>
      <c r="W661">
        <v>235396.08333333334</v>
      </c>
      <c r="X661">
        <v>0</v>
      </c>
      <c r="Y661">
        <f t="shared" si="42"/>
        <v>235396.08333333334</v>
      </c>
      <c r="Z661">
        <f t="shared" si="43"/>
        <v>0</v>
      </c>
      <c r="AA661">
        <v>0</v>
      </c>
    </row>
    <row r="662" spans="1:27" x14ac:dyDescent="0.25">
      <c r="A662" s="1">
        <v>661</v>
      </c>
      <c r="B662" t="s">
        <v>1863</v>
      </c>
      <c r="C662" t="s">
        <v>1136</v>
      </c>
      <c r="D662" t="s">
        <v>1144</v>
      </c>
      <c r="E662" t="s">
        <v>1143</v>
      </c>
      <c r="H662" t="s">
        <v>1165</v>
      </c>
      <c r="I662" t="s">
        <v>1165</v>
      </c>
      <c r="J662" t="s">
        <v>1239</v>
      </c>
      <c r="K662" t="s">
        <v>1212</v>
      </c>
      <c r="M662" s="3">
        <f t="shared" si="40"/>
        <v>56.142857142857146</v>
      </c>
      <c r="N662">
        <v>18</v>
      </c>
      <c r="O662">
        <v>62</v>
      </c>
      <c r="P662">
        <v>62</v>
      </c>
      <c r="Q662">
        <v>70</v>
      </c>
      <c r="R662">
        <v>74</v>
      </c>
      <c r="S662">
        <v>77</v>
      </c>
      <c r="T662">
        <v>30</v>
      </c>
      <c r="U662">
        <v>0</v>
      </c>
      <c r="V662" s="3">
        <f t="shared" si="41"/>
        <v>311133</v>
      </c>
      <c r="W662">
        <v>25927.75</v>
      </c>
      <c r="X662">
        <v>0</v>
      </c>
      <c r="Y662">
        <f t="shared" si="42"/>
        <v>25927.75</v>
      </c>
      <c r="Z662">
        <f t="shared" si="43"/>
        <v>0</v>
      </c>
      <c r="AA662">
        <v>0</v>
      </c>
    </row>
    <row r="663" spans="1:27" x14ac:dyDescent="0.25">
      <c r="A663" s="1">
        <v>662</v>
      </c>
      <c r="B663" t="s">
        <v>1862</v>
      </c>
      <c r="C663" t="s">
        <v>1136</v>
      </c>
      <c r="D663" t="s">
        <v>1147</v>
      </c>
      <c r="E663" t="s">
        <v>1145</v>
      </c>
      <c r="H663" t="s">
        <v>1165</v>
      </c>
      <c r="I663" t="s">
        <v>1165</v>
      </c>
      <c r="J663" t="s">
        <v>1239</v>
      </c>
      <c r="K663" t="s">
        <v>1212</v>
      </c>
      <c r="M663" s="3">
        <f t="shared" si="40"/>
        <v>59.428571428571431</v>
      </c>
      <c r="N663">
        <v>19</v>
      </c>
      <c r="O663">
        <v>70</v>
      </c>
      <c r="P663">
        <v>68</v>
      </c>
      <c r="Q663">
        <v>76</v>
      </c>
      <c r="R663">
        <v>74</v>
      </c>
      <c r="S663">
        <v>76</v>
      </c>
      <c r="T663">
        <v>33</v>
      </c>
      <c r="U663">
        <v>0</v>
      </c>
      <c r="V663" s="3">
        <f t="shared" si="41"/>
        <v>549482</v>
      </c>
      <c r="W663">
        <v>45790.166666666664</v>
      </c>
      <c r="X663">
        <v>0</v>
      </c>
      <c r="Y663">
        <f t="shared" si="42"/>
        <v>45790.166666666664</v>
      </c>
      <c r="Z663">
        <f t="shared" si="43"/>
        <v>0</v>
      </c>
      <c r="AA663">
        <v>0</v>
      </c>
    </row>
    <row r="664" spans="1:27" x14ac:dyDescent="0.25">
      <c r="A664" s="1">
        <v>663</v>
      </c>
      <c r="B664" t="s">
        <v>1861</v>
      </c>
      <c r="C664" t="s">
        <v>1136</v>
      </c>
      <c r="D664" t="s">
        <v>1143</v>
      </c>
      <c r="E664" t="s">
        <v>1144</v>
      </c>
      <c r="H664" t="s">
        <v>1165</v>
      </c>
      <c r="I664" t="s">
        <v>1165</v>
      </c>
      <c r="J664" t="s">
        <v>1239</v>
      </c>
      <c r="K664" t="s">
        <v>1212</v>
      </c>
      <c r="M664" s="3">
        <f t="shared" si="40"/>
        <v>65.571428571428569</v>
      </c>
      <c r="N664">
        <v>24</v>
      </c>
      <c r="O664">
        <v>78</v>
      </c>
      <c r="P664">
        <v>74</v>
      </c>
      <c r="Q664">
        <v>84</v>
      </c>
      <c r="R664">
        <v>78</v>
      </c>
      <c r="S664">
        <v>80</v>
      </c>
      <c r="T664">
        <v>41</v>
      </c>
      <c r="U664">
        <v>0</v>
      </c>
      <c r="V664" s="3">
        <f t="shared" si="41"/>
        <v>1469422</v>
      </c>
      <c r="W664">
        <v>122451.83333333333</v>
      </c>
      <c r="X664">
        <v>0</v>
      </c>
      <c r="Y664">
        <f t="shared" si="42"/>
        <v>122451.83333333333</v>
      </c>
      <c r="Z664">
        <f t="shared" si="43"/>
        <v>0</v>
      </c>
      <c r="AA664">
        <v>0</v>
      </c>
    </row>
    <row r="665" spans="1:27" x14ac:dyDescent="0.25">
      <c r="A665" s="1">
        <v>664</v>
      </c>
      <c r="B665" t="s">
        <v>736</v>
      </c>
      <c r="C665" t="s">
        <v>1136</v>
      </c>
      <c r="D665" t="s">
        <v>1143</v>
      </c>
      <c r="E665" t="s">
        <v>1147</v>
      </c>
      <c r="G665" t="s">
        <v>1165</v>
      </c>
      <c r="H665" t="s">
        <v>1165</v>
      </c>
      <c r="I665" t="s">
        <v>1165</v>
      </c>
      <c r="J665" t="s">
        <v>1239</v>
      </c>
      <c r="K665" t="s">
        <v>1212</v>
      </c>
      <c r="M665" s="3">
        <f t="shared" si="40"/>
        <v>64.142857142857139</v>
      </c>
      <c r="N665">
        <v>44</v>
      </c>
      <c r="O665">
        <v>68</v>
      </c>
      <c r="P665">
        <v>63</v>
      </c>
      <c r="Q665">
        <v>67</v>
      </c>
      <c r="R665">
        <v>70</v>
      </c>
      <c r="S665">
        <v>71</v>
      </c>
      <c r="T665">
        <v>66</v>
      </c>
      <c r="U665">
        <v>0</v>
      </c>
      <c r="V665" s="3">
        <f t="shared" si="41"/>
        <v>1178917</v>
      </c>
      <c r="W665">
        <v>62289</v>
      </c>
      <c r="X665">
        <v>0</v>
      </c>
      <c r="Y665">
        <f t="shared" si="42"/>
        <v>98243.083333333328</v>
      </c>
      <c r="Z665">
        <f t="shared" si="43"/>
        <v>-36.6</v>
      </c>
      <c r="AA665">
        <v>0</v>
      </c>
    </row>
    <row r="666" spans="1:27" x14ac:dyDescent="0.25">
      <c r="A666" s="1">
        <v>665</v>
      </c>
      <c r="B666" t="s">
        <v>2646</v>
      </c>
      <c r="C666" t="s">
        <v>1136</v>
      </c>
      <c r="D666" t="s">
        <v>1147</v>
      </c>
      <c r="E666" t="s">
        <v>1146</v>
      </c>
      <c r="H666" t="s">
        <v>1165</v>
      </c>
      <c r="I666" t="s">
        <v>1165</v>
      </c>
      <c r="J666" t="s">
        <v>1239</v>
      </c>
      <c r="K666" t="s">
        <v>1212</v>
      </c>
      <c r="M666" s="3">
        <f t="shared" si="40"/>
        <v>57.142857142857146</v>
      </c>
      <c r="N666">
        <v>18</v>
      </c>
      <c r="O666">
        <v>64</v>
      </c>
      <c r="P666">
        <v>66</v>
      </c>
      <c r="Q666">
        <v>74</v>
      </c>
      <c r="R666">
        <v>72</v>
      </c>
      <c r="S666">
        <v>75</v>
      </c>
      <c r="T666">
        <v>31</v>
      </c>
      <c r="U666">
        <v>0</v>
      </c>
      <c r="V666" s="3">
        <f t="shared" si="41"/>
        <v>371210</v>
      </c>
      <c r="W666">
        <v>30934.166666666668</v>
      </c>
      <c r="X666">
        <v>0</v>
      </c>
      <c r="Y666">
        <f t="shared" si="42"/>
        <v>30934.166666666668</v>
      </c>
      <c r="Z666">
        <f t="shared" si="43"/>
        <v>0</v>
      </c>
      <c r="AA666">
        <v>0</v>
      </c>
    </row>
    <row r="667" spans="1:27" x14ac:dyDescent="0.25">
      <c r="A667" s="1">
        <v>666</v>
      </c>
      <c r="B667" t="s">
        <v>733</v>
      </c>
      <c r="C667" t="s">
        <v>1136</v>
      </c>
      <c r="D667" t="s">
        <v>1143</v>
      </c>
      <c r="G667" t="s">
        <v>1165</v>
      </c>
      <c r="H667" t="s">
        <v>1165</v>
      </c>
      <c r="I667" t="s">
        <v>1165</v>
      </c>
      <c r="J667" t="s">
        <v>1239</v>
      </c>
      <c r="K667" t="s">
        <v>1212</v>
      </c>
      <c r="M667" s="3">
        <f t="shared" si="40"/>
        <v>64.142857142857139</v>
      </c>
      <c r="N667">
        <v>45</v>
      </c>
      <c r="O667">
        <v>77</v>
      </c>
      <c r="P667">
        <v>66</v>
      </c>
      <c r="Q667">
        <v>68</v>
      </c>
      <c r="R667">
        <v>72</v>
      </c>
      <c r="S667">
        <v>77</v>
      </c>
      <c r="T667">
        <v>44</v>
      </c>
      <c r="U667">
        <v>0</v>
      </c>
      <c r="V667" s="3">
        <f t="shared" si="41"/>
        <v>1178917</v>
      </c>
      <c r="W667">
        <v>12381.333333333334</v>
      </c>
      <c r="X667">
        <v>0</v>
      </c>
      <c r="Y667">
        <f t="shared" si="42"/>
        <v>98243.083333333328</v>
      </c>
      <c r="Z667">
        <f t="shared" si="43"/>
        <v>-87.4</v>
      </c>
      <c r="AA667">
        <v>0</v>
      </c>
    </row>
    <row r="668" spans="1:27" x14ac:dyDescent="0.25">
      <c r="A668" s="1">
        <v>667</v>
      </c>
      <c r="B668" t="s">
        <v>735</v>
      </c>
      <c r="C668" t="s">
        <v>1136</v>
      </c>
      <c r="D668" t="s">
        <v>1144</v>
      </c>
      <c r="G668" t="s">
        <v>1165</v>
      </c>
      <c r="H668" t="s">
        <v>1165</v>
      </c>
      <c r="I668" t="s">
        <v>1165</v>
      </c>
      <c r="J668" t="s">
        <v>1239</v>
      </c>
      <c r="K668" t="s">
        <v>1212</v>
      </c>
      <c r="M668" s="3">
        <f t="shared" si="40"/>
        <v>63.714285714285715</v>
      </c>
      <c r="N668">
        <v>41</v>
      </c>
      <c r="O668">
        <v>70</v>
      </c>
      <c r="P668">
        <v>65</v>
      </c>
      <c r="Q668">
        <v>69</v>
      </c>
      <c r="R668">
        <v>69</v>
      </c>
      <c r="S668">
        <v>72</v>
      </c>
      <c r="T668">
        <v>60</v>
      </c>
      <c r="U668">
        <v>0</v>
      </c>
      <c r="V668" s="3">
        <f t="shared" si="41"/>
        <v>1102474</v>
      </c>
      <c r="W668">
        <v>68346.666666666672</v>
      </c>
      <c r="X668">
        <v>0</v>
      </c>
      <c r="Y668">
        <f t="shared" si="42"/>
        <v>91872.833333333328</v>
      </c>
      <c r="Z668">
        <f t="shared" si="43"/>
        <v>-25.61</v>
      </c>
      <c r="AA668">
        <v>0</v>
      </c>
    </row>
    <row r="669" spans="1:27" x14ac:dyDescent="0.25">
      <c r="A669" s="1">
        <v>668</v>
      </c>
      <c r="B669" t="s">
        <v>1656</v>
      </c>
      <c r="C669" t="s">
        <v>1136</v>
      </c>
      <c r="D669" t="s">
        <v>1145</v>
      </c>
      <c r="E669" t="s">
        <v>1143</v>
      </c>
      <c r="H669" t="s">
        <v>1165</v>
      </c>
      <c r="I669" t="s">
        <v>1165</v>
      </c>
      <c r="J669" t="s">
        <v>1239</v>
      </c>
      <c r="K669" t="s">
        <v>1212</v>
      </c>
      <c r="M669" s="3">
        <f t="shared" si="40"/>
        <v>54.714285714285715</v>
      </c>
      <c r="N669">
        <v>16</v>
      </c>
      <c r="O669">
        <v>60</v>
      </c>
      <c r="P669">
        <v>64</v>
      </c>
      <c r="Q669">
        <v>72</v>
      </c>
      <c r="R669">
        <v>70</v>
      </c>
      <c r="S669">
        <v>73</v>
      </c>
      <c r="T669">
        <v>28</v>
      </c>
      <c r="U669">
        <v>0</v>
      </c>
      <c r="V669" s="3">
        <f t="shared" si="41"/>
        <v>240441</v>
      </c>
      <c r="W669">
        <v>20036.75</v>
      </c>
      <c r="X669">
        <v>0</v>
      </c>
      <c r="Y669">
        <f t="shared" si="42"/>
        <v>20036.75</v>
      </c>
      <c r="Z669">
        <f t="shared" si="43"/>
        <v>0</v>
      </c>
      <c r="AA669">
        <v>0</v>
      </c>
    </row>
    <row r="670" spans="1:27" x14ac:dyDescent="0.25">
      <c r="A670" s="1">
        <v>669</v>
      </c>
      <c r="B670" t="s">
        <v>1654</v>
      </c>
      <c r="C670" t="s">
        <v>1136</v>
      </c>
      <c r="D670" t="s">
        <v>1146</v>
      </c>
      <c r="E670" t="s">
        <v>1144</v>
      </c>
      <c r="H670" t="s">
        <v>1165</v>
      </c>
      <c r="I670" t="s">
        <v>1165</v>
      </c>
      <c r="J670" t="s">
        <v>1239</v>
      </c>
      <c r="K670" t="s">
        <v>1212</v>
      </c>
      <c r="M670" s="3">
        <f t="shared" si="40"/>
        <v>61.571428571428569</v>
      </c>
      <c r="N670">
        <v>21</v>
      </c>
      <c r="O670">
        <v>72</v>
      </c>
      <c r="P670">
        <v>68</v>
      </c>
      <c r="Q670">
        <v>80</v>
      </c>
      <c r="R670">
        <v>76</v>
      </c>
      <c r="S670">
        <v>78</v>
      </c>
      <c r="T670">
        <v>36</v>
      </c>
      <c r="U670">
        <v>0</v>
      </c>
      <c r="V670" s="3">
        <f t="shared" si="41"/>
        <v>783056</v>
      </c>
      <c r="W670">
        <v>65254.666666666664</v>
      </c>
      <c r="X670">
        <v>0</v>
      </c>
      <c r="Y670">
        <f t="shared" si="42"/>
        <v>65254.666666666664</v>
      </c>
      <c r="Z670">
        <f t="shared" si="43"/>
        <v>0</v>
      </c>
      <c r="AA670">
        <v>0</v>
      </c>
    </row>
    <row r="671" spans="1:27" x14ac:dyDescent="0.25">
      <c r="A671" s="1">
        <v>670</v>
      </c>
      <c r="B671" t="s">
        <v>734</v>
      </c>
      <c r="C671" t="s">
        <v>1136</v>
      </c>
      <c r="D671" t="s">
        <v>1144</v>
      </c>
      <c r="E671" t="s">
        <v>1138</v>
      </c>
      <c r="G671" t="s">
        <v>1165</v>
      </c>
      <c r="H671" t="s">
        <v>1165</v>
      </c>
      <c r="I671" t="s">
        <v>1165</v>
      </c>
      <c r="J671" t="s">
        <v>1239</v>
      </c>
      <c r="K671" t="s">
        <v>1212</v>
      </c>
      <c r="M671" s="3">
        <f t="shared" si="40"/>
        <v>69.714285714285708</v>
      </c>
      <c r="N671">
        <v>50</v>
      </c>
      <c r="O671">
        <v>69</v>
      </c>
      <c r="P671">
        <v>72</v>
      </c>
      <c r="Q671">
        <v>73</v>
      </c>
      <c r="R671">
        <v>72</v>
      </c>
      <c r="S671">
        <v>80</v>
      </c>
      <c r="T671">
        <v>72</v>
      </c>
      <c r="U671">
        <v>12</v>
      </c>
      <c r="V671" s="3">
        <f t="shared" si="41"/>
        <v>4067327</v>
      </c>
      <c r="W671">
        <v>338943.91666666669</v>
      </c>
      <c r="X671">
        <v>0</v>
      </c>
      <c r="Y671">
        <f t="shared" si="42"/>
        <v>338943.91666666669</v>
      </c>
      <c r="Z671">
        <f t="shared" si="43"/>
        <v>0</v>
      </c>
      <c r="AA671">
        <v>0</v>
      </c>
    </row>
    <row r="672" spans="1:27" x14ac:dyDescent="0.25">
      <c r="A672" s="1">
        <v>671</v>
      </c>
      <c r="B672" t="s">
        <v>1859</v>
      </c>
      <c r="C672" t="s">
        <v>1137</v>
      </c>
      <c r="D672" t="s">
        <v>1137</v>
      </c>
      <c r="H672" t="s">
        <v>1165</v>
      </c>
      <c r="I672" t="s">
        <v>1165</v>
      </c>
      <c r="J672" t="s">
        <v>1239</v>
      </c>
      <c r="K672" t="s">
        <v>1212</v>
      </c>
      <c r="M672" s="3">
        <f t="shared" si="40"/>
        <v>61.857142857142854</v>
      </c>
      <c r="N672">
        <v>21</v>
      </c>
      <c r="O672">
        <v>72</v>
      </c>
      <c r="P672">
        <v>66</v>
      </c>
      <c r="Q672">
        <v>76</v>
      </c>
      <c r="R672">
        <v>78</v>
      </c>
      <c r="S672">
        <v>80</v>
      </c>
      <c r="T672">
        <v>40</v>
      </c>
      <c r="U672">
        <v>0</v>
      </c>
      <c r="V672" s="3">
        <f t="shared" si="41"/>
        <v>820160</v>
      </c>
      <c r="W672">
        <v>68346.666666666672</v>
      </c>
      <c r="X672">
        <v>0</v>
      </c>
      <c r="Y672">
        <f t="shared" si="42"/>
        <v>68346.666666666672</v>
      </c>
      <c r="Z672">
        <f t="shared" si="43"/>
        <v>0</v>
      </c>
      <c r="AA672">
        <v>0</v>
      </c>
    </row>
    <row r="673" spans="1:27" x14ac:dyDescent="0.25">
      <c r="A673" s="1">
        <v>672</v>
      </c>
      <c r="B673" t="s">
        <v>68</v>
      </c>
      <c r="C673" t="s">
        <v>1133</v>
      </c>
      <c r="D673" t="s">
        <v>1133</v>
      </c>
      <c r="G673" t="s">
        <v>1181</v>
      </c>
      <c r="H673" t="s">
        <v>1181</v>
      </c>
      <c r="I673" t="s">
        <v>1181</v>
      </c>
      <c r="J673" t="s">
        <v>1253</v>
      </c>
      <c r="K673" t="s">
        <v>1212</v>
      </c>
      <c r="M673" s="3">
        <f t="shared" si="40"/>
        <v>90</v>
      </c>
      <c r="N673">
        <v>90</v>
      </c>
      <c r="O673">
        <v>88</v>
      </c>
      <c r="P673">
        <v>85</v>
      </c>
      <c r="Q673">
        <v>94</v>
      </c>
      <c r="R673">
        <v>92</v>
      </c>
      <c r="S673">
        <v>91</v>
      </c>
      <c r="T673">
        <v>90</v>
      </c>
      <c r="U673">
        <v>31</v>
      </c>
      <c r="V673" s="3">
        <f t="shared" si="41"/>
        <v>52301767</v>
      </c>
      <c r="W673">
        <v>4358480.583333333</v>
      </c>
      <c r="X673">
        <v>0</v>
      </c>
      <c r="Y673">
        <f t="shared" si="42"/>
        <v>4358480.583333333</v>
      </c>
      <c r="Z673">
        <f t="shared" si="43"/>
        <v>0</v>
      </c>
      <c r="AA673">
        <v>0</v>
      </c>
    </row>
    <row r="674" spans="1:27" x14ac:dyDescent="0.25">
      <c r="A674" s="1">
        <v>673</v>
      </c>
      <c r="B674" t="s">
        <v>136</v>
      </c>
      <c r="C674" t="s">
        <v>1134</v>
      </c>
      <c r="D674" t="s">
        <v>1138</v>
      </c>
      <c r="E674" t="s">
        <v>1144</v>
      </c>
      <c r="G674" t="s">
        <v>1151</v>
      </c>
      <c r="H674" t="s">
        <v>1151</v>
      </c>
      <c r="I674" t="s">
        <v>1151</v>
      </c>
      <c r="J674" t="s">
        <v>1253</v>
      </c>
      <c r="K674" t="s">
        <v>1212</v>
      </c>
      <c r="M674" s="3">
        <f t="shared" si="40"/>
        <v>87</v>
      </c>
      <c r="N674">
        <v>80</v>
      </c>
      <c r="O674">
        <v>78</v>
      </c>
      <c r="P674">
        <v>85</v>
      </c>
      <c r="Q674">
        <v>86</v>
      </c>
      <c r="R674">
        <v>93</v>
      </c>
      <c r="S674">
        <v>95</v>
      </c>
      <c r="T674">
        <v>92</v>
      </c>
      <c r="U674">
        <v>26</v>
      </c>
      <c r="V674" s="3">
        <f t="shared" si="41"/>
        <v>37263513</v>
      </c>
      <c r="W674">
        <v>3105292.75</v>
      </c>
      <c r="X674">
        <v>0</v>
      </c>
      <c r="Y674">
        <f t="shared" si="42"/>
        <v>3105292.75</v>
      </c>
      <c r="Z674">
        <f t="shared" si="43"/>
        <v>0</v>
      </c>
      <c r="AA674">
        <v>0</v>
      </c>
    </row>
    <row r="675" spans="1:27" x14ac:dyDescent="0.25">
      <c r="A675" s="1">
        <v>674</v>
      </c>
      <c r="B675" t="s">
        <v>135</v>
      </c>
      <c r="C675" t="s">
        <v>1134</v>
      </c>
      <c r="D675" t="s">
        <v>1138</v>
      </c>
      <c r="E675" t="s">
        <v>1140</v>
      </c>
      <c r="G675" t="s">
        <v>1151</v>
      </c>
      <c r="H675" t="s">
        <v>1151</v>
      </c>
      <c r="I675" t="s">
        <v>1151</v>
      </c>
      <c r="J675" t="s">
        <v>1253</v>
      </c>
      <c r="K675" t="s">
        <v>1212</v>
      </c>
      <c r="M675" s="3">
        <f t="shared" si="40"/>
        <v>85.714285714285708</v>
      </c>
      <c r="N675">
        <v>77</v>
      </c>
      <c r="O675">
        <v>75</v>
      </c>
      <c r="P675">
        <v>80</v>
      </c>
      <c r="Q675">
        <v>88</v>
      </c>
      <c r="R675">
        <v>95</v>
      </c>
      <c r="S675">
        <v>91</v>
      </c>
      <c r="T675">
        <v>94</v>
      </c>
      <c r="U675">
        <v>26</v>
      </c>
      <c r="V675" s="3">
        <f t="shared" si="41"/>
        <v>32108748</v>
      </c>
      <c r="W675">
        <v>2675729</v>
      </c>
      <c r="X675">
        <v>0</v>
      </c>
      <c r="Y675">
        <f t="shared" si="42"/>
        <v>2675729</v>
      </c>
      <c r="Z675">
        <f t="shared" si="43"/>
        <v>0</v>
      </c>
      <c r="AA675">
        <v>0</v>
      </c>
    </row>
    <row r="676" spans="1:27" x14ac:dyDescent="0.25">
      <c r="A676" s="1">
        <v>675</v>
      </c>
      <c r="B676" t="s">
        <v>1434</v>
      </c>
      <c r="C676" t="s">
        <v>1134</v>
      </c>
      <c r="D676" t="s">
        <v>1140</v>
      </c>
      <c r="E676" t="s">
        <v>1139</v>
      </c>
      <c r="H676" t="s">
        <v>1181</v>
      </c>
      <c r="I676" t="s">
        <v>1181</v>
      </c>
      <c r="J676" t="s">
        <v>1253</v>
      </c>
      <c r="K676" t="s">
        <v>1212</v>
      </c>
      <c r="M676" s="3">
        <f t="shared" si="40"/>
        <v>69.571428571428569</v>
      </c>
      <c r="N676">
        <v>35</v>
      </c>
      <c r="O676">
        <v>85</v>
      </c>
      <c r="P676">
        <v>71</v>
      </c>
      <c r="Q676">
        <v>77</v>
      </c>
      <c r="R676">
        <v>80</v>
      </c>
      <c r="S676">
        <v>84</v>
      </c>
      <c r="T676">
        <v>55</v>
      </c>
      <c r="U676">
        <v>23</v>
      </c>
      <c r="V676" s="3">
        <f t="shared" si="41"/>
        <v>3984745</v>
      </c>
      <c r="W676">
        <v>332062.08333333331</v>
      </c>
      <c r="X676">
        <v>0</v>
      </c>
      <c r="Y676">
        <f t="shared" si="42"/>
        <v>332062.08333333331</v>
      </c>
      <c r="Z676">
        <f t="shared" si="43"/>
        <v>0</v>
      </c>
      <c r="AA676">
        <v>0</v>
      </c>
    </row>
    <row r="677" spans="1:27" x14ac:dyDescent="0.25">
      <c r="A677" s="1">
        <v>676</v>
      </c>
      <c r="B677" t="s">
        <v>285</v>
      </c>
      <c r="C677" t="s">
        <v>1134</v>
      </c>
      <c r="D677" t="s">
        <v>1139</v>
      </c>
      <c r="E677" t="s">
        <v>1140</v>
      </c>
      <c r="G677" t="s">
        <v>1181</v>
      </c>
      <c r="H677" t="s">
        <v>1181</v>
      </c>
      <c r="I677" t="s">
        <v>1181</v>
      </c>
      <c r="J677" t="s">
        <v>1253</v>
      </c>
      <c r="K677" t="s">
        <v>1212</v>
      </c>
      <c r="M677" s="3">
        <f t="shared" si="40"/>
        <v>82.857142857142861</v>
      </c>
      <c r="N677">
        <v>74</v>
      </c>
      <c r="O677">
        <v>90</v>
      </c>
      <c r="P677">
        <v>81</v>
      </c>
      <c r="Q677">
        <v>85</v>
      </c>
      <c r="R677">
        <v>84</v>
      </c>
      <c r="S677">
        <v>86</v>
      </c>
      <c r="T677">
        <v>80</v>
      </c>
      <c r="U677">
        <v>26</v>
      </c>
      <c r="V677" s="3">
        <f t="shared" si="41"/>
        <v>22876564</v>
      </c>
      <c r="W677">
        <v>1906380.3333333333</v>
      </c>
      <c r="X677">
        <v>0</v>
      </c>
      <c r="Y677">
        <f t="shared" si="42"/>
        <v>1906380.3333333333</v>
      </c>
      <c r="Z677">
        <f t="shared" si="43"/>
        <v>0</v>
      </c>
      <c r="AA677">
        <v>0</v>
      </c>
    </row>
    <row r="678" spans="1:27" x14ac:dyDescent="0.25">
      <c r="A678" s="1">
        <v>677</v>
      </c>
      <c r="B678" t="s">
        <v>283</v>
      </c>
      <c r="C678" t="s">
        <v>1134</v>
      </c>
      <c r="D678" t="s">
        <v>1138</v>
      </c>
      <c r="E678" t="s">
        <v>1140</v>
      </c>
      <c r="G678" t="s">
        <v>1181</v>
      </c>
      <c r="H678" t="s">
        <v>1181</v>
      </c>
      <c r="I678" t="s">
        <v>1181</v>
      </c>
      <c r="J678" t="s">
        <v>1253</v>
      </c>
      <c r="K678" t="s">
        <v>1212</v>
      </c>
      <c r="M678" s="3">
        <f t="shared" si="40"/>
        <v>86.571428571428569</v>
      </c>
      <c r="N678">
        <v>82</v>
      </c>
      <c r="O678">
        <v>83</v>
      </c>
      <c r="P678">
        <v>88</v>
      </c>
      <c r="Q678">
        <v>90</v>
      </c>
      <c r="R678">
        <v>89</v>
      </c>
      <c r="S678">
        <v>94</v>
      </c>
      <c r="T678">
        <v>80</v>
      </c>
      <c r="U678">
        <v>26</v>
      </c>
      <c r="V678" s="3">
        <f t="shared" si="41"/>
        <v>35468033</v>
      </c>
      <c r="W678">
        <v>2955669.4166666665</v>
      </c>
      <c r="X678">
        <v>0</v>
      </c>
      <c r="Y678">
        <f t="shared" si="42"/>
        <v>2955669.4166666665</v>
      </c>
      <c r="Z678">
        <f t="shared" si="43"/>
        <v>0</v>
      </c>
      <c r="AA678">
        <v>0</v>
      </c>
    </row>
    <row r="679" spans="1:27" x14ac:dyDescent="0.25">
      <c r="A679" s="1">
        <v>678</v>
      </c>
      <c r="B679" t="s">
        <v>1433</v>
      </c>
      <c r="C679" t="s">
        <v>1134</v>
      </c>
      <c r="D679" t="s">
        <v>1140</v>
      </c>
      <c r="E679" t="s">
        <v>1139</v>
      </c>
      <c r="H679" t="s">
        <v>1181</v>
      </c>
      <c r="I679" t="s">
        <v>1181</v>
      </c>
      <c r="J679" t="s">
        <v>1253</v>
      </c>
      <c r="K679" t="s">
        <v>1212</v>
      </c>
      <c r="M679" s="3">
        <f t="shared" si="40"/>
        <v>70.142857142857139</v>
      </c>
      <c r="N679">
        <v>36</v>
      </c>
      <c r="O679">
        <v>87</v>
      </c>
      <c r="P679">
        <v>70</v>
      </c>
      <c r="Q679">
        <v>78</v>
      </c>
      <c r="R679">
        <v>80</v>
      </c>
      <c r="S679">
        <v>85</v>
      </c>
      <c r="T679">
        <v>55</v>
      </c>
      <c r="U679">
        <v>23</v>
      </c>
      <c r="V679" s="3">
        <f t="shared" si="41"/>
        <v>4324400</v>
      </c>
      <c r="W679">
        <v>360366.66666666669</v>
      </c>
      <c r="X679">
        <v>0</v>
      </c>
      <c r="Y679">
        <f t="shared" si="42"/>
        <v>360366.66666666669</v>
      </c>
      <c r="Z679">
        <f t="shared" si="43"/>
        <v>0</v>
      </c>
      <c r="AA679">
        <v>0</v>
      </c>
    </row>
    <row r="680" spans="1:27" x14ac:dyDescent="0.25">
      <c r="A680" s="1">
        <v>679</v>
      </c>
      <c r="B680" t="s">
        <v>282</v>
      </c>
      <c r="C680" t="s">
        <v>1134</v>
      </c>
      <c r="D680" t="s">
        <v>1138</v>
      </c>
      <c r="E680" t="s">
        <v>1139</v>
      </c>
      <c r="F680" t="s">
        <v>1140</v>
      </c>
      <c r="G680" t="s">
        <v>1181</v>
      </c>
      <c r="H680" t="s">
        <v>1181</v>
      </c>
      <c r="I680" t="s">
        <v>1181</v>
      </c>
      <c r="J680" t="s">
        <v>1253</v>
      </c>
      <c r="K680" t="s">
        <v>1212</v>
      </c>
      <c r="M680" s="3">
        <f t="shared" si="40"/>
        <v>92.285714285714292</v>
      </c>
      <c r="N680">
        <v>93</v>
      </c>
      <c r="O680">
        <v>86</v>
      </c>
      <c r="P680">
        <v>100</v>
      </c>
      <c r="Q680">
        <v>92</v>
      </c>
      <c r="R680">
        <v>95</v>
      </c>
      <c r="S680">
        <v>93</v>
      </c>
      <c r="T680">
        <v>87</v>
      </c>
      <c r="U680">
        <v>1</v>
      </c>
      <c r="V680" s="3">
        <f t="shared" si="41"/>
        <v>67210332</v>
      </c>
      <c r="W680">
        <v>5600861</v>
      </c>
      <c r="X680">
        <v>0</v>
      </c>
      <c r="Y680">
        <f t="shared" si="42"/>
        <v>5600861</v>
      </c>
      <c r="Z680">
        <f t="shared" si="43"/>
        <v>0</v>
      </c>
      <c r="AA680">
        <v>0</v>
      </c>
    </row>
    <row r="681" spans="1:27" x14ac:dyDescent="0.25">
      <c r="A681" s="1">
        <v>680</v>
      </c>
      <c r="B681" t="s">
        <v>284</v>
      </c>
      <c r="C681" t="s">
        <v>1134</v>
      </c>
      <c r="D681" t="s">
        <v>1138</v>
      </c>
      <c r="E681" t="s">
        <v>1140</v>
      </c>
      <c r="F681" t="s">
        <v>1139</v>
      </c>
      <c r="G681" t="s">
        <v>1181</v>
      </c>
      <c r="H681" t="s">
        <v>1181</v>
      </c>
      <c r="I681" t="s">
        <v>1181</v>
      </c>
      <c r="J681" t="s">
        <v>1253</v>
      </c>
      <c r="K681" t="s">
        <v>1212</v>
      </c>
      <c r="M681" s="3">
        <f t="shared" si="40"/>
        <v>83.714285714285708</v>
      </c>
      <c r="N681">
        <v>78</v>
      </c>
      <c r="O681">
        <v>80</v>
      </c>
      <c r="P681">
        <v>84</v>
      </c>
      <c r="Q681">
        <v>87</v>
      </c>
      <c r="R681">
        <v>91</v>
      </c>
      <c r="S681">
        <v>90</v>
      </c>
      <c r="T681">
        <v>76</v>
      </c>
      <c r="U681">
        <v>26</v>
      </c>
      <c r="V681" s="3">
        <f t="shared" si="41"/>
        <v>25356367</v>
      </c>
      <c r="W681">
        <v>2113030.5833333335</v>
      </c>
      <c r="X681">
        <v>0</v>
      </c>
      <c r="Y681">
        <f t="shared" si="42"/>
        <v>2113030.5833333335</v>
      </c>
      <c r="Z681">
        <f t="shared" si="43"/>
        <v>0</v>
      </c>
      <c r="AA681">
        <v>0</v>
      </c>
    </row>
    <row r="682" spans="1:27" x14ac:dyDescent="0.25">
      <c r="A682" s="1">
        <v>681</v>
      </c>
      <c r="B682" t="s">
        <v>437</v>
      </c>
      <c r="C682" t="s">
        <v>1135</v>
      </c>
      <c r="D682" t="s">
        <v>1142</v>
      </c>
      <c r="E682" t="s">
        <v>1147</v>
      </c>
      <c r="F682" t="s">
        <v>1145</v>
      </c>
      <c r="G682" t="s">
        <v>1149</v>
      </c>
      <c r="H682" t="s">
        <v>1149</v>
      </c>
      <c r="I682" t="s">
        <v>1149</v>
      </c>
      <c r="J682" t="s">
        <v>1253</v>
      </c>
      <c r="K682" t="s">
        <v>1212</v>
      </c>
      <c r="M682" s="3">
        <f t="shared" si="40"/>
        <v>88</v>
      </c>
      <c r="N682">
        <v>82</v>
      </c>
      <c r="O682">
        <v>95</v>
      </c>
      <c r="P682">
        <v>90</v>
      </c>
      <c r="Q682">
        <v>95</v>
      </c>
      <c r="R682">
        <v>80</v>
      </c>
      <c r="S682">
        <v>82</v>
      </c>
      <c r="T682">
        <v>92</v>
      </c>
      <c r="U682">
        <v>8</v>
      </c>
      <c r="V682" s="3">
        <f t="shared" si="41"/>
        <v>41775147</v>
      </c>
      <c r="W682">
        <v>3481262.25</v>
      </c>
      <c r="X682">
        <v>0</v>
      </c>
      <c r="Y682">
        <f t="shared" si="42"/>
        <v>3481262.25</v>
      </c>
      <c r="Z682">
        <f t="shared" si="43"/>
        <v>0</v>
      </c>
      <c r="AA682">
        <v>0</v>
      </c>
    </row>
    <row r="683" spans="1:27" x14ac:dyDescent="0.25">
      <c r="A683" s="1">
        <v>682</v>
      </c>
      <c r="B683" t="s">
        <v>1435</v>
      </c>
      <c r="C683" t="s">
        <v>1135</v>
      </c>
      <c r="D683" t="s">
        <v>1141</v>
      </c>
      <c r="H683" t="s">
        <v>1181</v>
      </c>
      <c r="I683" t="s">
        <v>1181</v>
      </c>
      <c r="J683" t="s">
        <v>1253</v>
      </c>
      <c r="K683" t="s">
        <v>1212</v>
      </c>
      <c r="M683" s="3">
        <f t="shared" si="40"/>
        <v>69.285714285714292</v>
      </c>
      <c r="N683">
        <v>40</v>
      </c>
      <c r="O683">
        <v>80</v>
      </c>
      <c r="P683">
        <v>85</v>
      </c>
      <c r="Q683">
        <v>70</v>
      </c>
      <c r="R683">
        <v>78</v>
      </c>
      <c r="S683">
        <v>92</v>
      </c>
      <c r="T683">
        <v>40</v>
      </c>
      <c r="U683">
        <v>6</v>
      </c>
      <c r="V683" s="3">
        <f t="shared" si="41"/>
        <v>3824092</v>
      </c>
      <c r="W683">
        <v>318674.33333333331</v>
      </c>
      <c r="X683">
        <v>0</v>
      </c>
      <c r="Y683">
        <f t="shared" si="42"/>
        <v>318674.33333333331</v>
      </c>
      <c r="Z683">
        <f t="shared" si="43"/>
        <v>0</v>
      </c>
      <c r="AA683">
        <v>0</v>
      </c>
    </row>
    <row r="684" spans="1:27" x14ac:dyDescent="0.25">
      <c r="A684" s="1">
        <v>683</v>
      </c>
      <c r="B684" t="s">
        <v>498</v>
      </c>
      <c r="C684" t="s">
        <v>1135</v>
      </c>
      <c r="D684" t="s">
        <v>1142</v>
      </c>
      <c r="G684" t="s">
        <v>1168</v>
      </c>
      <c r="H684" t="s">
        <v>1168</v>
      </c>
      <c r="I684" t="s">
        <v>1168</v>
      </c>
      <c r="J684" t="s">
        <v>1253</v>
      </c>
      <c r="K684" t="s">
        <v>1212</v>
      </c>
      <c r="M684" s="3">
        <f t="shared" si="40"/>
        <v>93.285714285714292</v>
      </c>
      <c r="N684">
        <v>94</v>
      </c>
      <c r="O684">
        <v>96</v>
      </c>
      <c r="P684">
        <v>95</v>
      </c>
      <c r="Q684">
        <v>97</v>
      </c>
      <c r="R684">
        <v>86</v>
      </c>
      <c r="S684">
        <v>87</v>
      </c>
      <c r="T684">
        <v>98</v>
      </c>
      <c r="U684">
        <v>8</v>
      </c>
      <c r="V684" s="3">
        <f t="shared" si="41"/>
        <v>74858768</v>
      </c>
      <c r="W684">
        <v>6238230.666666667</v>
      </c>
      <c r="X684">
        <v>0</v>
      </c>
      <c r="Y684">
        <f t="shared" si="42"/>
        <v>6238230.666666667</v>
      </c>
      <c r="Z684">
        <f t="shared" si="43"/>
        <v>0</v>
      </c>
      <c r="AA684">
        <v>0</v>
      </c>
    </row>
    <row r="685" spans="1:27" x14ac:dyDescent="0.25">
      <c r="A685" s="1">
        <v>684</v>
      </c>
      <c r="B685" t="s">
        <v>539</v>
      </c>
      <c r="C685" t="s">
        <v>1135</v>
      </c>
      <c r="D685" t="s">
        <v>1141</v>
      </c>
      <c r="E685" t="s">
        <v>1142</v>
      </c>
      <c r="G685" t="s">
        <v>1181</v>
      </c>
      <c r="H685" t="s">
        <v>1181</v>
      </c>
      <c r="I685" t="s">
        <v>1181</v>
      </c>
      <c r="J685" t="s">
        <v>1253</v>
      </c>
      <c r="K685" t="s">
        <v>1212</v>
      </c>
      <c r="M685" s="3">
        <f t="shared" si="40"/>
        <v>78</v>
      </c>
      <c r="N685">
        <v>70</v>
      </c>
      <c r="O685">
        <v>80</v>
      </c>
      <c r="P685">
        <v>84</v>
      </c>
      <c r="Q685">
        <v>85</v>
      </c>
      <c r="R685">
        <v>80</v>
      </c>
      <c r="S685">
        <v>87</v>
      </c>
      <c r="T685">
        <v>60</v>
      </c>
      <c r="U685">
        <v>25</v>
      </c>
      <c r="V685" s="3">
        <f t="shared" si="41"/>
        <v>12503664</v>
      </c>
      <c r="W685">
        <v>1041972</v>
      </c>
      <c r="X685">
        <v>0</v>
      </c>
      <c r="Y685">
        <f t="shared" si="42"/>
        <v>1041972</v>
      </c>
      <c r="Z685">
        <f t="shared" si="43"/>
        <v>0</v>
      </c>
      <c r="AA685">
        <v>0</v>
      </c>
    </row>
    <row r="686" spans="1:27" x14ac:dyDescent="0.25">
      <c r="A686" s="1">
        <v>685</v>
      </c>
      <c r="B686" t="s">
        <v>753</v>
      </c>
      <c r="C686" t="s">
        <v>1136</v>
      </c>
      <c r="D686" t="s">
        <v>1147</v>
      </c>
      <c r="E686" t="s">
        <v>1144</v>
      </c>
      <c r="F686" t="s">
        <v>1145</v>
      </c>
      <c r="G686" t="s">
        <v>1168</v>
      </c>
      <c r="H686" t="s">
        <v>1168</v>
      </c>
      <c r="I686" t="s">
        <v>1168</v>
      </c>
      <c r="J686" t="s">
        <v>1253</v>
      </c>
      <c r="K686" t="s">
        <v>1212</v>
      </c>
      <c r="M686" s="3">
        <f t="shared" si="40"/>
        <v>93</v>
      </c>
      <c r="N686">
        <v>93</v>
      </c>
      <c r="O686">
        <v>95</v>
      </c>
      <c r="P686">
        <v>93</v>
      </c>
      <c r="Q686">
        <v>94</v>
      </c>
      <c r="R686">
        <v>91</v>
      </c>
      <c r="S686">
        <v>90</v>
      </c>
      <c r="T686">
        <v>95</v>
      </c>
      <c r="U686">
        <v>19</v>
      </c>
      <c r="V686" s="3">
        <f t="shared" si="41"/>
        <v>72597347</v>
      </c>
      <c r="W686">
        <v>6049778.916666667</v>
      </c>
      <c r="X686">
        <v>0</v>
      </c>
      <c r="Y686">
        <f t="shared" si="42"/>
        <v>6049778.916666667</v>
      </c>
      <c r="Z686">
        <f t="shared" si="43"/>
        <v>0</v>
      </c>
      <c r="AA686">
        <v>0</v>
      </c>
    </row>
    <row r="687" spans="1:27" x14ac:dyDescent="0.25">
      <c r="A687" s="1">
        <v>686</v>
      </c>
      <c r="B687" t="s">
        <v>833</v>
      </c>
      <c r="C687" t="s">
        <v>1136</v>
      </c>
      <c r="D687" t="s">
        <v>1146</v>
      </c>
      <c r="E687" t="s">
        <v>1147</v>
      </c>
      <c r="F687" t="s">
        <v>1143</v>
      </c>
      <c r="G687" t="s">
        <v>1181</v>
      </c>
      <c r="H687" t="s">
        <v>1214</v>
      </c>
      <c r="I687" t="s">
        <v>1214</v>
      </c>
      <c r="J687" t="s">
        <v>1253</v>
      </c>
      <c r="K687" t="s">
        <v>1212</v>
      </c>
      <c r="M687" s="3">
        <f t="shared" si="40"/>
        <v>83.142857142857139</v>
      </c>
      <c r="N687">
        <v>80</v>
      </c>
      <c r="O687">
        <v>86</v>
      </c>
      <c r="P687">
        <v>86</v>
      </c>
      <c r="Q687">
        <v>85</v>
      </c>
      <c r="R687">
        <v>80</v>
      </c>
      <c r="S687">
        <v>85</v>
      </c>
      <c r="T687">
        <v>80</v>
      </c>
      <c r="U687">
        <v>22</v>
      </c>
      <c r="V687" s="3">
        <f t="shared" si="41"/>
        <v>23677765</v>
      </c>
      <c r="W687">
        <v>1973147.0833333333</v>
      </c>
      <c r="X687">
        <v>0</v>
      </c>
      <c r="Y687">
        <f t="shared" si="42"/>
        <v>1973147.0833333333</v>
      </c>
      <c r="Z687">
        <f t="shared" si="43"/>
        <v>0</v>
      </c>
      <c r="AA687">
        <v>0</v>
      </c>
    </row>
    <row r="688" spans="1:27" x14ac:dyDescent="0.25">
      <c r="A688" s="1">
        <v>687</v>
      </c>
      <c r="B688" t="s">
        <v>836</v>
      </c>
      <c r="C688" t="s">
        <v>1136</v>
      </c>
      <c r="D688" t="s">
        <v>1144</v>
      </c>
      <c r="E688" t="s">
        <v>1138</v>
      </c>
      <c r="F688" t="s">
        <v>1143</v>
      </c>
      <c r="G688" t="s">
        <v>1181</v>
      </c>
      <c r="H688" t="s">
        <v>1181</v>
      </c>
      <c r="I688" t="s">
        <v>1181</v>
      </c>
      <c r="J688" t="s">
        <v>1253</v>
      </c>
      <c r="K688" t="s">
        <v>1212</v>
      </c>
      <c r="M688" s="3">
        <f t="shared" si="40"/>
        <v>73.142857142857139</v>
      </c>
      <c r="N688">
        <v>63</v>
      </c>
      <c r="O688">
        <v>82</v>
      </c>
      <c r="P688">
        <v>79</v>
      </c>
      <c r="Q688">
        <v>83</v>
      </c>
      <c r="R688">
        <v>80</v>
      </c>
      <c r="S688">
        <v>85</v>
      </c>
      <c r="T688">
        <v>40</v>
      </c>
      <c r="U688">
        <v>0</v>
      </c>
      <c r="V688" s="3">
        <f t="shared" si="41"/>
        <v>4382473</v>
      </c>
      <c r="W688">
        <v>365206.08333333331</v>
      </c>
      <c r="X688">
        <v>0</v>
      </c>
      <c r="Y688">
        <f t="shared" si="42"/>
        <v>365206.08333333331</v>
      </c>
      <c r="Z688">
        <f t="shared" si="43"/>
        <v>0</v>
      </c>
      <c r="AA688">
        <v>0</v>
      </c>
    </row>
    <row r="689" spans="1:27" x14ac:dyDescent="0.25">
      <c r="A689" s="1">
        <v>688</v>
      </c>
      <c r="B689" t="s">
        <v>1436</v>
      </c>
      <c r="C689" t="s">
        <v>1136</v>
      </c>
      <c r="D689" t="s">
        <v>1143</v>
      </c>
      <c r="E689" t="s">
        <v>1144</v>
      </c>
      <c r="H689" t="s">
        <v>1181</v>
      </c>
      <c r="I689" t="s">
        <v>1181</v>
      </c>
      <c r="J689" t="s">
        <v>1253</v>
      </c>
      <c r="K689" t="s">
        <v>1212</v>
      </c>
      <c r="M689" s="3">
        <f t="shared" si="40"/>
        <v>70.857142857142861</v>
      </c>
      <c r="N689">
        <v>38</v>
      </c>
      <c r="O689">
        <v>82</v>
      </c>
      <c r="P689">
        <v>78</v>
      </c>
      <c r="Q689">
        <v>80</v>
      </c>
      <c r="R689">
        <v>83</v>
      </c>
      <c r="S689">
        <v>85</v>
      </c>
      <c r="T689">
        <v>50</v>
      </c>
      <c r="U689">
        <v>18</v>
      </c>
      <c r="V689" s="3">
        <f t="shared" si="41"/>
        <v>4785504</v>
      </c>
      <c r="W689">
        <v>398792</v>
      </c>
      <c r="X689">
        <v>0</v>
      </c>
      <c r="Y689">
        <f t="shared" si="42"/>
        <v>398792</v>
      </c>
      <c r="Z689">
        <f t="shared" si="43"/>
        <v>0</v>
      </c>
      <c r="AA689">
        <v>0</v>
      </c>
    </row>
    <row r="690" spans="1:27" x14ac:dyDescent="0.25">
      <c r="A690" s="1">
        <v>689</v>
      </c>
      <c r="B690" t="s">
        <v>835</v>
      </c>
      <c r="C690" t="s">
        <v>1136</v>
      </c>
      <c r="D690" t="s">
        <v>1147</v>
      </c>
      <c r="E690" t="s">
        <v>1145</v>
      </c>
      <c r="F690" t="s">
        <v>1143</v>
      </c>
      <c r="G690" t="s">
        <v>1181</v>
      </c>
      <c r="H690" t="s">
        <v>1181</v>
      </c>
      <c r="I690" t="s">
        <v>1181</v>
      </c>
      <c r="J690" t="s">
        <v>1253</v>
      </c>
      <c r="K690" t="s">
        <v>1212</v>
      </c>
      <c r="M690" s="3">
        <f t="shared" si="40"/>
        <v>87.142857142857139</v>
      </c>
      <c r="N690">
        <v>85</v>
      </c>
      <c r="O690">
        <v>92</v>
      </c>
      <c r="P690">
        <v>85</v>
      </c>
      <c r="Q690">
        <v>88</v>
      </c>
      <c r="R690">
        <v>88</v>
      </c>
      <c r="S690">
        <v>87</v>
      </c>
      <c r="T690">
        <v>85</v>
      </c>
      <c r="U690">
        <v>3</v>
      </c>
      <c r="V690" s="3">
        <f t="shared" si="41"/>
        <v>37879934</v>
      </c>
      <c r="W690">
        <v>3156661.1666666665</v>
      </c>
      <c r="X690">
        <v>0</v>
      </c>
      <c r="Y690">
        <f t="shared" si="42"/>
        <v>3156661.1666666665</v>
      </c>
      <c r="Z690">
        <f t="shared" si="43"/>
        <v>0</v>
      </c>
      <c r="AA690">
        <v>0</v>
      </c>
    </row>
    <row r="691" spans="1:27" x14ac:dyDescent="0.25">
      <c r="A691" s="1">
        <v>690</v>
      </c>
      <c r="B691" t="s">
        <v>646</v>
      </c>
      <c r="C691" t="s">
        <v>1136</v>
      </c>
      <c r="D691" t="s">
        <v>1147</v>
      </c>
      <c r="E691" t="s">
        <v>1146</v>
      </c>
      <c r="F691" t="s">
        <v>1144</v>
      </c>
      <c r="G691" t="s">
        <v>1150</v>
      </c>
      <c r="H691" t="s">
        <v>1150</v>
      </c>
      <c r="I691" t="s">
        <v>1150</v>
      </c>
      <c r="J691" t="s">
        <v>1253</v>
      </c>
      <c r="K691" t="s">
        <v>1212</v>
      </c>
      <c r="M691" s="3">
        <f t="shared" si="40"/>
        <v>86</v>
      </c>
      <c r="N691">
        <v>80</v>
      </c>
      <c r="O691">
        <v>96</v>
      </c>
      <c r="P691">
        <v>85</v>
      </c>
      <c r="Q691">
        <v>88</v>
      </c>
      <c r="R691">
        <v>83</v>
      </c>
      <c r="S691">
        <v>84</v>
      </c>
      <c r="T691">
        <v>86</v>
      </c>
      <c r="U691">
        <v>3</v>
      </c>
      <c r="V691" s="3">
        <f t="shared" si="41"/>
        <v>33195237</v>
      </c>
      <c r="W691">
        <v>2766269.75</v>
      </c>
      <c r="X691">
        <v>0</v>
      </c>
      <c r="Y691">
        <f t="shared" si="42"/>
        <v>2766269.75</v>
      </c>
      <c r="Z691">
        <f t="shared" si="43"/>
        <v>0</v>
      </c>
      <c r="AA691">
        <v>0</v>
      </c>
    </row>
    <row r="692" spans="1:27" x14ac:dyDescent="0.25">
      <c r="A692" s="1">
        <v>691</v>
      </c>
      <c r="B692" t="s">
        <v>844</v>
      </c>
      <c r="C692" t="s">
        <v>1136</v>
      </c>
      <c r="D692" t="s">
        <v>1145</v>
      </c>
      <c r="E692" t="s">
        <v>1141</v>
      </c>
      <c r="G692" t="s">
        <v>1182</v>
      </c>
      <c r="H692" t="s">
        <v>1182</v>
      </c>
      <c r="I692" t="s">
        <v>1182</v>
      </c>
      <c r="J692" t="s">
        <v>1253</v>
      </c>
      <c r="K692" t="s">
        <v>1212</v>
      </c>
      <c r="M692" s="3">
        <f t="shared" si="40"/>
        <v>88.571428571428569</v>
      </c>
      <c r="N692">
        <v>88</v>
      </c>
      <c r="O692">
        <v>87</v>
      </c>
      <c r="P692">
        <v>92</v>
      </c>
      <c r="Q692">
        <v>88</v>
      </c>
      <c r="R692">
        <v>88</v>
      </c>
      <c r="S692">
        <v>90</v>
      </c>
      <c r="T692">
        <v>87</v>
      </c>
      <c r="U692">
        <v>17</v>
      </c>
      <c r="V692" s="3">
        <f t="shared" si="41"/>
        <v>44568473</v>
      </c>
      <c r="W692">
        <v>3714039.4166666665</v>
      </c>
      <c r="X692">
        <v>0</v>
      </c>
      <c r="Y692">
        <f t="shared" si="42"/>
        <v>3714039.4166666665</v>
      </c>
      <c r="Z692">
        <f t="shared" si="43"/>
        <v>0</v>
      </c>
      <c r="AA692">
        <v>0</v>
      </c>
    </row>
    <row r="693" spans="1:27" x14ac:dyDescent="0.25">
      <c r="A693" s="1">
        <v>692</v>
      </c>
      <c r="B693" t="s">
        <v>834</v>
      </c>
      <c r="C693" t="s">
        <v>1136</v>
      </c>
      <c r="D693" t="s">
        <v>1147</v>
      </c>
      <c r="E693" t="s">
        <v>1144</v>
      </c>
      <c r="G693" t="s">
        <v>1181</v>
      </c>
      <c r="H693" t="s">
        <v>1181</v>
      </c>
      <c r="I693" t="s">
        <v>1181</v>
      </c>
      <c r="J693" t="s">
        <v>1253</v>
      </c>
      <c r="K693" t="s">
        <v>1212</v>
      </c>
      <c r="M693" s="3">
        <f t="shared" si="40"/>
        <v>87.285714285714292</v>
      </c>
      <c r="N693">
        <v>88</v>
      </c>
      <c r="O693">
        <v>96</v>
      </c>
      <c r="P693">
        <v>87</v>
      </c>
      <c r="Q693">
        <v>88</v>
      </c>
      <c r="R693">
        <v>83</v>
      </c>
      <c r="S693">
        <v>83</v>
      </c>
      <c r="T693">
        <v>86</v>
      </c>
      <c r="U693">
        <v>3</v>
      </c>
      <c r="V693" s="3">
        <f t="shared" si="41"/>
        <v>38505518</v>
      </c>
      <c r="W693">
        <v>3208793.1666666665</v>
      </c>
      <c r="X693">
        <v>0</v>
      </c>
      <c r="Y693">
        <f t="shared" si="42"/>
        <v>3208793.1666666665</v>
      </c>
      <c r="Z693">
        <f t="shared" si="43"/>
        <v>0</v>
      </c>
      <c r="AA693">
        <v>0</v>
      </c>
    </row>
    <row r="694" spans="1:27" x14ac:dyDescent="0.25">
      <c r="A694" s="1">
        <v>693</v>
      </c>
      <c r="B694" t="s">
        <v>1118</v>
      </c>
      <c r="C694" t="s">
        <v>1137</v>
      </c>
      <c r="D694" t="s">
        <v>1137</v>
      </c>
      <c r="H694" t="s">
        <v>1181</v>
      </c>
      <c r="I694" t="s">
        <v>1181</v>
      </c>
      <c r="J694" t="s">
        <v>1253</v>
      </c>
      <c r="K694" t="s">
        <v>1212</v>
      </c>
      <c r="M694" s="3">
        <f t="shared" si="40"/>
        <v>81.428571428571431</v>
      </c>
      <c r="N694">
        <v>66</v>
      </c>
      <c r="O694">
        <v>93</v>
      </c>
      <c r="P694">
        <v>88</v>
      </c>
      <c r="Q694">
        <v>85</v>
      </c>
      <c r="R694">
        <v>82</v>
      </c>
      <c r="S694">
        <v>83</v>
      </c>
      <c r="T694">
        <v>73</v>
      </c>
      <c r="U694">
        <v>0</v>
      </c>
      <c r="V694" s="3">
        <f t="shared" si="41"/>
        <v>12816463</v>
      </c>
      <c r="W694">
        <v>1068038.5833333333</v>
      </c>
      <c r="X694">
        <v>0</v>
      </c>
      <c r="Y694">
        <f t="shared" si="42"/>
        <v>1068038.5833333333</v>
      </c>
      <c r="Z694">
        <f t="shared" si="43"/>
        <v>0</v>
      </c>
      <c r="AA694">
        <v>0</v>
      </c>
    </row>
    <row r="695" spans="1:27" x14ac:dyDescent="0.25">
      <c r="A695" s="1">
        <v>694</v>
      </c>
      <c r="B695" t="s">
        <v>40</v>
      </c>
      <c r="C695" t="s">
        <v>1133</v>
      </c>
      <c r="D695" t="s">
        <v>1133</v>
      </c>
      <c r="G695" t="s">
        <v>1161</v>
      </c>
      <c r="H695" t="s">
        <v>1161</v>
      </c>
      <c r="I695" t="s">
        <v>1161</v>
      </c>
      <c r="J695" t="s">
        <v>1236</v>
      </c>
      <c r="K695" t="s">
        <v>1212</v>
      </c>
      <c r="M695" s="3">
        <f t="shared" si="40"/>
        <v>71</v>
      </c>
      <c r="N695">
        <v>44</v>
      </c>
      <c r="O695">
        <v>80</v>
      </c>
      <c r="P695">
        <v>75</v>
      </c>
      <c r="Q695">
        <v>90</v>
      </c>
      <c r="R695">
        <v>75</v>
      </c>
      <c r="S695">
        <v>73</v>
      </c>
      <c r="T695">
        <v>60</v>
      </c>
      <c r="U695">
        <v>0</v>
      </c>
      <c r="V695" s="3">
        <f t="shared" si="41"/>
        <v>3255244</v>
      </c>
      <c r="W695">
        <v>66784.583333333328</v>
      </c>
      <c r="X695">
        <v>0</v>
      </c>
      <c r="Y695">
        <f t="shared" si="42"/>
        <v>271270.33333333331</v>
      </c>
      <c r="Z695">
        <f t="shared" si="43"/>
        <v>-75.38</v>
      </c>
      <c r="AA695">
        <v>0</v>
      </c>
    </row>
    <row r="696" spans="1:27" x14ac:dyDescent="0.25">
      <c r="A696" s="1">
        <v>695</v>
      </c>
      <c r="B696" t="s">
        <v>1569</v>
      </c>
      <c r="C696" t="s">
        <v>1133</v>
      </c>
      <c r="D696" t="s">
        <v>1133</v>
      </c>
      <c r="H696" t="s">
        <v>1161</v>
      </c>
      <c r="I696" t="s">
        <v>1161</v>
      </c>
      <c r="J696" t="s">
        <v>1236</v>
      </c>
      <c r="K696" t="s">
        <v>1212</v>
      </c>
      <c r="M696" s="3">
        <f t="shared" si="40"/>
        <v>57.285714285714285</v>
      </c>
      <c r="N696">
        <v>25</v>
      </c>
      <c r="O696">
        <v>59</v>
      </c>
      <c r="P696">
        <v>36</v>
      </c>
      <c r="Q696">
        <v>83</v>
      </c>
      <c r="R696">
        <v>72</v>
      </c>
      <c r="S696">
        <v>68</v>
      </c>
      <c r="T696">
        <v>58</v>
      </c>
      <c r="U696">
        <v>0</v>
      </c>
      <c r="V696" s="3">
        <f t="shared" si="41"/>
        <v>380596</v>
      </c>
      <c r="W696">
        <v>31716.333333333332</v>
      </c>
      <c r="X696">
        <v>0</v>
      </c>
      <c r="Y696">
        <f t="shared" si="42"/>
        <v>31716.333333333332</v>
      </c>
      <c r="Z696">
        <f t="shared" si="43"/>
        <v>0</v>
      </c>
      <c r="AA696">
        <v>0</v>
      </c>
    </row>
    <row r="697" spans="1:27" x14ac:dyDescent="0.25">
      <c r="A697" s="1">
        <v>696</v>
      </c>
      <c r="B697" t="s">
        <v>185</v>
      </c>
      <c r="C697" t="s">
        <v>1134</v>
      </c>
      <c r="D697" t="s">
        <v>1140</v>
      </c>
      <c r="E697" t="s">
        <v>1138</v>
      </c>
      <c r="G697" t="s">
        <v>1161</v>
      </c>
      <c r="H697" t="s">
        <v>1161</v>
      </c>
      <c r="I697" t="s">
        <v>1161</v>
      </c>
      <c r="J697" t="s">
        <v>1236</v>
      </c>
      <c r="K697" t="s">
        <v>1212</v>
      </c>
      <c r="M697" s="3">
        <f t="shared" si="40"/>
        <v>66.428571428571431</v>
      </c>
      <c r="N697">
        <v>51</v>
      </c>
      <c r="O697">
        <v>72</v>
      </c>
      <c r="P697">
        <v>85</v>
      </c>
      <c r="Q697">
        <v>57</v>
      </c>
      <c r="R697">
        <v>60</v>
      </c>
      <c r="S697">
        <v>65</v>
      </c>
      <c r="T697">
        <v>75</v>
      </c>
      <c r="U697">
        <v>0</v>
      </c>
      <c r="V697" s="3">
        <f t="shared" si="41"/>
        <v>1673205</v>
      </c>
      <c r="W697">
        <v>139433.75</v>
      </c>
      <c r="X697">
        <v>0</v>
      </c>
      <c r="Y697">
        <f t="shared" si="42"/>
        <v>139433.75</v>
      </c>
      <c r="Z697">
        <f t="shared" si="43"/>
        <v>0</v>
      </c>
      <c r="AA697">
        <v>0</v>
      </c>
    </row>
    <row r="698" spans="1:27" x14ac:dyDescent="0.25">
      <c r="A698" s="1">
        <v>697</v>
      </c>
      <c r="B698" t="s">
        <v>1570</v>
      </c>
      <c r="C698" t="s">
        <v>1134</v>
      </c>
      <c r="D698" t="s">
        <v>1138</v>
      </c>
      <c r="E698" t="s">
        <v>1139</v>
      </c>
      <c r="H698" t="s">
        <v>1161</v>
      </c>
      <c r="I698" t="s">
        <v>1161</v>
      </c>
      <c r="J698" t="s">
        <v>1236</v>
      </c>
      <c r="K698" t="s">
        <v>1212</v>
      </c>
      <c r="M698" s="3">
        <f t="shared" si="40"/>
        <v>61.285714285714285</v>
      </c>
      <c r="N698">
        <v>33</v>
      </c>
      <c r="O698">
        <v>71</v>
      </c>
      <c r="P698">
        <v>47</v>
      </c>
      <c r="Q698">
        <v>79</v>
      </c>
      <c r="R698">
        <v>68</v>
      </c>
      <c r="S698">
        <v>70</v>
      </c>
      <c r="T698">
        <v>61</v>
      </c>
      <c r="U698">
        <v>0</v>
      </c>
      <c r="V698" s="3">
        <f t="shared" si="41"/>
        <v>747468</v>
      </c>
      <c r="W698">
        <v>62289</v>
      </c>
      <c r="X698">
        <v>0</v>
      </c>
      <c r="Y698">
        <f t="shared" si="42"/>
        <v>62289</v>
      </c>
      <c r="Z698">
        <f t="shared" si="43"/>
        <v>0</v>
      </c>
      <c r="AA698">
        <v>0</v>
      </c>
    </row>
    <row r="699" spans="1:27" x14ac:dyDescent="0.25">
      <c r="A699" s="1">
        <v>698</v>
      </c>
      <c r="B699" t="s">
        <v>183</v>
      </c>
      <c r="C699" t="s">
        <v>1134</v>
      </c>
      <c r="D699" t="s">
        <v>1138</v>
      </c>
      <c r="E699" t="s">
        <v>1139</v>
      </c>
      <c r="G699" t="s">
        <v>1161</v>
      </c>
      <c r="H699" t="s">
        <v>1161</v>
      </c>
      <c r="I699" t="s">
        <v>1161</v>
      </c>
      <c r="J699" t="s">
        <v>1236</v>
      </c>
      <c r="K699" t="s">
        <v>1212</v>
      </c>
      <c r="M699" s="3">
        <f t="shared" si="40"/>
        <v>66.142857142857139</v>
      </c>
      <c r="N699">
        <v>50</v>
      </c>
      <c r="O699">
        <v>70</v>
      </c>
      <c r="P699">
        <v>44</v>
      </c>
      <c r="Q699">
        <v>84</v>
      </c>
      <c r="R699">
        <v>70</v>
      </c>
      <c r="S699">
        <v>72</v>
      </c>
      <c r="T699">
        <v>73</v>
      </c>
      <c r="U699">
        <v>0</v>
      </c>
      <c r="V699" s="3">
        <f t="shared" si="41"/>
        <v>1602617</v>
      </c>
      <c r="W699">
        <v>133551.41666666666</v>
      </c>
      <c r="X699">
        <v>0</v>
      </c>
      <c r="Y699">
        <f t="shared" si="42"/>
        <v>133551.41666666666</v>
      </c>
      <c r="Z699">
        <f t="shared" si="43"/>
        <v>0</v>
      </c>
      <c r="AA699">
        <v>0</v>
      </c>
    </row>
    <row r="700" spans="1:27" x14ac:dyDescent="0.25">
      <c r="A700" s="1">
        <v>699</v>
      </c>
      <c r="B700" t="s">
        <v>184</v>
      </c>
      <c r="C700" t="s">
        <v>1134</v>
      </c>
      <c r="D700" t="s">
        <v>1140</v>
      </c>
      <c r="E700" t="s">
        <v>1144</v>
      </c>
      <c r="G700" t="s">
        <v>1161</v>
      </c>
      <c r="H700" t="s">
        <v>1161</v>
      </c>
      <c r="I700" t="s">
        <v>1161</v>
      </c>
      <c r="J700" t="s">
        <v>1236</v>
      </c>
      <c r="K700" t="s">
        <v>1212</v>
      </c>
      <c r="M700" s="3">
        <f t="shared" si="40"/>
        <v>66.857142857142861</v>
      </c>
      <c r="N700">
        <v>38</v>
      </c>
      <c r="O700">
        <v>75</v>
      </c>
      <c r="P700">
        <v>77</v>
      </c>
      <c r="Q700">
        <v>63</v>
      </c>
      <c r="R700">
        <v>82</v>
      </c>
      <c r="S700">
        <v>67</v>
      </c>
      <c r="T700">
        <v>66</v>
      </c>
      <c r="U700">
        <v>0</v>
      </c>
      <c r="V700" s="3">
        <f t="shared" si="41"/>
        <v>1784343</v>
      </c>
      <c r="W700">
        <v>148695.25</v>
      </c>
      <c r="X700">
        <v>0</v>
      </c>
      <c r="Y700">
        <f t="shared" si="42"/>
        <v>148695.25</v>
      </c>
      <c r="Z700">
        <f t="shared" si="43"/>
        <v>0</v>
      </c>
      <c r="AA700">
        <v>0</v>
      </c>
    </row>
    <row r="701" spans="1:27" x14ac:dyDescent="0.25">
      <c r="A701" s="1">
        <v>700</v>
      </c>
      <c r="B701" t="s">
        <v>188</v>
      </c>
      <c r="C701" t="s">
        <v>1134</v>
      </c>
      <c r="D701" t="s">
        <v>1138</v>
      </c>
      <c r="G701" t="s">
        <v>1161</v>
      </c>
      <c r="H701" t="s">
        <v>1161</v>
      </c>
      <c r="I701" t="s">
        <v>1161</v>
      </c>
      <c r="J701" t="s">
        <v>1236</v>
      </c>
      <c r="K701" t="s">
        <v>1212</v>
      </c>
      <c r="M701" s="3">
        <f t="shared" si="40"/>
        <v>69.428571428571431</v>
      </c>
      <c r="N701">
        <v>50</v>
      </c>
      <c r="O701">
        <v>70</v>
      </c>
      <c r="P701">
        <v>52</v>
      </c>
      <c r="Q701">
        <v>80</v>
      </c>
      <c r="R701">
        <v>74</v>
      </c>
      <c r="S701">
        <v>80</v>
      </c>
      <c r="T701">
        <v>80</v>
      </c>
      <c r="U701">
        <v>0</v>
      </c>
      <c r="V701" s="3">
        <f t="shared" si="41"/>
        <v>2602450</v>
      </c>
      <c r="W701">
        <v>23406.416666666668</v>
      </c>
      <c r="X701">
        <v>0</v>
      </c>
      <c r="Y701">
        <f t="shared" si="42"/>
        <v>216870.83333333334</v>
      </c>
      <c r="Z701">
        <f t="shared" si="43"/>
        <v>-89.21</v>
      </c>
      <c r="AA701">
        <v>0</v>
      </c>
    </row>
    <row r="702" spans="1:27" x14ac:dyDescent="0.25">
      <c r="A702" s="1">
        <v>701</v>
      </c>
      <c r="B702" t="s">
        <v>1572</v>
      </c>
      <c r="C702" t="s">
        <v>1134</v>
      </c>
      <c r="D702" t="s">
        <v>1138</v>
      </c>
      <c r="E702" t="s">
        <v>1144</v>
      </c>
      <c r="H702" t="s">
        <v>1161</v>
      </c>
      <c r="I702" t="s">
        <v>1161</v>
      </c>
      <c r="J702" t="s">
        <v>1236</v>
      </c>
      <c r="K702" t="s">
        <v>1212</v>
      </c>
      <c r="M702" s="3">
        <f t="shared" si="40"/>
        <v>61</v>
      </c>
      <c r="N702">
        <v>38</v>
      </c>
      <c r="O702">
        <v>56</v>
      </c>
      <c r="P702">
        <v>52</v>
      </c>
      <c r="Q702">
        <v>75</v>
      </c>
      <c r="R702">
        <v>74</v>
      </c>
      <c r="S702">
        <v>73</v>
      </c>
      <c r="T702">
        <v>59</v>
      </c>
      <c r="U702">
        <v>0</v>
      </c>
      <c r="V702" s="3">
        <f t="shared" si="41"/>
        <v>713343</v>
      </c>
      <c r="W702">
        <v>59445.25</v>
      </c>
      <c r="X702">
        <v>0</v>
      </c>
      <c r="Y702">
        <f t="shared" si="42"/>
        <v>59445.25</v>
      </c>
      <c r="Z702">
        <f t="shared" si="43"/>
        <v>0</v>
      </c>
      <c r="AA702">
        <v>0</v>
      </c>
    </row>
    <row r="703" spans="1:27" x14ac:dyDescent="0.25">
      <c r="A703" s="1">
        <v>702</v>
      </c>
      <c r="B703" t="s">
        <v>186</v>
      </c>
      <c r="C703" t="s">
        <v>1134</v>
      </c>
      <c r="D703" t="s">
        <v>1138</v>
      </c>
      <c r="E703" t="s">
        <v>1144</v>
      </c>
      <c r="G703" t="s">
        <v>1161</v>
      </c>
      <c r="H703" t="s">
        <v>1161</v>
      </c>
      <c r="I703" t="s">
        <v>1161</v>
      </c>
      <c r="J703" t="s">
        <v>1236</v>
      </c>
      <c r="K703" t="s">
        <v>1212</v>
      </c>
      <c r="M703" s="3">
        <f t="shared" si="40"/>
        <v>68.285714285714292</v>
      </c>
      <c r="N703">
        <v>52</v>
      </c>
      <c r="O703">
        <v>53</v>
      </c>
      <c r="P703">
        <v>50</v>
      </c>
      <c r="Q703">
        <v>83</v>
      </c>
      <c r="R703">
        <v>81</v>
      </c>
      <c r="S703">
        <v>78</v>
      </c>
      <c r="T703">
        <v>81</v>
      </c>
      <c r="U703">
        <v>0</v>
      </c>
      <c r="V703" s="3">
        <f t="shared" si="41"/>
        <v>2204442</v>
      </c>
      <c r="W703">
        <v>183703.5</v>
      </c>
      <c r="X703">
        <v>0</v>
      </c>
      <c r="Y703">
        <f t="shared" si="42"/>
        <v>183703.5</v>
      </c>
      <c r="Z703">
        <f t="shared" si="43"/>
        <v>0</v>
      </c>
      <c r="AA703">
        <v>0</v>
      </c>
    </row>
    <row r="704" spans="1:27" x14ac:dyDescent="0.25">
      <c r="A704" s="1">
        <v>703</v>
      </c>
      <c r="B704" t="s">
        <v>189</v>
      </c>
      <c r="C704" t="s">
        <v>1134</v>
      </c>
      <c r="D704" t="s">
        <v>1138</v>
      </c>
      <c r="G704" t="s">
        <v>1161</v>
      </c>
      <c r="H704" t="s">
        <v>1161</v>
      </c>
      <c r="I704" t="s">
        <v>1161</v>
      </c>
      <c r="J704" t="s">
        <v>1236</v>
      </c>
      <c r="K704" t="s">
        <v>1212</v>
      </c>
      <c r="M704" s="3">
        <f t="shared" si="40"/>
        <v>67.857142857142861</v>
      </c>
      <c r="N704">
        <v>61</v>
      </c>
      <c r="O704">
        <v>60</v>
      </c>
      <c r="P704">
        <v>73</v>
      </c>
      <c r="Q704">
        <v>60</v>
      </c>
      <c r="R704">
        <v>73</v>
      </c>
      <c r="S704">
        <v>75</v>
      </c>
      <c r="T704">
        <v>73</v>
      </c>
      <c r="U704">
        <v>0</v>
      </c>
      <c r="V704" s="3">
        <f t="shared" si="41"/>
        <v>2069931</v>
      </c>
      <c r="W704">
        <v>172494.25</v>
      </c>
      <c r="X704">
        <v>0</v>
      </c>
      <c r="Y704">
        <f t="shared" si="42"/>
        <v>172494.25</v>
      </c>
      <c r="Z704">
        <f t="shared" si="43"/>
        <v>0</v>
      </c>
      <c r="AA704">
        <v>0</v>
      </c>
    </row>
    <row r="705" spans="1:27" x14ac:dyDescent="0.25">
      <c r="A705" s="1">
        <v>704</v>
      </c>
      <c r="B705" t="s">
        <v>1573</v>
      </c>
      <c r="C705" t="s">
        <v>1134</v>
      </c>
      <c r="D705" t="s">
        <v>1140</v>
      </c>
      <c r="E705" t="s">
        <v>1139</v>
      </c>
      <c r="H705" t="s">
        <v>1161</v>
      </c>
      <c r="I705" t="s">
        <v>1161</v>
      </c>
      <c r="J705" t="s">
        <v>1236</v>
      </c>
      <c r="K705" t="s">
        <v>1212</v>
      </c>
      <c r="M705" s="3">
        <f t="shared" si="40"/>
        <v>53</v>
      </c>
      <c r="N705">
        <v>21</v>
      </c>
      <c r="O705">
        <v>67</v>
      </c>
      <c r="P705">
        <v>43</v>
      </c>
      <c r="Q705">
        <v>61</v>
      </c>
      <c r="R705">
        <v>65</v>
      </c>
      <c r="S705">
        <v>64</v>
      </c>
      <c r="T705">
        <v>50</v>
      </c>
      <c r="U705">
        <v>0</v>
      </c>
      <c r="V705" s="3">
        <f t="shared" si="41"/>
        <v>174888</v>
      </c>
      <c r="W705">
        <v>14574</v>
      </c>
      <c r="X705">
        <v>0</v>
      </c>
      <c r="Y705">
        <f t="shared" si="42"/>
        <v>14574</v>
      </c>
      <c r="Z705">
        <f t="shared" si="43"/>
        <v>0</v>
      </c>
      <c r="AA705">
        <v>0</v>
      </c>
    </row>
    <row r="706" spans="1:27" x14ac:dyDescent="0.25">
      <c r="A706" s="1">
        <v>705</v>
      </c>
      <c r="B706" t="s">
        <v>187</v>
      </c>
      <c r="C706" t="s">
        <v>1134</v>
      </c>
      <c r="D706" t="s">
        <v>1138</v>
      </c>
      <c r="E706" t="s">
        <v>1144</v>
      </c>
      <c r="G706" t="s">
        <v>1161</v>
      </c>
      <c r="H706" t="s">
        <v>1161</v>
      </c>
      <c r="I706" t="s">
        <v>1161</v>
      </c>
      <c r="J706" t="s">
        <v>1236</v>
      </c>
      <c r="K706" t="s">
        <v>1212</v>
      </c>
      <c r="M706" s="3">
        <f t="shared" ref="M706:M769" si="44">AVERAGE(N706:T706)</f>
        <v>53.142857142857146</v>
      </c>
      <c r="N706">
        <v>38</v>
      </c>
      <c r="O706">
        <v>61</v>
      </c>
      <c r="P706">
        <v>51</v>
      </c>
      <c r="Q706">
        <v>36</v>
      </c>
      <c r="R706">
        <v>56</v>
      </c>
      <c r="S706">
        <v>63</v>
      </c>
      <c r="T706">
        <v>67</v>
      </c>
      <c r="U706">
        <v>0</v>
      </c>
      <c r="V706" s="3">
        <f t="shared" ref="V706:V769" si="45">ROUNDUP(M706^10/1000000000000 * IF(U706&gt;0,1.5,1),0)</f>
        <v>179660</v>
      </c>
      <c r="W706">
        <v>14971.666666666666</v>
      </c>
      <c r="X706">
        <v>0</v>
      </c>
      <c r="Y706">
        <f t="shared" ref="Y706:Y769" si="46">V706/12</f>
        <v>14971.666666666666</v>
      </c>
      <c r="Z706">
        <f t="shared" ref="Z706:Z769" si="47">ROUND(((W706-Y706)/Y706)*100,2)</f>
        <v>0</v>
      </c>
      <c r="AA706">
        <v>0</v>
      </c>
    </row>
    <row r="707" spans="1:27" x14ac:dyDescent="0.25">
      <c r="A707" s="1">
        <v>706</v>
      </c>
      <c r="B707" t="s">
        <v>1571</v>
      </c>
      <c r="C707" t="s">
        <v>1134</v>
      </c>
      <c r="D707" t="s">
        <v>1140</v>
      </c>
      <c r="E707" t="s">
        <v>1138</v>
      </c>
      <c r="H707" t="s">
        <v>1161</v>
      </c>
      <c r="I707" t="s">
        <v>1161</v>
      </c>
      <c r="J707" t="s">
        <v>1236</v>
      </c>
      <c r="K707" t="s">
        <v>1212</v>
      </c>
      <c r="M707" s="3">
        <f t="shared" si="44"/>
        <v>59.285714285714285</v>
      </c>
      <c r="N707">
        <v>29</v>
      </c>
      <c r="O707">
        <v>63</v>
      </c>
      <c r="P707">
        <v>58</v>
      </c>
      <c r="Q707">
        <v>65</v>
      </c>
      <c r="R707">
        <v>76</v>
      </c>
      <c r="S707">
        <v>69</v>
      </c>
      <c r="T707">
        <v>55</v>
      </c>
      <c r="U707">
        <v>0</v>
      </c>
      <c r="V707" s="3">
        <f t="shared" si="45"/>
        <v>536415</v>
      </c>
      <c r="W707">
        <v>44701.25</v>
      </c>
      <c r="X707">
        <v>0</v>
      </c>
      <c r="Y707">
        <f t="shared" si="46"/>
        <v>44701.25</v>
      </c>
      <c r="Z707">
        <f t="shared" si="47"/>
        <v>0</v>
      </c>
      <c r="AA707">
        <v>0</v>
      </c>
    </row>
    <row r="708" spans="1:27" x14ac:dyDescent="0.25">
      <c r="A708" s="1">
        <v>707</v>
      </c>
      <c r="B708" t="s">
        <v>1578</v>
      </c>
      <c r="C708" t="s">
        <v>1135</v>
      </c>
      <c r="D708" t="s">
        <v>1141</v>
      </c>
      <c r="E708" t="s">
        <v>1142</v>
      </c>
      <c r="H708" t="s">
        <v>1161</v>
      </c>
      <c r="I708" t="s">
        <v>1161</v>
      </c>
      <c r="J708" t="s">
        <v>1236</v>
      </c>
      <c r="K708" t="s">
        <v>1212</v>
      </c>
      <c r="M708" s="3">
        <f t="shared" si="44"/>
        <v>59</v>
      </c>
      <c r="N708">
        <v>31</v>
      </c>
      <c r="O708">
        <v>68</v>
      </c>
      <c r="P708">
        <v>57</v>
      </c>
      <c r="Q708">
        <v>64</v>
      </c>
      <c r="R708">
        <v>73</v>
      </c>
      <c r="S708">
        <v>67</v>
      </c>
      <c r="T708">
        <v>53</v>
      </c>
      <c r="U708">
        <v>0</v>
      </c>
      <c r="V708" s="3">
        <f t="shared" si="45"/>
        <v>511117</v>
      </c>
      <c r="W708">
        <v>42593.083333333336</v>
      </c>
      <c r="X708">
        <v>0</v>
      </c>
      <c r="Y708">
        <f t="shared" si="46"/>
        <v>42593.083333333336</v>
      </c>
      <c r="Z708">
        <f t="shared" si="47"/>
        <v>0</v>
      </c>
      <c r="AA708">
        <v>0</v>
      </c>
    </row>
    <row r="709" spans="1:27" x14ac:dyDescent="0.25">
      <c r="A709" s="1">
        <v>708</v>
      </c>
      <c r="B709" t="s">
        <v>476</v>
      </c>
      <c r="C709" t="s">
        <v>1135</v>
      </c>
      <c r="D709" t="s">
        <v>1142</v>
      </c>
      <c r="E709" t="s">
        <v>1141</v>
      </c>
      <c r="G709" t="s">
        <v>1161</v>
      </c>
      <c r="H709" t="s">
        <v>1161</v>
      </c>
      <c r="I709" t="s">
        <v>1161</v>
      </c>
      <c r="J709" t="s">
        <v>1236</v>
      </c>
      <c r="K709" t="s">
        <v>1212</v>
      </c>
      <c r="M709" s="3">
        <f t="shared" si="44"/>
        <v>54.857142857142854</v>
      </c>
      <c r="N709">
        <v>20</v>
      </c>
      <c r="O709">
        <v>60</v>
      </c>
      <c r="P709">
        <v>61</v>
      </c>
      <c r="Q709">
        <v>63</v>
      </c>
      <c r="R709">
        <v>65</v>
      </c>
      <c r="S709">
        <v>75</v>
      </c>
      <c r="T709">
        <v>40</v>
      </c>
      <c r="U709">
        <v>0</v>
      </c>
      <c r="V709" s="3">
        <f t="shared" si="45"/>
        <v>246793</v>
      </c>
      <c r="W709">
        <v>20566.083333333332</v>
      </c>
      <c r="X709">
        <v>0</v>
      </c>
      <c r="Y709">
        <f t="shared" si="46"/>
        <v>20566.083333333332</v>
      </c>
      <c r="Z709">
        <f t="shared" si="47"/>
        <v>0</v>
      </c>
      <c r="AA709">
        <v>0</v>
      </c>
    </row>
    <row r="710" spans="1:27" x14ac:dyDescent="0.25">
      <c r="A710" s="1">
        <v>709</v>
      </c>
      <c r="B710" t="s">
        <v>474</v>
      </c>
      <c r="C710" t="s">
        <v>1135</v>
      </c>
      <c r="D710" t="s">
        <v>1141</v>
      </c>
      <c r="E710" t="s">
        <v>1142</v>
      </c>
      <c r="G710" t="s">
        <v>1161</v>
      </c>
      <c r="H710" t="s">
        <v>1161</v>
      </c>
      <c r="I710" t="s">
        <v>1161</v>
      </c>
      <c r="J710" t="s">
        <v>1236</v>
      </c>
      <c r="K710" t="s">
        <v>1212</v>
      </c>
      <c r="M710" s="3">
        <f t="shared" si="44"/>
        <v>69.714285714285708</v>
      </c>
      <c r="N710">
        <v>50</v>
      </c>
      <c r="O710">
        <v>70</v>
      </c>
      <c r="P710">
        <v>75</v>
      </c>
      <c r="Q710">
        <v>73</v>
      </c>
      <c r="R710">
        <v>77</v>
      </c>
      <c r="S710">
        <v>80</v>
      </c>
      <c r="T710">
        <v>63</v>
      </c>
      <c r="U710">
        <v>0</v>
      </c>
      <c r="V710" s="3">
        <f t="shared" si="45"/>
        <v>2711552</v>
      </c>
      <c r="W710">
        <v>225962.66666666666</v>
      </c>
      <c r="X710">
        <v>0</v>
      </c>
      <c r="Y710">
        <f t="shared" si="46"/>
        <v>225962.66666666666</v>
      </c>
      <c r="Z710">
        <f t="shared" si="47"/>
        <v>0</v>
      </c>
      <c r="AA710">
        <v>0</v>
      </c>
    </row>
    <row r="711" spans="1:27" x14ac:dyDescent="0.25">
      <c r="A711" s="1">
        <v>710</v>
      </c>
      <c r="B711" t="s">
        <v>475</v>
      </c>
      <c r="C711" t="s">
        <v>1135</v>
      </c>
      <c r="D711" t="s">
        <v>1142</v>
      </c>
      <c r="E711" t="s">
        <v>1145</v>
      </c>
      <c r="G711" t="s">
        <v>1161</v>
      </c>
      <c r="H711" t="s">
        <v>1161</v>
      </c>
      <c r="I711" t="s">
        <v>1161</v>
      </c>
      <c r="J711" t="s">
        <v>1236</v>
      </c>
      <c r="K711" t="s">
        <v>1212</v>
      </c>
      <c r="M711" s="3">
        <f t="shared" si="44"/>
        <v>58.142857142857146</v>
      </c>
      <c r="N711">
        <v>30</v>
      </c>
      <c r="O711">
        <v>72</v>
      </c>
      <c r="P711">
        <v>60</v>
      </c>
      <c r="Q711">
        <v>65</v>
      </c>
      <c r="R711">
        <v>66</v>
      </c>
      <c r="S711">
        <v>63</v>
      </c>
      <c r="T711">
        <v>51</v>
      </c>
      <c r="U711">
        <v>0</v>
      </c>
      <c r="V711" s="3">
        <f t="shared" si="45"/>
        <v>441534</v>
      </c>
      <c r="W711">
        <v>36794.5</v>
      </c>
      <c r="X711">
        <v>0</v>
      </c>
      <c r="Y711">
        <f t="shared" si="46"/>
        <v>36794.5</v>
      </c>
      <c r="Z711">
        <f t="shared" si="47"/>
        <v>0</v>
      </c>
      <c r="AA711">
        <v>0</v>
      </c>
    </row>
    <row r="712" spans="1:27" x14ac:dyDescent="0.25">
      <c r="A712" s="1">
        <v>711</v>
      </c>
      <c r="B712" t="s">
        <v>1576</v>
      </c>
      <c r="C712" t="s">
        <v>1136</v>
      </c>
      <c r="D712" t="s">
        <v>1147</v>
      </c>
      <c r="E712" t="s">
        <v>1145</v>
      </c>
      <c r="H712" t="s">
        <v>1161</v>
      </c>
      <c r="I712" t="s">
        <v>1161</v>
      </c>
      <c r="J712" t="s">
        <v>1236</v>
      </c>
      <c r="K712" t="s">
        <v>1212</v>
      </c>
      <c r="M712" s="3">
        <f t="shared" si="44"/>
        <v>55.142857142857146</v>
      </c>
      <c r="N712">
        <v>27</v>
      </c>
      <c r="O712">
        <v>69</v>
      </c>
      <c r="P712">
        <v>48</v>
      </c>
      <c r="Q712">
        <v>63</v>
      </c>
      <c r="R712">
        <v>61</v>
      </c>
      <c r="S712">
        <v>66</v>
      </c>
      <c r="T712">
        <v>52</v>
      </c>
      <c r="U712">
        <v>0</v>
      </c>
      <c r="V712" s="3">
        <f t="shared" si="45"/>
        <v>259952</v>
      </c>
      <c r="W712">
        <v>21662.666666666668</v>
      </c>
      <c r="X712">
        <v>0</v>
      </c>
      <c r="Y712">
        <f t="shared" si="46"/>
        <v>21662.666666666668</v>
      </c>
      <c r="Z712">
        <f t="shared" si="47"/>
        <v>0</v>
      </c>
      <c r="AA712">
        <v>0</v>
      </c>
    </row>
    <row r="713" spans="1:27" x14ac:dyDescent="0.25">
      <c r="A713" s="1">
        <v>712</v>
      </c>
      <c r="B713" t="s">
        <v>714</v>
      </c>
      <c r="C713" t="s">
        <v>1136</v>
      </c>
      <c r="D713" t="s">
        <v>1143</v>
      </c>
      <c r="E713" t="s">
        <v>1144</v>
      </c>
      <c r="G713" t="s">
        <v>1161</v>
      </c>
      <c r="H713" t="s">
        <v>1161</v>
      </c>
      <c r="I713" t="s">
        <v>1161</v>
      </c>
      <c r="J713" t="s">
        <v>1236</v>
      </c>
      <c r="K713" t="s">
        <v>1212</v>
      </c>
      <c r="M713" s="3">
        <f t="shared" si="44"/>
        <v>60.142857142857146</v>
      </c>
      <c r="N713">
        <v>44</v>
      </c>
      <c r="O713">
        <v>63</v>
      </c>
      <c r="P713">
        <v>67</v>
      </c>
      <c r="Q713">
        <v>59</v>
      </c>
      <c r="R713">
        <v>63</v>
      </c>
      <c r="S713">
        <v>77</v>
      </c>
      <c r="T713">
        <v>48</v>
      </c>
      <c r="U713">
        <v>0</v>
      </c>
      <c r="V713" s="3">
        <f t="shared" si="45"/>
        <v>619214</v>
      </c>
      <c r="W713">
        <v>51601.166666666664</v>
      </c>
      <c r="X713">
        <v>0</v>
      </c>
      <c r="Y713">
        <f t="shared" si="46"/>
        <v>51601.166666666664</v>
      </c>
      <c r="Z713">
        <f t="shared" si="47"/>
        <v>0</v>
      </c>
      <c r="AA713">
        <v>0</v>
      </c>
    </row>
    <row r="714" spans="1:27" x14ac:dyDescent="0.25">
      <c r="A714" s="1">
        <v>713</v>
      </c>
      <c r="B714" t="s">
        <v>1577</v>
      </c>
      <c r="C714" t="s">
        <v>1136</v>
      </c>
      <c r="D714" t="s">
        <v>1146</v>
      </c>
      <c r="E714" t="s">
        <v>1143</v>
      </c>
      <c r="H714" t="s">
        <v>1161</v>
      </c>
      <c r="I714" t="s">
        <v>1161</v>
      </c>
      <c r="J714" t="s">
        <v>1236</v>
      </c>
      <c r="K714" t="s">
        <v>1212</v>
      </c>
      <c r="M714" s="3">
        <f t="shared" si="44"/>
        <v>58.571428571428569</v>
      </c>
      <c r="N714">
        <v>36</v>
      </c>
      <c r="O714">
        <v>65</v>
      </c>
      <c r="P714">
        <v>54</v>
      </c>
      <c r="Q714">
        <v>67</v>
      </c>
      <c r="R714">
        <v>69</v>
      </c>
      <c r="S714">
        <v>63</v>
      </c>
      <c r="T714">
        <v>56</v>
      </c>
      <c r="U714">
        <v>0</v>
      </c>
      <c r="V714" s="3">
        <f t="shared" si="45"/>
        <v>475181</v>
      </c>
      <c r="W714">
        <v>39598.416666666664</v>
      </c>
      <c r="X714">
        <v>0</v>
      </c>
      <c r="Y714">
        <f t="shared" si="46"/>
        <v>39598.416666666664</v>
      </c>
      <c r="Z714">
        <f t="shared" si="47"/>
        <v>0</v>
      </c>
      <c r="AA714">
        <v>0</v>
      </c>
    </row>
    <row r="715" spans="1:27" x14ac:dyDescent="0.25">
      <c r="A715" s="1">
        <v>714</v>
      </c>
      <c r="B715" t="s">
        <v>715</v>
      </c>
      <c r="C715" t="s">
        <v>1136</v>
      </c>
      <c r="D715" t="s">
        <v>1143</v>
      </c>
      <c r="E715" t="s">
        <v>1144</v>
      </c>
      <c r="F715" t="s">
        <v>1145</v>
      </c>
      <c r="G715" t="s">
        <v>1161</v>
      </c>
      <c r="H715" t="s">
        <v>1161</v>
      </c>
      <c r="I715" t="s">
        <v>1161</v>
      </c>
      <c r="J715" t="s">
        <v>1236</v>
      </c>
      <c r="K715" t="s">
        <v>1212</v>
      </c>
      <c r="M715" s="3">
        <f t="shared" si="44"/>
        <v>61.714285714285715</v>
      </c>
      <c r="N715">
        <v>50</v>
      </c>
      <c r="O715">
        <v>65</v>
      </c>
      <c r="P715">
        <v>70</v>
      </c>
      <c r="Q715">
        <v>56</v>
      </c>
      <c r="R715">
        <v>68</v>
      </c>
      <c r="S715">
        <v>83</v>
      </c>
      <c r="T715">
        <v>40</v>
      </c>
      <c r="U715">
        <v>0</v>
      </c>
      <c r="V715" s="3">
        <f t="shared" si="45"/>
        <v>801415</v>
      </c>
      <c r="W715">
        <v>66784.583333333328</v>
      </c>
      <c r="X715">
        <v>0</v>
      </c>
      <c r="Y715">
        <f t="shared" si="46"/>
        <v>66784.583333333328</v>
      </c>
      <c r="Z715">
        <f t="shared" si="47"/>
        <v>0</v>
      </c>
      <c r="AA715">
        <v>0</v>
      </c>
    </row>
    <row r="716" spans="1:27" x14ac:dyDescent="0.25">
      <c r="A716" s="1">
        <v>715</v>
      </c>
      <c r="B716" t="s">
        <v>713</v>
      </c>
      <c r="C716" t="s">
        <v>1136</v>
      </c>
      <c r="D716" t="s">
        <v>1143</v>
      </c>
      <c r="E716" t="s">
        <v>1146</v>
      </c>
      <c r="G716" t="s">
        <v>1161</v>
      </c>
      <c r="H716" t="s">
        <v>1161</v>
      </c>
      <c r="I716" t="s">
        <v>1161</v>
      </c>
      <c r="J716" t="s">
        <v>1236</v>
      </c>
      <c r="K716" t="s">
        <v>1212</v>
      </c>
      <c r="M716" s="3">
        <f t="shared" si="44"/>
        <v>59.428571428571431</v>
      </c>
      <c r="N716">
        <v>46</v>
      </c>
      <c r="O716">
        <v>60</v>
      </c>
      <c r="P716">
        <v>69</v>
      </c>
      <c r="Q716">
        <v>58</v>
      </c>
      <c r="R716">
        <v>60</v>
      </c>
      <c r="S716">
        <v>72</v>
      </c>
      <c r="T716">
        <v>51</v>
      </c>
      <c r="U716">
        <v>0</v>
      </c>
      <c r="V716" s="3">
        <f t="shared" si="45"/>
        <v>549482</v>
      </c>
      <c r="W716">
        <v>45790.166666666664</v>
      </c>
      <c r="X716">
        <v>0</v>
      </c>
      <c r="Y716">
        <f t="shared" si="46"/>
        <v>45790.166666666664</v>
      </c>
      <c r="Z716">
        <f t="shared" si="47"/>
        <v>0</v>
      </c>
      <c r="AA716">
        <v>0</v>
      </c>
    </row>
    <row r="717" spans="1:27" x14ac:dyDescent="0.25">
      <c r="A717" s="1">
        <v>716</v>
      </c>
      <c r="B717" t="s">
        <v>1574</v>
      </c>
      <c r="C717" t="s">
        <v>1136</v>
      </c>
      <c r="D717" t="s">
        <v>1143</v>
      </c>
      <c r="E717" t="s">
        <v>1145</v>
      </c>
      <c r="H717" t="s">
        <v>1161</v>
      </c>
      <c r="I717" t="s">
        <v>1161</v>
      </c>
      <c r="J717" t="s">
        <v>1236</v>
      </c>
      <c r="K717" t="s">
        <v>1212</v>
      </c>
      <c r="M717" s="3">
        <f t="shared" si="44"/>
        <v>58.857142857142854</v>
      </c>
      <c r="N717">
        <v>35</v>
      </c>
      <c r="O717">
        <v>62</v>
      </c>
      <c r="P717">
        <v>55</v>
      </c>
      <c r="Q717">
        <v>74</v>
      </c>
      <c r="R717">
        <v>67</v>
      </c>
      <c r="S717">
        <v>65</v>
      </c>
      <c r="T717">
        <v>54</v>
      </c>
      <c r="U717">
        <v>0</v>
      </c>
      <c r="V717" s="3">
        <f t="shared" si="45"/>
        <v>498876</v>
      </c>
      <c r="W717">
        <v>41573</v>
      </c>
      <c r="X717">
        <v>0</v>
      </c>
      <c r="Y717">
        <f t="shared" si="46"/>
        <v>41573</v>
      </c>
      <c r="Z717">
        <f t="shared" si="47"/>
        <v>0</v>
      </c>
      <c r="AA717">
        <v>0</v>
      </c>
    </row>
    <row r="718" spans="1:27" x14ac:dyDescent="0.25">
      <c r="A718" s="1">
        <v>717</v>
      </c>
      <c r="B718" t="s">
        <v>712</v>
      </c>
      <c r="C718" t="s">
        <v>1136</v>
      </c>
      <c r="D718" t="s">
        <v>1145</v>
      </c>
      <c r="E718" t="s">
        <v>1147</v>
      </c>
      <c r="G718" t="s">
        <v>1161</v>
      </c>
      <c r="H718" t="s">
        <v>1161</v>
      </c>
      <c r="I718" t="s">
        <v>1161</v>
      </c>
      <c r="J718" t="s">
        <v>1236</v>
      </c>
      <c r="K718" t="s">
        <v>1212</v>
      </c>
      <c r="M718" s="3">
        <f t="shared" si="44"/>
        <v>62.428571428571431</v>
      </c>
      <c r="N718">
        <v>51</v>
      </c>
      <c r="O718">
        <v>65</v>
      </c>
      <c r="P718">
        <v>71</v>
      </c>
      <c r="Q718">
        <v>61</v>
      </c>
      <c r="R718">
        <v>65</v>
      </c>
      <c r="S718">
        <v>71</v>
      </c>
      <c r="T718">
        <v>53</v>
      </c>
      <c r="U718">
        <v>0</v>
      </c>
      <c r="V718" s="3">
        <f t="shared" si="45"/>
        <v>899154</v>
      </c>
      <c r="W718">
        <v>74929.5</v>
      </c>
      <c r="X718">
        <v>0</v>
      </c>
      <c r="Y718">
        <f t="shared" si="46"/>
        <v>74929.5</v>
      </c>
      <c r="Z718">
        <f t="shared" si="47"/>
        <v>0</v>
      </c>
      <c r="AA718">
        <v>0</v>
      </c>
    </row>
    <row r="719" spans="1:27" x14ac:dyDescent="0.25">
      <c r="A719" s="1">
        <v>718</v>
      </c>
      <c r="B719" t="s">
        <v>711</v>
      </c>
      <c r="C719" t="s">
        <v>1136</v>
      </c>
      <c r="D719" t="s">
        <v>1143</v>
      </c>
      <c r="E719" t="s">
        <v>1147</v>
      </c>
      <c r="G719" t="s">
        <v>1161</v>
      </c>
      <c r="H719" t="s">
        <v>1161</v>
      </c>
      <c r="I719" t="s">
        <v>1161</v>
      </c>
      <c r="J719" t="s">
        <v>1236</v>
      </c>
      <c r="K719" t="s">
        <v>1212</v>
      </c>
      <c r="M719" s="3">
        <f t="shared" si="44"/>
        <v>71.285714285714292</v>
      </c>
      <c r="N719">
        <v>60</v>
      </c>
      <c r="O719">
        <v>72</v>
      </c>
      <c r="P719">
        <v>80</v>
      </c>
      <c r="Q719">
        <v>68</v>
      </c>
      <c r="R719">
        <v>75</v>
      </c>
      <c r="S719">
        <v>76</v>
      </c>
      <c r="T719">
        <v>68</v>
      </c>
      <c r="U719">
        <v>0</v>
      </c>
      <c r="V719" s="3">
        <f t="shared" si="45"/>
        <v>3388638</v>
      </c>
      <c r="W719">
        <v>282386.5</v>
      </c>
      <c r="X719">
        <v>0</v>
      </c>
      <c r="Y719">
        <f t="shared" si="46"/>
        <v>282386.5</v>
      </c>
      <c r="Z719">
        <f t="shared" si="47"/>
        <v>0</v>
      </c>
      <c r="AA719">
        <v>0</v>
      </c>
    </row>
    <row r="720" spans="1:27" x14ac:dyDescent="0.25">
      <c r="A720" s="1">
        <v>719</v>
      </c>
      <c r="B720" t="s">
        <v>1575</v>
      </c>
      <c r="C720" t="s">
        <v>1136</v>
      </c>
      <c r="D720" t="s">
        <v>1144</v>
      </c>
      <c r="E720" t="s">
        <v>1143</v>
      </c>
      <c r="H720" t="s">
        <v>1161</v>
      </c>
      <c r="I720" t="s">
        <v>1161</v>
      </c>
      <c r="J720" t="s">
        <v>1236</v>
      </c>
      <c r="K720" t="s">
        <v>1212</v>
      </c>
      <c r="M720" s="3">
        <f t="shared" si="44"/>
        <v>61.857142857142854</v>
      </c>
      <c r="N720">
        <v>40</v>
      </c>
      <c r="O720">
        <v>58</v>
      </c>
      <c r="P720">
        <v>60</v>
      </c>
      <c r="Q720">
        <v>69</v>
      </c>
      <c r="R720">
        <v>78</v>
      </c>
      <c r="S720">
        <v>71</v>
      </c>
      <c r="T720">
        <v>57</v>
      </c>
      <c r="U720">
        <v>0</v>
      </c>
      <c r="V720" s="3">
        <f t="shared" si="45"/>
        <v>820160</v>
      </c>
      <c r="W720">
        <v>68346.666666666672</v>
      </c>
      <c r="X720">
        <v>0</v>
      </c>
      <c r="Y720">
        <f t="shared" si="46"/>
        <v>68346.666666666672</v>
      </c>
      <c r="Z720">
        <f t="shared" si="47"/>
        <v>0</v>
      </c>
      <c r="AA720">
        <v>0</v>
      </c>
    </row>
    <row r="721" spans="1:27" x14ac:dyDescent="0.25">
      <c r="A721" s="1">
        <v>720</v>
      </c>
      <c r="B721" t="s">
        <v>2238</v>
      </c>
      <c r="C721" t="s">
        <v>1133</v>
      </c>
      <c r="D721" t="s">
        <v>1133</v>
      </c>
      <c r="H721" t="s">
        <v>1158</v>
      </c>
      <c r="I721" t="s">
        <v>1158</v>
      </c>
      <c r="J721" t="s">
        <v>1300</v>
      </c>
      <c r="K721" t="s">
        <v>1212</v>
      </c>
      <c r="M721" s="3">
        <f t="shared" si="44"/>
        <v>50.285714285714285</v>
      </c>
      <c r="N721">
        <v>8</v>
      </c>
      <c r="O721">
        <v>64</v>
      </c>
      <c r="P721">
        <v>56</v>
      </c>
      <c r="Q721">
        <v>63</v>
      </c>
      <c r="R721">
        <v>65</v>
      </c>
      <c r="S721">
        <v>67</v>
      </c>
      <c r="T721">
        <v>29</v>
      </c>
      <c r="U721">
        <v>0</v>
      </c>
      <c r="V721" s="3">
        <f t="shared" si="45"/>
        <v>103383</v>
      </c>
      <c r="W721">
        <v>8615.25</v>
      </c>
      <c r="X721">
        <v>0</v>
      </c>
      <c r="Y721">
        <f t="shared" si="46"/>
        <v>8615.25</v>
      </c>
      <c r="Z721">
        <f t="shared" si="47"/>
        <v>0</v>
      </c>
      <c r="AA721">
        <v>0</v>
      </c>
    </row>
    <row r="722" spans="1:27" x14ac:dyDescent="0.25">
      <c r="A722" s="1">
        <v>721</v>
      </c>
      <c r="B722" t="s">
        <v>2255</v>
      </c>
      <c r="C722" t="s">
        <v>1133</v>
      </c>
      <c r="D722" t="s">
        <v>1133</v>
      </c>
      <c r="H722" t="s">
        <v>1158</v>
      </c>
      <c r="I722" t="s">
        <v>1158</v>
      </c>
      <c r="J722" t="s">
        <v>1300</v>
      </c>
      <c r="K722" t="s">
        <v>1212</v>
      </c>
      <c r="M722" s="3">
        <f t="shared" si="44"/>
        <v>50.857142857142854</v>
      </c>
      <c r="N722">
        <v>8</v>
      </c>
      <c r="O722">
        <v>65</v>
      </c>
      <c r="P722">
        <v>58</v>
      </c>
      <c r="Q722">
        <v>63</v>
      </c>
      <c r="R722">
        <v>65</v>
      </c>
      <c r="S722">
        <v>67</v>
      </c>
      <c r="T722">
        <v>30</v>
      </c>
      <c r="U722">
        <v>0</v>
      </c>
      <c r="V722" s="3">
        <f t="shared" si="45"/>
        <v>115750</v>
      </c>
      <c r="W722">
        <v>9645.8333333333339</v>
      </c>
      <c r="X722">
        <v>0</v>
      </c>
      <c r="Y722">
        <f t="shared" si="46"/>
        <v>9645.8333333333339</v>
      </c>
      <c r="Z722">
        <f t="shared" si="47"/>
        <v>0</v>
      </c>
      <c r="AA722">
        <v>0</v>
      </c>
    </row>
    <row r="723" spans="1:27" x14ac:dyDescent="0.25">
      <c r="A723" s="1">
        <v>722</v>
      </c>
      <c r="B723" t="s">
        <v>2237</v>
      </c>
      <c r="C723" t="s">
        <v>1133</v>
      </c>
      <c r="D723" t="s">
        <v>1133</v>
      </c>
      <c r="H723" t="s">
        <v>1158</v>
      </c>
      <c r="I723" t="s">
        <v>1158</v>
      </c>
      <c r="J723" t="s">
        <v>1300</v>
      </c>
      <c r="K723" t="s">
        <v>1212</v>
      </c>
      <c r="M723" s="3">
        <f t="shared" si="44"/>
        <v>52.714285714285715</v>
      </c>
      <c r="N723">
        <v>10</v>
      </c>
      <c r="O723">
        <v>67</v>
      </c>
      <c r="P723">
        <v>59</v>
      </c>
      <c r="Q723">
        <v>65</v>
      </c>
      <c r="R723">
        <v>67</v>
      </c>
      <c r="S723">
        <v>69</v>
      </c>
      <c r="T723">
        <v>32</v>
      </c>
      <c r="U723">
        <v>0</v>
      </c>
      <c r="V723" s="3">
        <f t="shared" si="45"/>
        <v>165686</v>
      </c>
      <c r="W723">
        <v>13807.166666666666</v>
      </c>
      <c r="X723">
        <v>0</v>
      </c>
      <c r="Y723">
        <f t="shared" si="46"/>
        <v>13807.166666666666</v>
      </c>
      <c r="Z723">
        <f t="shared" si="47"/>
        <v>0</v>
      </c>
      <c r="AA723">
        <v>0</v>
      </c>
    </row>
    <row r="724" spans="1:27" x14ac:dyDescent="0.25">
      <c r="A724" s="1">
        <v>723</v>
      </c>
      <c r="B724" t="s">
        <v>2240</v>
      </c>
      <c r="C724" t="s">
        <v>1134</v>
      </c>
      <c r="D724" t="s">
        <v>1138</v>
      </c>
      <c r="E724" t="s">
        <v>1144</v>
      </c>
      <c r="H724" t="s">
        <v>1158</v>
      </c>
      <c r="I724" t="s">
        <v>1158</v>
      </c>
      <c r="J724" t="s">
        <v>1300</v>
      </c>
      <c r="K724" t="s">
        <v>1212</v>
      </c>
      <c r="M724" s="3">
        <f t="shared" si="44"/>
        <v>47.428571428571431</v>
      </c>
      <c r="N724">
        <v>6</v>
      </c>
      <c r="O724">
        <v>61</v>
      </c>
      <c r="P724">
        <v>54</v>
      </c>
      <c r="Q724">
        <v>60</v>
      </c>
      <c r="R724">
        <v>62</v>
      </c>
      <c r="S724">
        <v>64</v>
      </c>
      <c r="T724">
        <v>25</v>
      </c>
      <c r="U724">
        <v>0</v>
      </c>
      <c r="V724" s="3">
        <f t="shared" si="45"/>
        <v>57598</v>
      </c>
      <c r="W724">
        <v>4799.833333333333</v>
      </c>
      <c r="X724">
        <v>0</v>
      </c>
      <c r="Y724">
        <f t="shared" si="46"/>
        <v>4799.833333333333</v>
      </c>
      <c r="Z724">
        <f t="shared" si="47"/>
        <v>0</v>
      </c>
      <c r="AA724">
        <v>0</v>
      </c>
    </row>
    <row r="725" spans="1:27" x14ac:dyDescent="0.25">
      <c r="A725" s="1">
        <v>724</v>
      </c>
      <c r="B725" t="s">
        <v>2242</v>
      </c>
      <c r="C725" t="s">
        <v>1134</v>
      </c>
      <c r="D725" t="s">
        <v>1140</v>
      </c>
      <c r="E725" t="s">
        <v>1138</v>
      </c>
      <c r="H725" t="s">
        <v>1158</v>
      </c>
      <c r="I725" t="s">
        <v>1158</v>
      </c>
      <c r="J725" t="s">
        <v>1300</v>
      </c>
      <c r="K725" t="s">
        <v>1212</v>
      </c>
      <c r="M725" s="3">
        <f t="shared" si="44"/>
        <v>52.857142857142854</v>
      </c>
      <c r="N725">
        <v>9</v>
      </c>
      <c r="O725">
        <v>69</v>
      </c>
      <c r="P725">
        <v>60</v>
      </c>
      <c r="Q725">
        <v>65</v>
      </c>
      <c r="R725">
        <v>67</v>
      </c>
      <c r="S725">
        <v>69</v>
      </c>
      <c r="T725">
        <v>31</v>
      </c>
      <c r="U725">
        <v>0</v>
      </c>
      <c r="V725" s="3">
        <f t="shared" si="45"/>
        <v>170231</v>
      </c>
      <c r="W725">
        <v>14185.916666666666</v>
      </c>
      <c r="X725">
        <v>0</v>
      </c>
      <c r="Y725">
        <f t="shared" si="46"/>
        <v>14185.916666666666</v>
      </c>
      <c r="Z725">
        <f t="shared" si="47"/>
        <v>0</v>
      </c>
      <c r="AA725">
        <v>0</v>
      </c>
    </row>
    <row r="726" spans="1:27" x14ac:dyDescent="0.25">
      <c r="A726" s="1">
        <v>725</v>
      </c>
      <c r="B726" t="s">
        <v>2244</v>
      </c>
      <c r="C726" t="s">
        <v>1134</v>
      </c>
      <c r="D726" t="s">
        <v>1139</v>
      </c>
      <c r="E726" t="s">
        <v>1138</v>
      </c>
      <c r="H726" t="s">
        <v>1158</v>
      </c>
      <c r="I726" t="s">
        <v>1158</v>
      </c>
      <c r="J726" t="s">
        <v>1300</v>
      </c>
      <c r="K726" t="s">
        <v>1212</v>
      </c>
      <c r="M726" s="3">
        <f t="shared" si="44"/>
        <v>54.428571428571431</v>
      </c>
      <c r="N726">
        <v>11</v>
      </c>
      <c r="O726">
        <v>70</v>
      </c>
      <c r="P726">
        <v>62</v>
      </c>
      <c r="Q726">
        <v>66</v>
      </c>
      <c r="R726">
        <v>68</v>
      </c>
      <c r="S726">
        <v>70</v>
      </c>
      <c r="T726">
        <v>34</v>
      </c>
      <c r="U726">
        <v>0</v>
      </c>
      <c r="V726" s="3">
        <f t="shared" si="45"/>
        <v>228176</v>
      </c>
      <c r="W726">
        <v>19014.666666666668</v>
      </c>
      <c r="X726">
        <v>0</v>
      </c>
      <c r="Y726">
        <f t="shared" si="46"/>
        <v>19014.666666666668</v>
      </c>
      <c r="Z726">
        <f t="shared" si="47"/>
        <v>0</v>
      </c>
      <c r="AA726">
        <v>0</v>
      </c>
    </row>
    <row r="727" spans="1:27" x14ac:dyDescent="0.25">
      <c r="A727" s="1">
        <v>726</v>
      </c>
      <c r="B727" t="s">
        <v>2243</v>
      </c>
      <c r="C727" t="s">
        <v>1134</v>
      </c>
      <c r="D727" t="s">
        <v>1140</v>
      </c>
      <c r="E727" t="s">
        <v>1139</v>
      </c>
      <c r="H727" t="s">
        <v>1158</v>
      </c>
      <c r="I727" t="s">
        <v>1158</v>
      </c>
      <c r="J727" t="s">
        <v>1300</v>
      </c>
      <c r="K727" t="s">
        <v>1212</v>
      </c>
      <c r="M727" s="3">
        <f t="shared" si="44"/>
        <v>50.428571428571431</v>
      </c>
      <c r="N727">
        <v>7</v>
      </c>
      <c r="O727">
        <v>65</v>
      </c>
      <c r="P727">
        <v>58</v>
      </c>
      <c r="Q727">
        <v>63</v>
      </c>
      <c r="R727">
        <v>65</v>
      </c>
      <c r="S727">
        <v>67</v>
      </c>
      <c r="T727">
        <v>28</v>
      </c>
      <c r="U727">
        <v>0</v>
      </c>
      <c r="V727" s="3">
        <f t="shared" si="45"/>
        <v>106358</v>
      </c>
      <c r="W727">
        <v>8863.1666666666661</v>
      </c>
      <c r="X727">
        <v>0</v>
      </c>
      <c r="Y727">
        <f t="shared" si="46"/>
        <v>8863.1666666666661</v>
      </c>
      <c r="Z727">
        <f t="shared" si="47"/>
        <v>0</v>
      </c>
      <c r="AA727">
        <v>0</v>
      </c>
    </row>
    <row r="728" spans="1:27" x14ac:dyDescent="0.25">
      <c r="A728" s="1">
        <v>727</v>
      </c>
      <c r="B728" t="s">
        <v>2241</v>
      </c>
      <c r="C728" t="s">
        <v>1134</v>
      </c>
      <c r="D728" t="s">
        <v>1138</v>
      </c>
      <c r="E728" t="s">
        <v>1139</v>
      </c>
      <c r="H728" t="s">
        <v>1158</v>
      </c>
      <c r="I728" t="s">
        <v>1158</v>
      </c>
      <c r="J728" t="s">
        <v>1300</v>
      </c>
      <c r="K728" t="s">
        <v>1212</v>
      </c>
      <c r="M728" s="3">
        <f t="shared" si="44"/>
        <v>55.428571428571431</v>
      </c>
      <c r="N728">
        <v>12</v>
      </c>
      <c r="O728">
        <v>71</v>
      </c>
      <c r="P728">
        <v>63</v>
      </c>
      <c r="Q728">
        <v>67</v>
      </c>
      <c r="R728">
        <v>69</v>
      </c>
      <c r="S728">
        <v>71</v>
      </c>
      <c r="T728">
        <v>35</v>
      </c>
      <c r="U728">
        <v>0</v>
      </c>
      <c r="V728" s="3">
        <f t="shared" si="45"/>
        <v>273740</v>
      </c>
      <c r="W728">
        <v>22811.666666666668</v>
      </c>
      <c r="X728">
        <v>0</v>
      </c>
      <c r="Y728">
        <f t="shared" si="46"/>
        <v>22811.666666666668</v>
      </c>
      <c r="Z728">
        <f t="shared" si="47"/>
        <v>0</v>
      </c>
      <c r="AA728">
        <v>0</v>
      </c>
    </row>
    <row r="729" spans="1:27" x14ac:dyDescent="0.25">
      <c r="A729" s="1">
        <v>728</v>
      </c>
      <c r="B729" t="s">
        <v>2253</v>
      </c>
      <c r="C729" t="s">
        <v>1135</v>
      </c>
      <c r="D729" t="s">
        <v>1141</v>
      </c>
      <c r="E729" t="s">
        <v>1142</v>
      </c>
      <c r="H729" t="s">
        <v>1158</v>
      </c>
      <c r="I729" t="s">
        <v>1158</v>
      </c>
      <c r="J729" t="s">
        <v>1300</v>
      </c>
      <c r="K729" t="s">
        <v>1212</v>
      </c>
      <c r="M729" s="3">
        <f t="shared" si="44"/>
        <v>63.857142857142854</v>
      </c>
      <c r="N729">
        <v>15</v>
      </c>
      <c r="O729">
        <v>75</v>
      </c>
      <c r="P729">
        <v>80</v>
      </c>
      <c r="Q729">
        <v>75</v>
      </c>
      <c r="R729">
        <v>77</v>
      </c>
      <c r="S729">
        <v>80</v>
      </c>
      <c r="T729">
        <v>45</v>
      </c>
      <c r="U729">
        <v>0</v>
      </c>
      <c r="V729" s="3">
        <f t="shared" si="45"/>
        <v>1127444</v>
      </c>
      <c r="W729">
        <v>93953.666666666672</v>
      </c>
      <c r="X729">
        <v>0</v>
      </c>
      <c r="Y729">
        <f t="shared" si="46"/>
        <v>93953.666666666672</v>
      </c>
      <c r="Z729">
        <f t="shared" si="47"/>
        <v>0</v>
      </c>
      <c r="AA729">
        <v>0</v>
      </c>
    </row>
    <row r="730" spans="1:27" x14ac:dyDescent="0.25">
      <c r="A730" s="1">
        <v>729</v>
      </c>
      <c r="B730" t="s">
        <v>2252</v>
      </c>
      <c r="C730" t="s">
        <v>1135</v>
      </c>
      <c r="D730" t="s">
        <v>1142</v>
      </c>
      <c r="E730" t="s">
        <v>1141</v>
      </c>
      <c r="H730" t="s">
        <v>1158</v>
      </c>
      <c r="I730" t="s">
        <v>1158</v>
      </c>
      <c r="J730" t="s">
        <v>1300</v>
      </c>
      <c r="K730" t="s">
        <v>1212</v>
      </c>
      <c r="M730" s="3">
        <f t="shared" si="44"/>
        <v>70.285714285714292</v>
      </c>
      <c r="N730">
        <v>52</v>
      </c>
      <c r="O730">
        <v>90</v>
      </c>
      <c r="P730">
        <v>75</v>
      </c>
      <c r="Q730">
        <v>83</v>
      </c>
      <c r="R730">
        <v>70</v>
      </c>
      <c r="S730">
        <v>72</v>
      </c>
      <c r="T730">
        <v>50</v>
      </c>
      <c r="U730">
        <v>19</v>
      </c>
      <c r="V730" s="3">
        <f t="shared" si="45"/>
        <v>4413285</v>
      </c>
      <c r="W730">
        <v>21108</v>
      </c>
      <c r="X730">
        <v>0</v>
      </c>
      <c r="Y730">
        <f t="shared" si="46"/>
        <v>367773.75</v>
      </c>
      <c r="Z730">
        <f t="shared" si="47"/>
        <v>-94.26</v>
      </c>
      <c r="AA730">
        <v>0</v>
      </c>
    </row>
    <row r="731" spans="1:27" x14ac:dyDescent="0.25">
      <c r="A731" s="1">
        <v>730</v>
      </c>
      <c r="B731" t="s">
        <v>2251</v>
      </c>
      <c r="C731" t="s">
        <v>1135</v>
      </c>
      <c r="D731" t="s">
        <v>1142</v>
      </c>
      <c r="E731" t="s">
        <v>1141</v>
      </c>
      <c r="H731" t="s">
        <v>1158</v>
      </c>
      <c r="I731" t="s">
        <v>1158</v>
      </c>
      <c r="J731" t="s">
        <v>1300</v>
      </c>
      <c r="K731" t="s">
        <v>1212</v>
      </c>
      <c r="M731" s="3">
        <f t="shared" si="44"/>
        <v>60</v>
      </c>
      <c r="N731">
        <v>14</v>
      </c>
      <c r="O731">
        <v>75</v>
      </c>
      <c r="P731">
        <v>68</v>
      </c>
      <c r="Q731">
        <v>73</v>
      </c>
      <c r="R731">
        <v>75</v>
      </c>
      <c r="S731">
        <v>77</v>
      </c>
      <c r="T731">
        <v>38</v>
      </c>
      <c r="U731">
        <v>0</v>
      </c>
      <c r="V731" s="3">
        <f t="shared" si="45"/>
        <v>604662</v>
      </c>
      <c r="W731">
        <v>50388.5</v>
      </c>
      <c r="X731">
        <v>0</v>
      </c>
      <c r="Y731">
        <f t="shared" si="46"/>
        <v>50388.5</v>
      </c>
      <c r="Z731">
        <f t="shared" si="47"/>
        <v>0</v>
      </c>
      <c r="AA731">
        <v>0</v>
      </c>
    </row>
    <row r="732" spans="1:27" x14ac:dyDescent="0.25">
      <c r="A732" s="1">
        <v>731</v>
      </c>
      <c r="B732" t="s">
        <v>2247</v>
      </c>
      <c r="C732" t="s">
        <v>1136</v>
      </c>
      <c r="D732" t="s">
        <v>1145</v>
      </c>
      <c r="E732" t="s">
        <v>1143</v>
      </c>
      <c r="H732" t="s">
        <v>1158</v>
      </c>
      <c r="I732" t="s">
        <v>1158</v>
      </c>
      <c r="J732" t="s">
        <v>1300</v>
      </c>
      <c r="K732" t="s">
        <v>1212</v>
      </c>
      <c r="M732" s="3">
        <f t="shared" si="44"/>
        <v>48</v>
      </c>
      <c r="N732">
        <v>6</v>
      </c>
      <c r="O732">
        <v>60</v>
      </c>
      <c r="P732">
        <v>54</v>
      </c>
      <c r="Q732">
        <v>62</v>
      </c>
      <c r="R732">
        <v>64</v>
      </c>
      <c r="S732">
        <v>66</v>
      </c>
      <c r="T732">
        <v>24</v>
      </c>
      <c r="U732">
        <v>0</v>
      </c>
      <c r="V732" s="3">
        <f t="shared" si="45"/>
        <v>64926</v>
      </c>
      <c r="W732">
        <v>5410.5</v>
      </c>
      <c r="X732">
        <v>0</v>
      </c>
      <c r="Y732">
        <f t="shared" si="46"/>
        <v>5410.5</v>
      </c>
      <c r="Z732">
        <f t="shared" si="47"/>
        <v>0</v>
      </c>
      <c r="AA732">
        <v>0</v>
      </c>
    </row>
    <row r="733" spans="1:27" x14ac:dyDescent="0.25">
      <c r="A733" s="1">
        <v>732</v>
      </c>
      <c r="B733" t="s">
        <v>2249</v>
      </c>
      <c r="C733" t="s">
        <v>1136</v>
      </c>
      <c r="D733" t="s">
        <v>1147</v>
      </c>
      <c r="E733" t="s">
        <v>1145</v>
      </c>
      <c r="H733" t="s">
        <v>1158</v>
      </c>
      <c r="I733" t="s">
        <v>1158</v>
      </c>
      <c r="J733" t="s">
        <v>1300</v>
      </c>
      <c r="K733" t="s">
        <v>1212</v>
      </c>
      <c r="M733" s="3">
        <f t="shared" si="44"/>
        <v>49.857142857142854</v>
      </c>
      <c r="N733">
        <v>7</v>
      </c>
      <c r="O733">
        <v>64</v>
      </c>
      <c r="P733">
        <v>57</v>
      </c>
      <c r="Q733">
        <v>63</v>
      </c>
      <c r="R733">
        <v>65</v>
      </c>
      <c r="S733">
        <v>67</v>
      </c>
      <c r="T733">
        <v>26</v>
      </c>
      <c r="U733">
        <v>0</v>
      </c>
      <c r="V733" s="3">
        <f t="shared" si="45"/>
        <v>94902</v>
      </c>
      <c r="W733">
        <v>7908.5</v>
      </c>
      <c r="X733">
        <v>0</v>
      </c>
      <c r="Y733">
        <f t="shared" si="46"/>
        <v>7908.5</v>
      </c>
      <c r="Z733">
        <f t="shared" si="47"/>
        <v>0</v>
      </c>
      <c r="AA733">
        <v>0</v>
      </c>
    </row>
    <row r="734" spans="1:27" x14ac:dyDescent="0.25">
      <c r="A734" s="1">
        <v>733</v>
      </c>
      <c r="B734" t="s">
        <v>1301</v>
      </c>
      <c r="C734" t="s">
        <v>1136</v>
      </c>
      <c r="D734" t="s">
        <v>1145</v>
      </c>
      <c r="E734" t="s">
        <v>1146</v>
      </c>
      <c r="F734" t="s">
        <v>1147</v>
      </c>
      <c r="G734" t="s">
        <v>1158</v>
      </c>
      <c r="H734" t="s">
        <v>1158</v>
      </c>
      <c r="I734" t="s">
        <v>1153</v>
      </c>
      <c r="J734" t="s">
        <v>1300</v>
      </c>
      <c r="K734" t="s">
        <v>1212</v>
      </c>
      <c r="M734" s="3">
        <f t="shared" si="44"/>
        <v>51.142857142857146</v>
      </c>
      <c r="N734">
        <v>20</v>
      </c>
      <c r="O734">
        <v>69</v>
      </c>
      <c r="P734">
        <v>60</v>
      </c>
      <c r="Q734">
        <v>57</v>
      </c>
      <c r="R734">
        <v>59</v>
      </c>
      <c r="S734">
        <v>61</v>
      </c>
      <c r="T734">
        <v>32</v>
      </c>
      <c r="U734">
        <v>0</v>
      </c>
      <c r="V734" s="3">
        <f t="shared" si="45"/>
        <v>122420</v>
      </c>
      <c r="W734">
        <v>10201.666666666666</v>
      </c>
      <c r="X734">
        <v>0</v>
      </c>
      <c r="Y734">
        <f t="shared" si="46"/>
        <v>10201.666666666666</v>
      </c>
      <c r="Z734">
        <f t="shared" si="47"/>
        <v>0</v>
      </c>
      <c r="AA734">
        <v>0</v>
      </c>
    </row>
    <row r="735" spans="1:27" x14ac:dyDescent="0.25">
      <c r="A735" s="1">
        <v>734</v>
      </c>
      <c r="B735" t="s">
        <v>2248</v>
      </c>
      <c r="C735" t="s">
        <v>1136</v>
      </c>
      <c r="D735" t="s">
        <v>1146</v>
      </c>
      <c r="E735" t="s">
        <v>1144</v>
      </c>
      <c r="H735" t="s">
        <v>1158</v>
      </c>
      <c r="I735" t="s">
        <v>1158</v>
      </c>
      <c r="J735" t="s">
        <v>1300</v>
      </c>
      <c r="K735" t="s">
        <v>1212</v>
      </c>
      <c r="M735" s="3">
        <f t="shared" si="44"/>
        <v>54.428571428571431</v>
      </c>
      <c r="N735">
        <v>10</v>
      </c>
      <c r="O735">
        <v>69</v>
      </c>
      <c r="P735">
        <v>62</v>
      </c>
      <c r="Q735">
        <v>67</v>
      </c>
      <c r="R735">
        <v>69</v>
      </c>
      <c r="S735">
        <v>71</v>
      </c>
      <c r="T735">
        <v>33</v>
      </c>
      <c r="U735">
        <v>0</v>
      </c>
      <c r="V735" s="3">
        <f t="shared" si="45"/>
        <v>228176</v>
      </c>
      <c r="W735">
        <v>19014.666666666668</v>
      </c>
      <c r="X735">
        <v>0</v>
      </c>
      <c r="Y735">
        <f t="shared" si="46"/>
        <v>19014.666666666668</v>
      </c>
      <c r="Z735">
        <f t="shared" si="47"/>
        <v>0</v>
      </c>
      <c r="AA735">
        <v>0</v>
      </c>
    </row>
    <row r="736" spans="1:27" x14ac:dyDescent="0.25">
      <c r="A736" s="1">
        <v>735</v>
      </c>
      <c r="B736" t="s">
        <v>2250</v>
      </c>
      <c r="C736" t="s">
        <v>1136</v>
      </c>
      <c r="D736" t="s">
        <v>1147</v>
      </c>
      <c r="E736" t="s">
        <v>1146</v>
      </c>
      <c r="H736" t="s">
        <v>1158</v>
      </c>
      <c r="I736" t="s">
        <v>1158</v>
      </c>
      <c r="J736" t="s">
        <v>1300</v>
      </c>
      <c r="K736" t="s">
        <v>1212</v>
      </c>
      <c r="M736" s="3">
        <f t="shared" si="44"/>
        <v>56.142857142857146</v>
      </c>
      <c r="N736">
        <v>11</v>
      </c>
      <c r="O736">
        <v>71</v>
      </c>
      <c r="P736">
        <v>64</v>
      </c>
      <c r="Q736">
        <v>69</v>
      </c>
      <c r="R736">
        <v>71</v>
      </c>
      <c r="S736">
        <v>73</v>
      </c>
      <c r="T736">
        <v>34</v>
      </c>
      <c r="U736">
        <v>0</v>
      </c>
      <c r="V736" s="3">
        <f t="shared" si="45"/>
        <v>311133</v>
      </c>
      <c r="W736">
        <v>25927.75</v>
      </c>
      <c r="X736">
        <v>0</v>
      </c>
      <c r="Y736">
        <f t="shared" si="46"/>
        <v>25927.75</v>
      </c>
      <c r="Z736">
        <f t="shared" si="47"/>
        <v>0</v>
      </c>
      <c r="AA736">
        <v>0</v>
      </c>
    </row>
    <row r="737" spans="1:27" x14ac:dyDescent="0.25">
      <c r="A737" s="1">
        <v>736</v>
      </c>
      <c r="B737" t="s">
        <v>2245</v>
      </c>
      <c r="C737" t="s">
        <v>1136</v>
      </c>
      <c r="D737" t="s">
        <v>1144</v>
      </c>
      <c r="E737" t="s">
        <v>1143</v>
      </c>
      <c r="H737" t="s">
        <v>1158</v>
      </c>
      <c r="I737" t="s">
        <v>1158</v>
      </c>
      <c r="J737" t="s">
        <v>1300</v>
      </c>
      <c r="K737" t="s">
        <v>1212</v>
      </c>
      <c r="M737" s="3">
        <f t="shared" si="44"/>
        <v>53.428571428571431</v>
      </c>
      <c r="N737">
        <v>9</v>
      </c>
      <c r="O737">
        <v>68</v>
      </c>
      <c r="P737">
        <v>60</v>
      </c>
      <c r="Q737">
        <v>67</v>
      </c>
      <c r="R737">
        <v>69</v>
      </c>
      <c r="S737">
        <v>71</v>
      </c>
      <c r="T737">
        <v>30</v>
      </c>
      <c r="U737">
        <v>0</v>
      </c>
      <c r="V737" s="3">
        <f t="shared" si="45"/>
        <v>189556</v>
      </c>
      <c r="W737">
        <v>15796.333333333334</v>
      </c>
      <c r="X737">
        <v>0</v>
      </c>
      <c r="Y737">
        <f t="shared" si="46"/>
        <v>15796.333333333334</v>
      </c>
      <c r="Z737">
        <f t="shared" si="47"/>
        <v>0</v>
      </c>
      <c r="AA737">
        <v>0</v>
      </c>
    </row>
    <row r="738" spans="1:27" x14ac:dyDescent="0.25">
      <c r="A738" s="1">
        <v>737</v>
      </c>
      <c r="B738" t="s">
        <v>2254</v>
      </c>
      <c r="C738" t="s">
        <v>1136</v>
      </c>
      <c r="D738" t="s">
        <v>1147</v>
      </c>
      <c r="E738" t="s">
        <v>1145</v>
      </c>
      <c r="H738" t="s">
        <v>1158</v>
      </c>
      <c r="I738" t="s">
        <v>1158</v>
      </c>
      <c r="J738" t="s">
        <v>1300</v>
      </c>
      <c r="K738" t="s">
        <v>1212</v>
      </c>
      <c r="M738" s="3">
        <f t="shared" si="44"/>
        <v>62.571428571428569</v>
      </c>
      <c r="N738">
        <v>14</v>
      </c>
      <c r="O738">
        <v>73</v>
      </c>
      <c r="P738">
        <v>77</v>
      </c>
      <c r="Q738">
        <v>75</v>
      </c>
      <c r="R738">
        <v>77</v>
      </c>
      <c r="S738">
        <v>79</v>
      </c>
      <c r="T738">
        <v>43</v>
      </c>
      <c r="U738">
        <v>0</v>
      </c>
      <c r="V738" s="3">
        <f t="shared" si="45"/>
        <v>919943</v>
      </c>
      <c r="W738">
        <v>76661.916666666672</v>
      </c>
      <c r="X738">
        <v>0</v>
      </c>
      <c r="Y738">
        <f t="shared" si="46"/>
        <v>76661.916666666672</v>
      </c>
      <c r="Z738">
        <f t="shared" si="47"/>
        <v>0</v>
      </c>
      <c r="AA738">
        <v>0</v>
      </c>
    </row>
    <row r="739" spans="1:27" x14ac:dyDescent="0.25">
      <c r="A739" s="1">
        <v>738</v>
      </c>
      <c r="B739" t="s">
        <v>2246</v>
      </c>
      <c r="C739" t="s">
        <v>1136</v>
      </c>
      <c r="D739" t="s">
        <v>1143</v>
      </c>
      <c r="E739" t="s">
        <v>1144</v>
      </c>
      <c r="H739" t="s">
        <v>1158</v>
      </c>
      <c r="I739" t="s">
        <v>1158</v>
      </c>
      <c r="J739" t="s">
        <v>1300</v>
      </c>
      <c r="K739" t="s">
        <v>1212</v>
      </c>
      <c r="M739" s="3">
        <f t="shared" si="44"/>
        <v>58.285714285714285</v>
      </c>
      <c r="N739">
        <v>13</v>
      </c>
      <c r="O739">
        <v>73</v>
      </c>
      <c r="P739">
        <v>66</v>
      </c>
      <c r="Q739">
        <v>71</v>
      </c>
      <c r="R739">
        <v>73</v>
      </c>
      <c r="S739">
        <v>75</v>
      </c>
      <c r="T739">
        <v>37</v>
      </c>
      <c r="U739">
        <v>0</v>
      </c>
      <c r="V739" s="3">
        <f t="shared" si="45"/>
        <v>452503</v>
      </c>
      <c r="W739">
        <v>37708.583333333336</v>
      </c>
      <c r="X739">
        <v>0</v>
      </c>
      <c r="Y739">
        <f t="shared" si="46"/>
        <v>37708.583333333336</v>
      </c>
      <c r="Z739">
        <f t="shared" si="47"/>
        <v>0</v>
      </c>
      <c r="AA739">
        <v>0</v>
      </c>
    </row>
    <row r="740" spans="1:27" x14ac:dyDescent="0.25">
      <c r="A740" s="1">
        <v>739</v>
      </c>
      <c r="B740" t="s">
        <v>2239</v>
      </c>
      <c r="C740" t="s">
        <v>1137</v>
      </c>
      <c r="D740" t="s">
        <v>1137</v>
      </c>
      <c r="H740" t="s">
        <v>1158</v>
      </c>
      <c r="I740" t="s">
        <v>1158</v>
      </c>
      <c r="J740" t="s">
        <v>1300</v>
      </c>
      <c r="K740" t="s">
        <v>1212</v>
      </c>
      <c r="M740" s="3">
        <f t="shared" si="44"/>
        <v>51.285714285714285</v>
      </c>
      <c r="N740">
        <v>9</v>
      </c>
      <c r="O740">
        <v>65</v>
      </c>
      <c r="P740">
        <v>57</v>
      </c>
      <c r="Q740">
        <v>64</v>
      </c>
      <c r="R740">
        <v>66</v>
      </c>
      <c r="S740">
        <v>68</v>
      </c>
      <c r="T740">
        <v>30</v>
      </c>
      <c r="U740">
        <v>0</v>
      </c>
      <c r="V740" s="3">
        <f t="shared" si="45"/>
        <v>125883</v>
      </c>
      <c r="W740">
        <v>10490.25</v>
      </c>
      <c r="X740">
        <v>0</v>
      </c>
      <c r="Y740">
        <f t="shared" si="46"/>
        <v>10490.25</v>
      </c>
      <c r="Z740">
        <f t="shared" si="47"/>
        <v>0</v>
      </c>
      <c r="AA740">
        <v>0</v>
      </c>
    </row>
    <row r="741" spans="1:27" x14ac:dyDescent="0.25">
      <c r="A741" s="1">
        <v>740</v>
      </c>
      <c r="B741" t="s">
        <v>1947</v>
      </c>
      <c r="C741" t="s">
        <v>1133</v>
      </c>
      <c r="D741" t="s">
        <v>1133</v>
      </c>
      <c r="H741" t="s">
        <v>1200</v>
      </c>
      <c r="I741" t="s">
        <v>1200</v>
      </c>
      <c r="J741" t="s">
        <v>1267</v>
      </c>
      <c r="K741" t="s">
        <v>1212</v>
      </c>
      <c r="M741" s="3">
        <f t="shared" si="44"/>
        <v>60.714285714285715</v>
      </c>
      <c r="N741">
        <v>22</v>
      </c>
      <c r="O741">
        <v>78</v>
      </c>
      <c r="P741">
        <v>64</v>
      </c>
      <c r="Q741">
        <v>74</v>
      </c>
      <c r="R741">
        <v>76</v>
      </c>
      <c r="S741">
        <v>78</v>
      </c>
      <c r="T741">
        <v>33</v>
      </c>
      <c r="U741">
        <v>0</v>
      </c>
      <c r="V741" s="3">
        <f t="shared" si="45"/>
        <v>680627</v>
      </c>
      <c r="W741">
        <v>56718.916666666664</v>
      </c>
      <c r="X741">
        <v>0</v>
      </c>
      <c r="Y741">
        <f t="shared" si="46"/>
        <v>56718.916666666664</v>
      </c>
      <c r="Z741">
        <f t="shared" si="47"/>
        <v>0</v>
      </c>
      <c r="AA741">
        <v>0</v>
      </c>
    </row>
    <row r="742" spans="1:27" x14ac:dyDescent="0.25">
      <c r="A742" s="1">
        <v>741</v>
      </c>
      <c r="B742" t="s">
        <v>95</v>
      </c>
      <c r="C742" t="s">
        <v>1133</v>
      </c>
      <c r="D742" t="s">
        <v>1133</v>
      </c>
      <c r="G742" t="s">
        <v>1200</v>
      </c>
      <c r="H742" t="s">
        <v>1200</v>
      </c>
      <c r="I742" t="s">
        <v>1200</v>
      </c>
      <c r="J742" t="s">
        <v>1267</v>
      </c>
      <c r="K742" t="s">
        <v>1212</v>
      </c>
      <c r="M742" s="3">
        <f t="shared" si="44"/>
        <v>79.571428571428569</v>
      </c>
      <c r="N742">
        <v>70</v>
      </c>
      <c r="O742">
        <v>76</v>
      </c>
      <c r="P742">
        <v>74</v>
      </c>
      <c r="Q742">
        <v>80</v>
      </c>
      <c r="R742">
        <v>80</v>
      </c>
      <c r="S742">
        <v>97</v>
      </c>
      <c r="T742">
        <v>80</v>
      </c>
      <c r="U742">
        <v>29</v>
      </c>
      <c r="V742" s="3">
        <f t="shared" si="45"/>
        <v>15263806</v>
      </c>
      <c r="W742">
        <v>1271983.8333333333</v>
      </c>
      <c r="X742">
        <v>0</v>
      </c>
      <c r="Y742">
        <f t="shared" si="46"/>
        <v>1271983.8333333333</v>
      </c>
      <c r="Z742">
        <f t="shared" si="47"/>
        <v>0</v>
      </c>
      <c r="AA742">
        <v>0</v>
      </c>
    </row>
    <row r="743" spans="1:27" x14ac:dyDescent="0.25">
      <c r="A743" s="1">
        <v>742</v>
      </c>
      <c r="B743" t="s">
        <v>374</v>
      </c>
      <c r="C743" t="s">
        <v>1134</v>
      </c>
      <c r="D743" t="s">
        <v>1138</v>
      </c>
      <c r="E743" t="s">
        <v>1140</v>
      </c>
      <c r="G743" t="s">
        <v>1200</v>
      </c>
      <c r="H743" t="s">
        <v>1200</v>
      </c>
      <c r="I743" t="s">
        <v>1200</v>
      </c>
      <c r="J743" t="s">
        <v>1267</v>
      </c>
      <c r="K743" t="s">
        <v>1212</v>
      </c>
      <c r="M743" s="3">
        <f t="shared" si="44"/>
        <v>86.285714285714292</v>
      </c>
      <c r="N743">
        <v>70</v>
      </c>
      <c r="O743">
        <v>90</v>
      </c>
      <c r="P743">
        <v>85</v>
      </c>
      <c r="Q743">
        <v>88</v>
      </c>
      <c r="R743">
        <v>93</v>
      </c>
      <c r="S743">
        <v>90</v>
      </c>
      <c r="T743">
        <v>88</v>
      </c>
      <c r="U743">
        <v>28</v>
      </c>
      <c r="V743" s="3">
        <f t="shared" si="45"/>
        <v>34314704</v>
      </c>
      <c r="W743">
        <v>2859558.6666666665</v>
      </c>
      <c r="X743">
        <v>0</v>
      </c>
      <c r="Y743">
        <f t="shared" si="46"/>
        <v>2859558.6666666665</v>
      </c>
      <c r="Z743">
        <f t="shared" si="47"/>
        <v>0</v>
      </c>
      <c r="AA743">
        <v>0</v>
      </c>
    </row>
    <row r="744" spans="1:27" x14ac:dyDescent="0.25">
      <c r="A744" s="1">
        <v>743</v>
      </c>
      <c r="B744" t="s">
        <v>1951</v>
      </c>
      <c r="C744" t="s">
        <v>1134</v>
      </c>
      <c r="D744" t="s">
        <v>1138</v>
      </c>
      <c r="E744" t="s">
        <v>1140</v>
      </c>
      <c r="H744" t="s">
        <v>1200</v>
      </c>
      <c r="I744" t="s">
        <v>1200</v>
      </c>
      <c r="J744" t="s">
        <v>1267</v>
      </c>
      <c r="K744" t="s">
        <v>1212</v>
      </c>
      <c r="M744" s="3">
        <f t="shared" si="44"/>
        <v>57.857142857142854</v>
      </c>
      <c r="N744">
        <v>22</v>
      </c>
      <c r="O744">
        <v>79</v>
      </c>
      <c r="P744">
        <v>65</v>
      </c>
      <c r="Q744">
        <v>73</v>
      </c>
      <c r="R744">
        <v>69</v>
      </c>
      <c r="S744">
        <v>71</v>
      </c>
      <c r="T744">
        <v>26</v>
      </c>
      <c r="U744">
        <v>0</v>
      </c>
      <c r="V744" s="3">
        <f t="shared" si="45"/>
        <v>420311</v>
      </c>
      <c r="W744">
        <v>35025.916666666664</v>
      </c>
      <c r="X744">
        <v>0</v>
      </c>
      <c r="Y744">
        <f t="shared" si="46"/>
        <v>35025.916666666664</v>
      </c>
      <c r="Z744">
        <f t="shared" si="47"/>
        <v>0</v>
      </c>
      <c r="AA744">
        <v>0</v>
      </c>
    </row>
    <row r="745" spans="1:27" x14ac:dyDescent="0.25">
      <c r="A745" s="1">
        <v>744</v>
      </c>
      <c r="B745" t="s">
        <v>1952</v>
      </c>
      <c r="C745" t="s">
        <v>1134</v>
      </c>
      <c r="D745" t="s">
        <v>1140</v>
      </c>
      <c r="E745" t="s">
        <v>1138</v>
      </c>
      <c r="H745" t="s">
        <v>1200</v>
      </c>
      <c r="I745" t="s">
        <v>1200</v>
      </c>
      <c r="J745" t="s">
        <v>1267</v>
      </c>
      <c r="K745" t="s">
        <v>1212</v>
      </c>
      <c r="M745" s="3">
        <f t="shared" si="44"/>
        <v>57</v>
      </c>
      <c r="N745">
        <v>21</v>
      </c>
      <c r="O745">
        <v>78</v>
      </c>
      <c r="P745">
        <v>63</v>
      </c>
      <c r="Q745">
        <v>69</v>
      </c>
      <c r="R745">
        <v>71</v>
      </c>
      <c r="S745">
        <v>73</v>
      </c>
      <c r="T745">
        <v>24</v>
      </c>
      <c r="U745">
        <v>0</v>
      </c>
      <c r="V745" s="3">
        <f t="shared" si="45"/>
        <v>362034</v>
      </c>
      <c r="W745">
        <v>30169.5</v>
      </c>
      <c r="X745">
        <v>0</v>
      </c>
      <c r="Y745">
        <f t="shared" si="46"/>
        <v>30169.5</v>
      </c>
      <c r="Z745">
        <f t="shared" si="47"/>
        <v>0</v>
      </c>
      <c r="AA745">
        <v>0</v>
      </c>
    </row>
    <row r="746" spans="1:27" x14ac:dyDescent="0.25">
      <c r="A746" s="1">
        <v>745</v>
      </c>
      <c r="B746" t="s">
        <v>1949</v>
      </c>
      <c r="C746" t="s">
        <v>1134</v>
      </c>
      <c r="D746" t="s">
        <v>1139</v>
      </c>
      <c r="E746" t="s">
        <v>1138</v>
      </c>
      <c r="H746" t="s">
        <v>1200</v>
      </c>
      <c r="I746" t="s">
        <v>1200</v>
      </c>
      <c r="J746" t="s">
        <v>1267</v>
      </c>
      <c r="K746" t="s">
        <v>1212</v>
      </c>
      <c r="M746" s="3">
        <f t="shared" si="44"/>
        <v>56.857142857142854</v>
      </c>
      <c r="N746">
        <v>34</v>
      </c>
      <c r="O746">
        <v>76</v>
      </c>
      <c r="P746">
        <v>61</v>
      </c>
      <c r="Q746">
        <v>65</v>
      </c>
      <c r="R746">
        <v>67</v>
      </c>
      <c r="S746">
        <v>70</v>
      </c>
      <c r="T746">
        <v>25</v>
      </c>
      <c r="U746">
        <v>0</v>
      </c>
      <c r="V746" s="3">
        <f t="shared" si="45"/>
        <v>353062</v>
      </c>
      <c r="W746">
        <v>29421.833333333332</v>
      </c>
      <c r="X746">
        <v>0</v>
      </c>
      <c r="Y746">
        <f t="shared" si="46"/>
        <v>29421.833333333332</v>
      </c>
      <c r="Z746">
        <f t="shared" si="47"/>
        <v>0</v>
      </c>
      <c r="AA746">
        <v>0</v>
      </c>
    </row>
    <row r="747" spans="1:27" x14ac:dyDescent="0.25">
      <c r="A747" s="1">
        <v>746</v>
      </c>
      <c r="B747" t="s">
        <v>1950</v>
      </c>
      <c r="C747" t="s">
        <v>1134</v>
      </c>
      <c r="D747" t="s">
        <v>1139</v>
      </c>
      <c r="E747" t="s">
        <v>1138</v>
      </c>
      <c r="H747" t="s">
        <v>1200</v>
      </c>
      <c r="I747" t="s">
        <v>1200</v>
      </c>
      <c r="J747" t="s">
        <v>1267</v>
      </c>
      <c r="K747" t="s">
        <v>1212</v>
      </c>
      <c r="M747" s="3">
        <f t="shared" si="44"/>
        <v>60.571428571428569</v>
      </c>
      <c r="N747">
        <v>32</v>
      </c>
      <c r="O747">
        <v>82</v>
      </c>
      <c r="P747">
        <v>66</v>
      </c>
      <c r="Q747">
        <v>70</v>
      </c>
      <c r="R747">
        <v>72</v>
      </c>
      <c r="S747">
        <v>74</v>
      </c>
      <c r="T747">
        <v>28</v>
      </c>
      <c r="U747">
        <v>0</v>
      </c>
      <c r="V747" s="3">
        <f t="shared" si="45"/>
        <v>664781</v>
      </c>
      <c r="W747">
        <v>55398.416666666664</v>
      </c>
      <c r="X747">
        <v>0</v>
      </c>
      <c r="Y747">
        <f t="shared" si="46"/>
        <v>55398.416666666664</v>
      </c>
      <c r="Z747">
        <f t="shared" si="47"/>
        <v>0</v>
      </c>
      <c r="AA747">
        <v>0</v>
      </c>
    </row>
    <row r="748" spans="1:27" x14ac:dyDescent="0.25">
      <c r="A748" s="1">
        <v>747</v>
      </c>
      <c r="B748" t="s">
        <v>597</v>
      </c>
      <c r="C748" t="s">
        <v>1135</v>
      </c>
      <c r="D748" t="s">
        <v>1141</v>
      </c>
      <c r="E748" t="s">
        <v>1142</v>
      </c>
      <c r="F748" t="s">
        <v>1145</v>
      </c>
      <c r="G748" t="s">
        <v>1200</v>
      </c>
      <c r="H748" t="s">
        <v>1200</v>
      </c>
      <c r="I748" t="s">
        <v>1200</v>
      </c>
      <c r="J748" t="s">
        <v>1267</v>
      </c>
      <c r="K748" t="s">
        <v>1212</v>
      </c>
      <c r="M748" s="3">
        <f t="shared" si="44"/>
        <v>87.857142857142861</v>
      </c>
      <c r="N748">
        <v>72</v>
      </c>
      <c r="O748">
        <v>98</v>
      </c>
      <c r="P748">
        <v>93</v>
      </c>
      <c r="Q748">
        <v>87</v>
      </c>
      <c r="R748">
        <v>85</v>
      </c>
      <c r="S748">
        <v>90</v>
      </c>
      <c r="T748">
        <v>90</v>
      </c>
      <c r="U748">
        <v>7</v>
      </c>
      <c r="V748" s="3">
        <f t="shared" si="45"/>
        <v>41101912</v>
      </c>
      <c r="W748">
        <v>3425159.3333333335</v>
      </c>
      <c r="X748">
        <v>0</v>
      </c>
      <c r="Y748">
        <f t="shared" si="46"/>
        <v>3425159.3333333335</v>
      </c>
      <c r="Z748">
        <f t="shared" si="47"/>
        <v>0</v>
      </c>
      <c r="AA748">
        <v>0</v>
      </c>
    </row>
    <row r="749" spans="1:27" x14ac:dyDescent="0.25">
      <c r="A749" s="1">
        <v>748</v>
      </c>
      <c r="B749" t="s">
        <v>1959</v>
      </c>
      <c r="C749" t="s">
        <v>1135</v>
      </c>
      <c r="D749" t="s">
        <v>1142</v>
      </c>
      <c r="E749" t="s">
        <v>1141</v>
      </c>
      <c r="H749" t="s">
        <v>1200</v>
      </c>
      <c r="I749" t="s">
        <v>1200</v>
      </c>
      <c r="J749" t="s">
        <v>1267</v>
      </c>
      <c r="K749" t="s">
        <v>1212</v>
      </c>
      <c r="M749" s="3">
        <f t="shared" si="44"/>
        <v>56.428571428571431</v>
      </c>
      <c r="N749">
        <v>33</v>
      </c>
      <c r="O749">
        <v>74</v>
      </c>
      <c r="P749">
        <v>59</v>
      </c>
      <c r="Q749">
        <v>67</v>
      </c>
      <c r="R749">
        <v>69</v>
      </c>
      <c r="S749">
        <v>71</v>
      </c>
      <c r="T749">
        <v>22</v>
      </c>
      <c r="U749">
        <v>0</v>
      </c>
      <c r="V749" s="3">
        <f t="shared" si="45"/>
        <v>327334</v>
      </c>
      <c r="W749">
        <v>27277.833333333332</v>
      </c>
      <c r="X749">
        <v>0</v>
      </c>
      <c r="Y749">
        <f t="shared" si="46"/>
        <v>27277.833333333332</v>
      </c>
      <c r="Z749">
        <f t="shared" si="47"/>
        <v>0</v>
      </c>
      <c r="AA749">
        <v>0</v>
      </c>
    </row>
    <row r="750" spans="1:27" x14ac:dyDescent="0.25">
      <c r="A750" s="1">
        <v>749</v>
      </c>
      <c r="B750" t="s">
        <v>1960</v>
      </c>
      <c r="C750" t="s">
        <v>1135</v>
      </c>
      <c r="D750" t="s">
        <v>1141</v>
      </c>
      <c r="E750" t="s">
        <v>1142</v>
      </c>
      <c r="H750" t="s">
        <v>1200</v>
      </c>
      <c r="I750" t="s">
        <v>1200</v>
      </c>
      <c r="J750" t="s">
        <v>1267</v>
      </c>
      <c r="K750" t="s">
        <v>1212</v>
      </c>
      <c r="M750" s="3">
        <f t="shared" si="44"/>
        <v>67</v>
      </c>
      <c r="N750">
        <v>32</v>
      </c>
      <c r="O750">
        <v>87</v>
      </c>
      <c r="P750">
        <v>75</v>
      </c>
      <c r="Q750">
        <v>79</v>
      </c>
      <c r="R750">
        <v>81</v>
      </c>
      <c r="S750">
        <v>84</v>
      </c>
      <c r="T750">
        <v>31</v>
      </c>
      <c r="U750">
        <v>0</v>
      </c>
      <c r="V750" s="3">
        <f t="shared" si="45"/>
        <v>1822838</v>
      </c>
      <c r="W750">
        <v>151903.16666666666</v>
      </c>
      <c r="X750">
        <v>0</v>
      </c>
      <c r="Y750">
        <f t="shared" si="46"/>
        <v>151903.16666666666</v>
      </c>
      <c r="Z750">
        <f t="shared" si="47"/>
        <v>0</v>
      </c>
      <c r="AA750">
        <v>0</v>
      </c>
    </row>
    <row r="751" spans="1:27" x14ac:dyDescent="0.25">
      <c r="A751" s="1">
        <v>750</v>
      </c>
      <c r="B751" t="s">
        <v>1955</v>
      </c>
      <c r="C751" t="s">
        <v>1136</v>
      </c>
      <c r="D751" t="s">
        <v>1145</v>
      </c>
      <c r="E751" t="s">
        <v>1143</v>
      </c>
      <c r="H751" t="s">
        <v>1200</v>
      </c>
      <c r="I751" t="s">
        <v>1200</v>
      </c>
      <c r="J751" t="s">
        <v>1267</v>
      </c>
      <c r="K751" t="s">
        <v>1212</v>
      </c>
      <c r="M751" s="3">
        <f t="shared" si="44"/>
        <v>64.285714285714292</v>
      </c>
      <c r="N751">
        <v>23</v>
      </c>
      <c r="O751">
        <v>85</v>
      </c>
      <c r="P751">
        <v>73</v>
      </c>
      <c r="Q751">
        <v>77</v>
      </c>
      <c r="R751">
        <v>79</v>
      </c>
      <c r="S751">
        <v>81</v>
      </c>
      <c r="T751">
        <v>32</v>
      </c>
      <c r="U751">
        <v>0</v>
      </c>
      <c r="V751" s="3">
        <f t="shared" si="45"/>
        <v>1205438</v>
      </c>
      <c r="W751">
        <v>100453.16666666667</v>
      </c>
      <c r="X751">
        <v>0</v>
      </c>
      <c r="Y751">
        <f t="shared" si="46"/>
        <v>100453.16666666667</v>
      </c>
      <c r="Z751">
        <f t="shared" si="47"/>
        <v>0</v>
      </c>
      <c r="AA751">
        <v>0</v>
      </c>
    </row>
    <row r="752" spans="1:27" x14ac:dyDescent="0.25">
      <c r="A752" s="1">
        <v>751</v>
      </c>
      <c r="B752" t="s">
        <v>957</v>
      </c>
      <c r="C752" t="s">
        <v>1136</v>
      </c>
      <c r="D752" t="s">
        <v>1145</v>
      </c>
      <c r="E752" t="s">
        <v>1141</v>
      </c>
      <c r="F752" t="s">
        <v>1147</v>
      </c>
      <c r="G752" t="s">
        <v>1200</v>
      </c>
      <c r="H752" t="s">
        <v>1200</v>
      </c>
      <c r="I752" t="s">
        <v>1200</v>
      </c>
      <c r="J752" t="s">
        <v>1267</v>
      </c>
      <c r="K752" t="s">
        <v>1212</v>
      </c>
      <c r="M752" s="3">
        <f t="shared" si="44"/>
        <v>85.857142857142861</v>
      </c>
      <c r="N752">
        <v>79</v>
      </c>
      <c r="O752">
        <v>83</v>
      </c>
      <c r="P752">
        <v>92</v>
      </c>
      <c r="Q752">
        <v>90</v>
      </c>
      <c r="R752">
        <v>90</v>
      </c>
      <c r="S752">
        <v>92</v>
      </c>
      <c r="T752">
        <v>75</v>
      </c>
      <c r="U752">
        <v>18</v>
      </c>
      <c r="V752" s="3">
        <f t="shared" si="45"/>
        <v>32647925</v>
      </c>
      <c r="W752">
        <v>2720660.4166666665</v>
      </c>
      <c r="X752">
        <v>0</v>
      </c>
      <c r="Y752">
        <f t="shared" si="46"/>
        <v>2720660.4166666665</v>
      </c>
      <c r="Z752">
        <f t="shared" si="47"/>
        <v>0</v>
      </c>
      <c r="AA752">
        <v>0</v>
      </c>
    </row>
    <row r="753" spans="1:27" x14ac:dyDescent="0.25">
      <c r="A753" s="1">
        <v>752</v>
      </c>
      <c r="B753" t="s">
        <v>955</v>
      </c>
      <c r="C753" t="s">
        <v>1136</v>
      </c>
      <c r="D753" t="s">
        <v>1143</v>
      </c>
      <c r="E753" t="s">
        <v>1144</v>
      </c>
      <c r="F753" t="s">
        <v>1145</v>
      </c>
      <c r="G753" t="s">
        <v>1200</v>
      </c>
      <c r="H753" t="s">
        <v>1200</v>
      </c>
      <c r="I753" t="s">
        <v>1200</v>
      </c>
      <c r="J753" t="s">
        <v>1267</v>
      </c>
      <c r="K753" t="s">
        <v>1212</v>
      </c>
      <c r="M753" s="3">
        <f t="shared" si="44"/>
        <v>80.571428571428569</v>
      </c>
      <c r="N753">
        <v>78</v>
      </c>
      <c r="O753">
        <v>85</v>
      </c>
      <c r="P753">
        <v>83</v>
      </c>
      <c r="Q753">
        <v>82</v>
      </c>
      <c r="R753">
        <v>85</v>
      </c>
      <c r="S753">
        <v>87</v>
      </c>
      <c r="T753">
        <v>64</v>
      </c>
      <c r="U753">
        <v>0</v>
      </c>
      <c r="V753" s="3">
        <f t="shared" si="45"/>
        <v>11529505</v>
      </c>
      <c r="W753">
        <v>960792.08333333337</v>
      </c>
      <c r="X753">
        <v>0</v>
      </c>
      <c r="Y753">
        <f t="shared" si="46"/>
        <v>960792.08333333337</v>
      </c>
      <c r="Z753">
        <f t="shared" si="47"/>
        <v>0</v>
      </c>
      <c r="AA753">
        <v>0</v>
      </c>
    </row>
    <row r="754" spans="1:27" x14ac:dyDescent="0.25">
      <c r="A754" s="1">
        <v>753</v>
      </c>
      <c r="B754" t="s">
        <v>1953</v>
      </c>
      <c r="C754" t="s">
        <v>1136</v>
      </c>
      <c r="D754" t="s">
        <v>1144</v>
      </c>
      <c r="E754" t="s">
        <v>1143</v>
      </c>
      <c r="H754" t="s">
        <v>1200</v>
      </c>
      <c r="I754" t="s">
        <v>1200</v>
      </c>
      <c r="J754" t="s">
        <v>1267</v>
      </c>
      <c r="K754" t="s">
        <v>1212</v>
      </c>
      <c r="M754" s="3">
        <f t="shared" si="44"/>
        <v>61.571428571428569</v>
      </c>
      <c r="N754">
        <v>34</v>
      </c>
      <c r="O754">
        <v>80</v>
      </c>
      <c r="P754">
        <v>67</v>
      </c>
      <c r="Q754">
        <v>75</v>
      </c>
      <c r="R754">
        <v>73</v>
      </c>
      <c r="S754">
        <v>75</v>
      </c>
      <c r="T754">
        <v>27</v>
      </c>
      <c r="U754">
        <v>0</v>
      </c>
      <c r="V754" s="3">
        <f t="shared" si="45"/>
        <v>783056</v>
      </c>
      <c r="W754">
        <v>65254.666666666664</v>
      </c>
      <c r="X754">
        <v>0</v>
      </c>
      <c r="Y754">
        <f t="shared" si="46"/>
        <v>65254.666666666664</v>
      </c>
      <c r="Z754">
        <f t="shared" si="47"/>
        <v>0</v>
      </c>
      <c r="AA754">
        <v>0</v>
      </c>
    </row>
    <row r="755" spans="1:27" x14ac:dyDescent="0.25">
      <c r="A755" s="1">
        <v>754</v>
      </c>
      <c r="B755" t="s">
        <v>1957</v>
      </c>
      <c r="C755" t="s">
        <v>1136</v>
      </c>
      <c r="D755" t="s">
        <v>1146</v>
      </c>
      <c r="E755" t="s">
        <v>1144</v>
      </c>
      <c r="H755" t="s">
        <v>1200</v>
      </c>
      <c r="I755" t="s">
        <v>1200</v>
      </c>
      <c r="J755" t="s">
        <v>1267</v>
      </c>
      <c r="K755" t="s">
        <v>1212</v>
      </c>
      <c r="M755" s="3">
        <f t="shared" si="44"/>
        <v>70.571428571428569</v>
      </c>
      <c r="N755">
        <v>42</v>
      </c>
      <c r="O755">
        <v>88</v>
      </c>
      <c r="P755">
        <v>76</v>
      </c>
      <c r="Q755">
        <v>82</v>
      </c>
      <c r="R755">
        <v>85</v>
      </c>
      <c r="S755">
        <v>87</v>
      </c>
      <c r="T755">
        <v>34</v>
      </c>
      <c r="U755">
        <v>0</v>
      </c>
      <c r="V755" s="3">
        <f t="shared" si="45"/>
        <v>3064003</v>
      </c>
      <c r="W755">
        <v>255333.58333333334</v>
      </c>
      <c r="X755">
        <v>0</v>
      </c>
      <c r="Y755">
        <f t="shared" si="46"/>
        <v>255333.58333333334</v>
      </c>
      <c r="Z755">
        <f t="shared" si="47"/>
        <v>0</v>
      </c>
      <c r="AA755">
        <v>0</v>
      </c>
    </row>
    <row r="756" spans="1:27" x14ac:dyDescent="0.25">
      <c r="A756" s="1">
        <v>755</v>
      </c>
      <c r="B756" t="s">
        <v>1956</v>
      </c>
      <c r="C756" t="s">
        <v>1136</v>
      </c>
      <c r="D756" t="s">
        <v>1143</v>
      </c>
      <c r="E756" t="s">
        <v>1146</v>
      </c>
      <c r="H756" t="s">
        <v>1200</v>
      </c>
      <c r="I756" t="s">
        <v>1200</v>
      </c>
      <c r="J756" t="s">
        <v>1267</v>
      </c>
      <c r="K756" t="s">
        <v>1212</v>
      </c>
      <c r="M756" s="3">
        <f t="shared" si="44"/>
        <v>59.142857142857146</v>
      </c>
      <c r="N756">
        <v>32</v>
      </c>
      <c r="O756">
        <v>76</v>
      </c>
      <c r="P756">
        <v>63</v>
      </c>
      <c r="Q756">
        <v>71</v>
      </c>
      <c r="R756">
        <v>73</v>
      </c>
      <c r="S756">
        <v>75</v>
      </c>
      <c r="T756">
        <v>24</v>
      </c>
      <c r="U756">
        <v>0</v>
      </c>
      <c r="V756" s="3">
        <f t="shared" si="45"/>
        <v>523629</v>
      </c>
      <c r="W756">
        <v>43635.75</v>
      </c>
      <c r="X756">
        <v>0</v>
      </c>
      <c r="Y756">
        <f t="shared" si="46"/>
        <v>43635.75</v>
      </c>
      <c r="Z756">
        <f t="shared" si="47"/>
        <v>0</v>
      </c>
      <c r="AA756">
        <v>0</v>
      </c>
    </row>
    <row r="757" spans="1:27" x14ac:dyDescent="0.25">
      <c r="A757" s="1">
        <v>756</v>
      </c>
      <c r="B757" t="s">
        <v>956</v>
      </c>
      <c r="C757" t="s">
        <v>1136</v>
      </c>
      <c r="D757" t="s">
        <v>1146</v>
      </c>
      <c r="E757" t="s">
        <v>1145</v>
      </c>
      <c r="G757" t="s">
        <v>1200</v>
      </c>
      <c r="H757" t="s">
        <v>1200</v>
      </c>
      <c r="I757" t="s">
        <v>1200</v>
      </c>
      <c r="J757" t="s">
        <v>1267</v>
      </c>
      <c r="K757" t="s">
        <v>1212</v>
      </c>
      <c r="M757" s="3">
        <f t="shared" si="44"/>
        <v>82.142857142857139</v>
      </c>
      <c r="N757">
        <v>80</v>
      </c>
      <c r="O757">
        <v>90</v>
      </c>
      <c r="P757">
        <v>85</v>
      </c>
      <c r="Q757">
        <v>84</v>
      </c>
      <c r="R757">
        <v>84</v>
      </c>
      <c r="S757">
        <v>88</v>
      </c>
      <c r="T757">
        <v>64</v>
      </c>
      <c r="U757">
        <v>12</v>
      </c>
      <c r="V757" s="3">
        <f t="shared" si="45"/>
        <v>20979219</v>
      </c>
      <c r="W757">
        <v>1748268.25</v>
      </c>
      <c r="X757">
        <v>0</v>
      </c>
      <c r="Y757">
        <f t="shared" si="46"/>
        <v>1748268.25</v>
      </c>
      <c r="Z757">
        <f t="shared" si="47"/>
        <v>0</v>
      </c>
      <c r="AA757">
        <v>0</v>
      </c>
    </row>
    <row r="758" spans="1:27" x14ac:dyDescent="0.25">
      <c r="A758" s="1">
        <v>757</v>
      </c>
      <c r="B758" t="s">
        <v>1958</v>
      </c>
      <c r="C758" t="s">
        <v>1136</v>
      </c>
      <c r="D758" t="s">
        <v>1147</v>
      </c>
      <c r="E758" t="s">
        <v>1145</v>
      </c>
      <c r="H758" t="s">
        <v>1200</v>
      </c>
      <c r="I758" t="s">
        <v>1200</v>
      </c>
      <c r="J758" t="s">
        <v>1267</v>
      </c>
      <c r="K758" t="s">
        <v>1212</v>
      </c>
      <c r="M758" s="3">
        <f t="shared" si="44"/>
        <v>58.285714285714285</v>
      </c>
      <c r="N758">
        <v>32</v>
      </c>
      <c r="O758">
        <v>79</v>
      </c>
      <c r="P758">
        <v>63</v>
      </c>
      <c r="Q758">
        <v>71</v>
      </c>
      <c r="R758">
        <v>69</v>
      </c>
      <c r="S758">
        <v>71</v>
      </c>
      <c r="T758">
        <v>23</v>
      </c>
      <c r="U758">
        <v>0</v>
      </c>
      <c r="V758" s="3">
        <f t="shared" si="45"/>
        <v>452503</v>
      </c>
      <c r="W758">
        <v>37708.583333333336</v>
      </c>
      <c r="X758">
        <v>0</v>
      </c>
      <c r="Y758">
        <f t="shared" si="46"/>
        <v>37708.583333333336</v>
      </c>
      <c r="Z758">
        <f t="shared" si="47"/>
        <v>0</v>
      </c>
      <c r="AA758">
        <v>0</v>
      </c>
    </row>
    <row r="759" spans="1:27" x14ac:dyDescent="0.25">
      <c r="A759" s="1">
        <v>758</v>
      </c>
      <c r="B759" t="s">
        <v>1954</v>
      </c>
      <c r="C759" t="s">
        <v>1136</v>
      </c>
      <c r="D759" t="s">
        <v>1143</v>
      </c>
      <c r="E759" t="s">
        <v>1144</v>
      </c>
      <c r="H759" t="s">
        <v>1200</v>
      </c>
      <c r="I759" t="s">
        <v>1200</v>
      </c>
      <c r="J759" t="s">
        <v>1267</v>
      </c>
      <c r="K759" t="s">
        <v>1212</v>
      </c>
      <c r="M759" s="3">
        <f t="shared" si="44"/>
        <v>62.428571428571431</v>
      </c>
      <c r="N759">
        <v>45</v>
      </c>
      <c r="O759">
        <v>77</v>
      </c>
      <c r="P759">
        <v>65</v>
      </c>
      <c r="Q759">
        <v>73</v>
      </c>
      <c r="R759">
        <v>75</v>
      </c>
      <c r="S759">
        <v>77</v>
      </c>
      <c r="T759">
        <v>25</v>
      </c>
      <c r="U759">
        <v>0</v>
      </c>
      <c r="V759" s="3">
        <f t="shared" si="45"/>
        <v>899154</v>
      </c>
      <c r="W759">
        <v>74929.5</v>
      </c>
      <c r="X759">
        <v>0</v>
      </c>
      <c r="Y759">
        <f t="shared" si="46"/>
        <v>74929.5</v>
      </c>
      <c r="Z759">
        <f t="shared" si="47"/>
        <v>0</v>
      </c>
      <c r="AA759">
        <v>0</v>
      </c>
    </row>
    <row r="760" spans="1:27" x14ac:dyDescent="0.25">
      <c r="A760" s="1">
        <v>759</v>
      </c>
      <c r="B760" t="s">
        <v>1948</v>
      </c>
      <c r="C760" t="s">
        <v>1137</v>
      </c>
      <c r="D760" t="s">
        <v>1137</v>
      </c>
      <c r="H760" t="s">
        <v>1200</v>
      </c>
      <c r="I760" t="s">
        <v>1200</v>
      </c>
      <c r="J760" t="s">
        <v>1267</v>
      </c>
      <c r="K760" t="s">
        <v>1212</v>
      </c>
      <c r="M760" s="3">
        <f t="shared" si="44"/>
        <v>58.285714285714285</v>
      </c>
      <c r="N760">
        <v>23</v>
      </c>
      <c r="O760">
        <v>75</v>
      </c>
      <c r="P760">
        <v>61</v>
      </c>
      <c r="Q760">
        <v>71</v>
      </c>
      <c r="R760">
        <v>73</v>
      </c>
      <c r="S760">
        <v>75</v>
      </c>
      <c r="T760">
        <v>30</v>
      </c>
      <c r="U760">
        <v>0</v>
      </c>
      <c r="V760" s="3">
        <f t="shared" si="45"/>
        <v>452503</v>
      </c>
      <c r="W760">
        <v>37708.583333333336</v>
      </c>
      <c r="X760">
        <v>0</v>
      </c>
      <c r="Y760">
        <f t="shared" si="46"/>
        <v>37708.583333333336</v>
      </c>
      <c r="Z760">
        <f t="shared" si="47"/>
        <v>0</v>
      </c>
      <c r="AA760">
        <v>0</v>
      </c>
    </row>
    <row r="761" spans="1:27" x14ac:dyDescent="0.25">
      <c r="A761" s="1">
        <v>760</v>
      </c>
      <c r="B761" t="s">
        <v>26</v>
      </c>
      <c r="C761" t="s">
        <v>1133</v>
      </c>
      <c r="D761" t="s">
        <v>1133</v>
      </c>
      <c r="G761" t="s">
        <v>1151</v>
      </c>
      <c r="H761" t="s">
        <v>1151</v>
      </c>
      <c r="I761" t="s">
        <v>1151</v>
      </c>
      <c r="J761" t="s">
        <v>1229</v>
      </c>
      <c r="K761" t="s">
        <v>1212</v>
      </c>
      <c r="M761" s="3">
        <f t="shared" si="44"/>
        <v>87.571428571428569</v>
      </c>
      <c r="N761">
        <v>85</v>
      </c>
      <c r="O761">
        <v>85</v>
      </c>
      <c r="P761">
        <v>80</v>
      </c>
      <c r="Q761">
        <v>90</v>
      </c>
      <c r="R761">
        <v>93</v>
      </c>
      <c r="S761">
        <v>92</v>
      </c>
      <c r="T761">
        <v>88</v>
      </c>
      <c r="U761">
        <v>31</v>
      </c>
      <c r="V761" s="3">
        <f t="shared" si="45"/>
        <v>39784656</v>
      </c>
      <c r="W761">
        <v>3315388</v>
      </c>
      <c r="X761">
        <v>0</v>
      </c>
      <c r="Y761">
        <f t="shared" si="46"/>
        <v>3315388</v>
      </c>
      <c r="Z761">
        <f t="shared" si="47"/>
        <v>0</v>
      </c>
      <c r="AA761">
        <v>0</v>
      </c>
    </row>
    <row r="762" spans="1:27" x14ac:dyDescent="0.25">
      <c r="A762" s="1">
        <v>761</v>
      </c>
      <c r="B762" t="s">
        <v>1923</v>
      </c>
      <c r="C762" t="s">
        <v>1133</v>
      </c>
      <c r="D762" t="s">
        <v>1133</v>
      </c>
      <c r="H762" t="s">
        <v>1151</v>
      </c>
      <c r="I762" t="s">
        <v>1151</v>
      </c>
      <c r="J762" t="s">
        <v>1229</v>
      </c>
      <c r="K762" t="s">
        <v>1212</v>
      </c>
      <c r="M762" s="3">
        <f t="shared" si="44"/>
        <v>58.428571428571431</v>
      </c>
      <c r="N762">
        <v>14</v>
      </c>
      <c r="O762">
        <v>70</v>
      </c>
      <c r="P762">
        <v>64</v>
      </c>
      <c r="Q762">
        <v>74</v>
      </c>
      <c r="R762">
        <v>76</v>
      </c>
      <c r="S762">
        <v>78</v>
      </c>
      <c r="T762">
        <v>33</v>
      </c>
      <c r="U762">
        <v>0</v>
      </c>
      <c r="V762" s="3">
        <f t="shared" si="45"/>
        <v>463717</v>
      </c>
      <c r="W762">
        <v>38643.083333333336</v>
      </c>
      <c r="X762">
        <v>0</v>
      </c>
      <c r="Y762">
        <f t="shared" si="46"/>
        <v>38643.083333333336</v>
      </c>
      <c r="Z762">
        <f t="shared" si="47"/>
        <v>0</v>
      </c>
      <c r="AA762">
        <v>0</v>
      </c>
    </row>
    <row r="763" spans="1:27" x14ac:dyDescent="0.25">
      <c r="A763" s="1">
        <v>762</v>
      </c>
      <c r="B763" t="s">
        <v>1926</v>
      </c>
      <c r="C763" t="s">
        <v>1134</v>
      </c>
      <c r="D763" t="s">
        <v>1138</v>
      </c>
      <c r="H763" t="s">
        <v>1151</v>
      </c>
      <c r="I763" t="s">
        <v>1151</v>
      </c>
      <c r="J763" t="s">
        <v>1229</v>
      </c>
      <c r="K763" t="s">
        <v>1212</v>
      </c>
      <c r="M763" s="3">
        <f t="shared" si="44"/>
        <v>51.714285714285715</v>
      </c>
      <c r="N763">
        <v>11</v>
      </c>
      <c r="O763">
        <v>63</v>
      </c>
      <c r="P763">
        <v>61</v>
      </c>
      <c r="Q763">
        <v>65</v>
      </c>
      <c r="R763">
        <v>67</v>
      </c>
      <c r="S763">
        <v>70</v>
      </c>
      <c r="T763">
        <v>25</v>
      </c>
      <c r="U763">
        <v>0</v>
      </c>
      <c r="V763" s="3">
        <f t="shared" si="45"/>
        <v>136807</v>
      </c>
      <c r="W763">
        <v>11400.583333333334</v>
      </c>
      <c r="X763">
        <v>0</v>
      </c>
      <c r="Y763">
        <f t="shared" si="46"/>
        <v>11400.583333333334</v>
      </c>
      <c r="Z763">
        <f t="shared" si="47"/>
        <v>0</v>
      </c>
      <c r="AA763">
        <v>0</v>
      </c>
    </row>
    <row r="764" spans="1:27" x14ac:dyDescent="0.25">
      <c r="A764" s="1">
        <v>763</v>
      </c>
      <c r="B764" t="s">
        <v>1928</v>
      </c>
      <c r="C764" t="s">
        <v>1134</v>
      </c>
      <c r="D764" t="s">
        <v>1139</v>
      </c>
      <c r="E764" t="s">
        <v>1138</v>
      </c>
      <c r="H764" t="s">
        <v>1151</v>
      </c>
      <c r="I764" t="s">
        <v>1151</v>
      </c>
      <c r="J764" t="s">
        <v>1229</v>
      </c>
      <c r="K764" t="s">
        <v>1212</v>
      </c>
      <c r="M764" s="3">
        <f t="shared" si="44"/>
        <v>59</v>
      </c>
      <c r="N764">
        <v>16</v>
      </c>
      <c r="O764">
        <v>75</v>
      </c>
      <c r="P764">
        <v>69</v>
      </c>
      <c r="Q764">
        <v>73</v>
      </c>
      <c r="R764">
        <v>75</v>
      </c>
      <c r="S764">
        <v>77</v>
      </c>
      <c r="T764">
        <v>28</v>
      </c>
      <c r="U764">
        <v>0</v>
      </c>
      <c r="V764" s="3">
        <f t="shared" si="45"/>
        <v>511117</v>
      </c>
      <c r="W764">
        <v>42593.083333333336</v>
      </c>
      <c r="X764">
        <v>0</v>
      </c>
      <c r="Y764">
        <f t="shared" si="46"/>
        <v>42593.083333333336</v>
      </c>
      <c r="Z764">
        <f t="shared" si="47"/>
        <v>0</v>
      </c>
      <c r="AA764">
        <v>0</v>
      </c>
    </row>
    <row r="765" spans="1:27" x14ac:dyDescent="0.25">
      <c r="A765" s="1">
        <v>764</v>
      </c>
      <c r="B765" t="s">
        <v>1927</v>
      </c>
      <c r="C765" t="s">
        <v>1134</v>
      </c>
      <c r="D765" t="s">
        <v>1140</v>
      </c>
      <c r="E765" t="s">
        <v>1138</v>
      </c>
      <c r="H765" t="s">
        <v>1151</v>
      </c>
      <c r="I765" t="s">
        <v>1151</v>
      </c>
      <c r="J765" t="s">
        <v>1229</v>
      </c>
      <c r="K765" t="s">
        <v>1212</v>
      </c>
      <c r="M765" s="3">
        <f t="shared" si="44"/>
        <v>53.857142857142854</v>
      </c>
      <c r="N765">
        <v>12</v>
      </c>
      <c r="O765">
        <v>71</v>
      </c>
      <c r="P765">
        <v>59</v>
      </c>
      <c r="Q765">
        <v>71</v>
      </c>
      <c r="R765">
        <v>69</v>
      </c>
      <c r="S765">
        <v>71</v>
      </c>
      <c r="T765">
        <v>24</v>
      </c>
      <c r="U765">
        <v>0</v>
      </c>
      <c r="V765" s="3">
        <f t="shared" si="45"/>
        <v>205321</v>
      </c>
      <c r="W765">
        <v>17110.083333333332</v>
      </c>
      <c r="X765">
        <v>0</v>
      </c>
      <c r="Y765">
        <f t="shared" si="46"/>
        <v>17110.083333333332</v>
      </c>
      <c r="Z765">
        <f t="shared" si="47"/>
        <v>0</v>
      </c>
      <c r="AA765">
        <v>0</v>
      </c>
    </row>
    <row r="766" spans="1:27" x14ac:dyDescent="0.25">
      <c r="A766" s="1">
        <v>765</v>
      </c>
      <c r="B766" t="s">
        <v>1925</v>
      </c>
      <c r="C766" t="s">
        <v>1134</v>
      </c>
      <c r="D766" t="s">
        <v>1138</v>
      </c>
      <c r="E766" t="s">
        <v>1144</v>
      </c>
      <c r="H766" t="s">
        <v>1151</v>
      </c>
      <c r="I766" t="s">
        <v>1151</v>
      </c>
      <c r="J766" t="s">
        <v>1229</v>
      </c>
      <c r="K766" t="s">
        <v>1212</v>
      </c>
      <c r="M766" s="3">
        <f t="shared" si="44"/>
        <v>73.142857142857139</v>
      </c>
      <c r="N766">
        <v>20</v>
      </c>
      <c r="O766">
        <v>88</v>
      </c>
      <c r="P766">
        <v>80</v>
      </c>
      <c r="Q766">
        <v>92</v>
      </c>
      <c r="R766">
        <v>95</v>
      </c>
      <c r="S766">
        <v>97</v>
      </c>
      <c r="T766">
        <v>40</v>
      </c>
      <c r="U766">
        <v>0</v>
      </c>
      <c r="V766" s="3">
        <f t="shared" si="45"/>
        <v>4382473</v>
      </c>
      <c r="W766">
        <v>365206.08333333331</v>
      </c>
      <c r="X766">
        <v>0</v>
      </c>
      <c r="Y766">
        <f t="shared" si="46"/>
        <v>365206.08333333331</v>
      </c>
      <c r="Z766">
        <f t="shared" si="47"/>
        <v>0</v>
      </c>
      <c r="AA766">
        <v>0</v>
      </c>
    </row>
    <row r="767" spans="1:27" x14ac:dyDescent="0.25">
      <c r="A767" s="1">
        <v>766</v>
      </c>
      <c r="B767" t="s">
        <v>1932</v>
      </c>
      <c r="C767" t="s">
        <v>1135</v>
      </c>
      <c r="D767" t="s">
        <v>1142</v>
      </c>
      <c r="E767" t="s">
        <v>1141</v>
      </c>
      <c r="H767" t="s">
        <v>1151</v>
      </c>
      <c r="I767" t="s">
        <v>1151</v>
      </c>
      <c r="J767" t="s">
        <v>1229</v>
      </c>
      <c r="K767" t="s">
        <v>1212</v>
      </c>
      <c r="M767" s="3">
        <f t="shared" si="44"/>
        <v>50.142857142857146</v>
      </c>
      <c r="N767">
        <v>11</v>
      </c>
      <c r="O767">
        <v>55</v>
      </c>
      <c r="P767">
        <v>59</v>
      </c>
      <c r="Q767">
        <v>67</v>
      </c>
      <c r="R767">
        <v>65</v>
      </c>
      <c r="S767">
        <v>68</v>
      </c>
      <c r="T767">
        <v>26</v>
      </c>
      <c r="U767">
        <v>0</v>
      </c>
      <c r="V767" s="3">
        <f t="shared" si="45"/>
        <v>100483</v>
      </c>
      <c r="W767">
        <v>8373.5833333333339</v>
      </c>
      <c r="X767">
        <v>0</v>
      </c>
      <c r="Y767">
        <f t="shared" si="46"/>
        <v>8373.5833333333339</v>
      </c>
      <c r="Z767">
        <f t="shared" si="47"/>
        <v>0</v>
      </c>
      <c r="AA767">
        <v>0</v>
      </c>
    </row>
    <row r="768" spans="1:27" x14ac:dyDescent="0.25">
      <c r="A768" s="1">
        <v>767</v>
      </c>
      <c r="B768" t="s">
        <v>434</v>
      </c>
      <c r="C768" t="s">
        <v>1135</v>
      </c>
      <c r="D768" t="s">
        <v>1141</v>
      </c>
      <c r="E768" t="s">
        <v>1142</v>
      </c>
      <c r="F768" t="s">
        <v>1145</v>
      </c>
      <c r="G768" t="s">
        <v>1149</v>
      </c>
      <c r="H768" t="s">
        <v>1149</v>
      </c>
      <c r="I768" t="s">
        <v>1149</v>
      </c>
      <c r="J768" t="s">
        <v>1229</v>
      </c>
      <c r="K768" t="s">
        <v>1212</v>
      </c>
      <c r="M768" s="3">
        <f t="shared" si="44"/>
        <v>81.571428571428569</v>
      </c>
      <c r="N768">
        <v>70</v>
      </c>
      <c r="O768">
        <v>87</v>
      </c>
      <c r="P768">
        <v>86</v>
      </c>
      <c r="Q768">
        <v>84</v>
      </c>
      <c r="R768">
        <v>86</v>
      </c>
      <c r="S768">
        <v>88</v>
      </c>
      <c r="T768">
        <v>70</v>
      </c>
      <c r="U768">
        <v>7</v>
      </c>
      <c r="V768" s="3">
        <f t="shared" si="45"/>
        <v>19564644</v>
      </c>
      <c r="W768">
        <v>1630387</v>
      </c>
      <c r="X768">
        <v>0</v>
      </c>
      <c r="Y768">
        <f t="shared" si="46"/>
        <v>1630387</v>
      </c>
      <c r="Z768">
        <f t="shared" si="47"/>
        <v>0</v>
      </c>
      <c r="AA768">
        <v>0</v>
      </c>
    </row>
    <row r="769" spans="1:27" x14ac:dyDescent="0.25">
      <c r="A769" s="1">
        <v>768</v>
      </c>
      <c r="B769" t="s">
        <v>1931</v>
      </c>
      <c r="C769" t="s">
        <v>1135</v>
      </c>
      <c r="D769" t="s">
        <v>1141</v>
      </c>
      <c r="E769" t="s">
        <v>1142</v>
      </c>
      <c r="H769" t="s">
        <v>1151</v>
      </c>
      <c r="I769" t="s">
        <v>1151</v>
      </c>
      <c r="J769" t="s">
        <v>1229</v>
      </c>
      <c r="K769" t="s">
        <v>1212</v>
      </c>
      <c r="M769" s="3">
        <f t="shared" si="44"/>
        <v>68.428571428571431</v>
      </c>
      <c r="N769">
        <v>19</v>
      </c>
      <c r="O769">
        <v>85</v>
      </c>
      <c r="P769">
        <v>79</v>
      </c>
      <c r="Q769">
        <v>83</v>
      </c>
      <c r="R769">
        <v>87</v>
      </c>
      <c r="S769">
        <v>90</v>
      </c>
      <c r="T769">
        <v>36</v>
      </c>
      <c r="U769">
        <v>0</v>
      </c>
      <c r="V769" s="3">
        <f t="shared" si="45"/>
        <v>2250997</v>
      </c>
      <c r="W769">
        <v>187583.08333333334</v>
      </c>
      <c r="X769">
        <v>0</v>
      </c>
      <c r="Y769">
        <f t="shared" si="46"/>
        <v>187583.08333333334</v>
      </c>
      <c r="Z769">
        <f t="shared" si="47"/>
        <v>0</v>
      </c>
      <c r="AA769">
        <v>0</v>
      </c>
    </row>
    <row r="770" spans="1:27" x14ac:dyDescent="0.25">
      <c r="A770" s="1">
        <v>769</v>
      </c>
      <c r="B770" t="s">
        <v>1929</v>
      </c>
      <c r="C770" t="s">
        <v>1136</v>
      </c>
      <c r="D770" t="s">
        <v>1144</v>
      </c>
      <c r="E770" t="s">
        <v>1143</v>
      </c>
      <c r="H770" t="s">
        <v>1151</v>
      </c>
      <c r="I770" t="s">
        <v>1151</v>
      </c>
      <c r="J770" t="s">
        <v>1229</v>
      </c>
      <c r="K770" t="s">
        <v>1212</v>
      </c>
      <c r="M770" s="3">
        <f t="shared" ref="M770:M833" si="48">AVERAGE(N770:T770)</f>
        <v>50.571428571428569</v>
      </c>
      <c r="N770">
        <v>11</v>
      </c>
      <c r="O770">
        <v>57</v>
      </c>
      <c r="P770">
        <v>57</v>
      </c>
      <c r="Q770">
        <v>65</v>
      </c>
      <c r="R770">
        <v>69</v>
      </c>
      <c r="S770">
        <v>72</v>
      </c>
      <c r="T770">
        <v>23</v>
      </c>
      <c r="U770">
        <v>0</v>
      </c>
      <c r="V770" s="3">
        <f t="shared" ref="V770:V833" si="49">ROUNDUP(M770^10/1000000000000 * IF(U770&gt;0,1.5,1),0)</f>
        <v>109409</v>
      </c>
      <c r="W770">
        <v>9117.4166666666661</v>
      </c>
      <c r="X770">
        <v>0</v>
      </c>
      <c r="Y770">
        <f t="shared" ref="Y770:Y833" si="50">V770/12</f>
        <v>9117.4166666666661</v>
      </c>
      <c r="Z770">
        <f t="shared" ref="Z770:Z833" si="51">ROUND(((W770-Y770)/Y770)*100,2)</f>
        <v>0</v>
      </c>
      <c r="AA770">
        <v>0</v>
      </c>
    </row>
    <row r="771" spans="1:27" x14ac:dyDescent="0.25">
      <c r="A771" s="1">
        <v>770</v>
      </c>
      <c r="B771" t="s">
        <v>1933</v>
      </c>
      <c r="C771" t="s">
        <v>1136</v>
      </c>
      <c r="D771" t="s">
        <v>1145</v>
      </c>
      <c r="E771" t="s">
        <v>1143</v>
      </c>
      <c r="H771" t="s">
        <v>1151</v>
      </c>
      <c r="I771" t="s">
        <v>1151</v>
      </c>
      <c r="J771" t="s">
        <v>1229</v>
      </c>
      <c r="K771" t="s">
        <v>1212</v>
      </c>
      <c r="M771" s="3">
        <f t="shared" si="48"/>
        <v>59.571428571428569</v>
      </c>
      <c r="N771">
        <v>14</v>
      </c>
      <c r="O771">
        <v>72</v>
      </c>
      <c r="P771">
        <v>66</v>
      </c>
      <c r="Q771">
        <v>76</v>
      </c>
      <c r="R771">
        <v>78</v>
      </c>
      <c r="S771">
        <v>80</v>
      </c>
      <c r="T771">
        <v>31</v>
      </c>
      <c r="U771">
        <v>0</v>
      </c>
      <c r="V771" s="3">
        <f t="shared" si="49"/>
        <v>562834</v>
      </c>
      <c r="W771">
        <v>46902.833333333336</v>
      </c>
      <c r="X771">
        <v>0</v>
      </c>
      <c r="Y771">
        <f t="shared" si="50"/>
        <v>46902.833333333336</v>
      </c>
      <c r="Z771">
        <f t="shared" si="51"/>
        <v>0</v>
      </c>
      <c r="AA771">
        <v>0</v>
      </c>
    </row>
    <row r="772" spans="1:27" x14ac:dyDescent="0.25">
      <c r="A772" s="1">
        <v>771</v>
      </c>
      <c r="B772" t="s">
        <v>682</v>
      </c>
      <c r="C772" t="s">
        <v>1136</v>
      </c>
      <c r="D772" t="s">
        <v>1145</v>
      </c>
      <c r="E772" t="s">
        <v>1146</v>
      </c>
      <c r="F772" t="s">
        <v>1141</v>
      </c>
      <c r="G772" t="s">
        <v>1156</v>
      </c>
      <c r="H772" t="s">
        <v>1156</v>
      </c>
      <c r="I772" t="s">
        <v>1156</v>
      </c>
      <c r="J772" t="s">
        <v>1229</v>
      </c>
      <c r="K772" t="s">
        <v>1212</v>
      </c>
      <c r="M772" s="3">
        <f t="shared" si="48"/>
        <v>81.142857142857139</v>
      </c>
      <c r="N772">
        <v>80</v>
      </c>
      <c r="O772">
        <v>80</v>
      </c>
      <c r="P772">
        <v>89</v>
      </c>
      <c r="Q772">
        <v>82</v>
      </c>
      <c r="R772">
        <v>81</v>
      </c>
      <c r="S772">
        <v>85</v>
      </c>
      <c r="T772">
        <v>71</v>
      </c>
      <c r="U772">
        <v>2</v>
      </c>
      <c r="V772" s="3">
        <f t="shared" si="49"/>
        <v>18560695</v>
      </c>
      <c r="W772">
        <v>1546724.5833333333</v>
      </c>
      <c r="X772">
        <v>0</v>
      </c>
      <c r="Y772">
        <f t="shared" si="50"/>
        <v>1546724.5833333333</v>
      </c>
      <c r="Z772">
        <f t="shared" si="51"/>
        <v>0</v>
      </c>
      <c r="AA772">
        <v>0</v>
      </c>
    </row>
    <row r="773" spans="1:27" x14ac:dyDescent="0.25">
      <c r="A773" s="1">
        <v>772</v>
      </c>
      <c r="B773" t="s">
        <v>1930</v>
      </c>
      <c r="C773" t="s">
        <v>1136</v>
      </c>
      <c r="D773" t="s">
        <v>1147</v>
      </c>
      <c r="E773" t="s">
        <v>1145</v>
      </c>
      <c r="H773" t="s">
        <v>1151</v>
      </c>
      <c r="I773" t="s">
        <v>1151</v>
      </c>
      <c r="J773" t="s">
        <v>1229</v>
      </c>
      <c r="K773" t="s">
        <v>1212</v>
      </c>
      <c r="M773" s="3">
        <f t="shared" si="48"/>
        <v>55.428571428571431</v>
      </c>
      <c r="N773">
        <v>13</v>
      </c>
      <c r="O773">
        <v>69</v>
      </c>
      <c r="P773">
        <v>63</v>
      </c>
      <c r="Q773">
        <v>73</v>
      </c>
      <c r="R773">
        <v>71</v>
      </c>
      <c r="S773">
        <v>73</v>
      </c>
      <c r="T773">
        <v>26</v>
      </c>
      <c r="U773">
        <v>0</v>
      </c>
      <c r="V773" s="3">
        <f t="shared" si="49"/>
        <v>273740</v>
      </c>
      <c r="W773">
        <v>22811.666666666668</v>
      </c>
      <c r="X773">
        <v>0</v>
      </c>
      <c r="Y773">
        <f t="shared" si="50"/>
        <v>22811.666666666668</v>
      </c>
      <c r="Z773">
        <f t="shared" si="51"/>
        <v>0</v>
      </c>
      <c r="AA773">
        <v>0</v>
      </c>
    </row>
    <row r="774" spans="1:27" x14ac:dyDescent="0.25">
      <c r="A774" s="1">
        <v>773</v>
      </c>
      <c r="B774" t="s">
        <v>650</v>
      </c>
      <c r="C774" t="s">
        <v>1136</v>
      </c>
      <c r="D774" t="s">
        <v>1146</v>
      </c>
      <c r="E774" t="s">
        <v>1144</v>
      </c>
      <c r="G774" t="s">
        <v>1151</v>
      </c>
      <c r="H774" t="s">
        <v>1151</v>
      </c>
      <c r="I774" t="s">
        <v>1151</v>
      </c>
      <c r="J774" t="s">
        <v>1229</v>
      </c>
      <c r="K774" t="s">
        <v>1212</v>
      </c>
      <c r="M774" s="3">
        <f t="shared" si="48"/>
        <v>82.857142857142861</v>
      </c>
      <c r="N774">
        <v>82</v>
      </c>
      <c r="O774">
        <v>90</v>
      </c>
      <c r="P774">
        <v>83</v>
      </c>
      <c r="Q774">
        <v>85</v>
      </c>
      <c r="R774">
        <v>90</v>
      </c>
      <c r="S774">
        <v>82</v>
      </c>
      <c r="T774">
        <v>68</v>
      </c>
      <c r="U774">
        <v>23</v>
      </c>
      <c r="V774" s="3">
        <f t="shared" si="49"/>
        <v>22876564</v>
      </c>
      <c r="W774">
        <v>1906380.3333333333</v>
      </c>
      <c r="X774">
        <v>0</v>
      </c>
      <c r="Y774">
        <f t="shared" si="50"/>
        <v>1906380.3333333333</v>
      </c>
      <c r="Z774">
        <f t="shared" si="51"/>
        <v>0</v>
      </c>
      <c r="AA774">
        <v>0</v>
      </c>
    </row>
    <row r="775" spans="1:27" x14ac:dyDescent="0.25">
      <c r="A775" s="1">
        <v>774</v>
      </c>
      <c r="B775" t="s">
        <v>1010</v>
      </c>
      <c r="C775" t="s">
        <v>1136</v>
      </c>
      <c r="D775" t="s">
        <v>1146</v>
      </c>
      <c r="G775" t="s">
        <v>1209</v>
      </c>
      <c r="H775" t="s">
        <v>1151</v>
      </c>
      <c r="I775" t="s">
        <v>1151</v>
      </c>
      <c r="J775" t="s">
        <v>1229</v>
      </c>
      <c r="K775" t="s">
        <v>1212</v>
      </c>
      <c r="M775" s="3">
        <f t="shared" si="48"/>
        <v>55.714285714285715</v>
      </c>
      <c r="N775">
        <v>48</v>
      </c>
      <c r="O775">
        <v>67</v>
      </c>
      <c r="P775">
        <v>64</v>
      </c>
      <c r="Q775">
        <v>67</v>
      </c>
      <c r="R775">
        <v>61</v>
      </c>
      <c r="S775">
        <v>58</v>
      </c>
      <c r="T775">
        <v>25</v>
      </c>
      <c r="U775">
        <v>0</v>
      </c>
      <c r="V775" s="3">
        <f t="shared" si="49"/>
        <v>288182</v>
      </c>
      <c r="W775">
        <v>24015.166666666668</v>
      </c>
      <c r="X775">
        <v>0</v>
      </c>
      <c r="Y775">
        <f t="shared" si="50"/>
        <v>24015.166666666668</v>
      </c>
      <c r="Z775">
        <f t="shared" si="51"/>
        <v>0</v>
      </c>
      <c r="AA775">
        <v>0</v>
      </c>
    </row>
    <row r="776" spans="1:27" x14ac:dyDescent="0.25">
      <c r="A776" s="1">
        <v>775</v>
      </c>
      <c r="B776" t="s">
        <v>1934</v>
      </c>
      <c r="C776" t="s">
        <v>1136</v>
      </c>
      <c r="D776" t="s">
        <v>1143</v>
      </c>
      <c r="E776" t="s">
        <v>1144</v>
      </c>
      <c r="H776" t="s">
        <v>1151</v>
      </c>
      <c r="I776" t="s">
        <v>1151</v>
      </c>
      <c r="J776" t="s">
        <v>1229</v>
      </c>
      <c r="K776" t="s">
        <v>1212</v>
      </c>
      <c r="M776" s="3">
        <f t="shared" si="48"/>
        <v>55.428571428571431</v>
      </c>
      <c r="N776">
        <v>11</v>
      </c>
      <c r="O776">
        <v>68</v>
      </c>
      <c r="P776">
        <v>62</v>
      </c>
      <c r="Q776">
        <v>72</v>
      </c>
      <c r="R776">
        <v>74</v>
      </c>
      <c r="S776">
        <v>76</v>
      </c>
      <c r="T776">
        <v>25</v>
      </c>
      <c r="U776">
        <v>16</v>
      </c>
      <c r="V776" s="3">
        <f t="shared" si="49"/>
        <v>410609</v>
      </c>
      <c r="W776">
        <v>22811.666666666668</v>
      </c>
      <c r="X776">
        <v>0</v>
      </c>
      <c r="Y776">
        <f t="shared" si="50"/>
        <v>34217.416666666664</v>
      </c>
      <c r="Z776">
        <f t="shared" si="51"/>
        <v>-33.33</v>
      </c>
      <c r="AA776">
        <v>0</v>
      </c>
    </row>
    <row r="777" spans="1:27" x14ac:dyDescent="0.25">
      <c r="A777" s="1">
        <v>776</v>
      </c>
      <c r="B777" t="s">
        <v>1935</v>
      </c>
      <c r="C777" t="s">
        <v>1136</v>
      </c>
      <c r="D777" t="s">
        <v>1146</v>
      </c>
      <c r="E777" t="s">
        <v>1144</v>
      </c>
      <c r="H777" t="s">
        <v>1151</v>
      </c>
      <c r="I777" t="s">
        <v>1151</v>
      </c>
      <c r="J777" t="s">
        <v>1229</v>
      </c>
      <c r="K777" t="s">
        <v>1212</v>
      </c>
      <c r="M777" s="3">
        <f t="shared" si="48"/>
        <v>53.857142857142854</v>
      </c>
      <c r="N777">
        <v>11</v>
      </c>
      <c r="O777">
        <v>66</v>
      </c>
      <c r="P777">
        <v>60</v>
      </c>
      <c r="Q777">
        <v>70</v>
      </c>
      <c r="R777">
        <v>72</v>
      </c>
      <c r="S777">
        <v>74</v>
      </c>
      <c r="T777">
        <v>24</v>
      </c>
      <c r="U777">
        <v>16</v>
      </c>
      <c r="V777" s="3">
        <f t="shared" si="49"/>
        <v>307982</v>
      </c>
      <c r="W777">
        <v>17110.083333333332</v>
      </c>
      <c r="X777">
        <v>0</v>
      </c>
      <c r="Y777">
        <f t="shared" si="50"/>
        <v>25665.166666666668</v>
      </c>
      <c r="Z777">
        <f t="shared" si="51"/>
        <v>-33.33</v>
      </c>
      <c r="AA777">
        <v>0</v>
      </c>
    </row>
    <row r="778" spans="1:27" x14ac:dyDescent="0.25">
      <c r="A778" s="1">
        <v>777</v>
      </c>
      <c r="B778" t="s">
        <v>1011</v>
      </c>
      <c r="C778" t="s">
        <v>1136</v>
      </c>
      <c r="D778" t="s">
        <v>1143</v>
      </c>
      <c r="G778" t="s">
        <v>1209</v>
      </c>
      <c r="H778" t="s">
        <v>1209</v>
      </c>
      <c r="I778" t="s">
        <v>1209</v>
      </c>
      <c r="J778" t="s">
        <v>1229</v>
      </c>
      <c r="K778" t="s">
        <v>1212</v>
      </c>
      <c r="M778" s="3">
        <f t="shared" si="48"/>
        <v>58.285714285714285</v>
      </c>
      <c r="N778">
        <v>30</v>
      </c>
      <c r="O778">
        <v>59</v>
      </c>
      <c r="P778">
        <v>66</v>
      </c>
      <c r="Q778">
        <v>73</v>
      </c>
      <c r="R778">
        <v>66</v>
      </c>
      <c r="S778">
        <v>68</v>
      </c>
      <c r="T778">
        <v>46</v>
      </c>
      <c r="U778">
        <v>0</v>
      </c>
      <c r="V778" s="3">
        <f t="shared" si="49"/>
        <v>452503</v>
      </c>
      <c r="W778">
        <v>37708.583333333336</v>
      </c>
      <c r="X778">
        <v>0</v>
      </c>
      <c r="Y778">
        <f t="shared" si="50"/>
        <v>37708.583333333336</v>
      </c>
      <c r="Z778">
        <f t="shared" si="51"/>
        <v>0</v>
      </c>
      <c r="AA778">
        <v>0</v>
      </c>
    </row>
    <row r="779" spans="1:27" x14ac:dyDescent="0.25">
      <c r="A779" s="1">
        <v>778</v>
      </c>
      <c r="B779" t="s">
        <v>759</v>
      </c>
      <c r="C779" t="s">
        <v>1136</v>
      </c>
      <c r="D779" t="s">
        <v>1146</v>
      </c>
      <c r="E779" t="s">
        <v>1144</v>
      </c>
      <c r="G779" t="s">
        <v>1170</v>
      </c>
      <c r="H779" t="s">
        <v>1214</v>
      </c>
      <c r="I779" t="s">
        <v>1214</v>
      </c>
      <c r="J779" t="s">
        <v>1229</v>
      </c>
      <c r="K779" t="s">
        <v>1212</v>
      </c>
      <c r="M779" s="3">
        <f t="shared" si="48"/>
        <v>78.428571428571431</v>
      </c>
      <c r="N779">
        <v>70</v>
      </c>
      <c r="O779">
        <v>90</v>
      </c>
      <c r="P779">
        <v>78</v>
      </c>
      <c r="Q779">
        <v>83</v>
      </c>
      <c r="R779">
        <v>77</v>
      </c>
      <c r="S779">
        <v>78</v>
      </c>
      <c r="T779">
        <v>73</v>
      </c>
      <c r="U779">
        <v>23</v>
      </c>
      <c r="V779" s="3">
        <f t="shared" si="49"/>
        <v>13207917</v>
      </c>
      <c r="W779">
        <v>1100659.75</v>
      </c>
      <c r="X779">
        <v>0</v>
      </c>
      <c r="Y779">
        <f t="shared" si="50"/>
        <v>1100659.75</v>
      </c>
      <c r="Z779">
        <f t="shared" si="51"/>
        <v>0</v>
      </c>
      <c r="AA779">
        <v>0</v>
      </c>
    </row>
    <row r="780" spans="1:27" x14ac:dyDescent="0.25">
      <c r="A780" s="1">
        <v>779</v>
      </c>
      <c r="B780" t="s">
        <v>1924</v>
      </c>
      <c r="C780" t="s">
        <v>1137</v>
      </c>
      <c r="D780" t="s">
        <v>1137</v>
      </c>
      <c r="H780" t="s">
        <v>1151</v>
      </c>
      <c r="I780" t="s">
        <v>1151</v>
      </c>
      <c r="J780" t="s">
        <v>1229</v>
      </c>
      <c r="K780" t="s">
        <v>1212</v>
      </c>
      <c r="M780" s="3">
        <f t="shared" si="48"/>
        <v>55.571428571428569</v>
      </c>
      <c r="N780">
        <v>12</v>
      </c>
      <c r="O780">
        <v>67</v>
      </c>
      <c r="P780">
        <v>61</v>
      </c>
      <c r="Q780">
        <v>71</v>
      </c>
      <c r="R780">
        <v>73</v>
      </c>
      <c r="S780">
        <v>75</v>
      </c>
      <c r="T780">
        <v>30</v>
      </c>
      <c r="U780">
        <v>0</v>
      </c>
      <c r="V780" s="3">
        <f t="shared" si="49"/>
        <v>280877</v>
      </c>
      <c r="W780">
        <v>23406.416666666668</v>
      </c>
      <c r="X780">
        <v>0</v>
      </c>
      <c r="Y780">
        <f t="shared" si="50"/>
        <v>23406.416666666668</v>
      </c>
      <c r="Z780">
        <f t="shared" si="51"/>
        <v>0</v>
      </c>
      <c r="AA780">
        <v>0</v>
      </c>
    </row>
    <row r="781" spans="1:27" x14ac:dyDescent="0.25">
      <c r="A781" s="1">
        <v>780</v>
      </c>
      <c r="B781" t="s">
        <v>21</v>
      </c>
      <c r="C781" t="s">
        <v>1133</v>
      </c>
      <c r="D781" t="s">
        <v>1133</v>
      </c>
      <c r="G781" t="s">
        <v>1149</v>
      </c>
      <c r="H781" t="s">
        <v>1149</v>
      </c>
      <c r="I781" t="s">
        <v>1149</v>
      </c>
      <c r="J781" t="s">
        <v>1224</v>
      </c>
      <c r="K781" t="s">
        <v>1212</v>
      </c>
      <c r="M781" s="3">
        <f t="shared" si="48"/>
        <v>69.428571428571431</v>
      </c>
      <c r="N781">
        <v>30</v>
      </c>
      <c r="O781">
        <v>70</v>
      </c>
      <c r="P781">
        <v>80</v>
      </c>
      <c r="Q781">
        <v>80</v>
      </c>
      <c r="R781">
        <v>81</v>
      </c>
      <c r="S781">
        <v>80</v>
      </c>
      <c r="T781">
        <v>65</v>
      </c>
      <c r="U781">
        <v>0</v>
      </c>
      <c r="V781" s="3">
        <f t="shared" si="49"/>
        <v>2602450</v>
      </c>
      <c r="W781">
        <v>216870.83333333334</v>
      </c>
      <c r="X781">
        <v>0</v>
      </c>
      <c r="Y781">
        <f t="shared" si="50"/>
        <v>216870.83333333334</v>
      </c>
      <c r="Z781">
        <f t="shared" si="51"/>
        <v>0</v>
      </c>
      <c r="AA781">
        <v>0</v>
      </c>
    </row>
    <row r="782" spans="1:27" x14ac:dyDescent="0.25">
      <c r="A782" s="1">
        <v>781</v>
      </c>
      <c r="B782" t="s">
        <v>1756</v>
      </c>
      <c r="C782" t="s">
        <v>1133</v>
      </c>
      <c r="D782" t="s">
        <v>1133</v>
      </c>
      <c r="G782" t="s">
        <v>1149</v>
      </c>
      <c r="H782" t="s">
        <v>1149</v>
      </c>
      <c r="I782" t="s">
        <v>1149</v>
      </c>
      <c r="J782" t="s">
        <v>1224</v>
      </c>
      <c r="K782" t="s">
        <v>1212</v>
      </c>
      <c r="M782" s="3">
        <f t="shared" si="48"/>
        <v>60.571428571428569</v>
      </c>
      <c r="N782">
        <v>17</v>
      </c>
      <c r="O782">
        <v>82</v>
      </c>
      <c r="P782">
        <v>68</v>
      </c>
      <c r="Q782">
        <v>70</v>
      </c>
      <c r="R782">
        <v>75</v>
      </c>
      <c r="S782">
        <v>74</v>
      </c>
      <c r="T782">
        <v>38</v>
      </c>
      <c r="U782">
        <v>0</v>
      </c>
      <c r="V782" s="3">
        <f t="shared" si="49"/>
        <v>664781</v>
      </c>
      <c r="W782">
        <v>55398.416666666664</v>
      </c>
      <c r="X782">
        <v>0</v>
      </c>
      <c r="Y782">
        <f t="shared" si="50"/>
        <v>55398.416666666664</v>
      </c>
      <c r="Z782">
        <f t="shared" si="51"/>
        <v>0</v>
      </c>
      <c r="AA782">
        <v>0</v>
      </c>
    </row>
    <row r="783" spans="1:27" x14ac:dyDescent="0.25">
      <c r="A783" s="1">
        <v>782</v>
      </c>
      <c r="B783" t="s">
        <v>123</v>
      </c>
      <c r="C783" t="s">
        <v>1134</v>
      </c>
      <c r="D783" t="s">
        <v>1138</v>
      </c>
      <c r="G783" t="s">
        <v>1149</v>
      </c>
      <c r="H783" t="s">
        <v>1149</v>
      </c>
      <c r="I783" t="s">
        <v>1149</v>
      </c>
      <c r="J783" t="s">
        <v>1224</v>
      </c>
      <c r="K783" t="s">
        <v>1212</v>
      </c>
      <c r="M783" s="3">
        <f t="shared" si="48"/>
        <v>71.142857142857139</v>
      </c>
      <c r="N783">
        <v>57</v>
      </c>
      <c r="O783">
        <v>57</v>
      </c>
      <c r="P783">
        <v>64</v>
      </c>
      <c r="Q783">
        <v>72</v>
      </c>
      <c r="R783">
        <v>72</v>
      </c>
      <c r="S783">
        <v>95</v>
      </c>
      <c r="T783">
        <v>81</v>
      </c>
      <c r="U783">
        <v>0</v>
      </c>
      <c r="V783" s="3">
        <f t="shared" si="49"/>
        <v>3321338</v>
      </c>
      <c r="W783">
        <v>276778.16666666669</v>
      </c>
      <c r="X783">
        <v>0</v>
      </c>
      <c r="Y783">
        <f t="shared" si="50"/>
        <v>276778.16666666669</v>
      </c>
      <c r="Z783">
        <f t="shared" si="51"/>
        <v>0</v>
      </c>
      <c r="AA783">
        <v>0</v>
      </c>
    </row>
    <row r="784" spans="1:27" x14ac:dyDescent="0.25">
      <c r="A784" s="1">
        <v>783</v>
      </c>
      <c r="B784" t="s">
        <v>122</v>
      </c>
      <c r="C784" t="s">
        <v>1134</v>
      </c>
      <c r="D784" t="s">
        <v>1138</v>
      </c>
      <c r="G784" t="s">
        <v>1149</v>
      </c>
      <c r="H784" t="s">
        <v>1149</v>
      </c>
      <c r="I784" t="s">
        <v>1149</v>
      </c>
      <c r="J784" t="s">
        <v>1224</v>
      </c>
      <c r="K784" t="s">
        <v>1212</v>
      </c>
      <c r="M784" s="3">
        <f t="shared" si="48"/>
        <v>66.285714285714292</v>
      </c>
      <c r="N784">
        <v>56</v>
      </c>
      <c r="O784">
        <v>54</v>
      </c>
      <c r="P784">
        <v>62</v>
      </c>
      <c r="Q784">
        <v>77</v>
      </c>
      <c r="R784">
        <v>70</v>
      </c>
      <c r="S784">
        <v>75</v>
      </c>
      <c r="T784">
        <v>70</v>
      </c>
      <c r="U784">
        <v>0</v>
      </c>
      <c r="V784" s="3">
        <f t="shared" si="49"/>
        <v>1637569</v>
      </c>
      <c r="W784">
        <v>136464.08333333334</v>
      </c>
      <c r="X784">
        <v>0</v>
      </c>
      <c r="Y784">
        <f t="shared" si="50"/>
        <v>136464.08333333334</v>
      </c>
      <c r="Z784">
        <f t="shared" si="51"/>
        <v>0</v>
      </c>
      <c r="AA784">
        <v>0</v>
      </c>
    </row>
    <row r="785" spans="1:27" x14ac:dyDescent="0.25">
      <c r="A785" s="1">
        <v>784</v>
      </c>
      <c r="B785" t="s">
        <v>124</v>
      </c>
      <c r="C785" t="s">
        <v>1134</v>
      </c>
      <c r="D785" t="s">
        <v>1138</v>
      </c>
      <c r="G785" t="s">
        <v>1149</v>
      </c>
      <c r="H785" t="s">
        <v>1149</v>
      </c>
      <c r="I785" t="s">
        <v>1149</v>
      </c>
      <c r="J785" t="s">
        <v>1224</v>
      </c>
      <c r="K785" t="s">
        <v>1212</v>
      </c>
      <c r="M785" s="3">
        <f t="shared" si="48"/>
        <v>67.285714285714292</v>
      </c>
      <c r="N785">
        <v>40</v>
      </c>
      <c r="O785">
        <v>55</v>
      </c>
      <c r="P785">
        <v>70</v>
      </c>
      <c r="Q785">
        <v>75</v>
      </c>
      <c r="R785">
        <v>74</v>
      </c>
      <c r="S785">
        <v>80</v>
      </c>
      <c r="T785">
        <v>77</v>
      </c>
      <c r="U785">
        <v>0</v>
      </c>
      <c r="V785" s="3">
        <f t="shared" si="49"/>
        <v>1902080</v>
      </c>
      <c r="W785">
        <v>158506.66666666666</v>
      </c>
      <c r="X785">
        <v>0</v>
      </c>
      <c r="Y785">
        <f t="shared" si="50"/>
        <v>158506.66666666666</v>
      </c>
      <c r="Z785">
        <f t="shared" si="51"/>
        <v>0</v>
      </c>
      <c r="AA785">
        <v>0</v>
      </c>
    </row>
    <row r="786" spans="1:27" x14ac:dyDescent="0.25">
      <c r="A786" s="1">
        <v>785</v>
      </c>
      <c r="B786" t="s">
        <v>1757</v>
      </c>
      <c r="C786" t="s">
        <v>1134</v>
      </c>
      <c r="D786" t="s">
        <v>1138</v>
      </c>
      <c r="E786" t="s">
        <v>1144</v>
      </c>
      <c r="H786" t="s">
        <v>1149</v>
      </c>
      <c r="I786" t="s">
        <v>1149</v>
      </c>
      <c r="J786" t="s">
        <v>1224</v>
      </c>
      <c r="K786" t="s">
        <v>1212</v>
      </c>
      <c r="M786" s="3">
        <f t="shared" si="48"/>
        <v>60.285714285714285</v>
      </c>
      <c r="N786">
        <v>15</v>
      </c>
      <c r="O786">
        <v>86</v>
      </c>
      <c r="P786">
        <v>62</v>
      </c>
      <c r="Q786">
        <v>74</v>
      </c>
      <c r="R786">
        <v>77</v>
      </c>
      <c r="S786">
        <v>78</v>
      </c>
      <c r="T786">
        <v>30</v>
      </c>
      <c r="U786">
        <v>0</v>
      </c>
      <c r="V786" s="3">
        <f t="shared" si="49"/>
        <v>634081</v>
      </c>
      <c r="W786">
        <v>52840.083333333336</v>
      </c>
      <c r="X786">
        <v>0</v>
      </c>
      <c r="Y786">
        <f t="shared" si="50"/>
        <v>52840.083333333336</v>
      </c>
      <c r="Z786">
        <f t="shared" si="51"/>
        <v>0</v>
      </c>
      <c r="AA786">
        <v>0</v>
      </c>
    </row>
    <row r="787" spans="1:27" x14ac:dyDescent="0.25">
      <c r="A787" s="1">
        <v>786</v>
      </c>
      <c r="B787" t="s">
        <v>1758</v>
      </c>
      <c r="C787" t="s">
        <v>1134</v>
      </c>
      <c r="D787" t="s">
        <v>1138</v>
      </c>
      <c r="H787" t="s">
        <v>1149</v>
      </c>
      <c r="I787" t="s">
        <v>1149</v>
      </c>
      <c r="J787" t="s">
        <v>1224</v>
      </c>
      <c r="K787" t="s">
        <v>1212</v>
      </c>
      <c r="M787" s="3">
        <f t="shared" si="48"/>
        <v>53.285714285714285</v>
      </c>
      <c r="N787">
        <v>15</v>
      </c>
      <c r="O787">
        <v>83</v>
      </c>
      <c r="P787">
        <v>58</v>
      </c>
      <c r="Q787">
        <v>60</v>
      </c>
      <c r="R787">
        <v>64</v>
      </c>
      <c r="S787">
        <v>67</v>
      </c>
      <c r="T787">
        <v>26</v>
      </c>
      <c r="U787">
        <v>0</v>
      </c>
      <c r="V787" s="3">
        <f t="shared" si="49"/>
        <v>184548</v>
      </c>
      <c r="W787">
        <v>15379</v>
      </c>
      <c r="X787">
        <v>0</v>
      </c>
      <c r="Y787">
        <f t="shared" si="50"/>
        <v>15379</v>
      </c>
      <c r="Z787">
        <f t="shared" si="51"/>
        <v>0</v>
      </c>
      <c r="AA787">
        <v>0</v>
      </c>
    </row>
    <row r="788" spans="1:27" x14ac:dyDescent="0.25">
      <c r="A788" s="1">
        <v>787</v>
      </c>
      <c r="B788" t="s">
        <v>125</v>
      </c>
      <c r="C788" t="s">
        <v>1134</v>
      </c>
      <c r="D788" t="s">
        <v>1138</v>
      </c>
      <c r="G788" t="s">
        <v>1149</v>
      </c>
      <c r="H788" t="s">
        <v>1149</v>
      </c>
      <c r="I788" t="s">
        <v>1149</v>
      </c>
      <c r="J788" t="s">
        <v>1224</v>
      </c>
      <c r="K788" t="s">
        <v>1212</v>
      </c>
      <c r="M788" s="3">
        <f t="shared" si="48"/>
        <v>64.571428571428569</v>
      </c>
      <c r="N788">
        <v>39</v>
      </c>
      <c r="O788">
        <v>50</v>
      </c>
      <c r="P788">
        <v>59</v>
      </c>
      <c r="Q788">
        <v>76</v>
      </c>
      <c r="R788">
        <v>80</v>
      </c>
      <c r="S788">
        <v>68</v>
      </c>
      <c r="T788">
        <v>80</v>
      </c>
      <c r="U788">
        <v>0</v>
      </c>
      <c r="V788" s="3">
        <f t="shared" si="49"/>
        <v>1260097</v>
      </c>
      <c r="W788">
        <v>105008.08333333333</v>
      </c>
      <c r="X788">
        <v>0</v>
      </c>
      <c r="Y788">
        <f t="shared" si="50"/>
        <v>105008.08333333333</v>
      </c>
      <c r="Z788">
        <f t="shared" si="51"/>
        <v>0</v>
      </c>
      <c r="AA788">
        <v>0</v>
      </c>
    </row>
    <row r="789" spans="1:27" x14ac:dyDescent="0.25">
      <c r="A789" s="1">
        <v>788</v>
      </c>
      <c r="B789" t="s">
        <v>1759</v>
      </c>
      <c r="C789" t="s">
        <v>1134</v>
      </c>
      <c r="D789" t="s">
        <v>1138</v>
      </c>
      <c r="E789" t="s">
        <v>1139</v>
      </c>
      <c r="G789" t="s">
        <v>1149</v>
      </c>
      <c r="H789" t="s">
        <v>1149</v>
      </c>
      <c r="I789" t="s">
        <v>1149</v>
      </c>
      <c r="J789" t="s">
        <v>1224</v>
      </c>
      <c r="K789" t="s">
        <v>1212</v>
      </c>
      <c r="M789" s="3">
        <f t="shared" si="48"/>
        <v>67</v>
      </c>
      <c r="N789">
        <v>21</v>
      </c>
      <c r="O789">
        <v>90</v>
      </c>
      <c r="P789">
        <v>66</v>
      </c>
      <c r="Q789">
        <v>82</v>
      </c>
      <c r="R789">
        <v>84</v>
      </c>
      <c r="S789">
        <v>85</v>
      </c>
      <c r="T789">
        <v>41</v>
      </c>
      <c r="U789">
        <v>0</v>
      </c>
      <c r="V789" s="3">
        <f t="shared" si="49"/>
        <v>1822838</v>
      </c>
      <c r="W789">
        <v>151903.16666666666</v>
      </c>
      <c r="X789">
        <v>0</v>
      </c>
      <c r="Y789">
        <f t="shared" si="50"/>
        <v>151903.16666666666</v>
      </c>
      <c r="Z789">
        <f t="shared" si="51"/>
        <v>0</v>
      </c>
      <c r="AA789">
        <v>0</v>
      </c>
    </row>
    <row r="790" spans="1:27" x14ac:dyDescent="0.25">
      <c r="A790" s="1">
        <v>789</v>
      </c>
      <c r="B790" t="s">
        <v>1760</v>
      </c>
      <c r="C790" t="s">
        <v>1134</v>
      </c>
      <c r="D790" t="s">
        <v>1138</v>
      </c>
      <c r="H790" t="s">
        <v>1149</v>
      </c>
      <c r="I790" t="s">
        <v>1149</v>
      </c>
      <c r="J790" t="s">
        <v>1224</v>
      </c>
      <c r="K790" t="s">
        <v>1212</v>
      </c>
      <c r="M790" s="3">
        <f t="shared" si="48"/>
        <v>58.142857142857146</v>
      </c>
      <c r="N790">
        <v>18</v>
      </c>
      <c r="O790">
        <v>84</v>
      </c>
      <c r="P790">
        <v>60</v>
      </c>
      <c r="Q790">
        <v>68</v>
      </c>
      <c r="R790">
        <v>73</v>
      </c>
      <c r="S790">
        <v>75</v>
      </c>
      <c r="T790">
        <v>29</v>
      </c>
      <c r="U790">
        <v>0</v>
      </c>
      <c r="V790" s="3">
        <f t="shared" si="49"/>
        <v>441534</v>
      </c>
      <c r="W790">
        <v>36794.5</v>
      </c>
      <c r="X790">
        <v>0</v>
      </c>
      <c r="Y790">
        <f t="shared" si="50"/>
        <v>36794.5</v>
      </c>
      <c r="Z790">
        <f t="shared" si="51"/>
        <v>0</v>
      </c>
      <c r="AA790">
        <v>0</v>
      </c>
    </row>
    <row r="791" spans="1:27" x14ac:dyDescent="0.25">
      <c r="A791" s="1">
        <v>790</v>
      </c>
      <c r="B791" t="s">
        <v>1765</v>
      </c>
      <c r="C791" t="s">
        <v>1135</v>
      </c>
      <c r="D791" t="s">
        <v>1141</v>
      </c>
      <c r="E791" t="s">
        <v>1142</v>
      </c>
      <c r="G791" t="s">
        <v>1149</v>
      </c>
      <c r="H791" t="s">
        <v>1149</v>
      </c>
      <c r="I791" t="s">
        <v>1149</v>
      </c>
      <c r="J791" t="s">
        <v>1224</v>
      </c>
      <c r="K791" t="s">
        <v>1212</v>
      </c>
      <c r="M791" s="3">
        <f t="shared" si="48"/>
        <v>67.857142857142861</v>
      </c>
      <c r="N791">
        <v>24</v>
      </c>
      <c r="O791">
        <v>94</v>
      </c>
      <c r="P791">
        <v>72</v>
      </c>
      <c r="Q791">
        <v>78</v>
      </c>
      <c r="R791">
        <v>81</v>
      </c>
      <c r="S791">
        <v>84</v>
      </c>
      <c r="T791">
        <v>42</v>
      </c>
      <c r="U791">
        <v>7</v>
      </c>
      <c r="V791" s="3">
        <f t="shared" si="49"/>
        <v>3104896</v>
      </c>
      <c r="W791">
        <v>258741.33333333334</v>
      </c>
      <c r="X791">
        <v>0</v>
      </c>
      <c r="Y791">
        <f t="shared" si="50"/>
        <v>258741.33333333334</v>
      </c>
      <c r="Z791">
        <f t="shared" si="51"/>
        <v>0</v>
      </c>
      <c r="AA791">
        <v>0</v>
      </c>
    </row>
    <row r="792" spans="1:27" x14ac:dyDescent="0.25">
      <c r="A792" s="1">
        <v>791</v>
      </c>
      <c r="B792" t="s">
        <v>435</v>
      </c>
      <c r="C792" t="s">
        <v>1135</v>
      </c>
      <c r="D792" t="s">
        <v>1141</v>
      </c>
      <c r="G792" t="s">
        <v>1149</v>
      </c>
      <c r="H792" t="s">
        <v>1149</v>
      </c>
      <c r="I792" t="s">
        <v>1149</v>
      </c>
      <c r="J792" t="s">
        <v>1224</v>
      </c>
      <c r="K792" t="s">
        <v>1212</v>
      </c>
      <c r="M792" s="3">
        <f t="shared" si="48"/>
        <v>74.142857142857139</v>
      </c>
      <c r="N792">
        <v>60</v>
      </c>
      <c r="O792">
        <v>83</v>
      </c>
      <c r="P792">
        <v>80</v>
      </c>
      <c r="Q792">
        <v>77</v>
      </c>
      <c r="R792">
        <v>80</v>
      </c>
      <c r="S792">
        <v>89</v>
      </c>
      <c r="T792">
        <v>50</v>
      </c>
      <c r="U792">
        <v>0</v>
      </c>
      <c r="V792" s="3">
        <f t="shared" si="49"/>
        <v>5019879</v>
      </c>
      <c r="W792">
        <v>418323.25</v>
      </c>
      <c r="X792">
        <v>0</v>
      </c>
      <c r="Y792">
        <f t="shared" si="50"/>
        <v>418323.25</v>
      </c>
      <c r="Z792">
        <f t="shared" si="51"/>
        <v>0</v>
      </c>
      <c r="AA792">
        <v>0</v>
      </c>
    </row>
    <row r="793" spans="1:27" x14ac:dyDescent="0.25">
      <c r="A793" s="1">
        <v>792</v>
      </c>
      <c r="B793" t="s">
        <v>436</v>
      </c>
      <c r="C793" t="s">
        <v>1135</v>
      </c>
      <c r="D793" t="s">
        <v>1142</v>
      </c>
      <c r="E793" t="s">
        <v>1141</v>
      </c>
      <c r="G793" t="s">
        <v>1149</v>
      </c>
      <c r="H793" t="s">
        <v>1149</v>
      </c>
      <c r="I793" t="s">
        <v>1149</v>
      </c>
      <c r="J793" t="s">
        <v>1224</v>
      </c>
      <c r="K793" t="s">
        <v>1212</v>
      </c>
      <c r="M793" s="3">
        <f t="shared" si="48"/>
        <v>72.285714285714292</v>
      </c>
      <c r="N793">
        <v>50</v>
      </c>
      <c r="O793">
        <v>93</v>
      </c>
      <c r="P793">
        <v>75</v>
      </c>
      <c r="Q793">
        <v>80</v>
      </c>
      <c r="R793">
        <v>73</v>
      </c>
      <c r="S793">
        <v>80</v>
      </c>
      <c r="T793">
        <v>55</v>
      </c>
      <c r="U793">
        <v>0</v>
      </c>
      <c r="V793" s="3">
        <f t="shared" si="49"/>
        <v>3895156</v>
      </c>
      <c r="W793">
        <v>324596.33333333331</v>
      </c>
      <c r="X793">
        <v>0</v>
      </c>
      <c r="Y793">
        <f t="shared" si="50"/>
        <v>324596.33333333331</v>
      </c>
      <c r="Z793">
        <f t="shared" si="51"/>
        <v>0</v>
      </c>
      <c r="AA793">
        <v>0</v>
      </c>
    </row>
    <row r="794" spans="1:27" x14ac:dyDescent="0.25">
      <c r="A794" s="1">
        <v>793</v>
      </c>
      <c r="B794" t="s">
        <v>639</v>
      </c>
      <c r="C794" t="s">
        <v>1136</v>
      </c>
      <c r="D794" t="s">
        <v>1143</v>
      </c>
      <c r="E794" t="s">
        <v>1145</v>
      </c>
      <c r="F794" t="s">
        <v>1146</v>
      </c>
      <c r="G794" t="s">
        <v>1149</v>
      </c>
      <c r="H794" t="s">
        <v>1149</v>
      </c>
      <c r="I794" t="s">
        <v>1149</v>
      </c>
      <c r="J794" t="s">
        <v>1224</v>
      </c>
      <c r="K794" t="s">
        <v>1212</v>
      </c>
      <c r="M794" s="3">
        <f t="shared" si="48"/>
        <v>73</v>
      </c>
      <c r="N794">
        <v>45</v>
      </c>
      <c r="O794">
        <v>84</v>
      </c>
      <c r="P794">
        <v>79</v>
      </c>
      <c r="Q794">
        <v>80</v>
      </c>
      <c r="R794">
        <v>77</v>
      </c>
      <c r="S794">
        <v>86</v>
      </c>
      <c r="T794">
        <v>60</v>
      </c>
      <c r="U794">
        <v>0</v>
      </c>
      <c r="V794" s="3">
        <f t="shared" si="49"/>
        <v>4297626</v>
      </c>
      <c r="W794">
        <v>358135.5</v>
      </c>
      <c r="X794">
        <v>0</v>
      </c>
      <c r="Y794">
        <f t="shared" si="50"/>
        <v>358135.5</v>
      </c>
      <c r="Z794">
        <f t="shared" si="51"/>
        <v>0</v>
      </c>
      <c r="AA794">
        <v>0</v>
      </c>
    </row>
    <row r="795" spans="1:27" x14ac:dyDescent="0.25">
      <c r="A795" s="1">
        <v>794</v>
      </c>
      <c r="B795" t="s">
        <v>638</v>
      </c>
      <c r="C795" t="s">
        <v>1136</v>
      </c>
      <c r="D795" t="s">
        <v>1146</v>
      </c>
      <c r="E795" t="s">
        <v>1147</v>
      </c>
      <c r="G795" t="s">
        <v>1149</v>
      </c>
      <c r="H795" t="s">
        <v>1149</v>
      </c>
      <c r="I795" t="s">
        <v>1149</v>
      </c>
      <c r="J795" t="s">
        <v>1224</v>
      </c>
      <c r="K795" t="s">
        <v>1212</v>
      </c>
      <c r="M795" s="3">
        <f t="shared" si="48"/>
        <v>70.428571428571431</v>
      </c>
      <c r="N795">
        <v>40</v>
      </c>
      <c r="O795">
        <v>87</v>
      </c>
      <c r="P795">
        <v>78</v>
      </c>
      <c r="Q795">
        <v>77</v>
      </c>
      <c r="R795">
        <v>74</v>
      </c>
      <c r="S795">
        <v>81</v>
      </c>
      <c r="T795">
        <v>56</v>
      </c>
      <c r="U795">
        <v>0</v>
      </c>
      <c r="V795" s="3">
        <f t="shared" si="49"/>
        <v>3002540</v>
      </c>
      <c r="W795">
        <v>250211.66666666666</v>
      </c>
      <c r="X795">
        <v>0</v>
      </c>
      <c r="Y795">
        <f t="shared" si="50"/>
        <v>250211.66666666666</v>
      </c>
      <c r="Z795">
        <f t="shared" si="51"/>
        <v>0</v>
      </c>
      <c r="AA795">
        <v>0</v>
      </c>
    </row>
    <row r="796" spans="1:27" x14ac:dyDescent="0.25">
      <c r="A796" s="1">
        <v>795</v>
      </c>
      <c r="B796" t="s">
        <v>1019</v>
      </c>
      <c r="C796" t="s">
        <v>1136</v>
      </c>
      <c r="D796" t="s">
        <v>1146</v>
      </c>
      <c r="E796" t="s">
        <v>1147</v>
      </c>
      <c r="G796" t="s">
        <v>1211</v>
      </c>
      <c r="H796" t="s">
        <v>1211</v>
      </c>
      <c r="I796" t="s">
        <v>1211</v>
      </c>
      <c r="J796" t="s">
        <v>1224</v>
      </c>
      <c r="K796" t="s">
        <v>1212</v>
      </c>
      <c r="M796" s="3">
        <f t="shared" si="48"/>
        <v>77.714285714285708</v>
      </c>
      <c r="N796">
        <v>69</v>
      </c>
      <c r="O796">
        <v>89</v>
      </c>
      <c r="P796">
        <v>82</v>
      </c>
      <c r="Q796">
        <v>76</v>
      </c>
      <c r="R796">
        <v>78</v>
      </c>
      <c r="S796">
        <v>80</v>
      </c>
      <c r="T796">
        <v>70</v>
      </c>
      <c r="U796">
        <v>23</v>
      </c>
      <c r="V796" s="3">
        <f t="shared" si="49"/>
        <v>12053131</v>
      </c>
      <c r="W796">
        <v>1004427.5833333334</v>
      </c>
      <c r="X796">
        <v>0</v>
      </c>
      <c r="Y796">
        <f t="shared" si="50"/>
        <v>1004427.5833333334</v>
      </c>
      <c r="Z796">
        <f t="shared" si="51"/>
        <v>0</v>
      </c>
      <c r="AA796">
        <v>0</v>
      </c>
    </row>
    <row r="797" spans="1:27" x14ac:dyDescent="0.25">
      <c r="A797" s="1">
        <v>796</v>
      </c>
      <c r="B797" t="s">
        <v>1762</v>
      </c>
      <c r="C797" t="s">
        <v>1136</v>
      </c>
      <c r="D797" t="s">
        <v>1143</v>
      </c>
      <c r="E797" t="s">
        <v>1144</v>
      </c>
      <c r="H797" t="s">
        <v>1149</v>
      </c>
      <c r="I797" t="s">
        <v>1149</v>
      </c>
      <c r="J797" t="s">
        <v>1224</v>
      </c>
      <c r="K797" t="s">
        <v>1212</v>
      </c>
      <c r="M797" s="3">
        <f t="shared" si="48"/>
        <v>55.571428571428569</v>
      </c>
      <c r="N797">
        <v>16</v>
      </c>
      <c r="O797">
        <v>85</v>
      </c>
      <c r="P797">
        <v>56</v>
      </c>
      <c r="Q797">
        <v>66</v>
      </c>
      <c r="R797">
        <v>68</v>
      </c>
      <c r="S797">
        <v>71</v>
      </c>
      <c r="T797">
        <v>27</v>
      </c>
      <c r="U797">
        <v>0</v>
      </c>
      <c r="V797" s="3">
        <f t="shared" si="49"/>
        <v>280877</v>
      </c>
      <c r="W797">
        <v>23406.416666666668</v>
      </c>
      <c r="X797">
        <v>0</v>
      </c>
      <c r="Y797">
        <f t="shared" si="50"/>
        <v>23406.416666666668</v>
      </c>
      <c r="Z797">
        <f t="shared" si="51"/>
        <v>0</v>
      </c>
      <c r="AA797">
        <v>0</v>
      </c>
    </row>
    <row r="798" spans="1:27" x14ac:dyDescent="0.25">
      <c r="A798" s="1">
        <v>797</v>
      </c>
      <c r="B798" t="s">
        <v>1761</v>
      </c>
      <c r="C798" t="s">
        <v>1136</v>
      </c>
      <c r="D798" t="s">
        <v>1144</v>
      </c>
      <c r="E798" t="s">
        <v>1138</v>
      </c>
      <c r="H798" t="s">
        <v>1149</v>
      </c>
      <c r="I798" t="s">
        <v>1149</v>
      </c>
      <c r="J798" t="s">
        <v>1224</v>
      </c>
      <c r="K798" t="s">
        <v>1212</v>
      </c>
      <c r="M798" s="3">
        <f t="shared" si="48"/>
        <v>64</v>
      </c>
      <c r="N798">
        <v>23</v>
      </c>
      <c r="O798">
        <v>88</v>
      </c>
      <c r="P798">
        <v>64</v>
      </c>
      <c r="Q798">
        <v>80</v>
      </c>
      <c r="R798">
        <v>76</v>
      </c>
      <c r="S798">
        <v>78</v>
      </c>
      <c r="T798">
        <v>39</v>
      </c>
      <c r="U798">
        <v>0</v>
      </c>
      <c r="V798" s="3">
        <f t="shared" si="49"/>
        <v>1152922</v>
      </c>
      <c r="W798">
        <v>96076.833333333328</v>
      </c>
      <c r="X798">
        <v>0</v>
      </c>
      <c r="Y798">
        <f t="shared" si="50"/>
        <v>96076.833333333328</v>
      </c>
      <c r="Z798">
        <f t="shared" si="51"/>
        <v>0</v>
      </c>
      <c r="AA798">
        <v>0</v>
      </c>
    </row>
    <row r="799" spans="1:27" x14ac:dyDescent="0.25">
      <c r="A799" s="1">
        <v>798</v>
      </c>
      <c r="B799" t="s">
        <v>1764</v>
      </c>
      <c r="C799" t="s">
        <v>1136</v>
      </c>
      <c r="D799" t="s">
        <v>1146</v>
      </c>
      <c r="E799" t="s">
        <v>1144</v>
      </c>
      <c r="H799" t="s">
        <v>1149</v>
      </c>
      <c r="I799" t="s">
        <v>1149</v>
      </c>
      <c r="J799" t="s">
        <v>1224</v>
      </c>
      <c r="K799" t="s">
        <v>1212</v>
      </c>
      <c r="M799" s="3">
        <f t="shared" si="48"/>
        <v>57.142857142857146</v>
      </c>
      <c r="N799">
        <v>17</v>
      </c>
      <c r="O799">
        <v>89</v>
      </c>
      <c r="P799">
        <v>58</v>
      </c>
      <c r="Q799">
        <v>70</v>
      </c>
      <c r="R799">
        <v>66</v>
      </c>
      <c r="S799">
        <v>70</v>
      </c>
      <c r="T799">
        <v>30</v>
      </c>
      <c r="U799">
        <v>0</v>
      </c>
      <c r="V799" s="3">
        <f t="shared" si="49"/>
        <v>371210</v>
      </c>
      <c r="W799">
        <v>30934.166666666668</v>
      </c>
      <c r="X799">
        <v>0</v>
      </c>
      <c r="Y799">
        <f t="shared" si="50"/>
        <v>30934.166666666668</v>
      </c>
      <c r="Z799">
        <f t="shared" si="51"/>
        <v>0</v>
      </c>
      <c r="AA799">
        <v>0</v>
      </c>
    </row>
    <row r="800" spans="1:27" x14ac:dyDescent="0.25">
      <c r="A800" s="1">
        <v>799</v>
      </c>
      <c r="B800" t="s">
        <v>964</v>
      </c>
      <c r="C800" t="s">
        <v>1136</v>
      </c>
      <c r="D800" t="s">
        <v>1143</v>
      </c>
      <c r="E800" t="s">
        <v>1147</v>
      </c>
      <c r="G800" t="s">
        <v>1201</v>
      </c>
      <c r="H800" t="s">
        <v>1201</v>
      </c>
      <c r="I800" t="s">
        <v>1201</v>
      </c>
      <c r="J800" t="s">
        <v>1224</v>
      </c>
      <c r="K800" t="s">
        <v>1212</v>
      </c>
      <c r="M800" s="3">
        <f t="shared" si="48"/>
        <v>59.857142857142854</v>
      </c>
      <c r="N800">
        <v>45</v>
      </c>
      <c r="O800">
        <v>74</v>
      </c>
      <c r="P800">
        <v>54</v>
      </c>
      <c r="Q800">
        <v>75</v>
      </c>
      <c r="R800">
        <v>62</v>
      </c>
      <c r="S800">
        <v>67</v>
      </c>
      <c r="T800">
        <v>42</v>
      </c>
      <c r="U800">
        <v>0</v>
      </c>
      <c r="V800" s="3">
        <f t="shared" si="49"/>
        <v>590419</v>
      </c>
      <c r="W800">
        <v>49201.583333333336</v>
      </c>
      <c r="X800">
        <v>0</v>
      </c>
      <c r="Y800">
        <f t="shared" si="50"/>
        <v>49201.583333333336</v>
      </c>
      <c r="Z800">
        <f t="shared" si="51"/>
        <v>0</v>
      </c>
      <c r="AA800">
        <v>0</v>
      </c>
    </row>
    <row r="801" spans="1:27" x14ac:dyDescent="0.25">
      <c r="A801" s="1">
        <v>800</v>
      </c>
      <c r="B801" t="s">
        <v>1763</v>
      </c>
      <c r="C801" t="s">
        <v>1136</v>
      </c>
      <c r="D801" t="s">
        <v>1147</v>
      </c>
      <c r="E801" t="s">
        <v>1145</v>
      </c>
      <c r="H801" t="s">
        <v>1149</v>
      </c>
      <c r="I801" t="s">
        <v>1149</v>
      </c>
      <c r="J801" t="s">
        <v>1224</v>
      </c>
      <c r="K801" t="s">
        <v>1212</v>
      </c>
      <c r="M801" s="3">
        <f t="shared" si="48"/>
        <v>60.714285714285715</v>
      </c>
      <c r="N801">
        <v>20</v>
      </c>
      <c r="O801">
        <v>92</v>
      </c>
      <c r="P801">
        <v>60</v>
      </c>
      <c r="Q801">
        <v>72</v>
      </c>
      <c r="R801">
        <v>74</v>
      </c>
      <c r="S801">
        <v>73</v>
      </c>
      <c r="T801">
        <v>34</v>
      </c>
      <c r="U801">
        <v>0</v>
      </c>
      <c r="V801" s="3">
        <f t="shared" si="49"/>
        <v>680627</v>
      </c>
      <c r="W801">
        <v>56718.916666666664</v>
      </c>
      <c r="X801">
        <v>0</v>
      </c>
      <c r="Y801">
        <f t="shared" si="50"/>
        <v>56718.916666666664</v>
      </c>
      <c r="Z801">
        <f t="shared" si="51"/>
        <v>0</v>
      </c>
      <c r="AA801">
        <v>0</v>
      </c>
    </row>
    <row r="802" spans="1:27" x14ac:dyDescent="0.25">
      <c r="A802" s="1">
        <v>801</v>
      </c>
      <c r="B802" t="s">
        <v>1111</v>
      </c>
      <c r="C802" t="s">
        <v>1137</v>
      </c>
      <c r="D802" t="s">
        <v>1137</v>
      </c>
      <c r="H802" t="s">
        <v>1149</v>
      </c>
      <c r="I802" t="s">
        <v>1149</v>
      </c>
      <c r="J802" t="s">
        <v>1224</v>
      </c>
      <c r="K802" t="s">
        <v>1212</v>
      </c>
      <c r="M802" s="3">
        <f t="shared" si="48"/>
        <v>68</v>
      </c>
      <c r="N802">
        <v>55</v>
      </c>
      <c r="O802">
        <v>77</v>
      </c>
      <c r="P802">
        <v>68</v>
      </c>
      <c r="Q802">
        <v>84</v>
      </c>
      <c r="R802">
        <v>70</v>
      </c>
      <c r="S802">
        <v>69</v>
      </c>
      <c r="T802">
        <v>53</v>
      </c>
      <c r="U802">
        <v>0</v>
      </c>
      <c r="V802" s="3">
        <f t="shared" si="49"/>
        <v>2113923</v>
      </c>
      <c r="W802">
        <v>176160.25</v>
      </c>
      <c r="X802">
        <v>0</v>
      </c>
      <c r="Y802">
        <f t="shared" si="50"/>
        <v>176160.25</v>
      </c>
      <c r="Z802">
        <f t="shared" si="51"/>
        <v>0</v>
      </c>
      <c r="AA802">
        <v>0</v>
      </c>
    </row>
    <row r="803" spans="1:27" x14ac:dyDescent="0.25">
      <c r="A803" s="1">
        <v>802</v>
      </c>
      <c r="B803" t="s">
        <v>2289</v>
      </c>
      <c r="C803" t="s">
        <v>1133</v>
      </c>
      <c r="D803" t="s">
        <v>1133</v>
      </c>
      <c r="H803" t="s">
        <v>1168</v>
      </c>
      <c r="I803" t="s">
        <v>1168</v>
      </c>
      <c r="J803" t="s">
        <v>1303</v>
      </c>
      <c r="K803" t="s">
        <v>1212</v>
      </c>
      <c r="M803" s="3">
        <f t="shared" si="48"/>
        <v>63.857142857142854</v>
      </c>
      <c r="N803">
        <v>18</v>
      </c>
      <c r="O803">
        <v>79</v>
      </c>
      <c r="P803">
        <v>73</v>
      </c>
      <c r="Q803">
        <v>77</v>
      </c>
      <c r="R803">
        <v>79</v>
      </c>
      <c r="S803">
        <v>81</v>
      </c>
      <c r="T803">
        <v>40</v>
      </c>
      <c r="U803">
        <v>0</v>
      </c>
      <c r="V803" s="3">
        <f t="shared" si="49"/>
        <v>1127444</v>
      </c>
      <c r="W803">
        <v>93953.666666666672</v>
      </c>
      <c r="X803">
        <v>0</v>
      </c>
      <c r="Y803">
        <f t="shared" si="50"/>
        <v>93953.666666666672</v>
      </c>
      <c r="Z803">
        <f t="shared" si="51"/>
        <v>0</v>
      </c>
      <c r="AA803">
        <v>0</v>
      </c>
    </row>
    <row r="804" spans="1:27" x14ac:dyDescent="0.25">
      <c r="A804" s="1">
        <v>803</v>
      </c>
      <c r="B804" t="s">
        <v>2284</v>
      </c>
      <c r="C804" t="s">
        <v>1133</v>
      </c>
      <c r="D804" t="s">
        <v>1133</v>
      </c>
      <c r="H804" t="s">
        <v>1168</v>
      </c>
      <c r="I804" t="s">
        <v>1168</v>
      </c>
      <c r="J804" t="s">
        <v>1303</v>
      </c>
      <c r="K804" t="s">
        <v>1212</v>
      </c>
      <c r="M804" s="3">
        <f t="shared" si="48"/>
        <v>57.857142857142854</v>
      </c>
      <c r="N804">
        <v>14</v>
      </c>
      <c r="O804">
        <v>73</v>
      </c>
      <c r="P804">
        <v>67</v>
      </c>
      <c r="Q804">
        <v>71</v>
      </c>
      <c r="R804">
        <v>73</v>
      </c>
      <c r="S804">
        <v>75</v>
      </c>
      <c r="T804">
        <v>32</v>
      </c>
      <c r="U804">
        <v>0</v>
      </c>
      <c r="V804" s="3">
        <f t="shared" si="49"/>
        <v>420311</v>
      </c>
      <c r="W804">
        <v>35025.916666666664</v>
      </c>
      <c r="X804">
        <v>0</v>
      </c>
      <c r="Y804">
        <f t="shared" si="50"/>
        <v>35025.916666666664</v>
      </c>
      <c r="Z804">
        <f t="shared" si="51"/>
        <v>0</v>
      </c>
      <c r="AA804">
        <v>0</v>
      </c>
    </row>
    <row r="805" spans="1:27" x14ac:dyDescent="0.25">
      <c r="A805" s="1">
        <v>804</v>
      </c>
      <c r="B805" t="s">
        <v>2626</v>
      </c>
      <c r="C805" t="s">
        <v>1133</v>
      </c>
      <c r="D805" t="s">
        <v>1133</v>
      </c>
      <c r="H805" t="s">
        <v>1168</v>
      </c>
      <c r="I805" t="s">
        <v>1168</v>
      </c>
      <c r="J805" t="s">
        <v>1303</v>
      </c>
      <c r="K805" t="s">
        <v>1212</v>
      </c>
      <c r="M805" s="3">
        <f t="shared" si="48"/>
        <v>61.857142857142854</v>
      </c>
      <c r="N805">
        <v>16</v>
      </c>
      <c r="O805">
        <v>77</v>
      </c>
      <c r="P805">
        <v>71</v>
      </c>
      <c r="Q805">
        <v>75</v>
      </c>
      <c r="R805">
        <v>77</v>
      </c>
      <c r="S805">
        <v>79</v>
      </c>
      <c r="T805">
        <v>38</v>
      </c>
      <c r="U805">
        <v>0</v>
      </c>
      <c r="V805" s="3">
        <f t="shared" si="49"/>
        <v>820160</v>
      </c>
      <c r="W805">
        <v>68346.666666666672</v>
      </c>
      <c r="X805">
        <v>0</v>
      </c>
      <c r="Y805">
        <f t="shared" si="50"/>
        <v>68346.666666666672</v>
      </c>
      <c r="Z805">
        <f t="shared" si="51"/>
        <v>0</v>
      </c>
      <c r="AA805">
        <v>0</v>
      </c>
    </row>
    <row r="806" spans="1:27" x14ac:dyDescent="0.25">
      <c r="A806" s="1">
        <v>805</v>
      </c>
      <c r="B806" t="s">
        <v>2277</v>
      </c>
      <c r="C806" t="s">
        <v>1134</v>
      </c>
      <c r="D806" t="s">
        <v>1139</v>
      </c>
      <c r="E806" t="s">
        <v>1138</v>
      </c>
      <c r="H806" t="s">
        <v>1168</v>
      </c>
      <c r="I806" t="s">
        <v>1168</v>
      </c>
      <c r="J806" t="s">
        <v>1303</v>
      </c>
      <c r="K806" t="s">
        <v>1212</v>
      </c>
      <c r="M806" s="3">
        <f t="shared" si="48"/>
        <v>66.428571428571431</v>
      </c>
      <c r="N806">
        <v>20</v>
      </c>
      <c r="O806">
        <v>83</v>
      </c>
      <c r="P806">
        <v>75</v>
      </c>
      <c r="Q806">
        <v>79</v>
      </c>
      <c r="R806">
        <v>81</v>
      </c>
      <c r="S806">
        <v>83</v>
      </c>
      <c r="T806">
        <v>44</v>
      </c>
      <c r="U806">
        <v>0</v>
      </c>
      <c r="V806" s="3">
        <f t="shared" si="49"/>
        <v>1673205</v>
      </c>
      <c r="W806">
        <v>139433.75</v>
      </c>
      <c r="X806">
        <v>0</v>
      </c>
      <c r="Y806">
        <f t="shared" si="50"/>
        <v>139433.75</v>
      </c>
      <c r="Z806">
        <f t="shared" si="51"/>
        <v>0</v>
      </c>
      <c r="AA806">
        <v>0</v>
      </c>
    </row>
    <row r="807" spans="1:27" x14ac:dyDescent="0.25">
      <c r="A807" s="1">
        <v>806</v>
      </c>
      <c r="B807" t="s">
        <v>2273</v>
      </c>
      <c r="C807" t="s">
        <v>1134</v>
      </c>
      <c r="D807" t="s">
        <v>1138</v>
      </c>
      <c r="E807" t="s">
        <v>1144</v>
      </c>
      <c r="H807" t="s">
        <v>1168</v>
      </c>
      <c r="I807" t="s">
        <v>1168</v>
      </c>
      <c r="J807" t="s">
        <v>1303</v>
      </c>
      <c r="K807" t="s">
        <v>1212</v>
      </c>
      <c r="M807" s="3">
        <f t="shared" si="48"/>
        <v>59.857142857142854</v>
      </c>
      <c r="N807">
        <v>15</v>
      </c>
      <c r="O807">
        <v>75</v>
      </c>
      <c r="P807">
        <v>69</v>
      </c>
      <c r="Q807">
        <v>73</v>
      </c>
      <c r="R807">
        <v>75</v>
      </c>
      <c r="S807">
        <v>77</v>
      </c>
      <c r="T807">
        <v>35</v>
      </c>
      <c r="U807">
        <v>0</v>
      </c>
      <c r="V807" s="3">
        <f t="shared" si="49"/>
        <v>590419</v>
      </c>
      <c r="W807">
        <v>49201.583333333336</v>
      </c>
      <c r="X807">
        <v>0</v>
      </c>
      <c r="Y807">
        <f t="shared" si="50"/>
        <v>49201.583333333336</v>
      </c>
      <c r="Z807">
        <f t="shared" si="51"/>
        <v>0</v>
      </c>
      <c r="AA807">
        <v>0</v>
      </c>
    </row>
    <row r="808" spans="1:27" x14ac:dyDescent="0.25">
      <c r="A808" s="1">
        <v>807</v>
      </c>
      <c r="B808" t="s">
        <v>1304</v>
      </c>
      <c r="C808" t="s">
        <v>1134</v>
      </c>
      <c r="D808" t="s">
        <v>1139</v>
      </c>
      <c r="E808" t="s">
        <v>1140</v>
      </c>
      <c r="F808" t="s">
        <v>1138</v>
      </c>
      <c r="G808" t="s">
        <v>1168</v>
      </c>
      <c r="H808" t="s">
        <v>1168</v>
      </c>
      <c r="I808" t="s">
        <v>1168</v>
      </c>
      <c r="J808" t="s">
        <v>1303</v>
      </c>
      <c r="K808" t="s">
        <v>1212</v>
      </c>
      <c r="M808" s="3">
        <f t="shared" si="48"/>
        <v>44.571428571428569</v>
      </c>
      <c r="N808">
        <v>23</v>
      </c>
      <c r="O808">
        <v>40</v>
      </c>
      <c r="P808">
        <v>47</v>
      </c>
      <c r="Q808">
        <v>56</v>
      </c>
      <c r="R808">
        <v>60</v>
      </c>
      <c r="S808">
        <v>65</v>
      </c>
      <c r="T808">
        <v>21</v>
      </c>
      <c r="U808">
        <v>0</v>
      </c>
      <c r="V808" s="3">
        <f t="shared" si="49"/>
        <v>30944</v>
      </c>
      <c r="W808">
        <v>2578.6666666666665</v>
      </c>
      <c r="X808">
        <v>0</v>
      </c>
      <c r="Y808">
        <f t="shared" si="50"/>
        <v>2578.6666666666665</v>
      </c>
      <c r="Z808">
        <f t="shared" si="51"/>
        <v>0</v>
      </c>
      <c r="AA808">
        <v>0</v>
      </c>
    </row>
    <row r="809" spans="1:27" x14ac:dyDescent="0.25">
      <c r="A809" s="1">
        <v>808</v>
      </c>
      <c r="B809" t="s">
        <v>2275</v>
      </c>
      <c r="C809" t="s">
        <v>1134</v>
      </c>
      <c r="D809" t="s">
        <v>1140</v>
      </c>
      <c r="E809" t="s">
        <v>1138</v>
      </c>
      <c r="H809" t="s">
        <v>1168</v>
      </c>
      <c r="I809" t="s">
        <v>1168</v>
      </c>
      <c r="J809" t="s">
        <v>1303</v>
      </c>
      <c r="K809" t="s">
        <v>1212</v>
      </c>
      <c r="M809" s="3">
        <f t="shared" si="48"/>
        <v>61.714285714285715</v>
      </c>
      <c r="N809">
        <v>16</v>
      </c>
      <c r="O809">
        <v>77</v>
      </c>
      <c r="P809">
        <v>71</v>
      </c>
      <c r="Q809">
        <v>75</v>
      </c>
      <c r="R809">
        <v>77</v>
      </c>
      <c r="S809">
        <v>79</v>
      </c>
      <c r="T809">
        <v>37</v>
      </c>
      <c r="U809">
        <v>0</v>
      </c>
      <c r="V809" s="3">
        <f t="shared" si="49"/>
        <v>801415</v>
      </c>
      <c r="W809">
        <v>66784.583333333328</v>
      </c>
      <c r="X809">
        <v>0</v>
      </c>
      <c r="Y809">
        <f t="shared" si="50"/>
        <v>66784.583333333328</v>
      </c>
      <c r="Z809">
        <f t="shared" si="51"/>
        <v>0</v>
      </c>
      <c r="AA809">
        <v>0</v>
      </c>
    </row>
    <row r="810" spans="1:27" x14ac:dyDescent="0.25">
      <c r="A810" s="1">
        <v>809</v>
      </c>
      <c r="B810" t="s">
        <v>2274</v>
      </c>
      <c r="C810" t="s">
        <v>1134</v>
      </c>
      <c r="D810" t="s">
        <v>1138</v>
      </c>
      <c r="E810" t="s">
        <v>1139</v>
      </c>
      <c r="H810" t="s">
        <v>1168</v>
      </c>
      <c r="I810" t="s">
        <v>1168</v>
      </c>
      <c r="J810" t="s">
        <v>1303</v>
      </c>
      <c r="K810" t="s">
        <v>1212</v>
      </c>
      <c r="M810" s="3">
        <f t="shared" si="48"/>
        <v>68.285714285714292</v>
      </c>
      <c r="N810">
        <v>21</v>
      </c>
      <c r="O810">
        <v>85</v>
      </c>
      <c r="P810">
        <v>77</v>
      </c>
      <c r="Q810">
        <v>81</v>
      </c>
      <c r="R810">
        <v>83</v>
      </c>
      <c r="S810">
        <v>85</v>
      </c>
      <c r="T810">
        <v>46</v>
      </c>
      <c r="U810">
        <v>0</v>
      </c>
      <c r="V810" s="3">
        <f t="shared" si="49"/>
        <v>2204442</v>
      </c>
      <c r="W810">
        <v>183703.5</v>
      </c>
      <c r="X810">
        <v>0</v>
      </c>
      <c r="Y810">
        <f t="shared" si="50"/>
        <v>183703.5</v>
      </c>
      <c r="Z810">
        <f t="shared" si="51"/>
        <v>0</v>
      </c>
      <c r="AA810">
        <v>0</v>
      </c>
    </row>
    <row r="811" spans="1:27" x14ac:dyDescent="0.25">
      <c r="A811" s="1">
        <v>810</v>
      </c>
      <c r="B811" t="s">
        <v>2276</v>
      </c>
      <c r="C811" t="s">
        <v>1134</v>
      </c>
      <c r="D811" t="s">
        <v>1140</v>
      </c>
      <c r="E811" t="s">
        <v>1139</v>
      </c>
      <c r="H811" t="s">
        <v>1168</v>
      </c>
      <c r="I811" t="s">
        <v>1168</v>
      </c>
      <c r="J811" t="s">
        <v>1303</v>
      </c>
      <c r="K811" t="s">
        <v>1212</v>
      </c>
      <c r="M811" s="3">
        <f t="shared" si="48"/>
        <v>58.571428571428569</v>
      </c>
      <c r="N811">
        <v>14</v>
      </c>
      <c r="O811">
        <v>73</v>
      </c>
      <c r="P811">
        <v>68</v>
      </c>
      <c r="Q811">
        <v>72</v>
      </c>
      <c r="R811">
        <v>74</v>
      </c>
      <c r="S811">
        <v>76</v>
      </c>
      <c r="T811">
        <v>33</v>
      </c>
      <c r="U811">
        <v>0</v>
      </c>
      <c r="V811" s="3">
        <f t="shared" si="49"/>
        <v>475181</v>
      </c>
      <c r="W811">
        <v>39598.416666666664</v>
      </c>
      <c r="X811">
        <v>0</v>
      </c>
      <c r="Y811">
        <f t="shared" si="50"/>
        <v>39598.416666666664</v>
      </c>
      <c r="Z811">
        <f t="shared" si="51"/>
        <v>0</v>
      </c>
      <c r="AA811">
        <v>0</v>
      </c>
    </row>
    <row r="812" spans="1:27" x14ac:dyDescent="0.25">
      <c r="A812" s="1">
        <v>811</v>
      </c>
      <c r="B812" t="s">
        <v>2652</v>
      </c>
      <c r="C812" t="s">
        <v>1135</v>
      </c>
      <c r="D812" t="s">
        <v>1142</v>
      </c>
      <c r="E812" t="s">
        <v>1141</v>
      </c>
      <c r="H812" t="s">
        <v>1168</v>
      </c>
      <c r="I812" t="s">
        <v>1168</v>
      </c>
      <c r="J812" t="s">
        <v>1303</v>
      </c>
      <c r="K812" t="s">
        <v>1212</v>
      </c>
      <c r="M812" s="3">
        <f t="shared" si="48"/>
        <v>73.285714285714292</v>
      </c>
      <c r="N812">
        <v>26</v>
      </c>
      <c r="O812">
        <v>91</v>
      </c>
      <c r="P812">
        <v>83</v>
      </c>
      <c r="Q812">
        <v>85</v>
      </c>
      <c r="R812">
        <v>87</v>
      </c>
      <c r="S812">
        <v>89</v>
      </c>
      <c r="T812">
        <v>52</v>
      </c>
      <c r="U812">
        <v>0</v>
      </c>
      <c r="V812" s="3">
        <f t="shared" si="49"/>
        <v>4468825</v>
      </c>
      <c r="W812">
        <v>372402.08333333331</v>
      </c>
      <c r="X812">
        <v>0</v>
      </c>
      <c r="Y812">
        <f t="shared" si="50"/>
        <v>372402.08333333331</v>
      </c>
      <c r="Z812">
        <f t="shared" si="51"/>
        <v>0</v>
      </c>
      <c r="AA812">
        <v>0</v>
      </c>
    </row>
    <row r="813" spans="1:27" x14ac:dyDescent="0.25">
      <c r="A813" s="1">
        <v>812</v>
      </c>
      <c r="B813" t="s">
        <v>2283</v>
      </c>
      <c r="C813" t="s">
        <v>1135</v>
      </c>
      <c r="D813" t="s">
        <v>1141</v>
      </c>
      <c r="E813" t="s">
        <v>1142</v>
      </c>
      <c r="H813" t="s">
        <v>1168</v>
      </c>
      <c r="I813" t="s">
        <v>1168</v>
      </c>
      <c r="J813" t="s">
        <v>1303</v>
      </c>
      <c r="K813" t="s">
        <v>1212</v>
      </c>
      <c r="M813" s="3">
        <f t="shared" si="48"/>
        <v>69.714285714285708</v>
      </c>
      <c r="N813">
        <v>24</v>
      </c>
      <c r="O813">
        <v>88</v>
      </c>
      <c r="P813">
        <v>79</v>
      </c>
      <c r="Q813">
        <v>81</v>
      </c>
      <c r="R813">
        <v>83</v>
      </c>
      <c r="S813">
        <v>85</v>
      </c>
      <c r="T813">
        <v>48</v>
      </c>
      <c r="U813">
        <v>0</v>
      </c>
      <c r="V813" s="3">
        <f t="shared" si="49"/>
        <v>2711552</v>
      </c>
      <c r="W813">
        <v>225962.66666666666</v>
      </c>
      <c r="X813">
        <v>0</v>
      </c>
      <c r="Y813">
        <f t="shared" si="50"/>
        <v>225962.66666666666</v>
      </c>
      <c r="Z813">
        <f t="shared" si="51"/>
        <v>0</v>
      </c>
      <c r="AA813">
        <v>0</v>
      </c>
    </row>
    <row r="814" spans="1:27" x14ac:dyDescent="0.25">
      <c r="A814" s="1">
        <v>813</v>
      </c>
      <c r="B814" t="s">
        <v>2280</v>
      </c>
      <c r="C814" t="s">
        <v>1136</v>
      </c>
      <c r="D814" t="s">
        <v>1145</v>
      </c>
      <c r="E814" t="s">
        <v>1147</v>
      </c>
      <c r="H814" t="s">
        <v>1168</v>
      </c>
      <c r="I814" t="s">
        <v>1168</v>
      </c>
      <c r="J814" t="s">
        <v>1303</v>
      </c>
      <c r="K814" t="s">
        <v>1212</v>
      </c>
      <c r="M814" s="3">
        <f t="shared" si="48"/>
        <v>56.857142857142854</v>
      </c>
      <c r="N814">
        <v>13</v>
      </c>
      <c r="O814">
        <v>72</v>
      </c>
      <c r="P814">
        <v>66</v>
      </c>
      <c r="Q814">
        <v>70</v>
      </c>
      <c r="R814">
        <v>72</v>
      </c>
      <c r="S814">
        <v>74</v>
      </c>
      <c r="T814">
        <v>31</v>
      </c>
      <c r="U814">
        <v>0</v>
      </c>
      <c r="V814" s="3">
        <f t="shared" si="49"/>
        <v>353062</v>
      </c>
      <c r="W814">
        <v>29421.833333333332</v>
      </c>
      <c r="X814">
        <v>0</v>
      </c>
      <c r="Y814">
        <f t="shared" si="50"/>
        <v>29421.833333333332</v>
      </c>
      <c r="Z814">
        <f t="shared" si="51"/>
        <v>0</v>
      </c>
      <c r="AA814">
        <v>0</v>
      </c>
    </row>
    <row r="815" spans="1:27" x14ac:dyDescent="0.25">
      <c r="A815" s="1">
        <v>814</v>
      </c>
      <c r="B815" t="s">
        <v>2279</v>
      </c>
      <c r="C815" t="s">
        <v>1136</v>
      </c>
      <c r="D815" t="s">
        <v>1145</v>
      </c>
      <c r="E815" t="s">
        <v>1143</v>
      </c>
      <c r="H815" t="s">
        <v>1168</v>
      </c>
      <c r="I815" t="s">
        <v>1168</v>
      </c>
      <c r="J815" t="s">
        <v>1303</v>
      </c>
      <c r="K815" t="s">
        <v>1212</v>
      </c>
      <c r="M815" s="3">
        <f t="shared" si="48"/>
        <v>65.714285714285708</v>
      </c>
      <c r="N815">
        <v>19</v>
      </c>
      <c r="O815">
        <v>81</v>
      </c>
      <c r="P815">
        <v>75</v>
      </c>
      <c r="Q815">
        <v>79</v>
      </c>
      <c r="R815">
        <v>81</v>
      </c>
      <c r="S815">
        <v>83</v>
      </c>
      <c r="T815">
        <v>42</v>
      </c>
      <c r="U815">
        <v>0</v>
      </c>
      <c r="V815" s="3">
        <f t="shared" si="49"/>
        <v>1501751</v>
      </c>
      <c r="W815">
        <v>125145.91666666667</v>
      </c>
      <c r="X815">
        <v>0</v>
      </c>
      <c r="Y815">
        <f t="shared" si="50"/>
        <v>125145.91666666667</v>
      </c>
      <c r="Z815">
        <f t="shared" si="51"/>
        <v>0</v>
      </c>
      <c r="AA815">
        <v>0</v>
      </c>
    </row>
    <row r="816" spans="1:27" x14ac:dyDescent="0.25">
      <c r="A816" s="1">
        <v>815</v>
      </c>
      <c r="B816" t="s">
        <v>2286</v>
      </c>
      <c r="C816" t="s">
        <v>1136</v>
      </c>
      <c r="D816" t="s">
        <v>1143</v>
      </c>
      <c r="E816" t="s">
        <v>1144</v>
      </c>
      <c r="H816" t="s">
        <v>1168</v>
      </c>
      <c r="I816" t="s">
        <v>1168</v>
      </c>
      <c r="J816" t="s">
        <v>1303</v>
      </c>
      <c r="K816" t="s">
        <v>1212</v>
      </c>
      <c r="M816" s="3">
        <f t="shared" si="48"/>
        <v>62.857142857142854</v>
      </c>
      <c r="N816">
        <v>17</v>
      </c>
      <c r="O816">
        <v>78</v>
      </c>
      <c r="P816">
        <v>72</v>
      </c>
      <c r="Q816">
        <v>76</v>
      </c>
      <c r="R816">
        <v>78</v>
      </c>
      <c r="S816">
        <v>80</v>
      </c>
      <c r="T816">
        <v>39</v>
      </c>
      <c r="U816">
        <v>0</v>
      </c>
      <c r="V816" s="3">
        <f t="shared" si="49"/>
        <v>962823</v>
      </c>
      <c r="W816">
        <v>80235.25</v>
      </c>
      <c r="X816">
        <v>0</v>
      </c>
      <c r="Y816">
        <f t="shared" si="50"/>
        <v>80235.25</v>
      </c>
      <c r="Z816">
        <f t="shared" si="51"/>
        <v>0</v>
      </c>
      <c r="AA816">
        <v>0</v>
      </c>
    </row>
    <row r="817" spans="1:27" x14ac:dyDescent="0.25">
      <c r="A817" s="1">
        <v>816</v>
      </c>
      <c r="B817" t="s">
        <v>2282</v>
      </c>
      <c r="C817" t="s">
        <v>1136</v>
      </c>
      <c r="D817" t="s">
        <v>1147</v>
      </c>
      <c r="E817" t="s">
        <v>1145</v>
      </c>
      <c r="H817" t="s">
        <v>1168</v>
      </c>
      <c r="I817" t="s">
        <v>1168</v>
      </c>
      <c r="J817" t="s">
        <v>1303</v>
      </c>
      <c r="K817" t="s">
        <v>1212</v>
      </c>
      <c r="M817" s="3">
        <f t="shared" si="48"/>
        <v>65.857142857142861</v>
      </c>
      <c r="N817">
        <v>19</v>
      </c>
      <c r="O817">
        <v>81</v>
      </c>
      <c r="P817">
        <v>75</v>
      </c>
      <c r="Q817">
        <v>79</v>
      </c>
      <c r="R817">
        <v>81</v>
      </c>
      <c r="S817">
        <v>83</v>
      </c>
      <c r="T817">
        <v>43</v>
      </c>
      <c r="U817">
        <v>0</v>
      </c>
      <c r="V817" s="3">
        <f t="shared" si="49"/>
        <v>1534719</v>
      </c>
      <c r="W817">
        <v>127893.25</v>
      </c>
      <c r="X817">
        <v>0</v>
      </c>
      <c r="Y817">
        <f t="shared" si="50"/>
        <v>127893.25</v>
      </c>
      <c r="Z817">
        <f t="shared" si="51"/>
        <v>0</v>
      </c>
      <c r="AA817">
        <v>0</v>
      </c>
    </row>
    <row r="818" spans="1:27" x14ac:dyDescent="0.25">
      <c r="A818" s="1">
        <v>817</v>
      </c>
      <c r="B818" t="s">
        <v>2278</v>
      </c>
      <c r="C818" t="s">
        <v>1136</v>
      </c>
      <c r="D818" t="s">
        <v>1144</v>
      </c>
      <c r="E818" t="s">
        <v>1143</v>
      </c>
      <c r="H818" t="s">
        <v>1168</v>
      </c>
      <c r="I818" t="s">
        <v>1168</v>
      </c>
      <c r="J818" t="s">
        <v>1303</v>
      </c>
      <c r="K818" t="s">
        <v>1212</v>
      </c>
      <c r="M818" s="3">
        <f t="shared" si="48"/>
        <v>60.714285714285715</v>
      </c>
      <c r="N818">
        <v>15</v>
      </c>
      <c r="O818">
        <v>76</v>
      </c>
      <c r="P818">
        <v>70</v>
      </c>
      <c r="Q818">
        <v>74</v>
      </c>
      <c r="R818">
        <v>76</v>
      </c>
      <c r="S818">
        <v>78</v>
      </c>
      <c r="T818">
        <v>36</v>
      </c>
      <c r="U818">
        <v>0</v>
      </c>
      <c r="V818" s="3">
        <f t="shared" si="49"/>
        <v>680627</v>
      </c>
      <c r="W818">
        <v>56718.916666666664</v>
      </c>
      <c r="X818">
        <v>0</v>
      </c>
      <c r="Y818">
        <f t="shared" si="50"/>
        <v>56718.916666666664</v>
      </c>
      <c r="Z818">
        <f t="shared" si="51"/>
        <v>0</v>
      </c>
      <c r="AA818">
        <v>0</v>
      </c>
    </row>
    <row r="819" spans="1:27" x14ac:dyDescent="0.25">
      <c r="A819" s="1">
        <v>818</v>
      </c>
      <c r="B819" t="s">
        <v>2285</v>
      </c>
      <c r="C819" t="s">
        <v>1136</v>
      </c>
      <c r="D819" t="s">
        <v>1144</v>
      </c>
      <c r="E819" t="s">
        <v>1138</v>
      </c>
      <c r="H819" t="s">
        <v>1168</v>
      </c>
      <c r="I819" t="s">
        <v>1168</v>
      </c>
      <c r="J819" t="s">
        <v>1303</v>
      </c>
      <c r="K819" t="s">
        <v>1212</v>
      </c>
      <c r="M819" s="3">
        <f t="shared" si="48"/>
        <v>70.571428571428569</v>
      </c>
      <c r="N819">
        <v>23</v>
      </c>
      <c r="O819">
        <v>89</v>
      </c>
      <c r="P819">
        <v>79</v>
      </c>
      <c r="Q819">
        <v>83</v>
      </c>
      <c r="R819">
        <v>85</v>
      </c>
      <c r="S819">
        <v>87</v>
      </c>
      <c r="T819">
        <v>48</v>
      </c>
      <c r="U819">
        <v>0</v>
      </c>
      <c r="V819" s="3">
        <f t="shared" si="49"/>
        <v>3064003</v>
      </c>
      <c r="W819">
        <v>255333.58333333334</v>
      </c>
      <c r="X819">
        <v>0</v>
      </c>
      <c r="Y819">
        <f t="shared" si="50"/>
        <v>255333.58333333334</v>
      </c>
      <c r="Z819">
        <f t="shared" si="51"/>
        <v>0</v>
      </c>
      <c r="AA819">
        <v>0</v>
      </c>
    </row>
    <row r="820" spans="1:27" x14ac:dyDescent="0.25">
      <c r="A820" s="1">
        <v>819</v>
      </c>
      <c r="B820" t="s">
        <v>2281</v>
      </c>
      <c r="C820" t="s">
        <v>1136</v>
      </c>
      <c r="D820" t="s">
        <v>1146</v>
      </c>
      <c r="E820" t="s">
        <v>1144</v>
      </c>
      <c r="H820" t="s">
        <v>1168</v>
      </c>
      <c r="I820" t="s">
        <v>1168</v>
      </c>
      <c r="J820" t="s">
        <v>1303</v>
      </c>
      <c r="K820" t="s">
        <v>1212</v>
      </c>
      <c r="M820" s="3">
        <f t="shared" si="48"/>
        <v>61.714285714285715</v>
      </c>
      <c r="N820">
        <v>16</v>
      </c>
      <c r="O820">
        <v>77</v>
      </c>
      <c r="P820">
        <v>71</v>
      </c>
      <c r="Q820">
        <v>75</v>
      </c>
      <c r="R820">
        <v>77</v>
      </c>
      <c r="S820">
        <v>79</v>
      </c>
      <c r="T820">
        <v>37</v>
      </c>
      <c r="U820">
        <v>0</v>
      </c>
      <c r="V820" s="3">
        <f t="shared" si="49"/>
        <v>801415</v>
      </c>
      <c r="W820">
        <v>66784.583333333328</v>
      </c>
      <c r="X820">
        <v>0</v>
      </c>
      <c r="Y820">
        <f t="shared" si="50"/>
        <v>66784.583333333328</v>
      </c>
      <c r="Z820">
        <f t="shared" si="51"/>
        <v>0</v>
      </c>
      <c r="AA820">
        <v>0</v>
      </c>
    </row>
    <row r="821" spans="1:27" x14ac:dyDescent="0.25">
      <c r="A821" s="1">
        <v>820</v>
      </c>
      <c r="B821" t="s">
        <v>2287</v>
      </c>
      <c r="C821" t="s">
        <v>1136</v>
      </c>
      <c r="D821" t="s">
        <v>1143</v>
      </c>
      <c r="E821" t="s">
        <v>1146</v>
      </c>
      <c r="H821" t="s">
        <v>1168</v>
      </c>
      <c r="I821" t="s">
        <v>1168</v>
      </c>
      <c r="J821" t="s">
        <v>1303</v>
      </c>
      <c r="K821" t="s">
        <v>1212</v>
      </c>
      <c r="M821" s="3">
        <f t="shared" si="48"/>
        <v>58.857142857142854</v>
      </c>
      <c r="N821">
        <v>14</v>
      </c>
      <c r="O821">
        <v>74</v>
      </c>
      <c r="P821">
        <v>68</v>
      </c>
      <c r="Q821">
        <v>72</v>
      </c>
      <c r="R821">
        <v>74</v>
      </c>
      <c r="S821">
        <v>76</v>
      </c>
      <c r="T821">
        <v>34</v>
      </c>
      <c r="U821">
        <v>0</v>
      </c>
      <c r="V821" s="3">
        <f t="shared" si="49"/>
        <v>498876</v>
      </c>
      <c r="W821">
        <v>41573</v>
      </c>
      <c r="X821">
        <v>0</v>
      </c>
      <c r="Y821">
        <f t="shared" si="50"/>
        <v>41573</v>
      </c>
      <c r="Z821">
        <f t="shared" si="51"/>
        <v>0</v>
      </c>
      <c r="AA821">
        <v>0</v>
      </c>
    </row>
    <row r="822" spans="1:27" x14ac:dyDescent="0.25">
      <c r="A822" s="1">
        <v>821</v>
      </c>
      <c r="B822" t="s">
        <v>2288</v>
      </c>
      <c r="C822" t="s">
        <v>1137</v>
      </c>
      <c r="D822" t="s">
        <v>1137</v>
      </c>
      <c r="H822" t="s">
        <v>1168</v>
      </c>
      <c r="I822" t="s">
        <v>1168</v>
      </c>
      <c r="J822" t="s">
        <v>1303</v>
      </c>
      <c r="K822" t="s">
        <v>1212</v>
      </c>
      <c r="M822" s="3">
        <f t="shared" si="48"/>
        <v>62.857142857142854</v>
      </c>
      <c r="N822">
        <v>17</v>
      </c>
      <c r="O822">
        <v>78</v>
      </c>
      <c r="P822">
        <v>72</v>
      </c>
      <c r="Q822">
        <v>76</v>
      </c>
      <c r="R822">
        <v>78</v>
      </c>
      <c r="S822">
        <v>80</v>
      </c>
      <c r="T822">
        <v>39</v>
      </c>
      <c r="U822">
        <v>0</v>
      </c>
      <c r="V822" s="3">
        <f t="shared" si="49"/>
        <v>962823</v>
      </c>
      <c r="W822">
        <v>80235.25</v>
      </c>
      <c r="X822">
        <v>0</v>
      </c>
      <c r="Y822">
        <f t="shared" si="50"/>
        <v>80235.25</v>
      </c>
      <c r="Z822">
        <f t="shared" si="51"/>
        <v>0</v>
      </c>
      <c r="AA822">
        <v>0</v>
      </c>
    </row>
    <row r="823" spans="1:27" x14ac:dyDescent="0.25">
      <c r="A823" s="1">
        <v>822</v>
      </c>
      <c r="B823" t="s">
        <v>152</v>
      </c>
      <c r="C823" t="s">
        <v>1134</v>
      </c>
      <c r="D823" t="s">
        <v>1139</v>
      </c>
      <c r="E823" t="s">
        <v>1140</v>
      </c>
      <c r="G823" t="s">
        <v>1154</v>
      </c>
      <c r="H823" t="s">
        <v>1154</v>
      </c>
      <c r="I823" t="s">
        <v>1154</v>
      </c>
      <c r="J823" t="s">
        <v>1278</v>
      </c>
      <c r="K823" t="s">
        <v>1212</v>
      </c>
      <c r="M823" s="3">
        <f t="shared" si="48"/>
        <v>76.571428571428569</v>
      </c>
      <c r="N823">
        <v>61</v>
      </c>
      <c r="O823">
        <v>84</v>
      </c>
      <c r="P823">
        <v>75</v>
      </c>
      <c r="Q823">
        <v>76</v>
      </c>
      <c r="R823">
        <v>80</v>
      </c>
      <c r="S823">
        <v>82</v>
      </c>
      <c r="T823">
        <v>78</v>
      </c>
      <c r="U823">
        <v>0</v>
      </c>
      <c r="V823" s="3">
        <f t="shared" si="49"/>
        <v>6928952</v>
      </c>
      <c r="W823">
        <v>577412.66666666663</v>
      </c>
      <c r="X823">
        <v>0</v>
      </c>
      <c r="Y823">
        <f t="shared" si="50"/>
        <v>577412.66666666663</v>
      </c>
      <c r="Z823">
        <f t="shared" si="51"/>
        <v>0</v>
      </c>
      <c r="AA823">
        <v>0</v>
      </c>
    </row>
    <row r="824" spans="1:27" x14ac:dyDescent="0.25">
      <c r="A824" s="1">
        <v>823</v>
      </c>
      <c r="B824" t="s">
        <v>1544</v>
      </c>
      <c r="C824" t="s">
        <v>1134</v>
      </c>
      <c r="D824" t="s">
        <v>1140</v>
      </c>
      <c r="E824" t="s">
        <v>1144</v>
      </c>
      <c r="H824" t="s">
        <v>1154</v>
      </c>
      <c r="I824" t="s">
        <v>1154</v>
      </c>
      <c r="J824" t="s">
        <v>1278</v>
      </c>
      <c r="K824" t="s">
        <v>1212</v>
      </c>
      <c r="M824" s="3">
        <f t="shared" si="48"/>
        <v>60.428571428571431</v>
      </c>
      <c r="N824">
        <v>31</v>
      </c>
      <c r="O824">
        <v>88</v>
      </c>
      <c r="P824">
        <v>55</v>
      </c>
      <c r="Q824">
        <v>69</v>
      </c>
      <c r="R824">
        <v>74</v>
      </c>
      <c r="S824">
        <v>64</v>
      </c>
      <c r="T824">
        <v>42</v>
      </c>
      <c r="U824">
        <v>0</v>
      </c>
      <c r="V824" s="3">
        <f t="shared" si="49"/>
        <v>649267</v>
      </c>
      <c r="W824">
        <v>54105.583333333336</v>
      </c>
      <c r="X824">
        <v>0</v>
      </c>
      <c r="Y824">
        <f t="shared" si="50"/>
        <v>54105.583333333336</v>
      </c>
      <c r="Z824">
        <f t="shared" si="51"/>
        <v>0</v>
      </c>
      <c r="AA824">
        <v>0</v>
      </c>
    </row>
    <row r="825" spans="1:27" x14ac:dyDescent="0.25">
      <c r="A825" s="1">
        <v>824</v>
      </c>
      <c r="B825" t="s">
        <v>2569</v>
      </c>
      <c r="C825" t="s">
        <v>1134</v>
      </c>
      <c r="D825" t="s">
        <v>1139</v>
      </c>
      <c r="E825" t="s">
        <v>1140</v>
      </c>
      <c r="H825" t="s">
        <v>1154</v>
      </c>
      <c r="I825" t="s">
        <v>1154</v>
      </c>
      <c r="J825" t="s">
        <v>1278</v>
      </c>
      <c r="K825" t="s">
        <v>1212</v>
      </c>
      <c r="M825" s="3">
        <f t="shared" si="48"/>
        <v>59.142857142857146</v>
      </c>
      <c r="N825">
        <v>24</v>
      </c>
      <c r="O825">
        <v>87</v>
      </c>
      <c r="P825">
        <v>41</v>
      </c>
      <c r="Q825">
        <v>73</v>
      </c>
      <c r="R825">
        <v>68</v>
      </c>
      <c r="S825">
        <v>70</v>
      </c>
      <c r="T825">
        <v>51</v>
      </c>
      <c r="U825">
        <v>0</v>
      </c>
      <c r="V825" s="3">
        <f t="shared" si="49"/>
        <v>523629</v>
      </c>
      <c r="W825">
        <v>43635.75</v>
      </c>
      <c r="X825">
        <v>0</v>
      </c>
      <c r="Y825">
        <f t="shared" si="50"/>
        <v>43635.75</v>
      </c>
      <c r="Z825">
        <f t="shared" si="51"/>
        <v>0</v>
      </c>
      <c r="AA825">
        <v>0</v>
      </c>
    </row>
    <row r="826" spans="1:27" x14ac:dyDescent="0.25">
      <c r="A826" s="1">
        <v>825</v>
      </c>
      <c r="B826" t="s">
        <v>1541</v>
      </c>
      <c r="C826" t="s">
        <v>1134</v>
      </c>
      <c r="D826" t="s">
        <v>1140</v>
      </c>
      <c r="E826" t="s">
        <v>1138</v>
      </c>
      <c r="H826" t="s">
        <v>1154</v>
      </c>
      <c r="I826" t="s">
        <v>1154</v>
      </c>
      <c r="J826" t="s">
        <v>1278</v>
      </c>
      <c r="K826" t="s">
        <v>1212</v>
      </c>
      <c r="M826" s="3">
        <f t="shared" si="48"/>
        <v>59.857142857142854</v>
      </c>
      <c r="N826">
        <v>29</v>
      </c>
      <c r="O826">
        <v>91</v>
      </c>
      <c r="P826">
        <v>52</v>
      </c>
      <c r="Q826">
        <v>70</v>
      </c>
      <c r="R826">
        <v>66</v>
      </c>
      <c r="S826">
        <v>63</v>
      </c>
      <c r="T826">
        <v>48</v>
      </c>
      <c r="U826">
        <v>0</v>
      </c>
      <c r="V826" s="3">
        <f t="shared" si="49"/>
        <v>590419</v>
      </c>
      <c r="W826">
        <v>49201.583333333336</v>
      </c>
      <c r="X826">
        <v>0</v>
      </c>
      <c r="Y826">
        <f t="shared" si="50"/>
        <v>49201.583333333336</v>
      </c>
      <c r="Z826">
        <f t="shared" si="51"/>
        <v>0</v>
      </c>
      <c r="AA826">
        <v>0</v>
      </c>
    </row>
    <row r="827" spans="1:27" x14ac:dyDescent="0.25">
      <c r="A827" s="1">
        <v>826</v>
      </c>
      <c r="B827" t="s">
        <v>150</v>
      </c>
      <c r="C827" t="s">
        <v>1134</v>
      </c>
      <c r="D827" t="s">
        <v>1140</v>
      </c>
      <c r="G827" t="s">
        <v>1154</v>
      </c>
      <c r="H827" t="s">
        <v>1154</v>
      </c>
      <c r="I827" t="s">
        <v>1154</v>
      </c>
      <c r="J827" t="s">
        <v>1278</v>
      </c>
      <c r="K827" t="s">
        <v>1212</v>
      </c>
      <c r="M827" s="3">
        <f t="shared" si="48"/>
        <v>72.714285714285708</v>
      </c>
      <c r="N827">
        <v>57</v>
      </c>
      <c r="O827">
        <v>85</v>
      </c>
      <c r="P827">
        <v>70</v>
      </c>
      <c r="Q827">
        <v>81</v>
      </c>
      <c r="R827">
        <v>72</v>
      </c>
      <c r="S827">
        <v>74</v>
      </c>
      <c r="T827">
        <v>70</v>
      </c>
      <c r="U827">
        <v>0</v>
      </c>
      <c r="V827" s="3">
        <f t="shared" si="49"/>
        <v>4132354</v>
      </c>
      <c r="W827">
        <v>344362.83333333331</v>
      </c>
      <c r="X827">
        <v>0</v>
      </c>
      <c r="Y827">
        <f t="shared" si="50"/>
        <v>344362.83333333331</v>
      </c>
      <c r="Z827">
        <f t="shared" si="51"/>
        <v>0</v>
      </c>
      <c r="AA827">
        <v>0</v>
      </c>
    </row>
    <row r="828" spans="1:27" x14ac:dyDescent="0.25">
      <c r="A828" s="1">
        <v>827</v>
      </c>
      <c r="B828" t="s">
        <v>151</v>
      </c>
      <c r="C828" t="s">
        <v>1134</v>
      </c>
      <c r="D828" t="s">
        <v>1140</v>
      </c>
      <c r="E828" t="s">
        <v>1139</v>
      </c>
      <c r="G828" t="s">
        <v>1154</v>
      </c>
      <c r="H828" t="s">
        <v>1154</v>
      </c>
      <c r="I828" t="s">
        <v>1154</v>
      </c>
      <c r="J828" t="s">
        <v>1278</v>
      </c>
      <c r="K828" t="s">
        <v>1212</v>
      </c>
      <c r="M828" s="3">
        <f t="shared" si="48"/>
        <v>79.142857142857139</v>
      </c>
      <c r="N828">
        <v>70</v>
      </c>
      <c r="O828">
        <v>94</v>
      </c>
      <c r="P828">
        <v>80</v>
      </c>
      <c r="Q828">
        <v>82</v>
      </c>
      <c r="R828">
        <v>74</v>
      </c>
      <c r="S828">
        <v>74</v>
      </c>
      <c r="T828">
        <v>80</v>
      </c>
      <c r="U828">
        <v>23</v>
      </c>
      <c r="V828" s="3">
        <f t="shared" si="49"/>
        <v>14461339</v>
      </c>
      <c r="W828">
        <v>1205111.5833333333</v>
      </c>
      <c r="X828">
        <v>0</v>
      </c>
      <c r="Y828">
        <f t="shared" si="50"/>
        <v>1205111.5833333333</v>
      </c>
      <c r="Z828">
        <f t="shared" si="51"/>
        <v>0</v>
      </c>
      <c r="AA828">
        <v>0</v>
      </c>
    </row>
    <row r="829" spans="1:27" x14ac:dyDescent="0.25">
      <c r="A829" s="1">
        <v>828</v>
      </c>
      <c r="B829" t="s">
        <v>1542</v>
      </c>
      <c r="C829" t="s">
        <v>1134</v>
      </c>
      <c r="D829" t="s">
        <v>1138</v>
      </c>
      <c r="E829" t="s">
        <v>1144</v>
      </c>
      <c r="H829" t="s">
        <v>1154</v>
      </c>
      <c r="I829" t="s">
        <v>1154</v>
      </c>
      <c r="J829" t="s">
        <v>1278</v>
      </c>
      <c r="K829" t="s">
        <v>1212</v>
      </c>
      <c r="M829" s="3">
        <f t="shared" si="48"/>
        <v>61</v>
      </c>
      <c r="N829">
        <v>35</v>
      </c>
      <c r="O829">
        <v>84</v>
      </c>
      <c r="P829">
        <v>47</v>
      </c>
      <c r="Q829">
        <v>62</v>
      </c>
      <c r="R829">
        <v>83</v>
      </c>
      <c r="S829">
        <v>72</v>
      </c>
      <c r="T829">
        <v>44</v>
      </c>
      <c r="U829">
        <v>0</v>
      </c>
      <c r="V829" s="3">
        <f t="shared" si="49"/>
        <v>713343</v>
      </c>
      <c r="W829">
        <v>59445.25</v>
      </c>
      <c r="X829">
        <v>0</v>
      </c>
      <c r="Y829">
        <f t="shared" si="50"/>
        <v>59445.25</v>
      </c>
      <c r="Z829">
        <f t="shared" si="51"/>
        <v>0</v>
      </c>
      <c r="AA829">
        <v>0</v>
      </c>
    </row>
    <row r="830" spans="1:27" x14ac:dyDescent="0.25">
      <c r="A830" s="1">
        <v>829</v>
      </c>
      <c r="B830" t="s">
        <v>1543</v>
      </c>
      <c r="C830" t="s">
        <v>1134</v>
      </c>
      <c r="D830" t="s">
        <v>1140</v>
      </c>
      <c r="E830" t="s">
        <v>1139</v>
      </c>
      <c r="H830" t="s">
        <v>1154</v>
      </c>
      <c r="I830" t="s">
        <v>1154</v>
      </c>
      <c r="J830" t="s">
        <v>1278</v>
      </c>
      <c r="K830" t="s">
        <v>1212</v>
      </c>
      <c r="M830" s="3">
        <f t="shared" si="48"/>
        <v>54.857142857142854</v>
      </c>
      <c r="N830">
        <v>21</v>
      </c>
      <c r="O830">
        <v>94</v>
      </c>
      <c r="P830">
        <v>38</v>
      </c>
      <c r="Q830">
        <v>66</v>
      </c>
      <c r="R830">
        <v>61</v>
      </c>
      <c r="S830">
        <v>58</v>
      </c>
      <c r="T830">
        <v>46</v>
      </c>
      <c r="U830">
        <v>0</v>
      </c>
      <c r="V830" s="3">
        <f t="shared" si="49"/>
        <v>246793</v>
      </c>
      <c r="W830">
        <v>20566.083333333332</v>
      </c>
      <c r="X830">
        <v>0</v>
      </c>
      <c r="Y830">
        <f t="shared" si="50"/>
        <v>20566.083333333332</v>
      </c>
      <c r="Z830">
        <f t="shared" si="51"/>
        <v>0</v>
      </c>
      <c r="AA830">
        <v>0</v>
      </c>
    </row>
    <row r="831" spans="1:27" x14ac:dyDescent="0.25">
      <c r="A831" s="1">
        <v>830</v>
      </c>
      <c r="B831" t="s">
        <v>153</v>
      </c>
      <c r="C831" t="s">
        <v>1134</v>
      </c>
      <c r="D831" t="s">
        <v>1140</v>
      </c>
      <c r="E831" t="s">
        <v>1144</v>
      </c>
      <c r="G831" t="s">
        <v>1154</v>
      </c>
      <c r="H831" t="s">
        <v>1154</v>
      </c>
      <c r="I831" t="s">
        <v>1154</v>
      </c>
      <c r="J831" t="s">
        <v>1278</v>
      </c>
      <c r="K831" t="s">
        <v>1212</v>
      </c>
      <c r="M831" s="3">
        <f t="shared" si="48"/>
        <v>77.285714285714292</v>
      </c>
      <c r="N831">
        <v>66</v>
      </c>
      <c r="O831">
        <v>88</v>
      </c>
      <c r="P831">
        <v>69</v>
      </c>
      <c r="Q831">
        <v>76</v>
      </c>
      <c r="R831">
        <v>89</v>
      </c>
      <c r="S831">
        <v>77</v>
      </c>
      <c r="T831">
        <v>76</v>
      </c>
      <c r="U831">
        <v>16</v>
      </c>
      <c r="V831" s="3">
        <f t="shared" si="49"/>
        <v>11404691</v>
      </c>
      <c r="W831">
        <v>633594</v>
      </c>
      <c r="X831">
        <v>0</v>
      </c>
      <c r="Y831">
        <f t="shared" si="50"/>
        <v>950390.91666666663</v>
      </c>
      <c r="Z831">
        <f t="shared" si="51"/>
        <v>-33.33</v>
      </c>
      <c r="AA831">
        <v>0</v>
      </c>
    </row>
    <row r="832" spans="1:27" x14ac:dyDescent="0.25">
      <c r="A832" s="1">
        <v>831</v>
      </c>
      <c r="B832" t="s">
        <v>154</v>
      </c>
      <c r="C832" t="s">
        <v>1134</v>
      </c>
      <c r="D832" t="s">
        <v>1140</v>
      </c>
      <c r="E832" t="s">
        <v>1139</v>
      </c>
      <c r="G832" t="s">
        <v>1154</v>
      </c>
      <c r="H832" t="s">
        <v>1154</v>
      </c>
      <c r="I832" t="s">
        <v>1154</v>
      </c>
      <c r="J832" t="s">
        <v>1278</v>
      </c>
      <c r="K832" t="s">
        <v>1212</v>
      </c>
      <c r="M832" s="3">
        <f t="shared" si="48"/>
        <v>69.571428571428569</v>
      </c>
      <c r="N832">
        <v>39</v>
      </c>
      <c r="O832">
        <v>93</v>
      </c>
      <c r="P832">
        <v>66</v>
      </c>
      <c r="Q832">
        <v>87</v>
      </c>
      <c r="R832">
        <v>72</v>
      </c>
      <c r="S832">
        <v>74</v>
      </c>
      <c r="T832">
        <v>56</v>
      </c>
      <c r="U832">
        <v>23</v>
      </c>
      <c r="V832" s="3">
        <f t="shared" si="49"/>
        <v>3984745</v>
      </c>
      <c r="W832">
        <v>332062.08333333331</v>
      </c>
      <c r="X832">
        <v>0</v>
      </c>
      <c r="Y832">
        <f t="shared" si="50"/>
        <v>332062.08333333331</v>
      </c>
      <c r="Z832">
        <f t="shared" si="51"/>
        <v>0</v>
      </c>
      <c r="AA832">
        <v>0</v>
      </c>
    </row>
    <row r="833" spans="1:27" x14ac:dyDescent="0.25">
      <c r="A833" s="1">
        <v>832</v>
      </c>
      <c r="B833" t="s">
        <v>399</v>
      </c>
      <c r="C833" t="s">
        <v>1134</v>
      </c>
      <c r="D833" t="s">
        <v>1138</v>
      </c>
      <c r="G833" t="s">
        <v>1205</v>
      </c>
      <c r="H833" t="s">
        <v>1205</v>
      </c>
      <c r="I833" t="s">
        <v>1205</v>
      </c>
      <c r="J833" t="s">
        <v>1278</v>
      </c>
      <c r="K833" t="s">
        <v>1212</v>
      </c>
      <c r="M833" s="3">
        <f t="shared" si="48"/>
        <v>79.571428571428569</v>
      </c>
      <c r="N833">
        <v>75</v>
      </c>
      <c r="O833">
        <v>82</v>
      </c>
      <c r="P833">
        <v>83</v>
      </c>
      <c r="Q833">
        <v>78</v>
      </c>
      <c r="R833">
        <v>79</v>
      </c>
      <c r="S833">
        <v>90</v>
      </c>
      <c r="T833">
        <v>70</v>
      </c>
      <c r="U833">
        <v>27</v>
      </c>
      <c r="V833" s="3">
        <f t="shared" si="49"/>
        <v>15263806</v>
      </c>
      <c r="W833">
        <v>1271983.8333333333</v>
      </c>
      <c r="X833">
        <v>0</v>
      </c>
      <c r="Y833">
        <f t="shared" si="50"/>
        <v>1271983.8333333333</v>
      </c>
      <c r="Z833">
        <f t="shared" si="51"/>
        <v>0</v>
      </c>
      <c r="AA833">
        <v>0</v>
      </c>
    </row>
    <row r="834" spans="1:27" x14ac:dyDescent="0.25">
      <c r="A834" s="1">
        <v>833</v>
      </c>
      <c r="B834" t="s">
        <v>155</v>
      </c>
      <c r="C834" t="s">
        <v>1134</v>
      </c>
      <c r="D834" t="s">
        <v>1138</v>
      </c>
      <c r="E834" t="s">
        <v>1144</v>
      </c>
      <c r="G834" t="s">
        <v>1155</v>
      </c>
      <c r="H834" t="s">
        <v>1155</v>
      </c>
      <c r="I834" t="s">
        <v>1155</v>
      </c>
      <c r="J834" t="s">
        <v>1278</v>
      </c>
      <c r="K834" t="s">
        <v>1212</v>
      </c>
      <c r="M834" s="3">
        <f t="shared" ref="M834:M897" si="52">AVERAGE(N834:T834)</f>
        <v>86.714285714285708</v>
      </c>
      <c r="N834">
        <v>80</v>
      </c>
      <c r="O834">
        <v>84</v>
      </c>
      <c r="P834">
        <v>91</v>
      </c>
      <c r="Q834">
        <v>83</v>
      </c>
      <c r="R834">
        <v>92</v>
      </c>
      <c r="S834">
        <v>93</v>
      </c>
      <c r="T834">
        <v>84</v>
      </c>
      <c r="U834">
        <v>26</v>
      </c>
      <c r="V834" s="3">
        <f t="shared" ref="V834:V897" si="53">ROUNDUP(M834^10/1000000000000 * IF(U834&gt;0,1.5,1),0)</f>
        <v>36057680</v>
      </c>
      <c r="W834">
        <v>3004806.6666666665</v>
      </c>
      <c r="X834">
        <v>0</v>
      </c>
      <c r="Y834">
        <f t="shared" ref="Y834:Y897" si="54">V834/12</f>
        <v>3004806.6666666665</v>
      </c>
      <c r="Z834">
        <f t="shared" ref="Z834:Z897" si="55">ROUND(((W834-Y834)/Y834)*100,2)</f>
        <v>0</v>
      </c>
      <c r="AA834">
        <v>0</v>
      </c>
    </row>
    <row r="835" spans="1:27" x14ac:dyDescent="0.25">
      <c r="A835" s="1">
        <v>834</v>
      </c>
      <c r="B835" t="s">
        <v>400</v>
      </c>
      <c r="C835" t="s">
        <v>1134</v>
      </c>
      <c r="D835" t="s">
        <v>1140</v>
      </c>
      <c r="E835" t="s">
        <v>1144</v>
      </c>
      <c r="G835" t="s">
        <v>1205</v>
      </c>
      <c r="H835" t="s">
        <v>1205</v>
      </c>
      <c r="I835" t="s">
        <v>1205</v>
      </c>
      <c r="J835" t="s">
        <v>1278</v>
      </c>
      <c r="K835" t="s">
        <v>1212</v>
      </c>
      <c r="M835" s="3">
        <f t="shared" si="52"/>
        <v>84.571428571428569</v>
      </c>
      <c r="N835">
        <v>79</v>
      </c>
      <c r="O835">
        <v>90</v>
      </c>
      <c r="P835">
        <v>84</v>
      </c>
      <c r="Q835">
        <v>88</v>
      </c>
      <c r="R835">
        <v>84</v>
      </c>
      <c r="S835">
        <v>89</v>
      </c>
      <c r="T835">
        <v>78</v>
      </c>
      <c r="U835">
        <v>28</v>
      </c>
      <c r="V835" s="3">
        <f t="shared" si="53"/>
        <v>28075528</v>
      </c>
      <c r="W835">
        <v>2339627.3333333335</v>
      </c>
      <c r="X835">
        <v>0</v>
      </c>
      <c r="Y835">
        <f t="shared" si="54"/>
        <v>2339627.3333333335</v>
      </c>
      <c r="Z835">
        <f t="shared" si="55"/>
        <v>0</v>
      </c>
      <c r="AA835">
        <v>0</v>
      </c>
    </row>
    <row r="836" spans="1:27" x14ac:dyDescent="0.25">
      <c r="A836" s="1">
        <v>835</v>
      </c>
      <c r="B836" t="s">
        <v>1548</v>
      </c>
      <c r="C836" t="s">
        <v>1135</v>
      </c>
      <c r="D836" t="s">
        <v>1141</v>
      </c>
      <c r="E836" t="s">
        <v>1142</v>
      </c>
      <c r="H836" t="s">
        <v>1154</v>
      </c>
      <c r="I836" t="s">
        <v>1154</v>
      </c>
      <c r="J836" t="s">
        <v>1278</v>
      </c>
      <c r="K836" t="s">
        <v>1212</v>
      </c>
      <c r="M836" s="3">
        <f t="shared" si="52"/>
        <v>62.571428571428569</v>
      </c>
      <c r="N836">
        <v>30</v>
      </c>
      <c r="O836">
        <v>89</v>
      </c>
      <c r="P836">
        <v>59</v>
      </c>
      <c r="Q836">
        <v>71</v>
      </c>
      <c r="R836">
        <v>73</v>
      </c>
      <c r="S836">
        <v>67</v>
      </c>
      <c r="T836">
        <v>49</v>
      </c>
      <c r="U836">
        <v>0</v>
      </c>
      <c r="V836" s="3">
        <f t="shared" si="53"/>
        <v>919943</v>
      </c>
      <c r="W836">
        <v>76661.916666666672</v>
      </c>
      <c r="X836">
        <v>0</v>
      </c>
      <c r="Y836">
        <f t="shared" si="54"/>
        <v>76661.916666666672</v>
      </c>
      <c r="Z836">
        <f t="shared" si="55"/>
        <v>0</v>
      </c>
      <c r="AA836">
        <v>0</v>
      </c>
    </row>
    <row r="837" spans="1:27" x14ac:dyDescent="0.25">
      <c r="A837" s="1">
        <v>836</v>
      </c>
      <c r="B837" t="s">
        <v>529</v>
      </c>
      <c r="C837" t="s">
        <v>1135</v>
      </c>
      <c r="D837" t="s">
        <v>1141</v>
      </c>
      <c r="E837" t="s">
        <v>1142</v>
      </c>
      <c r="G837" t="s">
        <v>1178</v>
      </c>
      <c r="H837" t="s">
        <v>1178</v>
      </c>
      <c r="I837" t="s">
        <v>1178</v>
      </c>
      <c r="J837" t="s">
        <v>1278</v>
      </c>
      <c r="K837" t="s">
        <v>1212</v>
      </c>
      <c r="M837" s="3">
        <f t="shared" si="52"/>
        <v>67</v>
      </c>
      <c r="N837">
        <v>52</v>
      </c>
      <c r="O837">
        <v>76</v>
      </c>
      <c r="P837">
        <v>74</v>
      </c>
      <c r="Q837">
        <v>68</v>
      </c>
      <c r="R837">
        <v>71</v>
      </c>
      <c r="S837">
        <v>78</v>
      </c>
      <c r="T837">
        <v>50</v>
      </c>
      <c r="U837">
        <v>0</v>
      </c>
      <c r="V837" s="3">
        <f t="shared" si="53"/>
        <v>1822838</v>
      </c>
      <c r="W837">
        <v>151903.16666666666</v>
      </c>
      <c r="X837">
        <v>0</v>
      </c>
      <c r="Y837">
        <f t="shared" si="54"/>
        <v>151903.16666666666</v>
      </c>
      <c r="Z837">
        <f t="shared" si="55"/>
        <v>0</v>
      </c>
      <c r="AA837">
        <v>0</v>
      </c>
    </row>
    <row r="838" spans="1:27" x14ac:dyDescent="0.25">
      <c r="A838" s="1">
        <v>837</v>
      </c>
      <c r="B838" t="s">
        <v>455</v>
      </c>
      <c r="C838" t="s">
        <v>1135</v>
      </c>
      <c r="D838" t="s">
        <v>1141</v>
      </c>
      <c r="G838" t="s">
        <v>1154</v>
      </c>
      <c r="H838" t="s">
        <v>1154</v>
      </c>
      <c r="I838" t="s">
        <v>1154</v>
      </c>
      <c r="J838" t="s">
        <v>1278</v>
      </c>
      <c r="K838" t="s">
        <v>1212</v>
      </c>
      <c r="M838" s="3">
        <f t="shared" si="52"/>
        <v>75.571428571428569</v>
      </c>
      <c r="N838">
        <v>65</v>
      </c>
      <c r="O838">
        <v>92</v>
      </c>
      <c r="P838">
        <v>78</v>
      </c>
      <c r="Q838">
        <v>76</v>
      </c>
      <c r="R838">
        <v>70</v>
      </c>
      <c r="S838">
        <v>80</v>
      </c>
      <c r="T838">
        <v>68</v>
      </c>
      <c r="U838">
        <v>0</v>
      </c>
      <c r="V838" s="3">
        <f t="shared" si="53"/>
        <v>6075421</v>
      </c>
      <c r="W838">
        <v>506285.08333333331</v>
      </c>
      <c r="X838">
        <v>0</v>
      </c>
      <c r="Y838">
        <f t="shared" si="54"/>
        <v>506285.08333333331</v>
      </c>
      <c r="Z838">
        <f t="shared" si="55"/>
        <v>0</v>
      </c>
      <c r="AA838">
        <v>0</v>
      </c>
    </row>
    <row r="839" spans="1:27" x14ac:dyDescent="0.25">
      <c r="A839" s="1">
        <v>838</v>
      </c>
      <c r="B839" t="s">
        <v>640</v>
      </c>
      <c r="C839" t="s">
        <v>1136</v>
      </c>
      <c r="D839" t="s">
        <v>1147</v>
      </c>
      <c r="E839" t="s">
        <v>1143</v>
      </c>
      <c r="G839" t="s">
        <v>1149</v>
      </c>
      <c r="H839" t="s">
        <v>1149</v>
      </c>
      <c r="I839" t="s">
        <v>1149</v>
      </c>
      <c r="J839" t="s">
        <v>1278</v>
      </c>
      <c r="K839" t="s">
        <v>1212</v>
      </c>
      <c r="M839" s="3">
        <f t="shared" si="52"/>
        <v>75.285714285714292</v>
      </c>
      <c r="N839">
        <v>47</v>
      </c>
      <c r="O839">
        <v>91</v>
      </c>
      <c r="P839">
        <v>80</v>
      </c>
      <c r="Q839">
        <v>82</v>
      </c>
      <c r="R839">
        <v>79</v>
      </c>
      <c r="S839">
        <v>80</v>
      </c>
      <c r="T839">
        <v>68</v>
      </c>
      <c r="U839">
        <v>23</v>
      </c>
      <c r="V839" s="3">
        <f t="shared" si="53"/>
        <v>8774392</v>
      </c>
      <c r="W839">
        <v>731199.33333333337</v>
      </c>
      <c r="X839">
        <v>0</v>
      </c>
      <c r="Y839">
        <f t="shared" si="54"/>
        <v>731199.33333333337</v>
      </c>
      <c r="Z839">
        <f t="shared" si="55"/>
        <v>0</v>
      </c>
      <c r="AA839">
        <v>0</v>
      </c>
    </row>
    <row r="840" spans="1:27" x14ac:dyDescent="0.25">
      <c r="A840" s="1">
        <v>839</v>
      </c>
      <c r="B840" t="s">
        <v>1547</v>
      </c>
      <c r="C840" t="s">
        <v>1136</v>
      </c>
      <c r="D840" t="s">
        <v>1146</v>
      </c>
      <c r="E840" t="s">
        <v>1145</v>
      </c>
      <c r="H840" t="s">
        <v>1154</v>
      </c>
      <c r="I840" t="s">
        <v>1154</v>
      </c>
      <c r="J840" t="s">
        <v>1278</v>
      </c>
      <c r="K840" t="s">
        <v>1212</v>
      </c>
      <c r="M840" s="3">
        <f t="shared" si="52"/>
        <v>61.857142857142854</v>
      </c>
      <c r="N840">
        <v>38</v>
      </c>
      <c r="O840">
        <v>92</v>
      </c>
      <c r="P840">
        <v>51</v>
      </c>
      <c r="Q840">
        <v>74</v>
      </c>
      <c r="R840">
        <v>64</v>
      </c>
      <c r="S840">
        <v>61</v>
      </c>
      <c r="T840">
        <v>53</v>
      </c>
      <c r="U840">
        <v>0</v>
      </c>
      <c r="V840" s="3">
        <f t="shared" si="53"/>
        <v>820160</v>
      </c>
      <c r="W840">
        <v>68346.666666666672</v>
      </c>
      <c r="X840">
        <v>0</v>
      </c>
      <c r="Y840">
        <f t="shared" si="54"/>
        <v>68346.666666666672</v>
      </c>
      <c r="Z840">
        <f t="shared" si="55"/>
        <v>0</v>
      </c>
      <c r="AA840">
        <v>0</v>
      </c>
    </row>
    <row r="841" spans="1:27" x14ac:dyDescent="0.25">
      <c r="A841" s="1">
        <v>840</v>
      </c>
      <c r="B841" t="s">
        <v>2662</v>
      </c>
      <c r="C841" t="s">
        <v>1136</v>
      </c>
      <c r="D841" t="s">
        <v>1143</v>
      </c>
      <c r="E841" t="s">
        <v>1144</v>
      </c>
      <c r="H841" t="s">
        <v>1154</v>
      </c>
      <c r="I841" t="s">
        <v>1154</v>
      </c>
      <c r="J841" t="s">
        <v>1278</v>
      </c>
      <c r="K841" t="s">
        <v>1212</v>
      </c>
      <c r="M841" s="3">
        <f t="shared" si="52"/>
        <v>56.285714285714285</v>
      </c>
      <c r="N841">
        <v>22</v>
      </c>
      <c r="O841">
        <v>83</v>
      </c>
      <c r="P841">
        <v>36</v>
      </c>
      <c r="Q841">
        <v>86</v>
      </c>
      <c r="R841">
        <v>67</v>
      </c>
      <c r="S841">
        <v>59</v>
      </c>
      <c r="T841">
        <v>41</v>
      </c>
      <c r="U841">
        <v>0</v>
      </c>
      <c r="V841" s="3">
        <f t="shared" si="53"/>
        <v>319141</v>
      </c>
      <c r="W841">
        <v>26595.083333333332</v>
      </c>
      <c r="X841">
        <v>0</v>
      </c>
      <c r="Y841">
        <f t="shared" si="54"/>
        <v>26595.083333333332</v>
      </c>
      <c r="Z841">
        <f t="shared" si="55"/>
        <v>0</v>
      </c>
      <c r="AA841">
        <v>0</v>
      </c>
    </row>
    <row r="842" spans="1:27" x14ac:dyDescent="0.25">
      <c r="A842" s="1">
        <v>841</v>
      </c>
      <c r="B842" t="s">
        <v>673</v>
      </c>
      <c r="C842" t="s">
        <v>1136</v>
      </c>
      <c r="D842" t="s">
        <v>1147</v>
      </c>
      <c r="E842" t="s">
        <v>1144</v>
      </c>
      <c r="F842" t="s">
        <v>1145</v>
      </c>
      <c r="G842" t="s">
        <v>1154</v>
      </c>
      <c r="H842" t="s">
        <v>1154</v>
      </c>
      <c r="I842" t="s">
        <v>1154</v>
      </c>
      <c r="J842" t="s">
        <v>1278</v>
      </c>
      <c r="K842" t="s">
        <v>1212</v>
      </c>
      <c r="M842" s="3">
        <f t="shared" si="52"/>
        <v>84.285714285714292</v>
      </c>
      <c r="N842">
        <v>83</v>
      </c>
      <c r="O842">
        <v>99</v>
      </c>
      <c r="P842">
        <v>81</v>
      </c>
      <c r="Q842">
        <v>86</v>
      </c>
      <c r="R842">
        <v>83</v>
      </c>
      <c r="S842">
        <v>78</v>
      </c>
      <c r="T842">
        <v>80</v>
      </c>
      <c r="U842">
        <v>3</v>
      </c>
      <c r="V842" s="3">
        <f t="shared" si="53"/>
        <v>27141321</v>
      </c>
      <c r="W842">
        <v>2261776.75</v>
      </c>
      <c r="X842">
        <v>0</v>
      </c>
      <c r="Y842">
        <f t="shared" si="54"/>
        <v>2261776.75</v>
      </c>
      <c r="Z842">
        <f t="shared" si="55"/>
        <v>0</v>
      </c>
      <c r="AA842">
        <v>0</v>
      </c>
    </row>
    <row r="843" spans="1:27" x14ac:dyDescent="0.25">
      <c r="A843" s="1">
        <v>842</v>
      </c>
      <c r="B843" t="s">
        <v>672</v>
      </c>
      <c r="C843" t="s">
        <v>1136</v>
      </c>
      <c r="D843" t="s">
        <v>1146</v>
      </c>
      <c r="E843" t="s">
        <v>1145</v>
      </c>
      <c r="G843" t="s">
        <v>1154</v>
      </c>
      <c r="H843" t="s">
        <v>1154</v>
      </c>
      <c r="I843" t="s">
        <v>1154</v>
      </c>
      <c r="J843" t="s">
        <v>1278</v>
      </c>
      <c r="K843" t="s">
        <v>1212</v>
      </c>
      <c r="M843" s="3">
        <f t="shared" si="52"/>
        <v>86.285714285714292</v>
      </c>
      <c r="N843">
        <v>83</v>
      </c>
      <c r="O843">
        <v>94</v>
      </c>
      <c r="P843">
        <v>87</v>
      </c>
      <c r="Q843">
        <v>89</v>
      </c>
      <c r="R843">
        <v>87</v>
      </c>
      <c r="S843">
        <v>83</v>
      </c>
      <c r="T843">
        <v>81</v>
      </c>
      <c r="U843">
        <v>22</v>
      </c>
      <c r="V843" s="3">
        <f t="shared" si="53"/>
        <v>34314704</v>
      </c>
      <c r="W843">
        <v>2859558.6666666665</v>
      </c>
      <c r="X843">
        <v>0</v>
      </c>
      <c r="Y843">
        <f t="shared" si="54"/>
        <v>2859558.6666666665</v>
      </c>
      <c r="Z843">
        <f t="shared" si="55"/>
        <v>0</v>
      </c>
      <c r="AA843">
        <v>0</v>
      </c>
    </row>
    <row r="844" spans="1:27" x14ac:dyDescent="0.25">
      <c r="A844" s="1">
        <v>843</v>
      </c>
      <c r="B844" t="s">
        <v>1546</v>
      </c>
      <c r="C844" t="s">
        <v>1136</v>
      </c>
      <c r="D844" t="s">
        <v>1144</v>
      </c>
      <c r="E844" t="s">
        <v>1147</v>
      </c>
      <c r="H844" t="s">
        <v>1154</v>
      </c>
      <c r="I844" t="s">
        <v>1154</v>
      </c>
      <c r="J844" t="s">
        <v>1278</v>
      </c>
      <c r="K844" t="s">
        <v>1212</v>
      </c>
      <c r="M844" s="3">
        <f t="shared" si="52"/>
        <v>60.714285714285715</v>
      </c>
      <c r="N844">
        <v>26</v>
      </c>
      <c r="O844">
        <v>85</v>
      </c>
      <c r="P844">
        <v>39</v>
      </c>
      <c r="Q844">
        <v>78</v>
      </c>
      <c r="R844">
        <v>81</v>
      </c>
      <c r="S844">
        <v>69</v>
      </c>
      <c r="T844">
        <v>47</v>
      </c>
      <c r="U844">
        <v>0</v>
      </c>
      <c r="V844" s="3">
        <f t="shared" si="53"/>
        <v>680627</v>
      </c>
      <c r="W844">
        <v>56718.916666666664</v>
      </c>
      <c r="X844">
        <v>0</v>
      </c>
      <c r="Y844">
        <f t="shared" si="54"/>
        <v>56718.916666666664</v>
      </c>
      <c r="Z844">
        <f t="shared" si="55"/>
        <v>0</v>
      </c>
      <c r="AA844">
        <v>0</v>
      </c>
    </row>
    <row r="845" spans="1:27" x14ac:dyDescent="0.25">
      <c r="A845" s="1">
        <v>844</v>
      </c>
      <c r="B845" t="s">
        <v>671</v>
      </c>
      <c r="C845" t="s">
        <v>1136</v>
      </c>
      <c r="D845" t="s">
        <v>1147</v>
      </c>
      <c r="E845" t="s">
        <v>1144</v>
      </c>
      <c r="G845" t="s">
        <v>1154</v>
      </c>
      <c r="H845" t="s">
        <v>1154</v>
      </c>
      <c r="I845" t="s">
        <v>1154</v>
      </c>
      <c r="J845" t="s">
        <v>1278</v>
      </c>
      <c r="K845" t="s">
        <v>1212</v>
      </c>
      <c r="M845" s="3">
        <f t="shared" si="52"/>
        <v>85.857142857142861</v>
      </c>
      <c r="N845">
        <v>83</v>
      </c>
      <c r="O845">
        <v>95</v>
      </c>
      <c r="P845">
        <v>85</v>
      </c>
      <c r="Q845">
        <v>88</v>
      </c>
      <c r="R845">
        <v>86</v>
      </c>
      <c r="S845">
        <v>84</v>
      </c>
      <c r="T845">
        <v>80</v>
      </c>
      <c r="U845">
        <v>22</v>
      </c>
      <c r="V845" s="3">
        <f t="shared" si="53"/>
        <v>32647925</v>
      </c>
      <c r="W845">
        <v>2720660.4166666665</v>
      </c>
      <c r="X845">
        <v>0</v>
      </c>
      <c r="Y845">
        <f t="shared" si="54"/>
        <v>2720660.4166666665</v>
      </c>
      <c r="Z845">
        <f t="shared" si="55"/>
        <v>0</v>
      </c>
      <c r="AA845">
        <v>0</v>
      </c>
    </row>
    <row r="846" spans="1:27" x14ac:dyDescent="0.25">
      <c r="A846" s="1">
        <v>845</v>
      </c>
      <c r="B846" t="s">
        <v>1545</v>
      </c>
      <c r="C846" t="s">
        <v>1136</v>
      </c>
      <c r="D846" t="s">
        <v>1147</v>
      </c>
      <c r="E846" t="s">
        <v>1143</v>
      </c>
      <c r="H846" t="s">
        <v>1154</v>
      </c>
      <c r="I846" t="s">
        <v>1154</v>
      </c>
      <c r="J846" t="s">
        <v>1278</v>
      </c>
      <c r="K846" t="s">
        <v>1212</v>
      </c>
      <c r="M846" s="3">
        <f t="shared" si="52"/>
        <v>61.714285714285715</v>
      </c>
      <c r="N846">
        <v>33</v>
      </c>
      <c r="O846">
        <v>90</v>
      </c>
      <c r="P846">
        <v>43</v>
      </c>
      <c r="Q846">
        <v>80</v>
      </c>
      <c r="R846">
        <v>70</v>
      </c>
      <c r="S846">
        <v>66</v>
      </c>
      <c r="T846">
        <v>50</v>
      </c>
      <c r="U846">
        <v>0</v>
      </c>
      <c r="V846" s="3">
        <f t="shared" si="53"/>
        <v>801415</v>
      </c>
      <c r="W846">
        <v>66784.583333333328</v>
      </c>
      <c r="X846">
        <v>0</v>
      </c>
      <c r="Y846">
        <f t="shared" si="54"/>
        <v>66784.583333333328</v>
      </c>
      <c r="Z846">
        <f t="shared" si="55"/>
        <v>0</v>
      </c>
      <c r="AA846">
        <v>0</v>
      </c>
    </row>
    <row r="847" spans="1:27" x14ac:dyDescent="0.25">
      <c r="A847" s="1">
        <v>846</v>
      </c>
      <c r="B847" t="s">
        <v>1112</v>
      </c>
      <c r="C847" t="s">
        <v>1137</v>
      </c>
      <c r="D847" t="s">
        <v>1137</v>
      </c>
      <c r="H847" t="s">
        <v>1205</v>
      </c>
      <c r="I847" t="s">
        <v>1205</v>
      </c>
      <c r="J847" t="s">
        <v>1278</v>
      </c>
      <c r="K847" t="s">
        <v>1212</v>
      </c>
      <c r="M847" s="3">
        <f t="shared" si="52"/>
        <v>71.285714285714292</v>
      </c>
      <c r="N847">
        <v>52</v>
      </c>
      <c r="O847">
        <v>93</v>
      </c>
      <c r="P847">
        <v>68</v>
      </c>
      <c r="Q847">
        <v>82</v>
      </c>
      <c r="R847">
        <v>80</v>
      </c>
      <c r="S847">
        <v>69</v>
      </c>
      <c r="T847">
        <v>55</v>
      </c>
      <c r="U847">
        <v>0</v>
      </c>
      <c r="V847" s="3">
        <f t="shared" si="53"/>
        <v>3388638</v>
      </c>
      <c r="W847">
        <v>282386.5</v>
      </c>
      <c r="X847">
        <v>0</v>
      </c>
      <c r="Y847">
        <f t="shared" si="54"/>
        <v>282386.5</v>
      </c>
      <c r="Z847">
        <f t="shared" si="55"/>
        <v>0</v>
      </c>
      <c r="AA847">
        <v>0</v>
      </c>
    </row>
    <row r="848" spans="1:27" x14ac:dyDescent="0.25">
      <c r="A848" s="1">
        <v>847</v>
      </c>
      <c r="B848" t="s">
        <v>2046</v>
      </c>
      <c r="C848" t="s">
        <v>1133</v>
      </c>
      <c r="D848" t="s">
        <v>1133</v>
      </c>
      <c r="H848" t="s">
        <v>1176</v>
      </c>
      <c r="I848" t="s">
        <v>1176</v>
      </c>
      <c r="J848" t="s">
        <v>1286</v>
      </c>
      <c r="K848" t="s">
        <v>1212</v>
      </c>
      <c r="M848" s="3">
        <f t="shared" si="52"/>
        <v>63</v>
      </c>
      <c r="N848">
        <v>24</v>
      </c>
      <c r="O848">
        <v>73</v>
      </c>
      <c r="P848">
        <v>67</v>
      </c>
      <c r="Q848">
        <v>75</v>
      </c>
      <c r="R848">
        <v>77</v>
      </c>
      <c r="S848">
        <v>79</v>
      </c>
      <c r="T848">
        <v>46</v>
      </c>
      <c r="U848">
        <v>0</v>
      </c>
      <c r="V848" s="3">
        <f t="shared" si="53"/>
        <v>984931</v>
      </c>
      <c r="W848">
        <v>82077.583333333328</v>
      </c>
      <c r="X848">
        <v>0</v>
      </c>
      <c r="Y848">
        <f t="shared" si="54"/>
        <v>82077.583333333328</v>
      </c>
      <c r="Z848">
        <f t="shared" si="55"/>
        <v>0</v>
      </c>
      <c r="AA848">
        <v>0</v>
      </c>
    </row>
    <row r="849" spans="1:27" x14ac:dyDescent="0.25">
      <c r="A849" s="1">
        <v>848</v>
      </c>
      <c r="B849" t="s">
        <v>2689</v>
      </c>
      <c r="C849" t="s">
        <v>1134</v>
      </c>
      <c r="D849" t="s">
        <v>1140</v>
      </c>
      <c r="E849" t="s">
        <v>1138</v>
      </c>
      <c r="H849" t="s">
        <v>1176</v>
      </c>
      <c r="I849" t="s">
        <v>1176</v>
      </c>
      <c r="J849" t="s">
        <v>1286</v>
      </c>
      <c r="K849" t="s">
        <v>1212</v>
      </c>
      <c r="M849" s="3">
        <f t="shared" si="52"/>
        <v>58.428571428571431</v>
      </c>
      <c r="N849">
        <v>21</v>
      </c>
      <c r="O849">
        <v>73</v>
      </c>
      <c r="P849">
        <v>64</v>
      </c>
      <c r="Q849">
        <v>69</v>
      </c>
      <c r="R849">
        <v>71</v>
      </c>
      <c r="S849">
        <v>73</v>
      </c>
      <c r="T849">
        <v>38</v>
      </c>
      <c r="U849">
        <v>0</v>
      </c>
      <c r="V849" s="3">
        <f t="shared" si="53"/>
        <v>463717</v>
      </c>
      <c r="W849">
        <v>38643.083333333336</v>
      </c>
      <c r="X849">
        <v>0</v>
      </c>
      <c r="Y849">
        <f t="shared" si="54"/>
        <v>38643.083333333336</v>
      </c>
      <c r="Z849">
        <f t="shared" si="55"/>
        <v>0</v>
      </c>
      <c r="AA849">
        <v>0</v>
      </c>
    </row>
    <row r="850" spans="1:27" x14ac:dyDescent="0.25">
      <c r="A850" s="1">
        <v>849</v>
      </c>
      <c r="B850" t="s">
        <v>2048</v>
      </c>
      <c r="C850" t="s">
        <v>1134</v>
      </c>
      <c r="D850" t="s">
        <v>1140</v>
      </c>
      <c r="E850" t="s">
        <v>1138</v>
      </c>
      <c r="H850" t="s">
        <v>1176</v>
      </c>
      <c r="I850" t="s">
        <v>1176</v>
      </c>
      <c r="J850" t="s">
        <v>1286</v>
      </c>
      <c r="K850" t="s">
        <v>1212</v>
      </c>
      <c r="M850" s="3">
        <f t="shared" si="52"/>
        <v>61.714285714285715</v>
      </c>
      <c r="N850">
        <v>23</v>
      </c>
      <c r="O850">
        <v>75</v>
      </c>
      <c r="P850">
        <v>68</v>
      </c>
      <c r="Q850">
        <v>73</v>
      </c>
      <c r="R850">
        <v>75</v>
      </c>
      <c r="S850">
        <v>77</v>
      </c>
      <c r="T850">
        <v>41</v>
      </c>
      <c r="U850">
        <v>0</v>
      </c>
      <c r="V850" s="3">
        <f t="shared" si="53"/>
        <v>801415</v>
      </c>
      <c r="W850">
        <v>66784.583333333328</v>
      </c>
      <c r="X850">
        <v>0</v>
      </c>
      <c r="Y850">
        <f t="shared" si="54"/>
        <v>66784.583333333328</v>
      </c>
      <c r="Z850">
        <f t="shared" si="55"/>
        <v>0</v>
      </c>
      <c r="AA850">
        <v>0</v>
      </c>
    </row>
    <row r="851" spans="1:27" x14ac:dyDescent="0.25">
      <c r="A851" s="1">
        <v>850</v>
      </c>
      <c r="B851" t="s">
        <v>2049</v>
      </c>
      <c r="C851" t="s">
        <v>1134</v>
      </c>
      <c r="D851" t="s">
        <v>1139</v>
      </c>
      <c r="E851" t="s">
        <v>1138</v>
      </c>
      <c r="H851" t="s">
        <v>1176</v>
      </c>
      <c r="I851" t="s">
        <v>1176</v>
      </c>
      <c r="J851" t="s">
        <v>1286</v>
      </c>
      <c r="K851" t="s">
        <v>1212</v>
      </c>
      <c r="M851" s="3">
        <f t="shared" si="52"/>
        <v>59.714285714285715</v>
      </c>
      <c r="N851">
        <v>22</v>
      </c>
      <c r="O851">
        <v>72</v>
      </c>
      <c r="P851">
        <v>66</v>
      </c>
      <c r="Q851">
        <v>71</v>
      </c>
      <c r="R851">
        <v>73</v>
      </c>
      <c r="S851">
        <v>75</v>
      </c>
      <c r="T851">
        <v>39</v>
      </c>
      <c r="U851">
        <v>0</v>
      </c>
      <c r="V851" s="3">
        <f t="shared" si="53"/>
        <v>576478</v>
      </c>
      <c r="W851">
        <v>48039.833333333336</v>
      </c>
      <c r="X851">
        <v>0</v>
      </c>
      <c r="Y851">
        <f t="shared" si="54"/>
        <v>48039.833333333336</v>
      </c>
      <c r="Z851">
        <f t="shared" si="55"/>
        <v>0</v>
      </c>
      <c r="AA851">
        <v>0</v>
      </c>
    </row>
    <row r="852" spans="1:27" x14ac:dyDescent="0.25">
      <c r="A852" s="1">
        <v>851</v>
      </c>
      <c r="B852" t="s">
        <v>2058</v>
      </c>
      <c r="C852" t="s">
        <v>1135</v>
      </c>
      <c r="D852" t="s">
        <v>1142</v>
      </c>
      <c r="E852" t="s">
        <v>1141</v>
      </c>
      <c r="H852" t="s">
        <v>1176</v>
      </c>
      <c r="I852" t="s">
        <v>1176</v>
      </c>
      <c r="J852" t="s">
        <v>1286</v>
      </c>
      <c r="K852" t="s">
        <v>1212</v>
      </c>
      <c r="M852" s="3">
        <f t="shared" si="52"/>
        <v>66.285714285714292</v>
      </c>
      <c r="N852">
        <v>24</v>
      </c>
      <c r="O852">
        <v>78</v>
      </c>
      <c r="P852">
        <v>74</v>
      </c>
      <c r="Q852">
        <v>79</v>
      </c>
      <c r="R852">
        <v>81</v>
      </c>
      <c r="S852">
        <v>83</v>
      </c>
      <c r="T852">
        <v>45</v>
      </c>
      <c r="U852">
        <v>0</v>
      </c>
      <c r="V852" s="3">
        <f t="shared" si="53"/>
        <v>1637569</v>
      </c>
      <c r="W852">
        <v>136464.08333333334</v>
      </c>
      <c r="X852">
        <v>0</v>
      </c>
      <c r="Y852">
        <f t="shared" si="54"/>
        <v>136464.08333333334</v>
      </c>
      <c r="Z852">
        <f t="shared" si="55"/>
        <v>0</v>
      </c>
      <c r="AA852">
        <v>0</v>
      </c>
    </row>
    <row r="853" spans="1:27" x14ac:dyDescent="0.25">
      <c r="A853" s="1">
        <v>852</v>
      </c>
      <c r="B853" t="s">
        <v>2056</v>
      </c>
      <c r="C853" t="s">
        <v>1135</v>
      </c>
      <c r="D853" t="s">
        <v>1141</v>
      </c>
      <c r="E853" t="s">
        <v>1142</v>
      </c>
      <c r="H853" t="s">
        <v>1176</v>
      </c>
      <c r="I853" t="s">
        <v>1176</v>
      </c>
      <c r="J853" t="s">
        <v>1286</v>
      </c>
      <c r="K853" t="s">
        <v>1212</v>
      </c>
      <c r="M853" s="3">
        <f t="shared" si="52"/>
        <v>62.142857142857146</v>
      </c>
      <c r="N853">
        <v>22</v>
      </c>
      <c r="O853">
        <v>74</v>
      </c>
      <c r="P853">
        <v>68</v>
      </c>
      <c r="Q853">
        <v>75</v>
      </c>
      <c r="R853">
        <v>77</v>
      </c>
      <c r="S853">
        <v>79</v>
      </c>
      <c r="T853">
        <v>40</v>
      </c>
      <c r="U853">
        <v>0</v>
      </c>
      <c r="V853" s="3">
        <f t="shared" si="53"/>
        <v>858840</v>
      </c>
      <c r="W853">
        <v>71570</v>
      </c>
      <c r="X853">
        <v>0</v>
      </c>
      <c r="Y853">
        <f t="shared" si="54"/>
        <v>71570</v>
      </c>
      <c r="Z853">
        <f t="shared" si="55"/>
        <v>0</v>
      </c>
      <c r="AA853">
        <v>0</v>
      </c>
    </row>
    <row r="854" spans="1:27" x14ac:dyDescent="0.25">
      <c r="A854" s="1">
        <v>853</v>
      </c>
      <c r="B854" t="s">
        <v>524</v>
      </c>
      <c r="C854" t="s">
        <v>1135</v>
      </c>
      <c r="D854" t="s">
        <v>1141</v>
      </c>
      <c r="E854" t="s">
        <v>1142</v>
      </c>
      <c r="G854" t="s">
        <v>1176</v>
      </c>
      <c r="H854" t="s">
        <v>1176</v>
      </c>
      <c r="I854" t="s">
        <v>1176</v>
      </c>
      <c r="J854" t="s">
        <v>1286</v>
      </c>
      <c r="K854" t="s">
        <v>1212</v>
      </c>
      <c r="M854" s="3">
        <f t="shared" si="52"/>
        <v>80.285714285714292</v>
      </c>
      <c r="N854">
        <v>81</v>
      </c>
      <c r="O854">
        <v>76</v>
      </c>
      <c r="P854">
        <v>80</v>
      </c>
      <c r="Q854">
        <v>76</v>
      </c>
      <c r="R854">
        <v>83</v>
      </c>
      <c r="S854">
        <v>90</v>
      </c>
      <c r="T854">
        <v>76</v>
      </c>
      <c r="U854">
        <v>16</v>
      </c>
      <c r="V854" s="3">
        <f t="shared" si="53"/>
        <v>16690680</v>
      </c>
      <c r="W854">
        <v>1390890</v>
      </c>
      <c r="X854">
        <v>0</v>
      </c>
      <c r="Y854">
        <f t="shared" si="54"/>
        <v>1390890</v>
      </c>
      <c r="Z854">
        <f t="shared" si="55"/>
        <v>0</v>
      </c>
      <c r="AA854">
        <v>0</v>
      </c>
    </row>
    <row r="855" spans="1:27" x14ac:dyDescent="0.25">
      <c r="A855" s="1">
        <v>854</v>
      </c>
      <c r="B855" t="s">
        <v>2057</v>
      </c>
      <c r="C855" t="s">
        <v>1135</v>
      </c>
      <c r="D855" t="s">
        <v>1141</v>
      </c>
      <c r="E855" t="s">
        <v>1142</v>
      </c>
      <c r="H855" t="s">
        <v>1176</v>
      </c>
      <c r="I855" t="s">
        <v>1176</v>
      </c>
      <c r="J855" t="s">
        <v>1286</v>
      </c>
      <c r="K855" t="s">
        <v>1212</v>
      </c>
      <c r="M855" s="3">
        <f t="shared" si="52"/>
        <v>74.428571428571431</v>
      </c>
      <c r="N855">
        <v>32</v>
      </c>
      <c r="O855">
        <v>81</v>
      </c>
      <c r="P855">
        <v>87</v>
      </c>
      <c r="Q855">
        <v>87</v>
      </c>
      <c r="R855">
        <v>89</v>
      </c>
      <c r="S855">
        <v>91</v>
      </c>
      <c r="T855">
        <v>54</v>
      </c>
      <c r="U855">
        <v>0</v>
      </c>
      <c r="V855" s="3">
        <f t="shared" si="53"/>
        <v>5216712</v>
      </c>
      <c r="W855">
        <v>434726</v>
      </c>
      <c r="X855">
        <v>0</v>
      </c>
      <c r="Y855">
        <f t="shared" si="54"/>
        <v>434726</v>
      </c>
      <c r="Z855">
        <f t="shared" si="55"/>
        <v>0</v>
      </c>
      <c r="AA855">
        <v>0</v>
      </c>
    </row>
    <row r="856" spans="1:27" x14ac:dyDescent="0.25">
      <c r="A856" s="1">
        <v>855</v>
      </c>
      <c r="B856" t="s">
        <v>2051</v>
      </c>
      <c r="C856" t="s">
        <v>1136</v>
      </c>
      <c r="D856" t="s">
        <v>1145</v>
      </c>
      <c r="E856" t="s">
        <v>1143</v>
      </c>
      <c r="H856" t="s">
        <v>1176</v>
      </c>
      <c r="I856" t="s">
        <v>1176</v>
      </c>
      <c r="J856" t="s">
        <v>1286</v>
      </c>
      <c r="K856" t="s">
        <v>1212</v>
      </c>
      <c r="M856" s="3">
        <f t="shared" si="52"/>
        <v>62.285714285714285</v>
      </c>
      <c r="N856">
        <v>22</v>
      </c>
      <c r="O856">
        <v>74</v>
      </c>
      <c r="P856">
        <v>68</v>
      </c>
      <c r="Q856">
        <v>78</v>
      </c>
      <c r="R856">
        <v>76</v>
      </c>
      <c r="S856">
        <v>78</v>
      </c>
      <c r="T856">
        <v>40</v>
      </c>
      <c r="U856">
        <v>0</v>
      </c>
      <c r="V856" s="3">
        <f t="shared" si="53"/>
        <v>878789</v>
      </c>
      <c r="W856">
        <v>73232.416666666672</v>
      </c>
      <c r="X856">
        <v>0</v>
      </c>
      <c r="Y856">
        <f t="shared" si="54"/>
        <v>73232.416666666672</v>
      </c>
      <c r="Z856">
        <f t="shared" si="55"/>
        <v>0</v>
      </c>
      <c r="AA856">
        <v>0</v>
      </c>
    </row>
    <row r="857" spans="1:27" x14ac:dyDescent="0.25">
      <c r="A857" s="1">
        <v>856</v>
      </c>
      <c r="B857" t="s">
        <v>2053</v>
      </c>
      <c r="C857" t="s">
        <v>1136</v>
      </c>
      <c r="D857" t="s">
        <v>1146</v>
      </c>
      <c r="E857" t="s">
        <v>1143</v>
      </c>
      <c r="H857" t="s">
        <v>1176</v>
      </c>
      <c r="I857" t="s">
        <v>1176</v>
      </c>
      <c r="J857" t="s">
        <v>1286</v>
      </c>
      <c r="K857" t="s">
        <v>1212</v>
      </c>
      <c r="M857" s="3">
        <f t="shared" si="52"/>
        <v>64.285714285714292</v>
      </c>
      <c r="N857">
        <v>23</v>
      </c>
      <c r="O857">
        <v>75</v>
      </c>
      <c r="P857">
        <v>70</v>
      </c>
      <c r="Q857">
        <v>78</v>
      </c>
      <c r="R857">
        <v>80</v>
      </c>
      <c r="S857">
        <v>82</v>
      </c>
      <c r="T857">
        <v>42</v>
      </c>
      <c r="U857">
        <v>0</v>
      </c>
      <c r="V857" s="3">
        <f t="shared" si="53"/>
        <v>1205438</v>
      </c>
      <c r="W857">
        <v>100453.16666666667</v>
      </c>
      <c r="X857">
        <v>0</v>
      </c>
      <c r="Y857">
        <f t="shared" si="54"/>
        <v>100453.16666666667</v>
      </c>
      <c r="Z857">
        <f t="shared" si="55"/>
        <v>0</v>
      </c>
      <c r="AA857">
        <v>0</v>
      </c>
    </row>
    <row r="858" spans="1:27" x14ac:dyDescent="0.25">
      <c r="A858" s="1">
        <v>857</v>
      </c>
      <c r="B858" t="s">
        <v>801</v>
      </c>
      <c r="C858" t="s">
        <v>1136</v>
      </c>
      <c r="D858" t="s">
        <v>1144</v>
      </c>
      <c r="E858" t="s">
        <v>1138</v>
      </c>
      <c r="G858" t="s">
        <v>1176</v>
      </c>
      <c r="H858" t="s">
        <v>1176</v>
      </c>
      <c r="I858" t="s">
        <v>1176</v>
      </c>
      <c r="J858" t="s">
        <v>1286</v>
      </c>
      <c r="K858" t="s">
        <v>1212</v>
      </c>
      <c r="M858" s="3">
        <f t="shared" si="52"/>
        <v>82.142857142857139</v>
      </c>
      <c r="N858">
        <v>80</v>
      </c>
      <c r="O858">
        <v>77</v>
      </c>
      <c r="P858">
        <v>80</v>
      </c>
      <c r="Q858">
        <v>84</v>
      </c>
      <c r="R858">
        <v>86</v>
      </c>
      <c r="S858">
        <v>87</v>
      </c>
      <c r="T858">
        <v>81</v>
      </c>
      <c r="U858">
        <v>18</v>
      </c>
      <c r="V858" s="3">
        <f t="shared" si="53"/>
        <v>20979219</v>
      </c>
      <c r="W858">
        <v>1748268.25</v>
      </c>
      <c r="X858">
        <v>0</v>
      </c>
      <c r="Y858">
        <f t="shared" si="54"/>
        <v>1748268.25</v>
      </c>
      <c r="Z858">
        <f t="shared" si="55"/>
        <v>0</v>
      </c>
      <c r="AA858">
        <v>0</v>
      </c>
    </row>
    <row r="859" spans="1:27" x14ac:dyDescent="0.25">
      <c r="A859" s="1">
        <v>858</v>
      </c>
      <c r="B859" t="s">
        <v>2050</v>
      </c>
      <c r="C859" t="s">
        <v>1136</v>
      </c>
      <c r="D859" t="s">
        <v>1143</v>
      </c>
      <c r="E859" t="s">
        <v>1144</v>
      </c>
      <c r="H859" t="s">
        <v>1176</v>
      </c>
      <c r="I859" t="s">
        <v>1176</v>
      </c>
      <c r="J859" t="s">
        <v>1286</v>
      </c>
      <c r="K859" t="s">
        <v>1212</v>
      </c>
      <c r="M859" s="3">
        <f t="shared" si="52"/>
        <v>59</v>
      </c>
      <c r="N859">
        <v>21</v>
      </c>
      <c r="O859">
        <v>69</v>
      </c>
      <c r="P859">
        <v>62</v>
      </c>
      <c r="Q859">
        <v>73</v>
      </c>
      <c r="R859">
        <v>75</v>
      </c>
      <c r="S859">
        <v>77</v>
      </c>
      <c r="T859">
        <v>36</v>
      </c>
      <c r="U859">
        <v>0</v>
      </c>
      <c r="V859" s="3">
        <f t="shared" si="53"/>
        <v>511117</v>
      </c>
      <c r="W859">
        <v>42593.083333333336</v>
      </c>
      <c r="X859">
        <v>0</v>
      </c>
      <c r="Y859">
        <f t="shared" si="54"/>
        <v>42593.083333333336</v>
      </c>
      <c r="Z859">
        <f t="shared" si="55"/>
        <v>0</v>
      </c>
      <c r="AA859">
        <v>0</v>
      </c>
    </row>
    <row r="860" spans="1:27" x14ac:dyDescent="0.25">
      <c r="A860" s="1">
        <v>859</v>
      </c>
      <c r="B860" t="s">
        <v>2054</v>
      </c>
      <c r="C860" t="s">
        <v>1136</v>
      </c>
      <c r="D860" t="s">
        <v>1147</v>
      </c>
      <c r="E860" t="s">
        <v>1145</v>
      </c>
      <c r="H860" t="s">
        <v>1176</v>
      </c>
      <c r="I860" t="s">
        <v>1176</v>
      </c>
      <c r="J860" t="s">
        <v>1286</v>
      </c>
      <c r="K860" t="s">
        <v>1212</v>
      </c>
      <c r="M860" s="3">
        <f t="shared" si="52"/>
        <v>67.285714285714292</v>
      </c>
      <c r="N860">
        <v>25</v>
      </c>
      <c r="O860">
        <v>79</v>
      </c>
      <c r="P860">
        <v>76</v>
      </c>
      <c r="Q860">
        <v>82</v>
      </c>
      <c r="R860">
        <v>80</v>
      </c>
      <c r="S860">
        <v>82</v>
      </c>
      <c r="T860">
        <v>47</v>
      </c>
      <c r="U860">
        <v>0</v>
      </c>
      <c r="V860" s="3">
        <f t="shared" si="53"/>
        <v>1902080</v>
      </c>
      <c r="W860">
        <v>158506.66666666666</v>
      </c>
      <c r="X860">
        <v>0</v>
      </c>
      <c r="Y860">
        <f t="shared" si="54"/>
        <v>158506.66666666666</v>
      </c>
      <c r="Z860">
        <f t="shared" si="55"/>
        <v>0</v>
      </c>
      <c r="AA860">
        <v>0</v>
      </c>
    </row>
    <row r="861" spans="1:27" x14ac:dyDescent="0.25">
      <c r="A861" s="1">
        <v>860</v>
      </c>
      <c r="B861" t="s">
        <v>794</v>
      </c>
      <c r="C861" t="s">
        <v>1136</v>
      </c>
      <c r="D861" t="s">
        <v>1144</v>
      </c>
      <c r="E861" t="s">
        <v>1143</v>
      </c>
      <c r="G861" t="s">
        <v>1176</v>
      </c>
      <c r="H861" t="s">
        <v>1176</v>
      </c>
      <c r="I861" t="s">
        <v>1176</v>
      </c>
      <c r="J861" t="s">
        <v>1286</v>
      </c>
      <c r="K861" t="s">
        <v>1212</v>
      </c>
      <c r="M861" s="3">
        <f t="shared" si="52"/>
        <v>74</v>
      </c>
      <c r="N861">
        <v>52</v>
      </c>
      <c r="O861">
        <v>73</v>
      </c>
      <c r="P861">
        <v>77</v>
      </c>
      <c r="Q861">
        <v>77</v>
      </c>
      <c r="R861">
        <v>80</v>
      </c>
      <c r="S861">
        <v>83</v>
      </c>
      <c r="T861">
        <v>76</v>
      </c>
      <c r="U861">
        <v>18</v>
      </c>
      <c r="V861" s="3">
        <f t="shared" si="53"/>
        <v>7385986</v>
      </c>
      <c r="W861">
        <v>615498.83333333337</v>
      </c>
      <c r="X861">
        <v>0</v>
      </c>
      <c r="Y861">
        <f t="shared" si="54"/>
        <v>615498.83333333337</v>
      </c>
      <c r="Z861">
        <f t="shared" si="55"/>
        <v>0</v>
      </c>
      <c r="AA861">
        <v>0</v>
      </c>
    </row>
    <row r="862" spans="1:27" x14ac:dyDescent="0.25">
      <c r="A862" s="1">
        <v>861</v>
      </c>
      <c r="B862" t="s">
        <v>2052</v>
      </c>
      <c r="C862" t="s">
        <v>1136</v>
      </c>
      <c r="D862" t="s">
        <v>1145</v>
      </c>
      <c r="E862" t="s">
        <v>1147</v>
      </c>
      <c r="H862" t="s">
        <v>1176</v>
      </c>
      <c r="I862" t="s">
        <v>1176</v>
      </c>
      <c r="J862" t="s">
        <v>1286</v>
      </c>
      <c r="K862" t="s">
        <v>1212</v>
      </c>
      <c r="M862" s="3">
        <f t="shared" si="52"/>
        <v>65.142857142857139</v>
      </c>
      <c r="N862">
        <v>24</v>
      </c>
      <c r="O862">
        <v>77</v>
      </c>
      <c r="P862">
        <v>74</v>
      </c>
      <c r="Q862">
        <v>80</v>
      </c>
      <c r="R862">
        <v>78</v>
      </c>
      <c r="S862">
        <v>80</v>
      </c>
      <c r="T862">
        <v>43</v>
      </c>
      <c r="U862">
        <v>0</v>
      </c>
      <c r="V862" s="3">
        <f t="shared" si="53"/>
        <v>1376158</v>
      </c>
      <c r="W862">
        <v>114679.83333333333</v>
      </c>
      <c r="X862">
        <v>0</v>
      </c>
      <c r="Y862">
        <f t="shared" si="54"/>
        <v>114679.83333333333</v>
      </c>
      <c r="Z862">
        <f t="shared" si="55"/>
        <v>0</v>
      </c>
      <c r="AA862">
        <v>0</v>
      </c>
    </row>
    <row r="863" spans="1:27" x14ac:dyDescent="0.25">
      <c r="A863" s="1">
        <v>862</v>
      </c>
      <c r="B863" t="s">
        <v>2055</v>
      </c>
      <c r="C863" t="s">
        <v>1136</v>
      </c>
      <c r="D863" t="s">
        <v>1147</v>
      </c>
      <c r="E863" t="s">
        <v>1146</v>
      </c>
      <c r="H863" t="s">
        <v>1176</v>
      </c>
      <c r="I863" t="s">
        <v>1176</v>
      </c>
      <c r="J863" t="s">
        <v>1286</v>
      </c>
      <c r="K863" t="s">
        <v>1212</v>
      </c>
      <c r="M863" s="3">
        <f t="shared" si="52"/>
        <v>62.142857142857146</v>
      </c>
      <c r="N863">
        <v>22</v>
      </c>
      <c r="O863">
        <v>72</v>
      </c>
      <c r="P863">
        <v>68</v>
      </c>
      <c r="Q863">
        <v>76</v>
      </c>
      <c r="R863">
        <v>78</v>
      </c>
      <c r="S863">
        <v>80</v>
      </c>
      <c r="T863">
        <v>39</v>
      </c>
      <c r="U863">
        <v>0</v>
      </c>
      <c r="V863" s="3">
        <f t="shared" si="53"/>
        <v>858840</v>
      </c>
      <c r="W863">
        <v>71570</v>
      </c>
      <c r="X863">
        <v>0</v>
      </c>
      <c r="Y863">
        <f t="shared" si="54"/>
        <v>71570</v>
      </c>
      <c r="Z863">
        <f t="shared" si="55"/>
        <v>0</v>
      </c>
      <c r="AA863">
        <v>0</v>
      </c>
    </row>
    <row r="864" spans="1:27" x14ac:dyDescent="0.25">
      <c r="A864" s="1">
        <v>863</v>
      </c>
      <c r="B864" t="s">
        <v>800</v>
      </c>
      <c r="C864" t="s">
        <v>1136</v>
      </c>
      <c r="D864" t="s">
        <v>1144</v>
      </c>
      <c r="E864" t="s">
        <v>1143</v>
      </c>
      <c r="G864" t="s">
        <v>1176</v>
      </c>
      <c r="H864" t="s">
        <v>1176</v>
      </c>
      <c r="I864" t="s">
        <v>1176</v>
      </c>
      <c r="J864" t="s">
        <v>1286</v>
      </c>
      <c r="K864" t="s">
        <v>1212</v>
      </c>
      <c r="M864" s="3">
        <f t="shared" si="52"/>
        <v>83.142857142857139</v>
      </c>
      <c r="N864">
        <v>77</v>
      </c>
      <c r="O864">
        <v>79</v>
      </c>
      <c r="P864">
        <v>83</v>
      </c>
      <c r="Q864">
        <v>85</v>
      </c>
      <c r="R864">
        <v>85</v>
      </c>
      <c r="S864">
        <v>89</v>
      </c>
      <c r="T864">
        <v>84</v>
      </c>
      <c r="U864">
        <v>18</v>
      </c>
      <c r="V864" s="3">
        <f t="shared" si="53"/>
        <v>23677765</v>
      </c>
      <c r="W864">
        <v>1973147.0833333333</v>
      </c>
      <c r="X864">
        <v>0</v>
      </c>
      <c r="Y864">
        <f t="shared" si="54"/>
        <v>1973147.0833333333</v>
      </c>
      <c r="Z864">
        <f t="shared" si="55"/>
        <v>0</v>
      </c>
      <c r="AA864">
        <v>0</v>
      </c>
    </row>
    <row r="865" spans="1:27" x14ac:dyDescent="0.25">
      <c r="A865" s="1">
        <v>864</v>
      </c>
      <c r="B865" t="s">
        <v>2060</v>
      </c>
      <c r="C865" t="s">
        <v>1136</v>
      </c>
      <c r="D865" t="s">
        <v>1144</v>
      </c>
      <c r="E865" t="s">
        <v>1143</v>
      </c>
      <c r="H865" t="s">
        <v>1176</v>
      </c>
      <c r="I865" t="s">
        <v>1176</v>
      </c>
      <c r="J865" t="s">
        <v>1286</v>
      </c>
      <c r="K865" t="s">
        <v>1212</v>
      </c>
      <c r="M865" s="3">
        <f t="shared" si="52"/>
        <v>65.428571428571431</v>
      </c>
      <c r="N865">
        <v>24</v>
      </c>
      <c r="O865">
        <v>77</v>
      </c>
      <c r="P865">
        <v>72</v>
      </c>
      <c r="Q865">
        <v>81</v>
      </c>
      <c r="R865">
        <v>79</v>
      </c>
      <c r="S865">
        <v>81</v>
      </c>
      <c r="T865">
        <v>44</v>
      </c>
      <c r="U865">
        <v>0</v>
      </c>
      <c r="V865" s="3">
        <f t="shared" si="53"/>
        <v>1437721</v>
      </c>
      <c r="W865">
        <v>119810.08333333333</v>
      </c>
      <c r="X865">
        <v>0</v>
      </c>
      <c r="Y865">
        <f t="shared" si="54"/>
        <v>119810.08333333333</v>
      </c>
      <c r="Z865">
        <f t="shared" si="55"/>
        <v>0</v>
      </c>
      <c r="AA865">
        <v>0</v>
      </c>
    </row>
    <row r="866" spans="1:27" x14ac:dyDescent="0.25">
      <c r="A866" s="1">
        <v>865</v>
      </c>
      <c r="B866" t="s">
        <v>2059</v>
      </c>
      <c r="C866" t="s">
        <v>1136</v>
      </c>
      <c r="D866" t="s">
        <v>1146</v>
      </c>
      <c r="E866" t="s">
        <v>1144</v>
      </c>
      <c r="H866" t="s">
        <v>1176</v>
      </c>
      <c r="I866" t="s">
        <v>1176</v>
      </c>
      <c r="J866" t="s">
        <v>1286</v>
      </c>
      <c r="K866" t="s">
        <v>1212</v>
      </c>
      <c r="M866" s="3">
        <f t="shared" si="52"/>
        <v>60.428571428571431</v>
      </c>
      <c r="N866">
        <v>21</v>
      </c>
      <c r="O866">
        <v>70</v>
      </c>
      <c r="P866">
        <v>64</v>
      </c>
      <c r="Q866">
        <v>75</v>
      </c>
      <c r="R866">
        <v>77</v>
      </c>
      <c r="S866">
        <v>79</v>
      </c>
      <c r="T866">
        <v>37</v>
      </c>
      <c r="U866">
        <v>0</v>
      </c>
      <c r="V866" s="3">
        <f t="shared" si="53"/>
        <v>649267</v>
      </c>
      <c r="W866">
        <v>54105.583333333336</v>
      </c>
      <c r="X866">
        <v>0</v>
      </c>
      <c r="Y866">
        <f t="shared" si="54"/>
        <v>54105.583333333336</v>
      </c>
      <c r="Z866">
        <f t="shared" si="55"/>
        <v>0</v>
      </c>
      <c r="AA866">
        <v>0</v>
      </c>
    </row>
    <row r="867" spans="1:27" x14ac:dyDescent="0.25">
      <c r="A867" s="1">
        <v>866</v>
      </c>
      <c r="B867" t="s">
        <v>2047</v>
      </c>
      <c r="C867" t="s">
        <v>1137</v>
      </c>
      <c r="D867" t="s">
        <v>1137</v>
      </c>
      <c r="H867" t="s">
        <v>1176</v>
      </c>
      <c r="I867" t="s">
        <v>1176</v>
      </c>
      <c r="J867" t="s">
        <v>1286</v>
      </c>
      <c r="K867" t="s">
        <v>1212</v>
      </c>
      <c r="M867" s="3">
        <f t="shared" si="52"/>
        <v>60.714285714285715</v>
      </c>
      <c r="N867">
        <v>22</v>
      </c>
      <c r="O867">
        <v>71</v>
      </c>
      <c r="P867">
        <v>64</v>
      </c>
      <c r="Q867">
        <v>73</v>
      </c>
      <c r="R867">
        <v>75</v>
      </c>
      <c r="S867">
        <v>77</v>
      </c>
      <c r="T867">
        <v>43</v>
      </c>
      <c r="U867">
        <v>0</v>
      </c>
      <c r="V867" s="3">
        <f t="shared" si="53"/>
        <v>680627</v>
      </c>
      <c r="W867">
        <v>56718.916666666664</v>
      </c>
      <c r="X867">
        <v>0</v>
      </c>
      <c r="Y867">
        <f t="shared" si="54"/>
        <v>56718.916666666664</v>
      </c>
      <c r="Z867">
        <f t="shared" si="55"/>
        <v>0</v>
      </c>
      <c r="AA867">
        <v>0</v>
      </c>
    </row>
    <row r="868" spans="1:27" x14ac:dyDescent="0.25">
      <c r="A868" s="1">
        <v>867</v>
      </c>
      <c r="B868" t="s">
        <v>311</v>
      </c>
      <c r="C868" t="s">
        <v>1134</v>
      </c>
      <c r="D868" t="s">
        <v>1138</v>
      </c>
      <c r="E868" t="s">
        <v>1140</v>
      </c>
      <c r="F868" t="s">
        <v>1139</v>
      </c>
      <c r="G868" t="s">
        <v>1187</v>
      </c>
      <c r="H868" t="s">
        <v>1187</v>
      </c>
      <c r="I868" t="s">
        <v>1187</v>
      </c>
      <c r="J868" t="s">
        <v>1280</v>
      </c>
      <c r="K868" t="s">
        <v>1213</v>
      </c>
      <c r="M868" s="3">
        <f t="shared" si="52"/>
        <v>86.428571428571431</v>
      </c>
      <c r="N868">
        <v>83</v>
      </c>
      <c r="O868">
        <v>88</v>
      </c>
      <c r="P868">
        <v>94</v>
      </c>
      <c r="Q868">
        <v>84</v>
      </c>
      <c r="R868">
        <v>90</v>
      </c>
      <c r="S868">
        <v>88</v>
      </c>
      <c r="T868">
        <v>78</v>
      </c>
      <c r="U868">
        <v>18</v>
      </c>
      <c r="V868" s="3">
        <f t="shared" si="53"/>
        <v>34887079</v>
      </c>
      <c r="W868">
        <v>2907256.5833333335</v>
      </c>
      <c r="X868">
        <v>0</v>
      </c>
      <c r="Y868">
        <f t="shared" si="54"/>
        <v>2907256.5833333335</v>
      </c>
      <c r="Z868">
        <f t="shared" si="55"/>
        <v>0</v>
      </c>
      <c r="AA868">
        <v>0</v>
      </c>
    </row>
    <row r="869" spans="1:27" x14ac:dyDescent="0.25">
      <c r="A869" s="1">
        <v>868</v>
      </c>
      <c r="B869" t="s">
        <v>1739</v>
      </c>
      <c r="C869" t="s">
        <v>1133</v>
      </c>
      <c r="D869" t="s">
        <v>1133</v>
      </c>
      <c r="H869" t="s">
        <v>1201</v>
      </c>
      <c r="I869" t="s">
        <v>1201</v>
      </c>
      <c r="J869" t="s">
        <v>1234</v>
      </c>
      <c r="K869" t="s">
        <v>1212</v>
      </c>
      <c r="M869" s="3">
        <f t="shared" si="52"/>
        <v>59.857142857142854</v>
      </c>
      <c r="N869">
        <v>27</v>
      </c>
      <c r="O869">
        <v>65</v>
      </c>
      <c r="P869">
        <v>61</v>
      </c>
      <c r="Q869">
        <v>70</v>
      </c>
      <c r="R869">
        <v>77</v>
      </c>
      <c r="S869">
        <v>75</v>
      </c>
      <c r="T869">
        <v>44</v>
      </c>
      <c r="U869">
        <v>0</v>
      </c>
      <c r="V869" s="3">
        <f t="shared" si="53"/>
        <v>590419</v>
      </c>
      <c r="W869">
        <v>49201.583333333336</v>
      </c>
      <c r="X869">
        <v>0</v>
      </c>
      <c r="Y869">
        <f t="shared" si="54"/>
        <v>49201.583333333336</v>
      </c>
      <c r="Z869">
        <f t="shared" si="55"/>
        <v>0</v>
      </c>
      <c r="AA869">
        <v>0</v>
      </c>
    </row>
    <row r="870" spans="1:27" x14ac:dyDescent="0.25">
      <c r="A870" s="1">
        <v>869</v>
      </c>
      <c r="B870" t="s">
        <v>38</v>
      </c>
      <c r="C870" t="s">
        <v>1133</v>
      </c>
      <c r="D870" t="s">
        <v>1133</v>
      </c>
      <c r="G870" t="s">
        <v>1159</v>
      </c>
      <c r="H870" t="s">
        <v>1159</v>
      </c>
      <c r="I870" t="s">
        <v>1159</v>
      </c>
      <c r="J870" t="s">
        <v>1234</v>
      </c>
      <c r="K870" t="s">
        <v>1212</v>
      </c>
      <c r="M870" s="3">
        <f t="shared" si="52"/>
        <v>60.857142857142854</v>
      </c>
      <c r="N870">
        <v>29</v>
      </c>
      <c r="O870">
        <v>60</v>
      </c>
      <c r="P870">
        <v>56</v>
      </c>
      <c r="Q870">
        <v>65</v>
      </c>
      <c r="R870">
        <v>76</v>
      </c>
      <c r="S870">
        <v>74</v>
      </c>
      <c r="T870">
        <v>66</v>
      </c>
      <c r="U870">
        <v>0</v>
      </c>
      <c r="V870" s="3">
        <f t="shared" si="53"/>
        <v>696812</v>
      </c>
      <c r="W870">
        <v>58067.666666666664</v>
      </c>
      <c r="X870">
        <v>0</v>
      </c>
      <c r="Y870">
        <f t="shared" si="54"/>
        <v>58067.666666666664</v>
      </c>
      <c r="Z870">
        <f t="shared" si="55"/>
        <v>0</v>
      </c>
      <c r="AA870">
        <v>0</v>
      </c>
    </row>
    <row r="871" spans="1:27" x14ac:dyDescent="0.25">
      <c r="A871" s="1">
        <v>870</v>
      </c>
      <c r="B871" t="s">
        <v>97</v>
      </c>
      <c r="C871" t="s">
        <v>1133</v>
      </c>
      <c r="D871" t="s">
        <v>1133</v>
      </c>
      <c r="G871" t="s">
        <v>1201</v>
      </c>
      <c r="H871" t="s">
        <v>1201</v>
      </c>
      <c r="I871" t="s">
        <v>1201</v>
      </c>
      <c r="J871" t="s">
        <v>1234</v>
      </c>
      <c r="K871" t="s">
        <v>1212</v>
      </c>
      <c r="M871" s="3">
        <f t="shared" si="52"/>
        <v>63.428571428571431</v>
      </c>
      <c r="N871">
        <v>30</v>
      </c>
      <c r="O871">
        <v>70</v>
      </c>
      <c r="P871">
        <v>85</v>
      </c>
      <c r="Q871">
        <v>65</v>
      </c>
      <c r="R871">
        <v>70</v>
      </c>
      <c r="S871">
        <v>80</v>
      </c>
      <c r="T871">
        <v>44</v>
      </c>
      <c r="U871">
        <v>0</v>
      </c>
      <c r="V871" s="3">
        <f t="shared" si="53"/>
        <v>1054022</v>
      </c>
      <c r="W871">
        <v>87835.166666666672</v>
      </c>
      <c r="X871">
        <v>0</v>
      </c>
      <c r="Y871">
        <f t="shared" si="54"/>
        <v>87835.166666666672</v>
      </c>
      <c r="Z871">
        <f t="shared" si="55"/>
        <v>0</v>
      </c>
      <c r="AA871">
        <v>0</v>
      </c>
    </row>
    <row r="872" spans="1:27" x14ac:dyDescent="0.25">
      <c r="A872" s="1">
        <v>871</v>
      </c>
      <c r="B872" t="s">
        <v>1740</v>
      </c>
      <c r="C872" t="s">
        <v>1134</v>
      </c>
      <c r="D872" t="s">
        <v>1138</v>
      </c>
      <c r="E872" t="s">
        <v>1144</v>
      </c>
      <c r="H872" t="s">
        <v>1201</v>
      </c>
      <c r="I872" t="s">
        <v>1201</v>
      </c>
      <c r="J872" t="s">
        <v>1234</v>
      </c>
      <c r="K872" t="s">
        <v>1212</v>
      </c>
      <c r="M872" s="3">
        <f t="shared" si="52"/>
        <v>58.428571428571431</v>
      </c>
      <c r="N872">
        <v>21</v>
      </c>
      <c r="O872">
        <v>61</v>
      </c>
      <c r="P872">
        <v>67</v>
      </c>
      <c r="Q872">
        <v>73</v>
      </c>
      <c r="R872">
        <v>75</v>
      </c>
      <c r="S872">
        <v>77</v>
      </c>
      <c r="T872">
        <v>35</v>
      </c>
      <c r="U872">
        <v>0</v>
      </c>
      <c r="V872" s="3">
        <f t="shared" si="53"/>
        <v>463717</v>
      </c>
      <c r="W872">
        <v>38643.083333333336</v>
      </c>
      <c r="X872">
        <v>0</v>
      </c>
      <c r="Y872">
        <f t="shared" si="54"/>
        <v>38643.083333333336</v>
      </c>
      <c r="Z872">
        <f t="shared" si="55"/>
        <v>0</v>
      </c>
      <c r="AA872">
        <v>0</v>
      </c>
    </row>
    <row r="873" spans="1:27" x14ac:dyDescent="0.25">
      <c r="A873" s="1">
        <v>872</v>
      </c>
      <c r="B873" t="s">
        <v>379</v>
      </c>
      <c r="C873" t="s">
        <v>1134</v>
      </c>
      <c r="D873" t="s">
        <v>1138</v>
      </c>
      <c r="E873" t="s">
        <v>1144</v>
      </c>
      <c r="G873" t="s">
        <v>1201</v>
      </c>
      <c r="H873" t="s">
        <v>1201</v>
      </c>
      <c r="I873" t="s">
        <v>1201</v>
      </c>
      <c r="J873" t="s">
        <v>1234</v>
      </c>
      <c r="K873" t="s">
        <v>1212</v>
      </c>
      <c r="M873" s="3">
        <f t="shared" si="52"/>
        <v>59</v>
      </c>
      <c r="N873">
        <v>23</v>
      </c>
      <c r="O873">
        <v>55</v>
      </c>
      <c r="P873">
        <v>73</v>
      </c>
      <c r="Q873">
        <v>67</v>
      </c>
      <c r="R873">
        <v>74</v>
      </c>
      <c r="S873">
        <v>76</v>
      </c>
      <c r="T873">
        <v>45</v>
      </c>
      <c r="U873">
        <v>0</v>
      </c>
      <c r="V873" s="3">
        <f t="shared" si="53"/>
        <v>511117</v>
      </c>
      <c r="W873">
        <v>42593.083333333336</v>
      </c>
      <c r="X873">
        <v>0</v>
      </c>
      <c r="Y873">
        <f t="shared" si="54"/>
        <v>42593.083333333336</v>
      </c>
      <c r="Z873">
        <f t="shared" si="55"/>
        <v>0</v>
      </c>
      <c r="AA873">
        <v>0</v>
      </c>
    </row>
    <row r="874" spans="1:27" x14ac:dyDescent="0.25">
      <c r="A874" s="1">
        <v>873</v>
      </c>
      <c r="B874" t="s">
        <v>1742</v>
      </c>
      <c r="C874" t="s">
        <v>1134</v>
      </c>
      <c r="D874" t="s">
        <v>1138</v>
      </c>
      <c r="E874" t="s">
        <v>1139</v>
      </c>
      <c r="H874" t="s">
        <v>1201</v>
      </c>
      <c r="I874" t="s">
        <v>1201</v>
      </c>
      <c r="J874" t="s">
        <v>1234</v>
      </c>
      <c r="K874" t="s">
        <v>1212</v>
      </c>
      <c r="M874" s="3">
        <f t="shared" si="52"/>
        <v>66</v>
      </c>
      <c r="N874">
        <v>29</v>
      </c>
      <c r="O874">
        <v>71</v>
      </c>
      <c r="P874">
        <v>73</v>
      </c>
      <c r="Q874">
        <v>79</v>
      </c>
      <c r="R874">
        <v>81</v>
      </c>
      <c r="S874">
        <v>83</v>
      </c>
      <c r="T874">
        <v>46</v>
      </c>
      <c r="U874">
        <v>0</v>
      </c>
      <c r="V874" s="3">
        <f t="shared" si="53"/>
        <v>1568337</v>
      </c>
      <c r="W874">
        <v>130694.75</v>
      </c>
      <c r="X874">
        <v>0</v>
      </c>
      <c r="Y874">
        <f t="shared" si="54"/>
        <v>130694.75</v>
      </c>
      <c r="Z874">
        <f t="shared" si="55"/>
        <v>0</v>
      </c>
      <c r="AA874">
        <v>0</v>
      </c>
    </row>
    <row r="875" spans="1:27" x14ac:dyDescent="0.25">
      <c r="A875" s="1">
        <v>874</v>
      </c>
      <c r="B875" t="s">
        <v>1741</v>
      </c>
      <c r="C875" t="s">
        <v>1134</v>
      </c>
      <c r="D875" t="s">
        <v>1138</v>
      </c>
      <c r="H875" t="s">
        <v>1201</v>
      </c>
      <c r="I875" t="s">
        <v>1201</v>
      </c>
      <c r="J875" t="s">
        <v>1234</v>
      </c>
      <c r="K875" t="s">
        <v>1212</v>
      </c>
      <c r="M875" s="3">
        <f t="shared" si="52"/>
        <v>48.428571428571431</v>
      </c>
      <c r="N875">
        <v>19</v>
      </c>
      <c r="O875">
        <v>43</v>
      </c>
      <c r="P875">
        <v>63</v>
      </c>
      <c r="Q875">
        <v>57</v>
      </c>
      <c r="R875">
        <v>61</v>
      </c>
      <c r="S875">
        <v>66</v>
      </c>
      <c r="T875">
        <v>30</v>
      </c>
      <c r="U875">
        <v>0</v>
      </c>
      <c r="V875" s="3">
        <f t="shared" si="53"/>
        <v>70961</v>
      </c>
      <c r="W875">
        <v>5913.416666666667</v>
      </c>
      <c r="X875">
        <v>0</v>
      </c>
      <c r="Y875">
        <f t="shared" si="54"/>
        <v>5913.416666666667</v>
      </c>
      <c r="Z875">
        <f t="shared" si="55"/>
        <v>0</v>
      </c>
      <c r="AA875">
        <v>0</v>
      </c>
    </row>
    <row r="876" spans="1:27" x14ac:dyDescent="0.25">
      <c r="A876" s="1">
        <v>875</v>
      </c>
      <c r="B876" t="s">
        <v>378</v>
      </c>
      <c r="C876" t="s">
        <v>1134</v>
      </c>
      <c r="D876" t="s">
        <v>1138</v>
      </c>
      <c r="G876" t="s">
        <v>1201</v>
      </c>
      <c r="H876" t="s">
        <v>1201</v>
      </c>
      <c r="I876" t="s">
        <v>1201</v>
      </c>
      <c r="J876" t="s">
        <v>1234</v>
      </c>
      <c r="K876" t="s">
        <v>1212</v>
      </c>
      <c r="M876" s="3">
        <f t="shared" si="52"/>
        <v>62.571428571428569</v>
      </c>
      <c r="N876">
        <v>40</v>
      </c>
      <c r="O876">
        <v>59</v>
      </c>
      <c r="P876">
        <v>70</v>
      </c>
      <c r="Q876">
        <v>66</v>
      </c>
      <c r="R876">
        <v>73</v>
      </c>
      <c r="S876">
        <v>79</v>
      </c>
      <c r="T876">
        <v>51</v>
      </c>
      <c r="U876">
        <v>0</v>
      </c>
      <c r="V876" s="3">
        <f t="shared" si="53"/>
        <v>919943</v>
      </c>
      <c r="W876">
        <v>76661.916666666672</v>
      </c>
      <c r="X876">
        <v>0</v>
      </c>
      <c r="Y876">
        <f t="shared" si="54"/>
        <v>76661.916666666672</v>
      </c>
      <c r="Z876">
        <f t="shared" si="55"/>
        <v>0</v>
      </c>
      <c r="AA876">
        <v>0</v>
      </c>
    </row>
    <row r="877" spans="1:27" x14ac:dyDescent="0.25">
      <c r="A877" s="1">
        <v>876</v>
      </c>
      <c r="B877" t="s">
        <v>269</v>
      </c>
      <c r="C877" t="s">
        <v>1134</v>
      </c>
      <c r="D877" t="s">
        <v>1138</v>
      </c>
      <c r="G877" t="s">
        <v>1178</v>
      </c>
      <c r="H877" t="s">
        <v>1178</v>
      </c>
      <c r="I877" t="s">
        <v>1178</v>
      </c>
      <c r="J877" t="s">
        <v>1234</v>
      </c>
      <c r="K877" t="s">
        <v>1212</v>
      </c>
      <c r="M877" s="3">
        <f t="shared" si="52"/>
        <v>43.857142857142854</v>
      </c>
      <c r="N877">
        <v>10</v>
      </c>
      <c r="O877">
        <v>40</v>
      </c>
      <c r="P877">
        <v>43</v>
      </c>
      <c r="Q877">
        <v>58</v>
      </c>
      <c r="R877">
        <v>60</v>
      </c>
      <c r="S877">
        <v>67</v>
      </c>
      <c r="T877">
        <v>29</v>
      </c>
      <c r="U877">
        <v>0</v>
      </c>
      <c r="V877" s="3">
        <f t="shared" si="53"/>
        <v>26328</v>
      </c>
      <c r="W877">
        <v>2194</v>
      </c>
      <c r="X877">
        <v>0</v>
      </c>
      <c r="Y877">
        <f t="shared" si="54"/>
        <v>2194</v>
      </c>
      <c r="Z877">
        <f t="shared" si="55"/>
        <v>0</v>
      </c>
      <c r="AA877">
        <v>0</v>
      </c>
    </row>
    <row r="878" spans="1:27" x14ac:dyDescent="0.25">
      <c r="A878" s="1">
        <v>877</v>
      </c>
      <c r="B878" t="s">
        <v>380</v>
      </c>
      <c r="C878" t="s">
        <v>1134</v>
      </c>
      <c r="D878" t="s">
        <v>1138</v>
      </c>
      <c r="G878" t="s">
        <v>1201</v>
      </c>
      <c r="H878" t="s">
        <v>1201</v>
      </c>
      <c r="I878" t="s">
        <v>1201</v>
      </c>
      <c r="J878" t="s">
        <v>1234</v>
      </c>
      <c r="K878" t="s">
        <v>1212</v>
      </c>
      <c r="M878" s="3">
        <f t="shared" si="52"/>
        <v>56.428571428571431</v>
      </c>
      <c r="N878">
        <v>21</v>
      </c>
      <c r="O878">
        <v>50</v>
      </c>
      <c r="P878">
        <v>72</v>
      </c>
      <c r="Q878">
        <v>66</v>
      </c>
      <c r="R878">
        <v>69</v>
      </c>
      <c r="S878">
        <v>77</v>
      </c>
      <c r="T878">
        <v>40</v>
      </c>
      <c r="U878">
        <v>0</v>
      </c>
      <c r="V878" s="3">
        <f t="shared" si="53"/>
        <v>327334</v>
      </c>
      <c r="W878">
        <v>27277.833333333332</v>
      </c>
      <c r="X878">
        <v>0</v>
      </c>
      <c r="Y878">
        <f t="shared" si="54"/>
        <v>27277.833333333332</v>
      </c>
      <c r="Z878">
        <f t="shared" si="55"/>
        <v>0</v>
      </c>
      <c r="AA878">
        <v>0</v>
      </c>
    </row>
    <row r="879" spans="1:27" x14ac:dyDescent="0.25">
      <c r="A879" s="1">
        <v>878</v>
      </c>
      <c r="B879" t="s">
        <v>1743</v>
      </c>
      <c r="C879" t="s">
        <v>1134</v>
      </c>
      <c r="D879" t="s">
        <v>1138</v>
      </c>
      <c r="H879" t="s">
        <v>1201</v>
      </c>
      <c r="I879" t="s">
        <v>1201</v>
      </c>
      <c r="J879" t="s">
        <v>1234</v>
      </c>
      <c r="K879" t="s">
        <v>1212</v>
      </c>
      <c r="M879" s="3">
        <f t="shared" si="52"/>
        <v>54.571428571428569</v>
      </c>
      <c r="N879">
        <v>22</v>
      </c>
      <c r="O879">
        <v>53</v>
      </c>
      <c r="P879">
        <v>65</v>
      </c>
      <c r="Q879">
        <v>64</v>
      </c>
      <c r="R879">
        <v>71</v>
      </c>
      <c r="S879">
        <v>74</v>
      </c>
      <c r="T879">
        <v>33</v>
      </c>
      <c r="U879">
        <v>0</v>
      </c>
      <c r="V879" s="3">
        <f t="shared" si="53"/>
        <v>234236</v>
      </c>
      <c r="W879">
        <v>19519.666666666668</v>
      </c>
      <c r="X879">
        <v>0</v>
      </c>
      <c r="Y879">
        <f t="shared" si="54"/>
        <v>19519.666666666668</v>
      </c>
      <c r="Z879">
        <f t="shared" si="55"/>
        <v>0</v>
      </c>
      <c r="AA879">
        <v>0</v>
      </c>
    </row>
    <row r="880" spans="1:27" x14ac:dyDescent="0.25">
      <c r="A880" s="1">
        <v>879</v>
      </c>
      <c r="B880" t="s">
        <v>602</v>
      </c>
      <c r="C880" t="s">
        <v>1135</v>
      </c>
      <c r="D880" t="s">
        <v>1141</v>
      </c>
      <c r="E880" t="s">
        <v>1145</v>
      </c>
      <c r="G880" t="s">
        <v>1201</v>
      </c>
      <c r="H880" t="s">
        <v>1201</v>
      </c>
      <c r="I880" t="s">
        <v>1201</v>
      </c>
      <c r="J880" t="s">
        <v>1234</v>
      </c>
      <c r="K880" t="s">
        <v>1212</v>
      </c>
      <c r="M880" s="3">
        <f t="shared" si="52"/>
        <v>52.428571428571431</v>
      </c>
      <c r="N880">
        <v>28</v>
      </c>
      <c r="O880">
        <v>50</v>
      </c>
      <c r="P880">
        <v>79</v>
      </c>
      <c r="Q880">
        <v>55</v>
      </c>
      <c r="R880">
        <v>56</v>
      </c>
      <c r="S880">
        <v>65</v>
      </c>
      <c r="T880">
        <v>34</v>
      </c>
      <c r="U880">
        <v>0</v>
      </c>
      <c r="V880" s="3">
        <f t="shared" si="53"/>
        <v>156921</v>
      </c>
      <c r="W880">
        <v>13076.75</v>
      </c>
      <c r="X880">
        <v>0</v>
      </c>
      <c r="Y880">
        <f t="shared" si="54"/>
        <v>13076.75</v>
      </c>
      <c r="Z880">
        <f t="shared" si="55"/>
        <v>0</v>
      </c>
      <c r="AA880">
        <v>0</v>
      </c>
    </row>
    <row r="881" spans="1:27" x14ac:dyDescent="0.25">
      <c r="A881" s="1">
        <v>880</v>
      </c>
      <c r="B881" t="s">
        <v>1748</v>
      </c>
      <c r="C881" t="s">
        <v>1135</v>
      </c>
      <c r="D881" t="s">
        <v>1141</v>
      </c>
      <c r="E881" t="s">
        <v>1142</v>
      </c>
      <c r="G881" t="s">
        <v>1201</v>
      </c>
      <c r="H881" t="s">
        <v>1201</v>
      </c>
      <c r="I881" t="s">
        <v>1201</v>
      </c>
      <c r="J881" t="s">
        <v>1234</v>
      </c>
      <c r="K881" t="s">
        <v>1212</v>
      </c>
      <c r="M881" s="3">
        <f t="shared" si="52"/>
        <v>67.142857142857139</v>
      </c>
      <c r="N881">
        <v>30</v>
      </c>
      <c r="O881">
        <v>75</v>
      </c>
      <c r="P881">
        <v>83</v>
      </c>
      <c r="Q881">
        <v>74</v>
      </c>
      <c r="R881">
        <v>79</v>
      </c>
      <c r="S881">
        <v>82</v>
      </c>
      <c r="T881">
        <v>47</v>
      </c>
      <c r="U881">
        <v>7</v>
      </c>
      <c r="V881" s="3">
        <f t="shared" si="53"/>
        <v>2793119</v>
      </c>
      <c r="W881">
        <v>232759.91666666666</v>
      </c>
      <c r="X881">
        <v>0</v>
      </c>
      <c r="Y881">
        <f t="shared" si="54"/>
        <v>232759.91666666666</v>
      </c>
      <c r="Z881">
        <f t="shared" si="55"/>
        <v>0</v>
      </c>
      <c r="AA881">
        <v>0</v>
      </c>
    </row>
    <row r="882" spans="1:27" x14ac:dyDescent="0.25">
      <c r="A882" s="1">
        <v>881</v>
      </c>
      <c r="B882" t="s">
        <v>601</v>
      </c>
      <c r="C882" t="s">
        <v>1135</v>
      </c>
      <c r="D882" t="s">
        <v>1141</v>
      </c>
      <c r="G882" t="s">
        <v>1201</v>
      </c>
      <c r="H882" t="s">
        <v>1201</v>
      </c>
      <c r="I882" t="s">
        <v>1201</v>
      </c>
      <c r="J882" t="s">
        <v>1234</v>
      </c>
      <c r="K882" t="s">
        <v>1212</v>
      </c>
      <c r="M882" s="3">
        <f t="shared" si="52"/>
        <v>52.714285714285715</v>
      </c>
      <c r="N882">
        <v>31</v>
      </c>
      <c r="O882">
        <v>47</v>
      </c>
      <c r="P882">
        <v>80</v>
      </c>
      <c r="Q882">
        <v>57</v>
      </c>
      <c r="R882">
        <v>55</v>
      </c>
      <c r="S882">
        <v>67</v>
      </c>
      <c r="T882">
        <v>32</v>
      </c>
      <c r="U882">
        <v>0</v>
      </c>
      <c r="V882" s="3">
        <f t="shared" si="53"/>
        <v>165686</v>
      </c>
      <c r="W882">
        <v>13807.166666666666</v>
      </c>
      <c r="X882">
        <v>0</v>
      </c>
      <c r="Y882">
        <f t="shared" si="54"/>
        <v>13807.166666666666</v>
      </c>
      <c r="Z882">
        <f t="shared" si="55"/>
        <v>0</v>
      </c>
      <c r="AA882">
        <v>0</v>
      </c>
    </row>
    <row r="883" spans="1:27" x14ac:dyDescent="0.25">
      <c r="A883" s="1">
        <v>882</v>
      </c>
      <c r="B883" t="s">
        <v>603</v>
      </c>
      <c r="C883" t="s">
        <v>1135</v>
      </c>
      <c r="D883" t="s">
        <v>1141</v>
      </c>
      <c r="G883" t="s">
        <v>1201</v>
      </c>
      <c r="H883" t="s">
        <v>1201</v>
      </c>
      <c r="I883" t="s">
        <v>1201</v>
      </c>
      <c r="J883" t="s">
        <v>1234</v>
      </c>
      <c r="K883" t="s">
        <v>1212</v>
      </c>
      <c r="M883" s="3">
        <f t="shared" si="52"/>
        <v>59</v>
      </c>
      <c r="N883">
        <v>34</v>
      </c>
      <c r="O883">
        <v>55</v>
      </c>
      <c r="P883">
        <v>83</v>
      </c>
      <c r="Q883">
        <v>61</v>
      </c>
      <c r="R883">
        <v>60</v>
      </c>
      <c r="S883">
        <v>75</v>
      </c>
      <c r="T883">
        <v>45</v>
      </c>
      <c r="U883">
        <v>0</v>
      </c>
      <c r="V883" s="3">
        <f t="shared" si="53"/>
        <v>511117</v>
      </c>
      <c r="W883">
        <v>42593.083333333336</v>
      </c>
      <c r="X883">
        <v>0</v>
      </c>
      <c r="Y883">
        <f t="shared" si="54"/>
        <v>42593.083333333336</v>
      </c>
      <c r="Z883">
        <f t="shared" si="55"/>
        <v>0</v>
      </c>
      <c r="AA883">
        <v>0</v>
      </c>
    </row>
    <row r="884" spans="1:27" x14ac:dyDescent="0.25">
      <c r="A884" s="1">
        <v>883</v>
      </c>
      <c r="B884" t="s">
        <v>993</v>
      </c>
      <c r="C884" t="s">
        <v>1136</v>
      </c>
      <c r="D884" t="s">
        <v>1147</v>
      </c>
      <c r="E884" t="s">
        <v>1145</v>
      </c>
      <c r="G884" t="s">
        <v>1206</v>
      </c>
      <c r="H884" t="s">
        <v>1206</v>
      </c>
      <c r="I884" t="s">
        <v>1206</v>
      </c>
      <c r="J884" t="s">
        <v>1234</v>
      </c>
      <c r="K884" t="s">
        <v>1212</v>
      </c>
      <c r="M884" s="3">
        <f t="shared" si="52"/>
        <v>46.285714285714285</v>
      </c>
      <c r="N884">
        <v>25</v>
      </c>
      <c r="O884">
        <v>68</v>
      </c>
      <c r="P884">
        <v>48</v>
      </c>
      <c r="Q884">
        <v>50</v>
      </c>
      <c r="R884">
        <v>54</v>
      </c>
      <c r="S884">
        <v>50</v>
      </c>
      <c r="T884">
        <v>29</v>
      </c>
      <c r="U884">
        <v>0</v>
      </c>
      <c r="V884" s="3">
        <f t="shared" si="53"/>
        <v>45131</v>
      </c>
      <c r="W884">
        <v>3760.9166666666665</v>
      </c>
      <c r="X884">
        <v>0</v>
      </c>
      <c r="Y884">
        <f t="shared" si="54"/>
        <v>3760.9166666666665</v>
      </c>
      <c r="Z884">
        <f t="shared" si="55"/>
        <v>0</v>
      </c>
      <c r="AA884">
        <v>0</v>
      </c>
    </row>
    <row r="885" spans="1:27" x14ac:dyDescent="0.25">
      <c r="A885" s="1">
        <v>884</v>
      </c>
      <c r="B885" t="s">
        <v>966</v>
      </c>
      <c r="C885" t="s">
        <v>1136</v>
      </c>
      <c r="D885" t="s">
        <v>1144</v>
      </c>
      <c r="G885" t="s">
        <v>1201</v>
      </c>
      <c r="H885" t="s">
        <v>1201</v>
      </c>
      <c r="I885" t="s">
        <v>1201</v>
      </c>
      <c r="J885" t="s">
        <v>1234</v>
      </c>
      <c r="K885" t="s">
        <v>1212</v>
      </c>
      <c r="M885" s="3">
        <f t="shared" si="52"/>
        <v>57.142857142857146</v>
      </c>
      <c r="N885">
        <v>53</v>
      </c>
      <c r="O885">
        <v>61</v>
      </c>
      <c r="P885">
        <v>47</v>
      </c>
      <c r="Q885">
        <v>56</v>
      </c>
      <c r="R885">
        <v>59</v>
      </c>
      <c r="S885">
        <v>65</v>
      </c>
      <c r="T885">
        <v>59</v>
      </c>
      <c r="U885">
        <v>0</v>
      </c>
      <c r="V885" s="3">
        <f t="shared" si="53"/>
        <v>371210</v>
      </c>
      <c r="W885">
        <v>30934.166666666668</v>
      </c>
      <c r="X885">
        <v>0</v>
      </c>
      <c r="Y885">
        <f t="shared" si="54"/>
        <v>30934.166666666668</v>
      </c>
      <c r="Z885">
        <f t="shared" si="55"/>
        <v>0</v>
      </c>
      <c r="AA885">
        <v>0</v>
      </c>
    </row>
    <row r="886" spans="1:27" x14ac:dyDescent="0.25">
      <c r="A886" s="1">
        <v>885</v>
      </c>
      <c r="B886" t="s">
        <v>1745</v>
      </c>
      <c r="C886" t="s">
        <v>1136</v>
      </c>
      <c r="D886" t="s">
        <v>1143</v>
      </c>
      <c r="E886" t="s">
        <v>1144</v>
      </c>
      <c r="H886" t="s">
        <v>1201</v>
      </c>
      <c r="I886" t="s">
        <v>1201</v>
      </c>
      <c r="J886" t="s">
        <v>1234</v>
      </c>
      <c r="K886" t="s">
        <v>1212</v>
      </c>
      <c r="M886" s="3">
        <f t="shared" si="52"/>
        <v>52</v>
      </c>
      <c r="N886">
        <v>20</v>
      </c>
      <c r="O886">
        <v>55</v>
      </c>
      <c r="P886">
        <v>61</v>
      </c>
      <c r="Q886">
        <v>63</v>
      </c>
      <c r="R886">
        <v>65</v>
      </c>
      <c r="S886">
        <v>69</v>
      </c>
      <c r="T886">
        <v>31</v>
      </c>
      <c r="U886">
        <v>0</v>
      </c>
      <c r="V886" s="3">
        <f t="shared" si="53"/>
        <v>144556</v>
      </c>
      <c r="W886">
        <v>12046.333333333334</v>
      </c>
      <c r="X886">
        <v>0</v>
      </c>
      <c r="Y886">
        <f t="shared" si="54"/>
        <v>12046.333333333334</v>
      </c>
      <c r="Z886">
        <f t="shared" si="55"/>
        <v>0</v>
      </c>
      <c r="AA886">
        <v>0</v>
      </c>
    </row>
    <row r="887" spans="1:27" x14ac:dyDescent="0.25">
      <c r="A887" s="1">
        <v>886</v>
      </c>
      <c r="B887" t="s">
        <v>1746</v>
      </c>
      <c r="C887" t="s">
        <v>1136</v>
      </c>
      <c r="D887" t="s">
        <v>1147</v>
      </c>
      <c r="E887" t="s">
        <v>1145</v>
      </c>
      <c r="H887" t="s">
        <v>1201</v>
      </c>
      <c r="I887" t="s">
        <v>1201</v>
      </c>
      <c r="J887" t="s">
        <v>1234</v>
      </c>
      <c r="K887" t="s">
        <v>1212</v>
      </c>
      <c r="M887" s="3">
        <f t="shared" si="52"/>
        <v>59.285714285714285</v>
      </c>
      <c r="N887">
        <v>24</v>
      </c>
      <c r="O887">
        <v>73</v>
      </c>
      <c r="P887">
        <v>69</v>
      </c>
      <c r="Q887">
        <v>68</v>
      </c>
      <c r="R887">
        <v>72</v>
      </c>
      <c r="S887">
        <v>71</v>
      </c>
      <c r="T887">
        <v>38</v>
      </c>
      <c r="U887">
        <v>0</v>
      </c>
      <c r="V887" s="3">
        <f t="shared" si="53"/>
        <v>536415</v>
      </c>
      <c r="W887">
        <v>44701.25</v>
      </c>
      <c r="X887">
        <v>0</v>
      </c>
      <c r="Y887">
        <f t="shared" si="54"/>
        <v>44701.25</v>
      </c>
      <c r="Z887">
        <f t="shared" si="55"/>
        <v>0</v>
      </c>
      <c r="AA887">
        <v>0</v>
      </c>
    </row>
    <row r="888" spans="1:27" x14ac:dyDescent="0.25">
      <c r="A888" s="1">
        <v>887</v>
      </c>
      <c r="B888" t="s">
        <v>967</v>
      </c>
      <c r="C888" t="s">
        <v>1136</v>
      </c>
      <c r="D888" t="s">
        <v>1143</v>
      </c>
      <c r="E888" t="s">
        <v>1145</v>
      </c>
      <c r="G888" t="s">
        <v>1201</v>
      </c>
      <c r="H888" t="s">
        <v>1201</v>
      </c>
      <c r="I888" t="s">
        <v>1201</v>
      </c>
      <c r="J888" t="s">
        <v>1234</v>
      </c>
      <c r="K888" t="s">
        <v>1212</v>
      </c>
      <c r="M888" s="3">
        <f t="shared" si="52"/>
        <v>51.857142857142854</v>
      </c>
      <c r="N888">
        <v>38</v>
      </c>
      <c r="O888">
        <v>49</v>
      </c>
      <c r="P888">
        <v>54</v>
      </c>
      <c r="Q888">
        <v>50</v>
      </c>
      <c r="R888">
        <v>54</v>
      </c>
      <c r="S888">
        <v>67</v>
      </c>
      <c r="T888">
        <v>51</v>
      </c>
      <c r="U888">
        <v>0</v>
      </c>
      <c r="V888" s="3">
        <f t="shared" si="53"/>
        <v>140633</v>
      </c>
      <c r="W888">
        <v>11719.416666666666</v>
      </c>
      <c r="X888">
        <v>0</v>
      </c>
      <c r="Y888">
        <f t="shared" si="54"/>
        <v>11719.416666666666</v>
      </c>
      <c r="Z888">
        <f t="shared" si="55"/>
        <v>0</v>
      </c>
      <c r="AA888">
        <v>0</v>
      </c>
    </row>
    <row r="889" spans="1:27" x14ac:dyDescent="0.25">
      <c r="A889" s="1">
        <v>888</v>
      </c>
      <c r="B889" t="s">
        <v>1747</v>
      </c>
      <c r="C889" t="s">
        <v>1136</v>
      </c>
      <c r="D889" t="s">
        <v>1146</v>
      </c>
      <c r="E889" t="s">
        <v>1144</v>
      </c>
      <c r="H889" t="s">
        <v>1201</v>
      </c>
      <c r="I889" t="s">
        <v>1201</v>
      </c>
      <c r="J889" t="s">
        <v>1234</v>
      </c>
      <c r="K889" t="s">
        <v>1212</v>
      </c>
      <c r="M889" s="3">
        <f t="shared" si="52"/>
        <v>54.142857142857146</v>
      </c>
      <c r="N889">
        <v>21</v>
      </c>
      <c r="O889">
        <v>67</v>
      </c>
      <c r="P889">
        <v>59</v>
      </c>
      <c r="Q889">
        <v>66</v>
      </c>
      <c r="R889">
        <v>64</v>
      </c>
      <c r="S889">
        <v>68</v>
      </c>
      <c r="T889">
        <v>34</v>
      </c>
      <c r="U889">
        <v>0</v>
      </c>
      <c r="V889" s="3">
        <f t="shared" si="53"/>
        <v>216477</v>
      </c>
      <c r="W889">
        <v>18039.75</v>
      </c>
      <c r="X889">
        <v>0</v>
      </c>
      <c r="Y889">
        <f t="shared" si="54"/>
        <v>18039.75</v>
      </c>
      <c r="Z889">
        <f t="shared" si="55"/>
        <v>0</v>
      </c>
      <c r="AA889">
        <v>0</v>
      </c>
    </row>
    <row r="890" spans="1:27" x14ac:dyDescent="0.25">
      <c r="A890" s="1">
        <v>889</v>
      </c>
      <c r="B890" t="s">
        <v>965</v>
      </c>
      <c r="C890" t="s">
        <v>1136</v>
      </c>
      <c r="D890" t="s">
        <v>1146</v>
      </c>
      <c r="E890" t="s">
        <v>1143</v>
      </c>
      <c r="G890" t="s">
        <v>1201</v>
      </c>
      <c r="H890" t="s">
        <v>1201</v>
      </c>
      <c r="I890" t="s">
        <v>1201</v>
      </c>
      <c r="J890" t="s">
        <v>1234</v>
      </c>
      <c r="K890" t="s">
        <v>1212</v>
      </c>
      <c r="M890" s="3">
        <f t="shared" si="52"/>
        <v>54</v>
      </c>
      <c r="N890">
        <v>59</v>
      </c>
      <c r="O890">
        <v>58</v>
      </c>
      <c r="P890">
        <v>56</v>
      </c>
      <c r="Q890">
        <v>56</v>
      </c>
      <c r="R890">
        <v>58</v>
      </c>
      <c r="S890">
        <v>46</v>
      </c>
      <c r="T890">
        <v>45</v>
      </c>
      <c r="U890">
        <v>0</v>
      </c>
      <c r="V890" s="3">
        <f t="shared" si="53"/>
        <v>210833</v>
      </c>
      <c r="W890">
        <v>17569.416666666668</v>
      </c>
      <c r="X890">
        <v>0</v>
      </c>
      <c r="Y890">
        <f t="shared" si="54"/>
        <v>17569.416666666668</v>
      </c>
      <c r="Z890">
        <f t="shared" si="55"/>
        <v>0</v>
      </c>
      <c r="AA890">
        <v>0</v>
      </c>
    </row>
    <row r="891" spans="1:27" x14ac:dyDescent="0.25">
      <c r="A891" s="1">
        <v>890</v>
      </c>
      <c r="B891" t="s">
        <v>1744</v>
      </c>
      <c r="C891" t="s">
        <v>1136</v>
      </c>
      <c r="D891" t="s">
        <v>1144</v>
      </c>
      <c r="E891" t="s">
        <v>1138</v>
      </c>
      <c r="H891" t="s">
        <v>1201</v>
      </c>
      <c r="I891" t="s">
        <v>1201</v>
      </c>
      <c r="J891" t="s">
        <v>1234</v>
      </c>
      <c r="K891" t="s">
        <v>1212</v>
      </c>
      <c r="M891" s="3">
        <f t="shared" si="52"/>
        <v>62.857142857142854</v>
      </c>
      <c r="N891">
        <v>26</v>
      </c>
      <c r="O891">
        <v>69</v>
      </c>
      <c r="P891">
        <v>75</v>
      </c>
      <c r="Q891">
        <v>77</v>
      </c>
      <c r="R891">
        <v>74</v>
      </c>
      <c r="S891">
        <v>76</v>
      </c>
      <c r="T891">
        <v>43</v>
      </c>
      <c r="U891">
        <v>0</v>
      </c>
      <c r="V891" s="3">
        <f t="shared" si="53"/>
        <v>962823</v>
      </c>
      <c r="W891">
        <v>80235.25</v>
      </c>
      <c r="X891">
        <v>0</v>
      </c>
      <c r="Y891">
        <f t="shared" si="54"/>
        <v>80235.25</v>
      </c>
      <c r="Z891">
        <f t="shared" si="55"/>
        <v>0</v>
      </c>
      <c r="AA891">
        <v>0</v>
      </c>
    </row>
    <row r="892" spans="1:27" x14ac:dyDescent="0.25">
      <c r="A892" s="1">
        <v>891</v>
      </c>
      <c r="B892" t="s">
        <v>1078</v>
      </c>
      <c r="C892" t="s">
        <v>1137</v>
      </c>
      <c r="D892" t="s">
        <v>1137</v>
      </c>
      <c r="H892" t="s">
        <v>1201</v>
      </c>
      <c r="I892" t="s">
        <v>1201</v>
      </c>
      <c r="J892" t="s">
        <v>1234</v>
      </c>
      <c r="K892" t="s">
        <v>1212</v>
      </c>
      <c r="M892" s="3">
        <f t="shared" si="52"/>
        <v>67.428571428571431</v>
      </c>
      <c r="N892">
        <v>60</v>
      </c>
      <c r="O892">
        <v>68</v>
      </c>
      <c r="P892">
        <v>83</v>
      </c>
      <c r="Q892">
        <v>80</v>
      </c>
      <c r="R892">
        <v>74</v>
      </c>
      <c r="S892">
        <v>67</v>
      </c>
      <c r="T892">
        <v>40</v>
      </c>
      <c r="U892">
        <v>0</v>
      </c>
      <c r="V892" s="3">
        <f t="shared" si="53"/>
        <v>1942852</v>
      </c>
      <c r="W892">
        <v>161904.33333333334</v>
      </c>
      <c r="X892">
        <v>0</v>
      </c>
      <c r="Y892">
        <f t="shared" si="54"/>
        <v>161904.33333333334</v>
      </c>
      <c r="Z892">
        <f t="shared" si="55"/>
        <v>0</v>
      </c>
      <c r="AA892">
        <v>0</v>
      </c>
    </row>
    <row r="893" spans="1:27" x14ac:dyDescent="0.25">
      <c r="A893" s="1">
        <v>892</v>
      </c>
      <c r="B893" t="s">
        <v>55</v>
      </c>
      <c r="C893" t="s">
        <v>1133</v>
      </c>
      <c r="D893" t="s">
        <v>1133</v>
      </c>
      <c r="G893" t="s">
        <v>1171</v>
      </c>
      <c r="H893" t="s">
        <v>1171</v>
      </c>
      <c r="I893" t="s">
        <v>1171</v>
      </c>
      <c r="J893" t="s">
        <v>1245</v>
      </c>
      <c r="K893" t="s">
        <v>1212</v>
      </c>
      <c r="M893" s="3">
        <f t="shared" si="52"/>
        <v>49.285714285714285</v>
      </c>
      <c r="N893">
        <v>34</v>
      </c>
      <c r="O893">
        <v>38</v>
      </c>
      <c r="P893">
        <v>49</v>
      </c>
      <c r="Q893">
        <v>22</v>
      </c>
      <c r="R893">
        <v>57</v>
      </c>
      <c r="S893">
        <v>79</v>
      </c>
      <c r="T893">
        <v>66</v>
      </c>
      <c r="U893">
        <v>0</v>
      </c>
      <c r="V893" s="3">
        <f t="shared" si="53"/>
        <v>84569</v>
      </c>
      <c r="W893">
        <v>7047.416666666667</v>
      </c>
      <c r="X893">
        <v>0</v>
      </c>
      <c r="Y893">
        <f t="shared" si="54"/>
        <v>7047.416666666667</v>
      </c>
      <c r="Z893">
        <f t="shared" si="55"/>
        <v>0</v>
      </c>
      <c r="AA893">
        <v>0</v>
      </c>
    </row>
    <row r="894" spans="1:27" x14ac:dyDescent="0.25">
      <c r="A894" s="1">
        <v>893</v>
      </c>
      <c r="B894" t="s">
        <v>228</v>
      </c>
      <c r="C894" t="s">
        <v>1134</v>
      </c>
      <c r="D894" t="s">
        <v>1138</v>
      </c>
      <c r="G894" t="s">
        <v>1171</v>
      </c>
      <c r="H894" t="s">
        <v>1171</v>
      </c>
      <c r="I894" t="s">
        <v>1171</v>
      </c>
      <c r="J894" t="s">
        <v>1245</v>
      </c>
      <c r="K894" t="s">
        <v>1212</v>
      </c>
      <c r="M894" s="3">
        <f t="shared" si="52"/>
        <v>63.285714285714285</v>
      </c>
      <c r="N894">
        <v>40</v>
      </c>
      <c r="O894">
        <v>60</v>
      </c>
      <c r="P894">
        <v>71</v>
      </c>
      <c r="Q894">
        <v>66</v>
      </c>
      <c r="R894">
        <v>71</v>
      </c>
      <c r="S894">
        <v>66</v>
      </c>
      <c r="T894">
        <v>69</v>
      </c>
      <c r="U894">
        <v>0</v>
      </c>
      <c r="V894" s="3">
        <f t="shared" si="53"/>
        <v>1030522</v>
      </c>
      <c r="W894">
        <v>85876.833333333328</v>
      </c>
      <c r="X894">
        <v>0</v>
      </c>
      <c r="Y894">
        <f t="shared" si="54"/>
        <v>85876.833333333328</v>
      </c>
      <c r="Z894">
        <f t="shared" si="55"/>
        <v>0</v>
      </c>
      <c r="AA894">
        <v>0</v>
      </c>
    </row>
    <row r="895" spans="1:27" x14ac:dyDescent="0.25">
      <c r="A895" s="1">
        <v>894</v>
      </c>
      <c r="B895" t="s">
        <v>1798</v>
      </c>
      <c r="C895" t="s">
        <v>1134</v>
      </c>
      <c r="D895" t="s">
        <v>1140</v>
      </c>
      <c r="E895" t="s">
        <v>1138</v>
      </c>
      <c r="G895" t="s">
        <v>1171</v>
      </c>
      <c r="H895" t="s">
        <v>1171</v>
      </c>
      <c r="I895" t="s">
        <v>1171</v>
      </c>
      <c r="J895" t="s">
        <v>1245</v>
      </c>
      <c r="K895" t="s">
        <v>1212</v>
      </c>
      <c r="M895" s="3">
        <f t="shared" si="52"/>
        <v>52.571428571428569</v>
      </c>
      <c r="N895">
        <v>15</v>
      </c>
      <c r="O895">
        <v>67</v>
      </c>
      <c r="P895">
        <v>53</v>
      </c>
      <c r="Q895">
        <v>65</v>
      </c>
      <c r="R895">
        <v>69</v>
      </c>
      <c r="S895">
        <v>71</v>
      </c>
      <c r="T895">
        <v>28</v>
      </c>
      <c r="U895">
        <v>0</v>
      </c>
      <c r="V895" s="3">
        <f t="shared" si="53"/>
        <v>161250</v>
      </c>
      <c r="W895">
        <v>13437.5</v>
      </c>
      <c r="X895">
        <v>0</v>
      </c>
      <c r="Y895">
        <f t="shared" si="54"/>
        <v>13437.5</v>
      </c>
      <c r="Z895">
        <f t="shared" si="55"/>
        <v>0</v>
      </c>
      <c r="AA895">
        <v>0</v>
      </c>
    </row>
    <row r="896" spans="1:27" x14ac:dyDescent="0.25">
      <c r="A896" s="1">
        <v>895</v>
      </c>
      <c r="B896" t="s">
        <v>233</v>
      </c>
      <c r="C896" t="s">
        <v>1134</v>
      </c>
      <c r="D896" t="s">
        <v>1138</v>
      </c>
      <c r="G896" t="s">
        <v>1171</v>
      </c>
      <c r="H896" t="s">
        <v>1171</v>
      </c>
      <c r="I896" t="s">
        <v>1171</v>
      </c>
      <c r="J896" t="s">
        <v>1245</v>
      </c>
      <c r="K896" t="s">
        <v>1212</v>
      </c>
      <c r="M896" s="3">
        <f t="shared" si="52"/>
        <v>43.285714285714285</v>
      </c>
      <c r="N896">
        <v>17</v>
      </c>
      <c r="O896">
        <v>37</v>
      </c>
      <c r="P896">
        <v>47</v>
      </c>
      <c r="Q896">
        <v>50</v>
      </c>
      <c r="R896">
        <v>61</v>
      </c>
      <c r="S896">
        <v>65</v>
      </c>
      <c r="T896">
        <v>26</v>
      </c>
      <c r="U896">
        <v>0</v>
      </c>
      <c r="V896" s="3">
        <f t="shared" si="53"/>
        <v>23092</v>
      </c>
      <c r="W896">
        <v>1924.3333333333333</v>
      </c>
      <c r="X896">
        <v>0</v>
      </c>
      <c r="Y896">
        <f t="shared" si="54"/>
        <v>1924.3333333333333</v>
      </c>
      <c r="Z896">
        <f t="shared" si="55"/>
        <v>0</v>
      </c>
      <c r="AA896">
        <v>0</v>
      </c>
    </row>
    <row r="897" spans="1:27" x14ac:dyDescent="0.25">
      <c r="A897" s="1">
        <v>896</v>
      </c>
      <c r="B897" t="s">
        <v>230</v>
      </c>
      <c r="C897" t="s">
        <v>1134</v>
      </c>
      <c r="D897" t="s">
        <v>1138</v>
      </c>
      <c r="E897" t="s">
        <v>1144</v>
      </c>
      <c r="G897" t="s">
        <v>1171</v>
      </c>
      <c r="H897" t="s">
        <v>1171</v>
      </c>
      <c r="I897" t="s">
        <v>1171</v>
      </c>
      <c r="J897" t="s">
        <v>1245</v>
      </c>
      <c r="K897" t="s">
        <v>1212</v>
      </c>
      <c r="M897" s="3">
        <f t="shared" si="52"/>
        <v>48.428571428571431</v>
      </c>
      <c r="N897">
        <v>21</v>
      </c>
      <c r="O897">
        <v>41</v>
      </c>
      <c r="P897">
        <v>50</v>
      </c>
      <c r="Q897">
        <v>57</v>
      </c>
      <c r="R897">
        <v>67</v>
      </c>
      <c r="S897">
        <v>67</v>
      </c>
      <c r="T897">
        <v>36</v>
      </c>
      <c r="U897">
        <v>0</v>
      </c>
      <c r="V897" s="3">
        <f t="shared" si="53"/>
        <v>70961</v>
      </c>
      <c r="W897">
        <v>5913.416666666667</v>
      </c>
      <c r="X897">
        <v>0</v>
      </c>
      <c r="Y897">
        <f t="shared" si="54"/>
        <v>5913.416666666667</v>
      </c>
      <c r="Z897">
        <f t="shared" si="55"/>
        <v>0</v>
      </c>
      <c r="AA897">
        <v>0</v>
      </c>
    </row>
    <row r="898" spans="1:27" x14ac:dyDescent="0.25">
      <c r="A898" s="1">
        <v>897</v>
      </c>
      <c r="B898" t="s">
        <v>229</v>
      </c>
      <c r="C898" t="s">
        <v>1134</v>
      </c>
      <c r="D898" t="s">
        <v>1138</v>
      </c>
      <c r="G898" t="s">
        <v>1171</v>
      </c>
      <c r="H898" t="s">
        <v>1171</v>
      </c>
      <c r="I898" t="s">
        <v>1171</v>
      </c>
      <c r="J898" t="s">
        <v>1245</v>
      </c>
      <c r="K898" t="s">
        <v>1212</v>
      </c>
      <c r="M898" s="3">
        <f t="shared" ref="M898:M961" si="56">AVERAGE(N898:T898)</f>
        <v>56.428571428571431</v>
      </c>
      <c r="N898">
        <v>35</v>
      </c>
      <c r="O898">
        <v>48</v>
      </c>
      <c r="P898">
        <v>56</v>
      </c>
      <c r="Q898">
        <v>58</v>
      </c>
      <c r="R898">
        <v>75</v>
      </c>
      <c r="S898">
        <v>77</v>
      </c>
      <c r="T898">
        <v>46</v>
      </c>
      <c r="U898">
        <v>0</v>
      </c>
      <c r="V898" s="3">
        <f t="shared" ref="V898:V961" si="57">ROUNDUP(M898^10/1000000000000 * IF(U898&gt;0,1.5,1),0)</f>
        <v>327334</v>
      </c>
      <c r="W898">
        <v>27277.833333333332</v>
      </c>
      <c r="X898">
        <v>0</v>
      </c>
      <c r="Y898">
        <f t="shared" ref="Y898:Y961" si="58">V898/12</f>
        <v>27277.833333333332</v>
      </c>
      <c r="Z898">
        <f t="shared" ref="Z898:Z961" si="59">ROUND(((W898-Y898)/Y898)*100,2)</f>
        <v>0</v>
      </c>
      <c r="AA898">
        <v>0</v>
      </c>
    </row>
    <row r="899" spans="1:27" x14ac:dyDescent="0.25">
      <c r="A899" s="1">
        <v>898</v>
      </c>
      <c r="B899" t="s">
        <v>323</v>
      </c>
      <c r="C899" t="s">
        <v>1134</v>
      </c>
      <c r="D899" t="s">
        <v>1138</v>
      </c>
      <c r="G899" t="s">
        <v>1189</v>
      </c>
      <c r="H899" t="s">
        <v>1189</v>
      </c>
      <c r="I899" t="s">
        <v>1189</v>
      </c>
      <c r="J899" t="s">
        <v>1245</v>
      </c>
      <c r="K899" t="s">
        <v>1212</v>
      </c>
      <c r="M899" s="3">
        <f t="shared" si="56"/>
        <v>50.142857142857146</v>
      </c>
      <c r="N899">
        <v>31</v>
      </c>
      <c r="O899">
        <v>45</v>
      </c>
      <c r="P899">
        <v>55</v>
      </c>
      <c r="Q899">
        <v>50</v>
      </c>
      <c r="R899">
        <v>66</v>
      </c>
      <c r="S899">
        <v>69</v>
      </c>
      <c r="T899">
        <v>35</v>
      </c>
      <c r="U899">
        <v>0</v>
      </c>
      <c r="V899" s="3">
        <f t="shared" si="57"/>
        <v>100483</v>
      </c>
      <c r="W899">
        <v>8373.5833333333339</v>
      </c>
      <c r="X899">
        <v>0</v>
      </c>
      <c r="Y899">
        <f t="shared" si="58"/>
        <v>8373.5833333333339</v>
      </c>
      <c r="Z899">
        <f t="shared" si="59"/>
        <v>0</v>
      </c>
      <c r="AA899">
        <v>0</v>
      </c>
    </row>
    <row r="900" spans="1:27" x14ac:dyDescent="0.25">
      <c r="A900" s="1">
        <v>899</v>
      </c>
      <c r="B900" t="s">
        <v>1799</v>
      </c>
      <c r="C900" t="s">
        <v>1134</v>
      </c>
      <c r="D900" t="s">
        <v>1139</v>
      </c>
      <c r="E900" t="s">
        <v>1138</v>
      </c>
      <c r="G900" t="s">
        <v>1171</v>
      </c>
      <c r="H900" t="s">
        <v>1171</v>
      </c>
      <c r="I900" t="s">
        <v>1171</v>
      </c>
      <c r="J900" t="s">
        <v>1245</v>
      </c>
      <c r="K900" t="s">
        <v>1212</v>
      </c>
      <c r="M900" s="3">
        <f t="shared" si="56"/>
        <v>46.428571428571431</v>
      </c>
      <c r="N900">
        <v>15</v>
      </c>
      <c r="O900">
        <v>61</v>
      </c>
      <c r="P900">
        <v>45</v>
      </c>
      <c r="Q900">
        <v>57</v>
      </c>
      <c r="R900">
        <v>61</v>
      </c>
      <c r="S900">
        <v>64</v>
      </c>
      <c r="T900">
        <v>22</v>
      </c>
      <c r="U900">
        <v>0</v>
      </c>
      <c r="V900" s="3">
        <f t="shared" si="57"/>
        <v>46543</v>
      </c>
      <c r="W900">
        <v>3878.5833333333335</v>
      </c>
      <c r="X900">
        <v>0</v>
      </c>
      <c r="Y900">
        <f t="shared" si="58"/>
        <v>3878.5833333333335</v>
      </c>
      <c r="Z900">
        <f t="shared" si="59"/>
        <v>0</v>
      </c>
      <c r="AA900">
        <v>0</v>
      </c>
    </row>
    <row r="901" spans="1:27" x14ac:dyDescent="0.25">
      <c r="A901" s="1">
        <v>900</v>
      </c>
      <c r="B901" t="s">
        <v>232</v>
      </c>
      <c r="C901" t="s">
        <v>1134</v>
      </c>
      <c r="D901" t="s">
        <v>1138</v>
      </c>
      <c r="G901" t="s">
        <v>1171</v>
      </c>
      <c r="H901" t="s">
        <v>1171</v>
      </c>
      <c r="I901" t="s">
        <v>1171</v>
      </c>
      <c r="J901" t="s">
        <v>1245</v>
      </c>
      <c r="K901" t="s">
        <v>1212</v>
      </c>
      <c r="M901" s="3">
        <f t="shared" si="56"/>
        <v>45.714285714285715</v>
      </c>
      <c r="N901">
        <v>15</v>
      </c>
      <c r="O901">
        <v>42</v>
      </c>
      <c r="P901">
        <v>46</v>
      </c>
      <c r="Q901">
        <v>53</v>
      </c>
      <c r="R901">
        <v>59</v>
      </c>
      <c r="S901">
        <v>63</v>
      </c>
      <c r="T901">
        <v>42</v>
      </c>
      <c r="U901">
        <v>0</v>
      </c>
      <c r="V901" s="3">
        <f t="shared" si="57"/>
        <v>39859</v>
      </c>
      <c r="W901">
        <v>3321.5833333333335</v>
      </c>
      <c r="X901">
        <v>0</v>
      </c>
      <c r="Y901">
        <f t="shared" si="58"/>
        <v>3321.5833333333335</v>
      </c>
      <c r="Z901">
        <f t="shared" si="59"/>
        <v>0</v>
      </c>
      <c r="AA901">
        <v>0</v>
      </c>
    </row>
    <row r="902" spans="1:27" x14ac:dyDescent="0.25">
      <c r="A902" s="1">
        <v>901</v>
      </c>
      <c r="B902" t="s">
        <v>1805</v>
      </c>
      <c r="C902" t="s">
        <v>1135</v>
      </c>
      <c r="D902" t="s">
        <v>1142</v>
      </c>
      <c r="E902" t="s">
        <v>1147</v>
      </c>
      <c r="G902" t="s">
        <v>1171</v>
      </c>
      <c r="H902" t="s">
        <v>1171</v>
      </c>
      <c r="I902" t="s">
        <v>1171</v>
      </c>
      <c r="J902" t="s">
        <v>1245</v>
      </c>
      <c r="K902" t="s">
        <v>1212</v>
      </c>
      <c r="M902" s="3">
        <f t="shared" si="56"/>
        <v>62.142857142857146</v>
      </c>
      <c r="N902">
        <v>24</v>
      </c>
      <c r="O902">
        <v>77</v>
      </c>
      <c r="P902">
        <v>67</v>
      </c>
      <c r="Q902">
        <v>71</v>
      </c>
      <c r="R902">
        <v>75</v>
      </c>
      <c r="S902">
        <v>78</v>
      </c>
      <c r="T902">
        <v>43</v>
      </c>
      <c r="U902">
        <v>0</v>
      </c>
      <c r="V902" s="3">
        <f t="shared" si="57"/>
        <v>858840</v>
      </c>
      <c r="W902">
        <v>71570</v>
      </c>
      <c r="X902">
        <v>0</v>
      </c>
      <c r="Y902">
        <f t="shared" si="58"/>
        <v>71570</v>
      </c>
      <c r="Z902">
        <f t="shared" si="59"/>
        <v>0</v>
      </c>
      <c r="AA902">
        <v>0</v>
      </c>
    </row>
    <row r="903" spans="1:27" x14ac:dyDescent="0.25">
      <c r="A903" s="1">
        <v>902</v>
      </c>
      <c r="B903" t="s">
        <v>1806</v>
      </c>
      <c r="C903" t="s">
        <v>1135</v>
      </c>
      <c r="D903" t="s">
        <v>1141</v>
      </c>
      <c r="E903" t="s">
        <v>1142</v>
      </c>
      <c r="G903" t="s">
        <v>1171</v>
      </c>
      <c r="H903" t="s">
        <v>1171</v>
      </c>
      <c r="I903" t="s">
        <v>1171</v>
      </c>
      <c r="J903" t="s">
        <v>1245</v>
      </c>
      <c r="K903" t="s">
        <v>1212</v>
      </c>
      <c r="M903" s="3">
        <f t="shared" si="56"/>
        <v>48.857142857142854</v>
      </c>
      <c r="N903">
        <v>15</v>
      </c>
      <c r="O903">
        <v>59</v>
      </c>
      <c r="P903">
        <v>53</v>
      </c>
      <c r="Q903">
        <v>61</v>
      </c>
      <c r="R903">
        <v>63</v>
      </c>
      <c r="S903">
        <v>66</v>
      </c>
      <c r="T903">
        <v>25</v>
      </c>
      <c r="U903">
        <v>0</v>
      </c>
      <c r="V903" s="3">
        <f t="shared" si="57"/>
        <v>77497</v>
      </c>
      <c r="W903">
        <v>6458.083333333333</v>
      </c>
      <c r="X903">
        <v>0</v>
      </c>
      <c r="Y903">
        <f t="shared" si="58"/>
        <v>6458.083333333333</v>
      </c>
      <c r="Z903">
        <f t="shared" si="59"/>
        <v>0</v>
      </c>
      <c r="AA903">
        <v>0</v>
      </c>
    </row>
    <row r="904" spans="1:27" x14ac:dyDescent="0.25">
      <c r="A904" s="1">
        <v>903</v>
      </c>
      <c r="B904" t="s">
        <v>506</v>
      </c>
      <c r="C904" t="s">
        <v>1135</v>
      </c>
      <c r="D904" t="s">
        <v>1141</v>
      </c>
      <c r="G904" t="s">
        <v>1171</v>
      </c>
      <c r="H904" t="s">
        <v>1171</v>
      </c>
      <c r="I904" t="s">
        <v>1171</v>
      </c>
      <c r="J904" t="s">
        <v>1245</v>
      </c>
      <c r="K904" t="s">
        <v>1212</v>
      </c>
      <c r="M904" s="3">
        <f t="shared" si="56"/>
        <v>50.857142857142854</v>
      </c>
      <c r="N904">
        <v>28</v>
      </c>
      <c r="O904">
        <v>53</v>
      </c>
      <c r="P904">
        <v>59</v>
      </c>
      <c r="Q904">
        <v>56</v>
      </c>
      <c r="R904">
        <v>61</v>
      </c>
      <c r="S904">
        <v>64</v>
      </c>
      <c r="T904">
        <v>35</v>
      </c>
      <c r="U904">
        <v>0</v>
      </c>
      <c r="V904" s="3">
        <f t="shared" si="57"/>
        <v>115750</v>
      </c>
      <c r="W904">
        <v>9645.8333333333339</v>
      </c>
      <c r="X904">
        <v>0</v>
      </c>
      <c r="Y904">
        <f t="shared" si="58"/>
        <v>9645.8333333333339</v>
      </c>
      <c r="Z904">
        <f t="shared" si="59"/>
        <v>0</v>
      </c>
      <c r="AA904">
        <v>0</v>
      </c>
    </row>
    <row r="905" spans="1:27" x14ac:dyDescent="0.25">
      <c r="A905" s="1">
        <v>904</v>
      </c>
      <c r="B905" t="s">
        <v>507</v>
      </c>
      <c r="C905" t="s">
        <v>1135</v>
      </c>
      <c r="D905" t="s">
        <v>1141</v>
      </c>
      <c r="E905" t="s">
        <v>1142</v>
      </c>
      <c r="G905" t="s">
        <v>1171</v>
      </c>
      <c r="H905" t="s">
        <v>1171</v>
      </c>
      <c r="I905" t="s">
        <v>1171</v>
      </c>
      <c r="J905" t="s">
        <v>1245</v>
      </c>
      <c r="K905" t="s">
        <v>1212</v>
      </c>
      <c r="M905" s="3">
        <f t="shared" si="56"/>
        <v>49.714285714285715</v>
      </c>
      <c r="N905">
        <v>22</v>
      </c>
      <c r="O905">
        <v>56</v>
      </c>
      <c r="P905">
        <v>55</v>
      </c>
      <c r="Q905">
        <v>55</v>
      </c>
      <c r="R905">
        <v>59</v>
      </c>
      <c r="S905">
        <v>63</v>
      </c>
      <c r="T905">
        <v>38</v>
      </c>
      <c r="U905">
        <v>0</v>
      </c>
      <c r="V905" s="3">
        <f t="shared" si="57"/>
        <v>92218</v>
      </c>
      <c r="W905">
        <v>7684.833333333333</v>
      </c>
      <c r="X905">
        <v>0</v>
      </c>
      <c r="Y905">
        <f t="shared" si="58"/>
        <v>7684.833333333333</v>
      </c>
      <c r="Z905">
        <f t="shared" si="59"/>
        <v>0</v>
      </c>
      <c r="AA905">
        <v>0</v>
      </c>
    </row>
    <row r="906" spans="1:27" x14ac:dyDescent="0.25">
      <c r="A906" s="1">
        <v>905</v>
      </c>
      <c r="B906" t="s">
        <v>767</v>
      </c>
      <c r="C906" t="s">
        <v>1136</v>
      </c>
      <c r="D906" t="s">
        <v>1145</v>
      </c>
      <c r="E906" t="s">
        <v>1147</v>
      </c>
      <c r="G906" t="s">
        <v>1171</v>
      </c>
      <c r="H906" t="s">
        <v>1171</v>
      </c>
      <c r="I906" t="s">
        <v>1171</v>
      </c>
      <c r="J906" t="s">
        <v>1245</v>
      </c>
      <c r="K906" t="s">
        <v>1212</v>
      </c>
      <c r="M906" s="3">
        <f t="shared" si="56"/>
        <v>46.571428571428569</v>
      </c>
      <c r="N906">
        <v>41</v>
      </c>
      <c r="O906">
        <v>54</v>
      </c>
      <c r="P906">
        <v>59</v>
      </c>
      <c r="Q906">
        <v>50</v>
      </c>
      <c r="R906">
        <v>55</v>
      </c>
      <c r="S906">
        <v>48</v>
      </c>
      <c r="T906">
        <v>19</v>
      </c>
      <c r="U906">
        <v>0</v>
      </c>
      <c r="V906" s="3">
        <f t="shared" si="57"/>
        <v>47995</v>
      </c>
      <c r="W906">
        <v>3999.5833333333335</v>
      </c>
      <c r="X906">
        <v>0</v>
      </c>
      <c r="Y906">
        <f t="shared" si="58"/>
        <v>3999.5833333333335</v>
      </c>
      <c r="Z906">
        <f t="shared" si="59"/>
        <v>0</v>
      </c>
      <c r="AA906">
        <v>0</v>
      </c>
    </row>
    <row r="907" spans="1:27" x14ac:dyDescent="0.25">
      <c r="A907" s="1">
        <v>906</v>
      </c>
      <c r="B907" t="s">
        <v>1800</v>
      </c>
      <c r="C907" t="s">
        <v>1136</v>
      </c>
      <c r="D907" t="s">
        <v>1144</v>
      </c>
      <c r="E907" t="s">
        <v>1138</v>
      </c>
      <c r="G907" t="s">
        <v>1171</v>
      </c>
      <c r="H907" t="s">
        <v>1171</v>
      </c>
      <c r="I907" t="s">
        <v>1171</v>
      </c>
      <c r="J907" t="s">
        <v>1245</v>
      </c>
      <c r="K907" t="s">
        <v>1212</v>
      </c>
      <c r="M907" s="3">
        <f t="shared" si="56"/>
        <v>59</v>
      </c>
      <c r="N907">
        <v>22</v>
      </c>
      <c r="O907">
        <v>71</v>
      </c>
      <c r="P907">
        <v>59</v>
      </c>
      <c r="Q907">
        <v>75</v>
      </c>
      <c r="R907">
        <v>73</v>
      </c>
      <c r="S907">
        <v>75</v>
      </c>
      <c r="T907">
        <v>38</v>
      </c>
      <c r="U907">
        <v>0</v>
      </c>
      <c r="V907" s="3">
        <f t="shared" si="57"/>
        <v>511117</v>
      </c>
      <c r="W907">
        <v>42593.083333333336</v>
      </c>
      <c r="X907">
        <v>0</v>
      </c>
      <c r="Y907">
        <f t="shared" si="58"/>
        <v>42593.083333333336</v>
      </c>
      <c r="Z907">
        <f t="shared" si="59"/>
        <v>0</v>
      </c>
      <c r="AA907">
        <v>0</v>
      </c>
    </row>
    <row r="908" spans="1:27" x14ac:dyDescent="0.25">
      <c r="A908" s="1">
        <v>907</v>
      </c>
      <c r="B908" t="s">
        <v>768</v>
      </c>
      <c r="C908" t="s">
        <v>1136</v>
      </c>
      <c r="D908" t="s">
        <v>1143</v>
      </c>
      <c r="G908" t="s">
        <v>1171</v>
      </c>
      <c r="H908" t="s">
        <v>1171</v>
      </c>
      <c r="I908" t="s">
        <v>1171</v>
      </c>
      <c r="J908" t="s">
        <v>1245</v>
      </c>
      <c r="K908" t="s">
        <v>1212</v>
      </c>
      <c r="M908" s="3">
        <f t="shared" si="56"/>
        <v>49.714285714285715</v>
      </c>
      <c r="N908">
        <v>43</v>
      </c>
      <c r="O908">
        <v>63</v>
      </c>
      <c r="P908">
        <v>47</v>
      </c>
      <c r="Q908">
        <v>70</v>
      </c>
      <c r="R908">
        <v>56</v>
      </c>
      <c r="S908">
        <v>45</v>
      </c>
      <c r="T908">
        <v>24</v>
      </c>
      <c r="U908">
        <v>0</v>
      </c>
      <c r="V908" s="3">
        <f t="shared" si="57"/>
        <v>92218</v>
      </c>
      <c r="W908">
        <v>7684.833333333333</v>
      </c>
      <c r="X908">
        <v>0</v>
      </c>
      <c r="Y908">
        <f t="shared" si="58"/>
        <v>7684.833333333333</v>
      </c>
      <c r="Z908">
        <f t="shared" si="59"/>
        <v>0</v>
      </c>
      <c r="AA908">
        <v>0</v>
      </c>
    </row>
    <row r="909" spans="1:27" x14ac:dyDescent="0.25">
      <c r="A909" s="1">
        <v>908</v>
      </c>
      <c r="B909" t="s">
        <v>1801</v>
      </c>
      <c r="C909" t="s">
        <v>1136</v>
      </c>
      <c r="D909" t="s">
        <v>1143</v>
      </c>
      <c r="E909" t="s">
        <v>1144</v>
      </c>
      <c r="G909" t="s">
        <v>1171</v>
      </c>
      <c r="H909" t="s">
        <v>1171</v>
      </c>
      <c r="I909" t="s">
        <v>1171</v>
      </c>
      <c r="J909" t="s">
        <v>1245</v>
      </c>
      <c r="K909" t="s">
        <v>1212</v>
      </c>
      <c r="M909" s="3">
        <f t="shared" si="56"/>
        <v>48.857142857142854</v>
      </c>
      <c r="N909">
        <v>16</v>
      </c>
      <c r="O909">
        <v>53</v>
      </c>
      <c r="P909">
        <v>51</v>
      </c>
      <c r="Q909">
        <v>63</v>
      </c>
      <c r="R909">
        <v>65</v>
      </c>
      <c r="S909">
        <v>68</v>
      </c>
      <c r="T909">
        <v>26</v>
      </c>
      <c r="U909">
        <v>0</v>
      </c>
      <c r="V909" s="3">
        <f t="shared" si="57"/>
        <v>77497</v>
      </c>
      <c r="W909">
        <v>6458.083333333333</v>
      </c>
      <c r="X909">
        <v>0</v>
      </c>
      <c r="Y909">
        <f t="shared" si="58"/>
        <v>6458.083333333333</v>
      </c>
      <c r="Z909">
        <f t="shared" si="59"/>
        <v>0</v>
      </c>
      <c r="AA909">
        <v>0</v>
      </c>
    </row>
    <row r="910" spans="1:27" x14ac:dyDescent="0.25">
      <c r="A910" s="1">
        <v>909</v>
      </c>
      <c r="B910" t="s">
        <v>880</v>
      </c>
      <c r="C910" t="s">
        <v>1136</v>
      </c>
      <c r="D910" t="s">
        <v>1147</v>
      </c>
      <c r="E910" t="s">
        <v>1144</v>
      </c>
      <c r="G910" t="s">
        <v>1189</v>
      </c>
      <c r="H910" t="s">
        <v>1189</v>
      </c>
      <c r="I910" t="s">
        <v>1189</v>
      </c>
      <c r="J910" t="s">
        <v>1245</v>
      </c>
      <c r="K910" t="s">
        <v>1212</v>
      </c>
      <c r="M910" s="3">
        <f t="shared" si="56"/>
        <v>69.714285714285708</v>
      </c>
      <c r="N910">
        <v>70</v>
      </c>
      <c r="O910">
        <v>85</v>
      </c>
      <c r="P910">
        <v>68</v>
      </c>
      <c r="Q910">
        <v>67</v>
      </c>
      <c r="R910">
        <v>68</v>
      </c>
      <c r="S910">
        <v>60</v>
      </c>
      <c r="T910">
        <v>70</v>
      </c>
      <c r="U910">
        <v>23</v>
      </c>
      <c r="V910" s="3">
        <f t="shared" si="57"/>
        <v>4067327</v>
      </c>
      <c r="W910">
        <v>338943.91666666669</v>
      </c>
      <c r="X910">
        <v>0</v>
      </c>
      <c r="Y910">
        <f t="shared" si="58"/>
        <v>338943.91666666669</v>
      </c>
      <c r="Z910">
        <f t="shared" si="59"/>
        <v>0</v>
      </c>
      <c r="AA910">
        <v>0</v>
      </c>
    </row>
    <row r="911" spans="1:27" x14ac:dyDescent="0.25">
      <c r="A911" s="1">
        <v>910</v>
      </c>
      <c r="B911" t="s">
        <v>1802</v>
      </c>
      <c r="C911" t="s">
        <v>1136</v>
      </c>
      <c r="D911" t="s">
        <v>1145</v>
      </c>
      <c r="E911" t="s">
        <v>1143</v>
      </c>
      <c r="G911" t="s">
        <v>1171</v>
      </c>
      <c r="H911" t="s">
        <v>1171</v>
      </c>
      <c r="I911" t="s">
        <v>1171</v>
      </c>
      <c r="J911" t="s">
        <v>1245</v>
      </c>
      <c r="K911" t="s">
        <v>1212</v>
      </c>
      <c r="M911" s="3">
        <f t="shared" si="56"/>
        <v>58.285714285714285</v>
      </c>
      <c r="N911">
        <v>44</v>
      </c>
      <c r="O911">
        <v>65</v>
      </c>
      <c r="P911">
        <v>55</v>
      </c>
      <c r="Q911">
        <v>71</v>
      </c>
      <c r="R911">
        <v>69</v>
      </c>
      <c r="S911">
        <v>71</v>
      </c>
      <c r="T911">
        <v>33</v>
      </c>
      <c r="U911">
        <v>0</v>
      </c>
      <c r="V911" s="3">
        <f t="shared" si="57"/>
        <v>452503</v>
      </c>
      <c r="W911">
        <v>20036.75</v>
      </c>
      <c r="X911">
        <v>0</v>
      </c>
      <c r="Y911">
        <f t="shared" si="58"/>
        <v>37708.583333333336</v>
      </c>
      <c r="Z911">
        <f t="shared" si="59"/>
        <v>-46.86</v>
      </c>
      <c r="AA911">
        <v>0</v>
      </c>
    </row>
    <row r="912" spans="1:27" x14ac:dyDescent="0.25">
      <c r="A912" s="1">
        <v>911</v>
      </c>
      <c r="B912" t="s">
        <v>1803</v>
      </c>
      <c r="C912" t="s">
        <v>1136</v>
      </c>
      <c r="D912" t="s">
        <v>1146</v>
      </c>
      <c r="E912" t="s">
        <v>1147</v>
      </c>
      <c r="G912" t="s">
        <v>1171</v>
      </c>
      <c r="H912" t="s">
        <v>1171</v>
      </c>
      <c r="I912" t="s">
        <v>1171</v>
      </c>
      <c r="J912" t="s">
        <v>1245</v>
      </c>
      <c r="K912" t="s">
        <v>1212</v>
      </c>
      <c r="M912" s="3">
        <f t="shared" si="56"/>
        <v>51.285714285714285</v>
      </c>
      <c r="N912">
        <v>17</v>
      </c>
      <c r="O912">
        <v>69</v>
      </c>
      <c r="P912">
        <v>49</v>
      </c>
      <c r="Q912">
        <v>65</v>
      </c>
      <c r="R912">
        <v>63</v>
      </c>
      <c r="S912">
        <v>66</v>
      </c>
      <c r="T912">
        <v>30</v>
      </c>
      <c r="U912">
        <v>0</v>
      </c>
      <c r="V912" s="3">
        <f t="shared" si="57"/>
        <v>125883</v>
      </c>
      <c r="W912">
        <v>10490.25</v>
      </c>
      <c r="X912">
        <v>0</v>
      </c>
      <c r="Y912">
        <f t="shared" si="58"/>
        <v>10490.25</v>
      </c>
      <c r="Z912">
        <f t="shared" si="59"/>
        <v>0</v>
      </c>
      <c r="AA912">
        <v>0</v>
      </c>
    </row>
    <row r="913" spans="1:27" x14ac:dyDescent="0.25">
      <c r="A913" s="1">
        <v>912</v>
      </c>
      <c r="B913" t="s">
        <v>766</v>
      </c>
      <c r="C913" t="s">
        <v>1136</v>
      </c>
      <c r="D913" t="s">
        <v>1146</v>
      </c>
      <c r="E913" t="s">
        <v>1144</v>
      </c>
      <c r="G913" t="s">
        <v>1171</v>
      </c>
      <c r="H913" t="s">
        <v>1171</v>
      </c>
      <c r="I913" t="s">
        <v>1171</v>
      </c>
      <c r="J913" t="s">
        <v>1245</v>
      </c>
      <c r="K913" t="s">
        <v>1212</v>
      </c>
      <c r="M913" s="3">
        <f t="shared" si="56"/>
        <v>50.428571428571431</v>
      </c>
      <c r="N913">
        <v>40</v>
      </c>
      <c r="O913">
        <v>58</v>
      </c>
      <c r="P913">
        <v>46</v>
      </c>
      <c r="Q913">
        <v>54</v>
      </c>
      <c r="R913">
        <v>58</v>
      </c>
      <c r="S913">
        <v>51</v>
      </c>
      <c r="T913">
        <v>46</v>
      </c>
      <c r="U913">
        <v>0</v>
      </c>
      <c r="V913" s="3">
        <f t="shared" si="57"/>
        <v>106358</v>
      </c>
      <c r="W913">
        <v>8863.1666666666661</v>
      </c>
      <c r="X913">
        <v>0</v>
      </c>
      <c r="Y913">
        <f t="shared" si="58"/>
        <v>8863.1666666666661</v>
      </c>
      <c r="Z913">
        <f t="shared" si="59"/>
        <v>0</v>
      </c>
      <c r="AA913">
        <v>0</v>
      </c>
    </row>
    <row r="914" spans="1:27" x14ac:dyDescent="0.25">
      <c r="A914" s="1">
        <v>913</v>
      </c>
      <c r="B914" t="s">
        <v>770</v>
      </c>
      <c r="C914" t="s">
        <v>1136</v>
      </c>
      <c r="D914" t="s">
        <v>1143</v>
      </c>
      <c r="E914" t="s">
        <v>1147</v>
      </c>
      <c r="G914" t="s">
        <v>1171</v>
      </c>
      <c r="H914" t="s">
        <v>1171</v>
      </c>
      <c r="I914" t="s">
        <v>1171</v>
      </c>
      <c r="J914" t="s">
        <v>1245</v>
      </c>
      <c r="K914" t="s">
        <v>1212</v>
      </c>
      <c r="M914" s="3">
        <f t="shared" si="56"/>
        <v>62.285714285714285</v>
      </c>
      <c r="N914">
        <v>40</v>
      </c>
      <c r="O914">
        <v>70</v>
      </c>
      <c r="P914">
        <v>65</v>
      </c>
      <c r="Q914">
        <v>65</v>
      </c>
      <c r="R914">
        <v>71</v>
      </c>
      <c r="S914">
        <v>65</v>
      </c>
      <c r="T914">
        <v>60</v>
      </c>
      <c r="U914">
        <v>17</v>
      </c>
      <c r="V914" s="3">
        <f t="shared" si="57"/>
        <v>1318184</v>
      </c>
      <c r="W914">
        <v>4251.916666666667</v>
      </c>
      <c r="X914">
        <v>0</v>
      </c>
      <c r="Y914">
        <f t="shared" si="58"/>
        <v>109848.66666666667</v>
      </c>
      <c r="Z914">
        <f t="shared" si="59"/>
        <v>-96.13</v>
      </c>
      <c r="AA914">
        <v>0</v>
      </c>
    </row>
    <row r="915" spans="1:27" x14ac:dyDescent="0.25">
      <c r="A915" s="1">
        <v>914</v>
      </c>
      <c r="B915" t="s">
        <v>1804</v>
      </c>
      <c r="C915" t="s">
        <v>1136</v>
      </c>
      <c r="D915" t="s">
        <v>1147</v>
      </c>
      <c r="E915" t="s">
        <v>1146</v>
      </c>
      <c r="G915" t="s">
        <v>1171</v>
      </c>
      <c r="H915" t="s">
        <v>1171</v>
      </c>
      <c r="I915" t="s">
        <v>1171</v>
      </c>
      <c r="J915" t="s">
        <v>1245</v>
      </c>
      <c r="K915" t="s">
        <v>1212</v>
      </c>
      <c r="M915" s="3">
        <f t="shared" si="56"/>
        <v>56.714285714285715</v>
      </c>
      <c r="N915">
        <v>21</v>
      </c>
      <c r="O915">
        <v>73</v>
      </c>
      <c r="P915">
        <v>57</v>
      </c>
      <c r="Q915">
        <v>69</v>
      </c>
      <c r="R915">
        <v>71</v>
      </c>
      <c r="S915">
        <v>70</v>
      </c>
      <c r="T915">
        <v>36</v>
      </c>
      <c r="U915">
        <v>0</v>
      </c>
      <c r="V915" s="3">
        <f t="shared" si="57"/>
        <v>344291</v>
      </c>
      <c r="W915">
        <v>28690.916666666668</v>
      </c>
      <c r="X915">
        <v>0</v>
      </c>
      <c r="Y915">
        <f t="shared" si="58"/>
        <v>28690.916666666668</v>
      </c>
      <c r="Z915">
        <f t="shared" si="59"/>
        <v>0</v>
      </c>
      <c r="AA915">
        <v>0</v>
      </c>
    </row>
    <row r="916" spans="1:27" x14ac:dyDescent="0.25">
      <c r="A916" s="1">
        <v>915</v>
      </c>
      <c r="B916" t="s">
        <v>1726</v>
      </c>
      <c r="C916" t="s">
        <v>1137</v>
      </c>
      <c r="D916" t="s">
        <v>1137</v>
      </c>
      <c r="H916" t="s">
        <v>1171</v>
      </c>
      <c r="I916" t="s">
        <v>1171</v>
      </c>
      <c r="J916" t="s">
        <v>1245</v>
      </c>
      <c r="K916" t="s">
        <v>1212</v>
      </c>
      <c r="M916" s="3">
        <f t="shared" si="56"/>
        <v>52.857142857142854</v>
      </c>
      <c r="N916">
        <v>17</v>
      </c>
      <c r="O916">
        <v>63</v>
      </c>
      <c r="P916">
        <v>57</v>
      </c>
      <c r="Q916">
        <v>69</v>
      </c>
      <c r="R916">
        <v>65</v>
      </c>
      <c r="S916">
        <v>67</v>
      </c>
      <c r="T916">
        <v>32</v>
      </c>
      <c r="U916">
        <v>0</v>
      </c>
      <c r="V916" s="3">
        <f t="shared" si="57"/>
        <v>170231</v>
      </c>
      <c r="W916">
        <v>14185.916666666666</v>
      </c>
      <c r="X916">
        <v>0</v>
      </c>
      <c r="Y916">
        <f t="shared" si="58"/>
        <v>14185.916666666666</v>
      </c>
      <c r="Z916">
        <f t="shared" si="59"/>
        <v>0</v>
      </c>
      <c r="AA916">
        <v>0</v>
      </c>
    </row>
    <row r="917" spans="1:27" x14ac:dyDescent="0.25">
      <c r="A917" s="1">
        <v>916</v>
      </c>
      <c r="B917" t="s">
        <v>72</v>
      </c>
      <c r="C917" t="s">
        <v>1133</v>
      </c>
      <c r="D917" t="s">
        <v>1133</v>
      </c>
      <c r="G917" t="s">
        <v>1184</v>
      </c>
      <c r="H917" t="s">
        <v>1184</v>
      </c>
      <c r="I917" t="s">
        <v>1184</v>
      </c>
      <c r="J917" t="s">
        <v>1305</v>
      </c>
      <c r="K917" t="s">
        <v>1212</v>
      </c>
      <c r="M917" s="3">
        <f t="shared" si="56"/>
        <v>70.142857142857139</v>
      </c>
      <c r="N917">
        <v>51</v>
      </c>
      <c r="O917">
        <v>75</v>
      </c>
      <c r="P917">
        <v>72</v>
      </c>
      <c r="Q917">
        <v>77</v>
      </c>
      <c r="R917">
        <v>77</v>
      </c>
      <c r="S917">
        <v>79</v>
      </c>
      <c r="T917">
        <v>60</v>
      </c>
      <c r="U917">
        <v>29</v>
      </c>
      <c r="V917" s="3">
        <f t="shared" si="57"/>
        <v>4324400</v>
      </c>
      <c r="W917">
        <v>168284.33333333334</v>
      </c>
      <c r="X917">
        <v>0</v>
      </c>
      <c r="Y917">
        <f t="shared" si="58"/>
        <v>360366.66666666669</v>
      </c>
      <c r="Z917">
        <f t="shared" si="59"/>
        <v>-53.3</v>
      </c>
      <c r="AA917">
        <v>0</v>
      </c>
    </row>
    <row r="918" spans="1:27" x14ac:dyDescent="0.25">
      <c r="A918" s="1">
        <v>917</v>
      </c>
      <c r="B918" t="s">
        <v>169</v>
      </c>
      <c r="C918" t="s">
        <v>1134</v>
      </c>
      <c r="D918" t="s">
        <v>1138</v>
      </c>
      <c r="G918" t="s">
        <v>1158</v>
      </c>
      <c r="H918" t="s">
        <v>1158</v>
      </c>
      <c r="I918" t="s">
        <v>1158</v>
      </c>
      <c r="J918" t="s">
        <v>1305</v>
      </c>
      <c r="K918" t="s">
        <v>1212</v>
      </c>
      <c r="M918" s="3">
        <f t="shared" si="56"/>
        <v>67</v>
      </c>
      <c r="N918">
        <v>50</v>
      </c>
      <c r="O918">
        <v>70</v>
      </c>
      <c r="P918">
        <v>52</v>
      </c>
      <c r="Q918">
        <v>70</v>
      </c>
      <c r="R918">
        <v>80</v>
      </c>
      <c r="S918">
        <v>86</v>
      </c>
      <c r="T918">
        <v>61</v>
      </c>
      <c r="U918">
        <v>0</v>
      </c>
      <c r="V918" s="3">
        <f t="shared" si="57"/>
        <v>1822838</v>
      </c>
      <c r="W918">
        <v>151903.16666666666</v>
      </c>
      <c r="X918">
        <v>0</v>
      </c>
      <c r="Y918">
        <f t="shared" si="58"/>
        <v>151903.16666666666</v>
      </c>
      <c r="Z918">
        <f t="shared" si="59"/>
        <v>0</v>
      </c>
      <c r="AA918">
        <v>0</v>
      </c>
    </row>
    <row r="919" spans="1:27" x14ac:dyDescent="0.25">
      <c r="A919" s="1">
        <v>918</v>
      </c>
      <c r="B919" t="s">
        <v>1905</v>
      </c>
      <c r="C919" t="s">
        <v>1134</v>
      </c>
      <c r="D919" t="s">
        <v>1140</v>
      </c>
      <c r="E919" t="s">
        <v>1138</v>
      </c>
      <c r="H919" t="s">
        <v>1208</v>
      </c>
      <c r="I919" t="s">
        <v>1208</v>
      </c>
      <c r="J919" t="s">
        <v>1305</v>
      </c>
      <c r="K919" t="s">
        <v>1212</v>
      </c>
      <c r="M919" s="3">
        <f t="shared" si="56"/>
        <v>51.857142857142854</v>
      </c>
      <c r="N919">
        <v>12</v>
      </c>
      <c r="O919">
        <v>61</v>
      </c>
      <c r="P919">
        <v>55</v>
      </c>
      <c r="Q919">
        <v>67</v>
      </c>
      <c r="R919">
        <v>69</v>
      </c>
      <c r="S919">
        <v>71</v>
      </c>
      <c r="T919">
        <v>28</v>
      </c>
      <c r="U919">
        <v>0</v>
      </c>
      <c r="V919" s="3">
        <f t="shared" si="57"/>
        <v>140633</v>
      </c>
      <c r="W919">
        <v>11719.416666666666</v>
      </c>
      <c r="X919">
        <v>0</v>
      </c>
      <c r="Y919">
        <f t="shared" si="58"/>
        <v>11719.416666666666</v>
      </c>
      <c r="Z919">
        <f t="shared" si="59"/>
        <v>0</v>
      </c>
      <c r="AA919">
        <v>0</v>
      </c>
    </row>
    <row r="920" spans="1:27" x14ac:dyDescent="0.25">
      <c r="A920" s="1">
        <v>919</v>
      </c>
      <c r="B920" t="s">
        <v>137</v>
      </c>
      <c r="C920" t="s">
        <v>1134</v>
      </c>
      <c r="D920" t="s">
        <v>1138</v>
      </c>
      <c r="G920" t="s">
        <v>1152</v>
      </c>
      <c r="H920" t="s">
        <v>1152</v>
      </c>
      <c r="I920" t="s">
        <v>1152</v>
      </c>
      <c r="J920" t="s">
        <v>1305</v>
      </c>
      <c r="K920" t="s">
        <v>1212</v>
      </c>
      <c r="M920" s="3">
        <f t="shared" si="56"/>
        <v>59.285714285714285</v>
      </c>
      <c r="N920">
        <v>48</v>
      </c>
      <c r="O920">
        <v>68</v>
      </c>
      <c r="P920">
        <v>60</v>
      </c>
      <c r="Q920">
        <v>62</v>
      </c>
      <c r="R920">
        <v>74</v>
      </c>
      <c r="S920">
        <v>83</v>
      </c>
      <c r="T920">
        <v>20</v>
      </c>
      <c r="U920">
        <v>0</v>
      </c>
      <c r="V920" s="3">
        <f t="shared" si="57"/>
        <v>536415</v>
      </c>
      <c r="W920">
        <v>44701.25</v>
      </c>
      <c r="X920">
        <v>0</v>
      </c>
      <c r="Y920">
        <f t="shared" si="58"/>
        <v>44701.25</v>
      </c>
      <c r="Z920">
        <f t="shared" si="59"/>
        <v>0</v>
      </c>
      <c r="AA920">
        <v>0</v>
      </c>
    </row>
    <row r="921" spans="1:27" x14ac:dyDescent="0.25">
      <c r="A921" s="1">
        <v>920</v>
      </c>
      <c r="B921" t="s">
        <v>263</v>
      </c>
      <c r="C921" t="s">
        <v>1134</v>
      </c>
      <c r="D921" t="s">
        <v>1138</v>
      </c>
      <c r="E921" t="s">
        <v>1140</v>
      </c>
      <c r="G921" t="s">
        <v>1177</v>
      </c>
      <c r="H921" t="s">
        <v>1153</v>
      </c>
      <c r="I921" t="s">
        <v>1153</v>
      </c>
      <c r="J921" t="s">
        <v>1305</v>
      </c>
      <c r="K921" t="s">
        <v>1212</v>
      </c>
      <c r="M921" s="3">
        <f t="shared" si="56"/>
        <v>67.428571428571431</v>
      </c>
      <c r="N921">
        <v>44</v>
      </c>
      <c r="O921">
        <v>62</v>
      </c>
      <c r="P921">
        <v>70</v>
      </c>
      <c r="Q921">
        <v>70</v>
      </c>
      <c r="R921">
        <v>81</v>
      </c>
      <c r="S921">
        <v>79</v>
      </c>
      <c r="T921">
        <v>66</v>
      </c>
      <c r="U921">
        <v>0</v>
      </c>
      <c r="V921" s="3">
        <f t="shared" si="57"/>
        <v>1942852</v>
      </c>
      <c r="W921">
        <v>161904.33333333334</v>
      </c>
      <c r="X921">
        <v>0</v>
      </c>
      <c r="Y921">
        <f t="shared" si="58"/>
        <v>161904.33333333334</v>
      </c>
      <c r="Z921">
        <f t="shared" si="59"/>
        <v>0</v>
      </c>
      <c r="AA921">
        <v>0</v>
      </c>
    </row>
    <row r="922" spans="1:27" x14ac:dyDescent="0.25">
      <c r="A922" s="1">
        <v>921</v>
      </c>
      <c r="B922" t="s">
        <v>1904</v>
      </c>
      <c r="C922" t="s">
        <v>1134</v>
      </c>
      <c r="D922" t="s">
        <v>1138</v>
      </c>
      <c r="E922" t="s">
        <v>1144</v>
      </c>
      <c r="H922" t="s">
        <v>1208</v>
      </c>
      <c r="I922" t="s">
        <v>1208</v>
      </c>
      <c r="J922" t="s">
        <v>1305</v>
      </c>
      <c r="K922" t="s">
        <v>1212</v>
      </c>
      <c r="M922" s="3">
        <f t="shared" si="56"/>
        <v>43.285714285714285</v>
      </c>
      <c r="N922">
        <v>10</v>
      </c>
      <c r="O922">
        <v>48</v>
      </c>
      <c r="P922">
        <v>47</v>
      </c>
      <c r="Q922">
        <v>55</v>
      </c>
      <c r="R922">
        <v>59</v>
      </c>
      <c r="S922">
        <v>62</v>
      </c>
      <c r="T922">
        <v>22</v>
      </c>
      <c r="U922">
        <v>0</v>
      </c>
      <c r="V922" s="3">
        <f t="shared" si="57"/>
        <v>23092</v>
      </c>
      <c r="W922">
        <v>1924.3333333333333</v>
      </c>
      <c r="X922">
        <v>0</v>
      </c>
      <c r="Y922">
        <f t="shared" si="58"/>
        <v>1924.3333333333333</v>
      </c>
      <c r="Z922">
        <f t="shared" si="59"/>
        <v>0</v>
      </c>
      <c r="AA922">
        <v>0</v>
      </c>
    </row>
    <row r="923" spans="1:27" x14ac:dyDescent="0.25">
      <c r="A923" s="1">
        <v>922</v>
      </c>
      <c r="B923" t="s">
        <v>324</v>
      </c>
      <c r="C923" t="s">
        <v>1134</v>
      </c>
      <c r="D923" t="s">
        <v>1138</v>
      </c>
      <c r="E923" t="s">
        <v>1139</v>
      </c>
      <c r="G923" t="s">
        <v>1189</v>
      </c>
      <c r="H923" t="s">
        <v>1189</v>
      </c>
      <c r="I923" t="s">
        <v>1189</v>
      </c>
      <c r="J923" t="s">
        <v>1305</v>
      </c>
      <c r="K923" t="s">
        <v>1212</v>
      </c>
      <c r="M923" s="3">
        <f t="shared" si="56"/>
        <v>53.428571428571431</v>
      </c>
      <c r="N923">
        <v>22</v>
      </c>
      <c r="O923">
        <v>51</v>
      </c>
      <c r="P923">
        <v>58</v>
      </c>
      <c r="Q923">
        <v>51</v>
      </c>
      <c r="R923">
        <v>75</v>
      </c>
      <c r="S923">
        <v>77</v>
      </c>
      <c r="T923">
        <v>40</v>
      </c>
      <c r="U923">
        <v>0</v>
      </c>
      <c r="V923" s="3">
        <f t="shared" si="57"/>
        <v>189556</v>
      </c>
      <c r="W923">
        <v>15796.333333333334</v>
      </c>
      <c r="X923">
        <v>0</v>
      </c>
      <c r="Y923">
        <f t="shared" si="58"/>
        <v>15796.333333333334</v>
      </c>
      <c r="Z923">
        <f t="shared" si="59"/>
        <v>0</v>
      </c>
      <c r="AA923">
        <v>0</v>
      </c>
    </row>
    <row r="924" spans="1:27" x14ac:dyDescent="0.25">
      <c r="A924" s="1">
        <v>923</v>
      </c>
      <c r="B924" t="s">
        <v>1912</v>
      </c>
      <c r="C924" t="s">
        <v>1135</v>
      </c>
      <c r="D924" t="s">
        <v>1141</v>
      </c>
      <c r="E924" t="s">
        <v>1142</v>
      </c>
      <c r="H924" t="s">
        <v>1208</v>
      </c>
      <c r="I924" t="s">
        <v>1208</v>
      </c>
      <c r="J924" t="s">
        <v>1305</v>
      </c>
      <c r="K924" t="s">
        <v>1212</v>
      </c>
      <c r="M924" s="3">
        <f t="shared" si="56"/>
        <v>50.857142857142854</v>
      </c>
      <c r="N924">
        <v>14</v>
      </c>
      <c r="O924">
        <v>65</v>
      </c>
      <c r="P924">
        <v>59</v>
      </c>
      <c r="Q924">
        <v>63</v>
      </c>
      <c r="R924">
        <v>65</v>
      </c>
      <c r="S924">
        <v>67</v>
      </c>
      <c r="T924">
        <v>23</v>
      </c>
      <c r="U924">
        <v>0</v>
      </c>
      <c r="V924" s="3">
        <f t="shared" si="57"/>
        <v>115750</v>
      </c>
      <c r="W924">
        <v>9645.8333333333339</v>
      </c>
      <c r="X924">
        <v>0</v>
      </c>
      <c r="Y924">
        <f t="shared" si="58"/>
        <v>9645.8333333333339</v>
      </c>
      <c r="Z924">
        <f t="shared" si="59"/>
        <v>0</v>
      </c>
      <c r="AA924">
        <v>0</v>
      </c>
    </row>
    <row r="925" spans="1:27" x14ac:dyDescent="0.25">
      <c r="A925" s="1">
        <v>924</v>
      </c>
      <c r="B925" t="s">
        <v>1911</v>
      </c>
      <c r="C925" t="s">
        <v>1135</v>
      </c>
      <c r="D925" t="s">
        <v>1142</v>
      </c>
      <c r="E925" t="s">
        <v>1141</v>
      </c>
      <c r="H925" t="s">
        <v>1208</v>
      </c>
      <c r="I925" t="s">
        <v>1208</v>
      </c>
      <c r="J925" t="s">
        <v>1305</v>
      </c>
      <c r="K925" t="s">
        <v>1212</v>
      </c>
      <c r="M925" s="3">
        <f t="shared" si="56"/>
        <v>45.714285714285715</v>
      </c>
      <c r="N925">
        <v>10</v>
      </c>
      <c r="O925">
        <v>61</v>
      </c>
      <c r="P925">
        <v>49</v>
      </c>
      <c r="Q925">
        <v>61</v>
      </c>
      <c r="R925">
        <v>59</v>
      </c>
      <c r="S925">
        <v>61</v>
      </c>
      <c r="T925">
        <v>19</v>
      </c>
      <c r="U925">
        <v>0</v>
      </c>
      <c r="V925" s="3">
        <f t="shared" si="57"/>
        <v>39859</v>
      </c>
      <c r="W925">
        <v>3321.5833333333335</v>
      </c>
      <c r="X925">
        <v>0</v>
      </c>
      <c r="Y925">
        <f t="shared" si="58"/>
        <v>3321.5833333333335</v>
      </c>
      <c r="Z925">
        <f t="shared" si="59"/>
        <v>0</v>
      </c>
      <c r="AA925">
        <v>0</v>
      </c>
    </row>
    <row r="926" spans="1:27" x14ac:dyDescent="0.25">
      <c r="A926" s="1">
        <v>925</v>
      </c>
      <c r="B926" t="s">
        <v>852</v>
      </c>
      <c r="C926" t="s">
        <v>1136</v>
      </c>
      <c r="D926" t="s">
        <v>1143</v>
      </c>
      <c r="G926" t="s">
        <v>1184</v>
      </c>
      <c r="H926" t="s">
        <v>1184</v>
      </c>
      <c r="I926" t="s">
        <v>1184</v>
      </c>
      <c r="J926" t="s">
        <v>1305</v>
      </c>
      <c r="K926" t="s">
        <v>1212</v>
      </c>
      <c r="M926" s="3">
        <f t="shared" si="56"/>
        <v>53.571428571428569</v>
      </c>
      <c r="N926">
        <v>15</v>
      </c>
      <c r="O926">
        <v>59</v>
      </c>
      <c r="P926">
        <v>55</v>
      </c>
      <c r="Q926">
        <v>73</v>
      </c>
      <c r="R926">
        <v>51</v>
      </c>
      <c r="S926">
        <v>59</v>
      </c>
      <c r="T926">
        <v>63</v>
      </c>
      <c r="U926">
        <v>0</v>
      </c>
      <c r="V926" s="3">
        <f t="shared" si="57"/>
        <v>194685</v>
      </c>
      <c r="W926">
        <v>16223.75</v>
      </c>
      <c r="X926">
        <v>0</v>
      </c>
      <c r="Y926">
        <f t="shared" si="58"/>
        <v>16223.75</v>
      </c>
      <c r="Z926">
        <f t="shared" si="59"/>
        <v>0</v>
      </c>
      <c r="AA926">
        <v>0</v>
      </c>
    </row>
    <row r="927" spans="1:27" x14ac:dyDescent="0.25">
      <c r="A927" s="1">
        <v>926</v>
      </c>
      <c r="B927" t="s">
        <v>853</v>
      </c>
      <c r="C927" t="s">
        <v>1136</v>
      </c>
      <c r="D927" t="s">
        <v>1144</v>
      </c>
      <c r="E927" t="s">
        <v>1138</v>
      </c>
      <c r="G927" t="s">
        <v>1184</v>
      </c>
      <c r="H927" t="s">
        <v>1184</v>
      </c>
      <c r="I927" t="s">
        <v>1184</v>
      </c>
      <c r="J927" t="s">
        <v>1305</v>
      </c>
      <c r="K927" t="s">
        <v>1212</v>
      </c>
      <c r="M927" s="3">
        <f t="shared" si="56"/>
        <v>53.714285714285715</v>
      </c>
      <c r="N927">
        <v>36</v>
      </c>
      <c r="O927">
        <v>55</v>
      </c>
      <c r="P927">
        <v>67</v>
      </c>
      <c r="Q927">
        <v>60</v>
      </c>
      <c r="R927">
        <v>73</v>
      </c>
      <c r="S927">
        <v>70</v>
      </c>
      <c r="T927">
        <v>15</v>
      </c>
      <c r="U927">
        <v>0</v>
      </c>
      <c r="V927" s="3">
        <f t="shared" si="57"/>
        <v>199940</v>
      </c>
      <c r="W927">
        <v>16661.666666666668</v>
      </c>
      <c r="X927">
        <v>0</v>
      </c>
      <c r="Y927">
        <f t="shared" si="58"/>
        <v>16661.666666666668</v>
      </c>
      <c r="Z927">
        <f t="shared" si="59"/>
        <v>0</v>
      </c>
      <c r="AA927">
        <v>0</v>
      </c>
    </row>
    <row r="928" spans="1:27" x14ac:dyDescent="0.25">
      <c r="A928" s="1">
        <v>927</v>
      </c>
      <c r="B928" t="s">
        <v>1907</v>
      </c>
      <c r="C928" t="s">
        <v>1136</v>
      </c>
      <c r="D928" t="s">
        <v>1143</v>
      </c>
      <c r="E928" t="s">
        <v>1144</v>
      </c>
      <c r="H928" t="s">
        <v>1208</v>
      </c>
      <c r="I928" t="s">
        <v>1208</v>
      </c>
      <c r="J928" t="s">
        <v>1305</v>
      </c>
      <c r="K928" t="s">
        <v>1212</v>
      </c>
      <c r="M928" s="3">
        <f t="shared" si="56"/>
        <v>52</v>
      </c>
      <c r="N928">
        <v>13</v>
      </c>
      <c r="O928">
        <v>63</v>
      </c>
      <c r="P928">
        <v>57</v>
      </c>
      <c r="Q928">
        <v>67</v>
      </c>
      <c r="R928">
        <v>69</v>
      </c>
      <c r="S928">
        <v>71</v>
      </c>
      <c r="T928">
        <v>24</v>
      </c>
      <c r="U928">
        <v>0</v>
      </c>
      <c r="V928" s="3">
        <f t="shared" si="57"/>
        <v>144556</v>
      </c>
      <c r="W928">
        <v>12046.333333333334</v>
      </c>
      <c r="X928">
        <v>0</v>
      </c>
      <c r="Y928">
        <f t="shared" si="58"/>
        <v>12046.333333333334</v>
      </c>
      <c r="Z928">
        <f t="shared" si="59"/>
        <v>0</v>
      </c>
      <c r="AA928">
        <v>0</v>
      </c>
    </row>
    <row r="929" spans="1:27" x14ac:dyDescent="0.25">
      <c r="A929" s="1">
        <v>928</v>
      </c>
      <c r="B929" t="s">
        <v>1004</v>
      </c>
      <c r="C929" t="s">
        <v>1136</v>
      </c>
      <c r="D929" t="s">
        <v>1143</v>
      </c>
      <c r="G929" t="s">
        <v>1208</v>
      </c>
      <c r="H929" t="s">
        <v>1208</v>
      </c>
      <c r="I929" t="s">
        <v>1208</v>
      </c>
      <c r="J929" t="s">
        <v>1305</v>
      </c>
      <c r="K929" t="s">
        <v>1212</v>
      </c>
      <c r="M929" s="3">
        <f t="shared" si="56"/>
        <v>54.142857142857146</v>
      </c>
      <c r="N929">
        <v>45</v>
      </c>
      <c r="O929">
        <v>62</v>
      </c>
      <c r="P929">
        <v>64</v>
      </c>
      <c r="Q929">
        <v>65</v>
      </c>
      <c r="R929">
        <v>50</v>
      </c>
      <c r="S929">
        <v>53</v>
      </c>
      <c r="T929">
        <v>40</v>
      </c>
      <c r="U929">
        <v>0</v>
      </c>
      <c r="V929" s="3">
        <f t="shared" si="57"/>
        <v>216477</v>
      </c>
      <c r="W929">
        <v>18039.75</v>
      </c>
      <c r="X929">
        <v>0</v>
      </c>
      <c r="Y929">
        <f t="shared" si="58"/>
        <v>18039.75</v>
      </c>
      <c r="Z929">
        <f t="shared" si="59"/>
        <v>0</v>
      </c>
      <c r="AA929">
        <v>0</v>
      </c>
    </row>
    <row r="930" spans="1:27" x14ac:dyDescent="0.25">
      <c r="A930" s="1">
        <v>929</v>
      </c>
      <c r="B930" t="s">
        <v>1909</v>
      </c>
      <c r="C930" t="s">
        <v>1136</v>
      </c>
      <c r="D930" t="s">
        <v>1146</v>
      </c>
      <c r="E930" t="s">
        <v>1144</v>
      </c>
      <c r="H930" t="s">
        <v>1208</v>
      </c>
      <c r="I930" t="s">
        <v>1208</v>
      </c>
      <c r="J930" t="s">
        <v>1305</v>
      </c>
      <c r="K930" t="s">
        <v>1212</v>
      </c>
      <c r="M930" s="3">
        <f t="shared" si="56"/>
        <v>47.285714285714285</v>
      </c>
      <c r="N930">
        <v>11</v>
      </c>
      <c r="O930">
        <v>59</v>
      </c>
      <c r="P930">
        <v>53</v>
      </c>
      <c r="Q930">
        <v>63</v>
      </c>
      <c r="R930">
        <v>61</v>
      </c>
      <c r="S930">
        <v>63</v>
      </c>
      <c r="T930">
        <v>21</v>
      </c>
      <c r="U930">
        <v>0</v>
      </c>
      <c r="V930" s="3">
        <f t="shared" si="57"/>
        <v>55886</v>
      </c>
      <c r="W930">
        <v>4657.166666666667</v>
      </c>
      <c r="X930">
        <v>0</v>
      </c>
      <c r="Y930">
        <f t="shared" si="58"/>
        <v>4657.166666666667</v>
      </c>
      <c r="Z930">
        <f t="shared" si="59"/>
        <v>0</v>
      </c>
      <c r="AA930">
        <v>0</v>
      </c>
    </row>
    <row r="931" spans="1:27" x14ac:dyDescent="0.25">
      <c r="A931" s="1">
        <v>930</v>
      </c>
      <c r="B931" t="s">
        <v>1906</v>
      </c>
      <c r="C931" t="s">
        <v>1136</v>
      </c>
      <c r="D931" t="s">
        <v>1144</v>
      </c>
      <c r="E931" t="s">
        <v>1143</v>
      </c>
      <c r="G931" t="s">
        <v>1208</v>
      </c>
      <c r="H931" t="s">
        <v>1208</v>
      </c>
      <c r="I931" t="s">
        <v>1208</v>
      </c>
      <c r="J931" t="s">
        <v>1305</v>
      </c>
      <c r="K931" t="s">
        <v>1212</v>
      </c>
      <c r="M931" s="3">
        <f t="shared" si="56"/>
        <v>56.714285714285715</v>
      </c>
      <c r="N931">
        <v>30</v>
      </c>
      <c r="O931">
        <v>60</v>
      </c>
      <c r="P931">
        <v>66</v>
      </c>
      <c r="Q931">
        <v>70</v>
      </c>
      <c r="R931">
        <v>59</v>
      </c>
      <c r="S931">
        <v>62</v>
      </c>
      <c r="T931">
        <v>50</v>
      </c>
      <c r="U931">
        <v>0</v>
      </c>
      <c r="V931" s="3">
        <f t="shared" si="57"/>
        <v>344291</v>
      </c>
      <c r="W931">
        <v>28690.916666666668</v>
      </c>
      <c r="X931">
        <v>0</v>
      </c>
      <c r="Y931">
        <f t="shared" si="58"/>
        <v>28690.916666666668</v>
      </c>
      <c r="Z931">
        <f t="shared" si="59"/>
        <v>0</v>
      </c>
      <c r="AA931">
        <v>0</v>
      </c>
    </row>
    <row r="932" spans="1:27" x14ac:dyDescent="0.25">
      <c r="A932" s="1">
        <v>931</v>
      </c>
      <c r="B932" t="s">
        <v>1910</v>
      </c>
      <c r="C932" t="s">
        <v>1136</v>
      </c>
      <c r="D932" t="s">
        <v>1147</v>
      </c>
      <c r="E932" t="s">
        <v>1145</v>
      </c>
      <c r="H932" t="s">
        <v>1208</v>
      </c>
      <c r="I932" t="s">
        <v>1208</v>
      </c>
      <c r="J932" t="s">
        <v>1305</v>
      </c>
      <c r="K932" t="s">
        <v>1212</v>
      </c>
      <c r="M932" s="3">
        <f t="shared" si="56"/>
        <v>43.714285714285715</v>
      </c>
      <c r="N932">
        <v>10</v>
      </c>
      <c r="O932">
        <v>53</v>
      </c>
      <c r="P932">
        <v>51</v>
      </c>
      <c r="Q932">
        <v>55</v>
      </c>
      <c r="R932">
        <v>57</v>
      </c>
      <c r="S932">
        <v>60</v>
      </c>
      <c r="T932">
        <v>20</v>
      </c>
      <c r="U932">
        <v>0</v>
      </c>
      <c r="V932" s="3">
        <f t="shared" si="57"/>
        <v>25483</v>
      </c>
      <c r="W932">
        <v>2123.5833333333335</v>
      </c>
      <c r="X932">
        <v>0</v>
      </c>
      <c r="Y932">
        <f t="shared" si="58"/>
        <v>2123.5833333333335</v>
      </c>
      <c r="Z932">
        <f t="shared" si="59"/>
        <v>0</v>
      </c>
      <c r="AA932">
        <v>0</v>
      </c>
    </row>
    <row r="933" spans="1:27" x14ac:dyDescent="0.25">
      <c r="A933" s="1">
        <v>932</v>
      </c>
      <c r="B933" t="s">
        <v>851</v>
      </c>
      <c r="C933" t="s">
        <v>1136</v>
      </c>
      <c r="D933" t="s">
        <v>1143</v>
      </c>
      <c r="G933" t="s">
        <v>1184</v>
      </c>
      <c r="H933" t="s">
        <v>1184</v>
      </c>
      <c r="I933" t="s">
        <v>1184</v>
      </c>
      <c r="J933" t="s">
        <v>1305</v>
      </c>
      <c r="K933" t="s">
        <v>1212</v>
      </c>
      <c r="M933" s="3">
        <f t="shared" si="56"/>
        <v>59.714285714285715</v>
      </c>
      <c r="N933">
        <v>40</v>
      </c>
      <c r="O933">
        <v>69</v>
      </c>
      <c r="P933">
        <v>59</v>
      </c>
      <c r="Q933">
        <v>72</v>
      </c>
      <c r="R933">
        <v>69</v>
      </c>
      <c r="S933">
        <v>75</v>
      </c>
      <c r="T933">
        <v>34</v>
      </c>
      <c r="U933">
        <v>0</v>
      </c>
      <c r="V933" s="3">
        <f t="shared" si="57"/>
        <v>576478</v>
      </c>
      <c r="W933">
        <v>28690.916666666668</v>
      </c>
      <c r="X933">
        <v>0</v>
      </c>
      <c r="Y933">
        <f t="shared" si="58"/>
        <v>48039.833333333336</v>
      </c>
      <c r="Z933">
        <f t="shared" si="59"/>
        <v>-40.28</v>
      </c>
      <c r="AA933">
        <v>0</v>
      </c>
    </row>
    <row r="934" spans="1:27" x14ac:dyDescent="0.25">
      <c r="A934" s="1">
        <v>933</v>
      </c>
      <c r="B934" t="s">
        <v>1908</v>
      </c>
      <c r="C934" t="s">
        <v>1136</v>
      </c>
      <c r="D934" t="s">
        <v>1145</v>
      </c>
      <c r="E934" t="s">
        <v>1143</v>
      </c>
      <c r="H934" t="s">
        <v>1208</v>
      </c>
      <c r="I934" t="s">
        <v>1208</v>
      </c>
      <c r="J934" t="s">
        <v>1305</v>
      </c>
      <c r="K934" t="s">
        <v>1212</v>
      </c>
      <c r="M934" s="3">
        <f t="shared" si="56"/>
        <v>42.142857142857146</v>
      </c>
      <c r="N934">
        <v>10</v>
      </c>
      <c r="O934">
        <v>45</v>
      </c>
      <c r="P934">
        <v>49</v>
      </c>
      <c r="Q934">
        <v>57</v>
      </c>
      <c r="R934">
        <v>55</v>
      </c>
      <c r="S934">
        <v>58</v>
      </c>
      <c r="T934">
        <v>21</v>
      </c>
      <c r="U934">
        <v>0</v>
      </c>
      <c r="V934" s="3">
        <f t="shared" si="57"/>
        <v>17671</v>
      </c>
      <c r="W934">
        <v>1472.5833333333333</v>
      </c>
      <c r="X934">
        <v>0</v>
      </c>
      <c r="Y934">
        <f t="shared" si="58"/>
        <v>1472.5833333333333</v>
      </c>
      <c r="Z934">
        <f t="shared" si="59"/>
        <v>0</v>
      </c>
      <c r="AA934">
        <v>0</v>
      </c>
    </row>
    <row r="935" spans="1:27" x14ac:dyDescent="0.25">
      <c r="A935" s="1">
        <v>934</v>
      </c>
      <c r="B935" t="s">
        <v>883</v>
      </c>
      <c r="C935" t="s">
        <v>1136</v>
      </c>
      <c r="D935" t="s">
        <v>1143</v>
      </c>
      <c r="G935" t="s">
        <v>1189</v>
      </c>
      <c r="H935" t="s">
        <v>1189</v>
      </c>
      <c r="I935" t="s">
        <v>1189</v>
      </c>
      <c r="J935" t="s">
        <v>1305</v>
      </c>
      <c r="K935" t="s">
        <v>1212</v>
      </c>
      <c r="M935" s="3">
        <f t="shared" si="56"/>
        <v>49.428571428571431</v>
      </c>
      <c r="N935">
        <v>37</v>
      </c>
      <c r="O935">
        <v>43</v>
      </c>
      <c r="P935">
        <v>55</v>
      </c>
      <c r="Q935">
        <v>55</v>
      </c>
      <c r="R935">
        <v>52</v>
      </c>
      <c r="S935">
        <v>54</v>
      </c>
      <c r="T935">
        <v>50</v>
      </c>
      <c r="U935">
        <v>0</v>
      </c>
      <c r="V935" s="3">
        <f t="shared" si="57"/>
        <v>87053</v>
      </c>
      <c r="W935">
        <v>7254.416666666667</v>
      </c>
      <c r="X935">
        <v>0</v>
      </c>
      <c r="Y935">
        <f t="shared" si="58"/>
        <v>7254.416666666667</v>
      </c>
      <c r="Z935">
        <f t="shared" si="59"/>
        <v>0</v>
      </c>
      <c r="AA935">
        <v>0</v>
      </c>
    </row>
    <row r="936" spans="1:27" x14ac:dyDescent="0.25">
      <c r="A936" s="1">
        <v>935</v>
      </c>
      <c r="B936" t="s">
        <v>1903</v>
      </c>
      <c r="C936" t="s">
        <v>1137</v>
      </c>
      <c r="D936" t="s">
        <v>1137</v>
      </c>
      <c r="H936" t="s">
        <v>1208</v>
      </c>
      <c r="I936" t="s">
        <v>1208</v>
      </c>
      <c r="J936" t="s">
        <v>1305</v>
      </c>
      <c r="K936" t="s">
        <v>1212</v>
      </c>
      <c r="M936" s="3">
        <f t="shared" si="56"/>
        <v>47.428571428571431</v>
      </c>
      <c r="N936">
        <v>10</v>
      </c>
      <c r="O936">
        <v>57</v>
      </c>
      <c r="P936">
        <v>51</v>
      </c>
      <c r="Q936">
        <v>61</v>
      </c>
      <c r="R936">
        <v>63</v>
      </c>
      <c r="S936">
        <v>65</v>
      </c>
      <c r="T936">
        <v>25</v>
      </c>
      <c r="U936">
        <v>0</v>
      </c>
      <c r="V936" s="3">
        <f t="shared" si="57"/>
        <v>57598</v>
      </c>
      <c r="W936">
        <v>4799.833333333333</v>
      </c>
      <c r="X936">
        <v>0</v>
      </c>
      <c r="Y936">
        <f t="shared" si="58"/>
        <v>4799.833333333333</v>
      </c>
      <c r="Z936">
        <f t="shared" si="59"/>
        <v>0</v>
      </c>
      <c r="AA936">
        <v>0</v>
      </c>
    </row>
    <row r="937" spans="1:27" x14ac:dyDescent="0.25">
      <c r="A937" s="1">
        <v>936</v>
      </c>
      <c r="B937" t="s">
        <v>2465</v>
      </c>
      <c r="C937" t="s">
        <v>1133</v>
      </c>
      <c r="D937" t="s">
        <v>1133</v>
      </c>
      <c r="H937" t="s">
        <v>1194</v>
      </c>
      <c r="I937" t="s">
        <v>1194</v>
      </c>
      <c r="J937" t="s">
        <v>1306</v>
      </c>
      <c r="K937" t="s">
        <v>1212</v>
      </c>
      <c r="M937" s="3">
        <f t="shared" si="56"/>
        <v>31.571428571428573</v>
      </c>
      <c r="N937">
        <v>8</v>
      </c>
      <c r="O937">
        <v>40</v>
      </c>
      <c r="P937">
        <v>34</v>
      </c>
      <c r="Q937">
        <v>38</v>
      </c>
      <c r="R937">
        <v>40</v>
      </c>
      <c r="S937">
        <v>42</v>
      </c>
      <c r="T937">
        <v>19</v>
      </c>
      <c r="U937">
        <v>0</v>
      </c>
      <c r="V937" s="3">
        <f t="shared" si="57"/>
        <v>984</v>
      </c>
      <c r="W937">
        <v>82</v>
      </c>
      <c r="X937">
        <v>0</v>
      </c>
      <c r="Y937">
        <f t="shared" si="58"/>
        <v>82</v>
      </c>
      <c r="Z937">
        <f t="shared" si="59"/>
        <v>0</v>
      </c>
      <c r="AA937">
        <v>0</v>
      </c>
    </row>
    <row r="938" spans="1:27" x14ac:dyDescent="0.25">
      <c r="A938" s="1">
        <v>937</v>
      </c>
      <c r="B938" t="s">
        <v>2482</v>
      </c>
      <c r="C938" t="s">
        <v>1133</v>
      </c>
      <c r="D938" t="s">
        <v>1133</v>
      </c>
      <c r="H938" t="s">
        <v>1194</v>
      </c>
      <c r="I938" t="s">
        <v>1194</v>
      </c>
      <c r="J938" t="s">
        <v>1306</v>
      </c>
      <c r="K938" t="s">
        <v>1212</v>
      </c>
      <c r="M938" s="3">
        <f t="shared" si="56"/>
        <v>31.857142857142858</v>
      </c>
      <c r="N938">
        <v>8</v>
      </c>
      <c r="O938">
        <v>42</v>
      </c>
      <c r="P938">
        <v>34</v>
      </c>
      <c r="Q938">
        <v>38</v>
      </c>
      <c r="R938">
        <v>40</v>
      </c>
      <c r="S938">
        <v>42</v>
      </c>
      <c r="T938">
        <v>19</v>
      </c>
      <c r="U938">
        <v>0</v>
      </c>
      <c r="V938" s="3">
        <f t="shared" si="57"/>
        <v>1077</v>
      </c>
      <c r="W938">
        <v>89.75</v>
      </c>
      <c r="X938">
        <v>0</v>
      </c>
      <c r="Y938">
        <f t="shared" si="58"/>
        <v>89.75</v>
      </c>
      <c r="Z938">
        <f t="shared" si="59"/>
        <v>0</v>
      </c>
      <c r="AA938">
        <v>0</v>
      </c>
    </row>
    <row r="939" spans="1:27" x14ac:dyDescent="0.25">
      <c r="A939" s="1">
        <v>938</v>
      </c>
      <c r="B939" t="s">
        <v>2464</v>
      </c>
      <c r="C939" t="s">
        <v>1133</v>
      </c>
      <c r="D939" t="s">
        <v>1133</v>
      </c>
      <c r="H939" t="s">
        <v>1194</v>
      </c>
      <c r="I939" t="s">
        <v>1194</v>
      </c>
      <c r="J939" t="s">
        <v>1306</v>
      </c>
      <c r="K939" t="s">
        <v>1212</v>
      </c>
      <c r="M939" s="3">
        <f t="shared" si="56"/>
        <v>35.428571428571431</v>
      </c>
      <c r="N939">
        <v>10</v>
      </c>
      <c r="O939">
        <v>46</v>
      </c>
      <c r="P939">
        <v>38</v>
      </c>
      <c r="Q939">
        <v>42</v>
      </c>
      <c r="R939">
        <v>44</v>
      </c>
      <c r="S939">
        <v>46</v>
      </c>
      <c r="T939">
        <v>22</v>
      </c>
      <c r="U939">
        <v>0</v>
      </c>
      <c r="V939" s="3">
        <f t="shared" si="57"/>
        <v>3116</v>
      </c>
      <c r="W939">
        <v>259.66666666666669</v>
      </c>
      <c r="X939">
        <v>0</v>
      </c>
      <c r="Y939">
        <f t="shared" si="58"/>
        <v>259.66666666666669</v>
      </c>
      <c r="Z939">
        <f t="shared" si="59"/>
        <v>0</v>
      </c>
      <c r="AA939">
        <v>0</v>
      </c>
    </row>
    <row r="940" spans="1:27" x14ac:dyDescent="0.25">
      <c r="A940" s="1">
        <v>939</v>
      </c>
      <c r="B940" t="s">
        <v>2467</v>
      </c>
      <c r="C940" t="s">
        <v>1134</v>
      </c>
      <c r="D940" t="s">
        <v>1138</v>
      </c>
      <c r="E940" t="s">
        <v>1144</v>
      </c>
      <c r="H940" t="s">
        <v>1194</v>
      </c>
      <c r="I940" t="s">
        <v>1194</v>
      </c>
      <c r="J940" t="s">
        <v>1306</v>
      </c>
      <c r="K940" t="s">
        <v>1212</v>
      </c>
      <c r="M940" s="3">
        <f t="shared" si="56"/>
        <v>28.142857142857142</v>
      </c>
      <c r="N940">
        <v>6</v>
      </c>
      <c r="O940">
        <v>36</v>
      </c>
      <c r="P940">
        <v>30</v>
      </c>
      <c r="Q940">
        <v>34</v>
      </c>
      <c r="R940">
        <v>36</v>
      </c>
      <c r="S940">
        <v>38</v>
      </c>
      <c r="T940">
        <v>17</v>
      </c>
      <c r="U940">
        <v>0</v>
      </c>
      <c r="V940" s="3">
        <f t="shared" si="57"/>
        <v>312</v>
      </c>
      <c r="W940">
        <v>26</v>
      </c>
      <c r="X940">
        <v>0</v>
      </c>
      <c r="Y940">
        <f t="shared" si="58"/>
        <v>26</v>
      </c>
      <c r="Z940">
        <f t="shared" si="59"/>
        <v>0</v>
      </c>
      <c r="AA940">
        <v>0</v>
      </c>
    </row>
    <row r="941" spans="1:27" x14ac:dyDescent="0.25">
      <c r="A941" s="1">
        <v>940</v>
      </c>
      <c r="B941" t="s">
        <v>2469</v>
      </c>
      <c r="C941" t="s">
        <v>1134</v>
      </c>
      <c r="D941" t="s">
        <v>1140</v>
      </c>
      <c r="E941" t="s">
        <v>1138</v>
      </c>
      <c r="H941" t="s">
        <v>1194</v>
      </c>
      <c r="I941" t="s">
        <v>1194</v>
      </c>
      <c r="J941" t="s">
        <v>1306</v>
      </c>
      <c r="K941" t="s">
        <v>1212</v>
      </c>
      <c r="M941" s="3">
        <f t="shared" si="56"/>
        <v>35.142857142857146</v>
      </c>
      <c r="N941">
        <v>9</v>
      </c>
      <c r="O941">
        <v>46</v>
      </c>
      <c r="P941">
        <v>38</v>
      </c>
      <c r="Q941">
        <v>42</v>
      </c>
      <c r="R941">
        <v>44</v>
      </c>
      <c r="S941">
        <v>46</v>
      </c>
      <c r="T941">
        <v>21</v>
      </c>
      <c r="U941">
        <v>0</v>
      </c>
      <c r="V941" s="3">
        <f t="shared" si="57"/>
        <v>2874</v>
      </c>
      <c r="W941">
        <v>239.5</v>
      </c>
      <c r="X941">
        <v>0</v>
      </c>
      <c r="Y941">
        <f t="shared" si="58"/>
        <v>239.5</v>
      </c>
      <c r="Z941">
        <f t="shared" si="59"/>
        <v>0</v>
      </c>
      <c r="AA941">
        <v>0</v>
      </c>
    </row>
    <row r="942" spans="1:27" x14ac:dyDescent="0.25">
      <c r="A942" s="1">
        <v>941</v>
      </c>
      <c r="B942" t="s">
        <v>2470</v>
      </c>
      <c r="C942" t="s">
        <v>1134</v>
      </c>
      <c r="D942" t="s">
        <v>1140</v>
      </c>
      <c r="E942" t="s">
        <v>1139</v>
      </c>
      <c r="H942" t="s">
        <v>1194</v>
      </c>
      <c r="I942" t="s">
        <v>1194</v>
      </c>
      <c r="J942" t="s">
        <v>1306</v>
      </c>
      <c r="K942" t="s">
        <v>1212</v>
      </c>
      <c r="M942" s="3">
        <f t="shared" si="56"/>
        <v>41</v>
      </c>
      <c r="N942">
        <v>45</v>
      </c>
      <c r="O942">
        <v>70</v>
      </c>
      <c r="P942">
        <v>34</v>
      </c>
      <c r="Q942">
        <v>38</v>
      </c>
      <c r="R942">
        <v>40</v>
      </c>
      <c r="S942">
        <v>42</v>
      </c>
      <c r="T942">
        <v>18</v>
      </c>
      <c r="U942">
        <v>0</v>
      </c>
      <c r="V942" s="3">
        <f t="shared" si="57"/>
        <v>13423</v>
      </c>
      <c r="W942">
        <v>74.916666666666671</v>
      </c>
      <c r="X942">
        <v>0</v>
      </c>
      <c r="Y942">
        <f t="shared" si="58"/>
        <v>1118.5833333333333</v>
      </c>
      <c r="Z942">
        <f t="shared" si="59"/>
        <v>-93.3</v>
      </c>
      <c r="AA942">
        <v>0</v>
      </c>
    </row>
    <row r="943" spans="1:27" x14ac:dyDescent="0.25">
      <c r="A943" s="1">
        <v>942</v>
      </c>
      <c r="B943" t="s">
        <v>2468</v>
      </c>
      <c r="C943" t="s">
        <v>1134</v>
      </c>
      <c r="D943" t="s">
        <v>1138</v>
      </c>
      <c r="E943" t="s">
        <v>1139</v>
      </c>
      <c r="H943" t="s">
        <v>1194</v>
      </c>
      <c r="I943" t="s">
        <v>1194</v>
      </c>
      <c r="J943" t="s">
        <v>1306</v>
      </c>
      <c r="K943" t="s">
        <v>1212</v>
      </c>
      <c r="M943" s="3">
        <f t="shared" si="56"/>
        <v>39.142857142857146</v>
      </c>
      <c r="N943">
        <v>12</v>
      </c>
      <c r="O943">
        <v>52</v>
      </c>
      <c r="P943">
        <v>42</v>
      </c>
      <c r="Q943">
        <v>46</v>
      </c>
      <c r="R943">
        <v>48</v>
      </c>
      <c r="S943">
        <v>50</v>
      </c>
      <c r="T943">
        <v>24</v>
      </c>
      <c r="U943">
        <v>0</v>
      </c>
      <c r="V943" s="3">
        <f t="shared" si="57"/>
        <v>8444</v>
      </c>
      <c r="W943">
        <v>703.66666666666663</v>
      </c>
      <c r="X943">
        <v>0</v>
      </c>
      <c r="Y943">
        <f t="shared" si="58"/>
        <v>703.66666666666663</v>
      </c>
      <c r="Z943">
        <f t="shared" si="59"/>
        <v>0</v>
      </c>
      <c r="AA943">
        <v>0</v>
      </c>
    </row>
    <row r="944" spans="1:27" x14ac:dyDescent="0.25">
      <c r="A944" s="1">
        <v>943</v>
      </c>
      <c r="B944" t="s">
        <v>2479</v>
      </c>
      <c r="C944" t="s">
        <v>1135</v>
      </c>
      <c r="D944" t="s">
        <v>1142</v>
      </c>
      <c r="E944" t="s">
        <v>1141</v>
      </c>
      <c r="H944" t="s">
        <v>1194</v>
      </c>
      <c r="I944" t="s">
        <v>1194</v>
      </c>
      <c r="J944" t="s">
        <v>1306</v>
      </c>
      <c r="K944" t="s">
        <v>1212</v>
      </c>
      <c r="M944" s="3">
        <f t="shared" si="56"/>
        <v>63</v>
      </c>
      <c r="N944">
        <v>40</v>
      </c>
      <c r="O944">
        <v>77</v>
      </c>
      <c r="P944">
        <v>80</v>
      </c>
      <c r="Q944">
        <v>60</v>
      </c>
      <c r="R944">
        <v>60</v>
      </c>
      <c r="S944">
        <v>80</v>
      </c>
      <c r="T944">
        <v>44</v>
      </c>
      <c r="U944">
        <v>7</v>
      </c>
      <c r="V944" s="3">
        <f t="shared" si="57"/>
        <v>1477396</v>
      </c>
      <c r="W944">
        <v>123116.33333333333</v>
      </c>
      <c r="X944">
        <v>0</v>
      </c>
      <c r="Y944">
        <f t="shared" si="58"/>
        <v>123116.33333333333</v>
      </c>
      <c r="Z944">
        <f t="shared" si="59"/>
        <v>0</v>
      </c>
      <c r="AA944">
        <v>0</v>
      </c>
    </row>
    <row r="945" spans="1:27" x14ac:dyDescent="0.25">
      <c r="A945" s="1">
        <v>944</v>
      </c>
      <c r="B945" t="s">
        <v>2480</v>
      </c>
      <c r="C945" t="s">
        <v>1135</v>
      </c>
      <c r="D945" t="s">
        <v>1142</v>
      </c>
      <c r="E945" t="s">
        <v>1141</v>
      </c>
      <c r="H945" t="s">
        <v>1194</v>
      </c>
      <c r="I945" t="s">
        <v>1194</v>
      </c>
      <c r="J945" t="s">
        <v>1306</v>
      </c>
      <c r="K945" t="s">
        <v>1212</v>
      </c>
      <c r="M945" s="3">
        <f t="shared" si="56"/>
        <v>55.428571428571431</v>
      </c>
      <c r="N945">
        <v>18</v>
      </c>
      <c r="O945">
        <v>70</v>
      </c>
      <c r="P945">
        <v>62</v>
      </c>
      <c r="Q945">
        <v>64</v>
      </c>
      <c r="R945">
        <v>66</v>
      </c>
      <c r="S945">
        <v>68</v>
      </c>
      <c r="T945">
        <v>40</v>
      </c>
      <c r="U945">
        <v>0</v>
      </c>
      <c r="V945" s="3">
        <f t="shared" si="57"/>
        <v>273740</v>
      </c>
      <c r="W945">
        <v>22811.666666666668</v>
      </c>
      <c r="X945">
        <v>0</v>
      </c>
      <c r="Y945">
        <f t="shared" si="58"/>
        <v>22811.666666666668</v>
      </c>
      <c r="Z945">
        <f t="shared" si="59"/>
        <v>0</v>
      </c>
      <c r="AA945">
        <v>0</v>
      </c>
    </row>
    <row r="946" spans="1:27" x14ac:dyDescent="0.25">
      <c r="A946" s="1">
        <v>945</v>
      </c>
      <c r="B946" t="s">
        <v>2472</v>
      </c>
      <c r="C946" t="s">
        <v>1136</v>
      </c>
      <c r="D946" t="s">
        <v>1144</v>
      </c>
      <c r="E946" t="s">
        <v>1138</v>
      </c>
      <c r="H946" t="s">
        <v>1194</v>
      </c>
      <c r="I946" t="s">
        <v>1194</v>
      </c>
      <c r="J946" t="s">
        <v>1306</v>
      </c>
      <c r="K946" t="s">
        <v>1212</v>
      </c>
      <c r="M946" s="3">
        <f t="shared" si="56"/>
        <v>34.428571428571431</v>
      </c>
      <c r="N946">
        <v>9</v>
      </c>
      <c r="O946">
        <v>44</v>
      </c>
      <c r="P946">
        <v>36</v>
      </c>
      <c r="Q946">
        <v>42</v>
      </c>
      <c r="R946">
        <v>44</v>
      </c>
      <c r="S946">
        <v>46</v>
      </c>
      <c r="T946">
        <v>20</v>
      </c>
      <c r="U946">
        <v>0</v>
      </c>
      <c r="V946" s="3">
        <f t="shared" si="57"/>
        <v>2340</v>
      </c>
      <c r="W946">
        <v>195</v>
      </c>
      <c r="X946">
        <v>0</v>
      </c>
      <c r="Y946">
        <f t="shared" si="58"/>
        <v>195</v>
      </c>
      <c r="Z946">
        <f t="shared" si="59"/>
        <v>0</v>
      </c>
      <c r="AA946">
        <v>0</v>
      </c>
    </row>
    <row r="947" spans="1:27" x14ac:dyDescent="0.25">
      <c r="A947" s="1">
        <v>946</v>
      </c>
      <c r="B947" t="s">
        <v>2476</v>
      </c>
      <c r="C947" t="s">
        <v>1136</v>
      </c>
      <c r="D947" t="s">
        <v>1145</v>
      </c>
      <c r="E947" t="s">
        <v>1147</v>
      </c>
      <c r="H947" t="s">
        <v>1194</v>
      </c>
      <c r="I947" t="s">
        <v>1194</v>
      </c>
      <c r="J947" t="s">
        <v>1306</v>
      </c>
      <c r="K947" t="s">
        <v>1212</v>
      </c>
      <c r="M947" s="3">
        <f t="shared" si="56"/>
        <v>29.857142857142858</v>
      </c>
      <c r="N947">
        <v>7</v>
      </c>
      <c r="O947">
        <v>38</v>
      </c>
      <c r="P947">
        <v>32</v>
      </c>
      <c r="Q947">
        <v>36</v>
      </c>
      <c r="R947">
        <v>38</v>
      </c>
      <c r="S947">
        <v>40</v>
      </c>
      <c r="T947">
        <v>18</v>
      </c>
      <c r="U947">
        <v>0</v>
      </c>
      <c r="V947" s="3">
        <f t="shared" si="57"/>
        <v>563</v>
      </c>
      <c r="W947">
        <v>46.916666666666664</v>
      </c>
      <c r="X947">
        <v>0</v>
      </c>
      <c r="Y947">
        <f t="shared" si="58"/>
        <v>46.916666666666664</v>
      </c>
      <c r="Z947">
        <f t="shared" si="59"/>
        <v>0</v>
      </c>
      <c r="AA947">
        <v>0</v>
      </c>
    </row>
    <row r="948" spans="1:27" x14ac:dyDescent="0.25">
      <c r="A948" s="1">
        <v>947</v>
      </c>
      <c r="B948" t="s">
        <v>2481</v>
      </c>
      <c r="C948" t="s">
        <v>1136</v>
      </c>
      <c r="D948" t="s">
        <v>1147</v>
      </c>
      <c r="E948" t="s">
        <v>1145</v>
      </c>
      <c r="H948" t="s">
        <v>1194</v>
      </c>
      <c r="I948" t="s">
        <v>1194</v>
      </c>
      <c r="J948" t="s">
        <v>1306</v>
      </c>
      <c r="K948" t="s">
        <v>1212</v>
      </c>
      <c r="M948" s="3">
        <f t="shared" si="56"/>
        <v>54.285714285714285</v>
      </c>
      <c r="N948">
        <v>30</v>
      </c>
      <c r="O948">
        <v>64</v>
      </c>
      <c r="P948">
        <v>58</v>
      </c>
      <c r="Q948">
        <v>62</v>
      </c>
      <c r="R948">
        <v>64</v>
      </c>
      <c r="S948">
        <v>66</v>
      </c>
      <c r="T948">
        <v>36</v>
      </c>
      <c r="U948">
        <v>0</v>
      </c>
      <c r="V948" s="3">
        <f t="shared" si="57"/>
        <v>222258</v>
      </c>
      <c r="W948">
        <v>12381.333333333334</v>
      </c>
      <c r="X948">
        <v>0</v>
      </c>
      <c r="Y948">
        <f t="shared" si="58"/>
        <v>18521.5</v>
      </c>
      <c r="Z948">
        <f t="shared" si="59"/>
        <v>-33.15</v>
      </c>
      <c r="AA948">
        <v>0</v>
      </c>
    </row>
    <row r="949" spans="1:27" x14ac:dyDescent="0.25">
      <c r="A949" s="1">
        <v>948</v>
      </c>
      <c r="B949" t="s">
        <v>2473</v>
      </c>
      <c r="C949" t="s">
        <v>1136</v>
      </c>
      <c r="D949" t="s">
        <v>1143</v>
      </c>
      <c r="E949" t="s">
        <v>1144</v>
      </c>
      <c r="H949" t="s">
        <v>1194</v>
      </c>
      <c r="I949" t="s">
        <v>1194</v>
      </c>
      <c r="J949" t="s">
        <v>1306</v>
      </c>
      <c r="K949" t="s">
        <v>1212</v>
      </c>
      <c r="M949" s="3">
        <f t="shared" si="56"/>
        <v>43.285714285714285</v>
      </c>
      <c r="N949">
        <v>30</v>
      </c>
      <c r="O949">
        <v>54</v>
      </c>
      <c r="P949">
        <v>44</v>
      </c>
      <c r="Q949">
        <v>48</v>
      </c>
      <c r="R949">
        <v>50</v>
      </c>
      <c r="S949">
        <v>52</v>
      </c>
      <c r="T949">
        <v>25</v>
      </c>
      <c r="U949">
        <v>0</v>
      </c>
      <c r="V949" s="3">
        <f t="shared" si="57"/>
        <v>23092</v>
      </c>
      <c r="W949">
        <v>1080.25</v>
      </c>
      <c r="X949">
        <v>0</v>
      </c>
      <c r="Y949">
        <f t="shared" si="58"/>
        <v>1924.3333333333333</v>
      </c>
      <c r="Z949">
        <f t="shared" si="59"/>
        <v>-43.86</v>
      </c>
      <c r="AA949">
        <v>0</v>
      </c>
    </row>
    <row r="950" spans="1:27" x14ac:dyDescent="0.25">
      <c r="A950" s="1">
        <v>949</v>
      </c>
      <c r="B950" t="s">
        <v>2471</v>
      </c>
      <c r="C950" t="s">
        <v>1136</v>
      </c>
      <c r="D950" t="s">
        <v>1144</v>
      </c>
      <c r="E950" t="s">
        <v>1143</v>
      </c>
      <c r="H950" t="s">
        <v>1194</v>
      </c>
      <c r="I950" t="s">
        <v>1194</v>
      </c>
      <c r="J950" t="s">
        <v>1306</v>
      </c>
      <c r="K950" t="s">
        <v>1212</v>
      </c>
      <c r="M950" s="3">
        <f t="shared" si="56"/>
        <v>37.428571428571431</v>
      </c>
      <c r="N950">
        <v>11</v>
      </c>
      <c r="O950">
        <v>50</v>
      </c>
      <c r="P950">
        <v>40</v>
      </c>
      <c r="Q950">
        <v>44</v>
      </c>
      <c r="R950">
        <v>46</v>
      </c>
      <c r="S950">
        <v>48</v>
      </c>
      <c r="T950">
        <v>23</v>
      </c>
      <c r="U950">
        <v>0</v>
      </c>
      <c r="V950" s="3">
        <f t="shared" si="57"/>
        <v>5396</v>
      </c>
      <c r="W950">
        <v>449.66666666666669</v>
      </c>
      <c r="X950">
        <v>0</v>
      </c>
      <c r="Y950">
        <f t="shared" si="58"/>
        <v>449.66666666666669</v>
      </c>
      <c r="Z950">
        <f t="shared" si="59"/>
        <v>0</v>
      </c>
      <c r="AA950">
        <v>0</v>
      </c>
    </row>
    <row r="951" spans="1:27" x14ac:dyDescent="0.25">
      <c r="A951" s="1">
        <v>950</v>
      </c>
      <c r="B951" t="s">
        <v>2477</v>
      </c>
      <c r="C951" t="s">
        <v>1136</v>
      </c>
      <c r="D951" t="s">
        <v>1146</v>
      </c>
      <c r="E951" t="s">
        <v>1144</v>
      </c>
      <c r="H951" t="s">
        <v>1194</v>
      </c>
      <c r="I951" t="s">
        <v>1194</v>
      </c>
      <c r="J951" t="s">
        <v>1306</v>
      </c>
      <c r="K951" t="s">
        <v>1212</v>
      </c>
      <c r="M951" s="3">
        <f t="shared" si="56"/>
        <v>38.285714285714285</v>
      </c>
      <c r="N951">
        <v>11</v>
      </c>
      <c r="O951">
        <v>50</v>
      </c>
      <c r="P951">
        <v>40</v>
      </c>
      <c r="Q951">
        <v>46</v>
      </c>
      <c r="R951">
        <v>48</v>
      </c>
      <c r="S951">
        <v>50</v>
      </c>
      <c r="T951">
        <v>23</v>
      </c>
      <c r="U951">
        <v>0</v>
      </c>
      <c r="V951" s="3">
        <f t="shared" si="57"/>
        <v>6767</v>
      </c>
      <c r="W951">
        <v>563.91666666666663</v>
      </c>
      <c r="X951">
        <v>0</v>
      </c>
      <c r="Y951">
        <f t="shared" si="58"/>
        <v>563.91666666666663</v>
      </c>
      <c r="Z951">
        <f t="shared" si="59"/>
        <v>0</v>
      </c>
      <c r="AA951">
        <v>0</v>
      </c>
    </row>
    <row r="952" spans="1:27" x14ac:dyDescent="0.25">
      <c r="A952" s="1">
        <v>951</v>
      </c>
      <c r="B952" t="s">
        <v>2474</v>
      </c>
      <c r="C952" t="s">
        <v>1136</v>
      </c>
      <c r="D952" t="s">
        <v>1143</v>
      </c>
      <c r="E952" t="s">
        <v>1146</v>
      </c>
      <c r="H952" t="s">
        <v>1194</v>
      </c>
      <c r="I952" t="s">
        <v>1194</v>
      </c>
      <c r="J952" t="s">
        <v>1306</v>
      </c>
      <c r="K952" t="s">
        <v>1212</v>
      </c>
      <c r="M952" s="3">
        <f t="shared" si="56"/>
        <v>28</v>
      </c>
      <c r="N952">
        <v>6</v>
      </c>
      <c r="O952">
        <v>36</v>
      </c>
      <c r="P952">
        <v>30</v>
      </c>
      <c r="Q952">
        <v>34</v>
      </c>
      <c r="R952">
        <v>36</v>
      </c>
      <c r="S952">
        <v>38</v>
      </c>
      <c r="T952">
        <v>16</v>
      </c>
      <c r="U952">
        <v>0</v>
      </c>
      <c r="V952" s="3">
        <f t="shared" si="57"/>
        <v>297</v>
      </c>
      <c r="W952">
        <v>24.75</v>
      </c>
      <c r="X952">
        <v>0</v>
      </c>
      <c r="Y952">
        <f t="shared" si="58"/>
        <v>24.75</v>
      </c>
      <c r="Z952">
        <f t="shared" si="59"/>
        <v>0</v>
      </c>
      <c r="AA952">
        <v>0</v>
      </c>
    </row>
    <row r="953" spans="1:27" x14ac:dyDescent="0.25">
      <c r="A953" s="1">
        <v>952</v>
      </c>
      <c r="B953" t="s">
        <v>1307</v>
      </c>
      <c r="C953" t="s">
        <v>1136</v>
      </c>
      <c r="D953" t="s">
        <v>1143</v>
      </c>
      <c r="E953" t="s">
        <v>1145</v>
      </c>
      <c r="G953" t="s">
        <v>1194</v>
      </c>
      <c r="H953" t="s">
        <v>1194</v>
      </c>
      <c r="I953" t="s">
        <v>1194</v>
      </c>
      <c r="J953" t="s">
        <v>1306</v>
      </c>
      <c r="K953" t="s">
        <v>1212</v>
      </c>
      <c r="M953" s="3">
        <f t="shared" si="56"/>
        <v>43</v>
      </c>
      <c r="N953">
        <v>41</v>
      </c>
      <c r="O953">
        <v>60</v>
      </c>
      <c r="P953">
        <v>44</v>
      </c>
      <c r="Q953">
        <v>42</v>
      </c>
      <c r="R953">
        <v>42</v>
      </c>
      <c r="S953">
        <v>51</v>
      </c>
      <c r="T953">
        <v>21</v>
      </c>
      <c r="U953">
        <v>0</v>
      </c>
      <c r="V953" s="3">
        <f t="shared" si="57"/>
        <v>21612</v>
      </c>
      <c r="W953">
        <v>503.91666666666669</v>
      </c>
      <c r="X953">
        <v>0</v>
      </c>
      <c r="Y953">
        <f t="shared" si="58"/>
        <v>1801</v>
      </c>
      <c r="Z953">
        <f t="shared" si="59"/>
        <v>-72.02</v>
      </c>
      <c r="AA953">
        <v>0</v>
      </c>
    </row>
    <row r="954" spans="1:27" x14ac:dyDescent="0.25">
      <c r="A954" s="1">
        <v>953</v>
      </c>
      <c r="B954" t="s">
        <v>2475</v>
      </c>
      <c r="C954" t="s">
        <v>1136</v>
      </c>
      <c r="D954" t="s">
        <v>1145</v>
      </c>
      <c r="E954" t="s">
        <v>1143</v>
      </c>
      <c r="H954" t="s">
        <v>1194</v>
      </c>
      <c r="I954" t="s">
        <v>1194</v>
      </c>
      <c r="J954" t="s">
        <v>1306</v>
      </c>
      <c r="K954" t="s">
        <v>1212</v>
      </c>
      <c r="M954" s="3">
        <f t="shared" si="56"/>
        <v>36.571428571428569</v>
      </c>
      <c r="N954">
        <v>10</v>
      </c>
      <c r="O954">
        <v>48</v>
      </c>
      <c r="P954">
        <v>38</v>
      </c>
      <c r="Q954">
        <v>44</v>
      </c>
      <c r="R954">
        <v>46</v>
      </c>
      <c r="S954">
        <v>48</v>
      </c>
      <c r="T954">
        <v>22</v>
      </c>
      <c r="U954">
        <v>0</v>
      </c>
      <c r="V954" s="3">
        <f t="shared" si="57"/>
        <v>4280</v>
      </c>
      <c r="W954">
        <v>356.66666666666669</v>
      </c>
      <c r="X954">
        <v>0</v>
      </c>
      <c r="Y954">
        <f t="shared" si="58"/>
        <v>356.66666666666669</v>
      </c>
      <c r="Z954">
        <f t="shared" si="59"/>
        <v>0</v>
      </c>
      <c r="AA954">
        <v>0</v>
      </c>
    </row>
    <row r="955" spans="1:27" x14ac:dyDescent="0.25">
      <c r="A955" s="1">
        <v>954</v>
      </c>
      <c r="B955" t="s">
        <v>2478</v>
      </c>
      <c r="C955" t="s">
        <v>1136</v>
      </c>
      <c r="D955" t="s">
        <v>1147</v>
      </c>
      <c r="E955" t="s">
        <v>1145</v>
      </c>
      <c r="H955" t="s">
        <v>1194</v>
      </c>
      <c r="I955" t="s">
        <v>1194</v>
      </c>
      <c r="J955" t="s">
        <v>1306</v>
      </c>
      <c r="K955" t="s">
        <v>1212</v>
      </c>
      <c r="M955" s="3">
        <f t="shared" si="56"/>
        <v>48.285714285714285</v>
      </c>
      <c r="N955">
        <v>30</v>
      </c>
      <c r="O955">
        <v>56</v>
      </c>
      <c r="P955">
        <v>70</v>
      </c>
      <c r="Q955">
        <v>50</v>
      </c>
      <c r="R955">
        <v>52</v>
      </c>
      <c r="S955">
        <v>54</v>
      </c>
      <c r="T955">
        <v>26</v>
      </c>
      <c r="U955">
        <v>1</v>
      </c>
      <c r="V955" s="3">
        <f t="shared" si="57"/>
        <v>103343</v>
      </c>
      <c r="W955">
        <v>1629.3333333333333</v>
      </c>
      <c r="X955">
        <v>0</v>
      </c>
      <c r="Y955">
        <f t="shared" si="58"/>
        <v>8611.9166666666661</v>
      </c>
      <c r="Z955">
        <f t="shared" si="59"/>
        <v>-81.08</v>
      </c>
      <c r="AA955">
        <v>0</v>
      </c>
    </row>
    <row r="956" spans="1:27" x14ac:dyDescent="0.25">
      <c r="A956" s="1">
        <v>955</v>
      </c>
      <c r="B956" t="s">
        <v>2466</v>
      </c>
      <c r="C956" t="s">
        <v>1137</v>
      </c>
      <c r="D956" t="s">
        <v>1137</v>
      </c>
      <c r="H956" t="s">
        <v>1194</v>
      </c>
      <c r="I956" t="s">
        <v>1194</v>
      </c>
      <c r="J956" t="s">
        <v>1306</v>
      </c>
      <c r="K956" t="s">
        <v>1212</v>
      </c>
      <c r="M956" s="3">
        <f t="shared" si="56"/>
        <v>33.571428571428569</v>
      </c>
      <c r="N956">
        <v>9</v>
      </c>
      <c r="O956">
        <v>44</v>
      </c>
      <c r="P956">
        <v>36</v>
      </c>
      <c r="Q956">
        <v>40</v>
      </c>
      <c r="R956">
        <v>42</v>
      </c>
      <c r="S956">
        <v>44</v>
      </c>
      <c r="T956">
        <v>20</v>
      </c>
      <c r="U956">
        <v>0</v>
      </c>
      <c r="V956" s="3">
        <f t="shared" si="57"/>
        <v>1819</v>
      </c>
      <c r="W956">
        <v>151.58333333333334</v>
      </c>
      <c r="X956">
        <v>0</v>
      </c>
      <c r="Y956">
        <f t="shared" si="58"/>
        <v>151.58333333333334</v>
      </c>
      <c r="Z956">
        <f t="shared" si="59"/>
        <v>0</v>
      </c>
      <c r="AA956">
        <v>0</v>
      </c>
    </row>
    <row r="957" spans="1:27" x14ac:dyDescent="0.25">
      <c r="A957" s="1">
        <v>956</v>
      </c>
      <c r="B957" t="s">
        <v>54</v>
      </c>
      <c r="C957" t="s">
        <v>1133</v>
      </c>
      <c r="D957" t="s">
        <v>1133</v>
      </c>
      <c r="G957" t="s">
        <v>1170</v>
      </c>
      <c r="H957" t="s">
        <v>1170</v>
      </c>
      <c r="I957" t="s">
        <v>1170</v>
      </c>
      <c r="J957" t="s">
        <v>2677</v>
      </c>
      <c r="K957" t="s">
        <v>1212</v>
      </c>
      <c r="M957" s="3">
        <f t="shared" si="56"/>
        <v>71.142857142857139</v>
      </c>
      <c r="N957">
        <v>65</v>
      </c>
      <c r="O957">
        <v>70</v>
      </c>
      <c r="P957">
        <v>76</v>
      </c>
      <c r="Q957">
        <v>66</v>
      </c>
      <c r="R957">
        <v>74</v>
      </c>
      <c r="S957">
        <v>80</v>
      </c>
      <c r="T957">
        <v>67</v>
      </c>
      <c r="U957">
        <v>0</v>
      </c>
      <c r="V957" s="3">
        <f t="shared" si="57"/>
        <v>3321338</v>
      </c>
      <c r="W957">
        <v>276778.16666666669</v>
      </c>
      <c r="X957">
        <v>0</v>
      </c>
      <c r="Y957">
        <f t="shared" si="58"/>
        <v>276778.16666666669</v>
      </c>
      <c r="Z957">
        <f t="shared" si="59"/>
        <v>0</v>
      </c>
      <c r="AA957">
        <v>0</v>
      </c>
    </row>
    <row r="958" spans="1:27" x14ac:dyDescent="0.25">
      <c r="A958" s="1">
        <v>957</v>
      </c>
      <c r="B958" t="s">
        <v>105</v>
      </c>
      <c r="C958" t="s">
        <v>1133</v>
      </c>
      <c r="D958" t="s">
        <v>1133</v>
      </c>
      <c r="G958" t="s">
        <v>1206</v>
      </c>
      <c r="H958" t="s">
        <v>1206</v>
      </c>
      <c r="I958" t="s">
        <v>1206</v>
      </c>
      <c r="J958" t="s">
        <v>2677</v>
      </c>
      <c r="K958" t="s">
        <v>1212</v>
      </c>
      <c r="M958" s="3">
        <f t="shared" si="56"/>
        <v>70.285714285714292</v>
      </c>
      <c r="N958">
        <v>65</v>
      </c>
      <c r="O958">
        <v>80</v>
      </c>
      <c r="P958">
        <v>80</v>
      </c>
      <c r="Q958">
        <v>60</v>
      </c>
      <c r="R958">
        <v>67</v>
      </c>
      <c r="S958">
        <v>90</v>
      </c>
      <c r="T958">
        <v>50</v>
      </c>
      <c r="U958">
        <v>29</v>
      </c>
      <c r="V958" s="3">
        <f t="shared" si="57"/>
        <v>4413285</v>
      </c>
      <c r="W958">
        <v>367773.75</v>
      </c>
      <c r="X958">
        <v>0</v>
      </c>
      <c r="Y958">
        <f t="shared" si="58"/>
        <v>367773.75</v>
      </c>
      <c r="Z958">
        <f t="shared" si="59"/>
        <v>0</v>
      </c>
      <c r="AA958">
        <v>0</v>
      </c>
    </row>
    <row r="959" spans="1:27" x14ac:dyDescent="0.25">
      <c r="A959" s="1">
        <v>958</v>
      </c>
      <c r="B959" t="s">
        <v>2594</v>
      </c>
      <c r="C959" t="s">
        <v>1133</v>
      </c>
      <c r="D959" t="s">
        <v>1133</v>
      </c>
      <c r="H959" t="s">
        <v>1170</v>
      </c>
      <c r="I959" t="s">
        <v>1170</v>
      </c>
      <c r="J959" t="s">
        <v>2677</v>
      </c>
      <c r="K959" t="s">
        <v>1212</v>
      </c>
      <c r="M959" s="3">
        <f t="shared" si="56"/>
        <v>63.428571428571431</v>
      </c>
      <c r="N959">
        <v>26</v>
      </c>
      <c r="O959">
        <v>72</v>
      </c>
      <c r="P959">
        <v>70</v>
      </c>
      <c r="Q959">
        <v>75</v>
      </c>
      <c r="R959">
        <v>78</v>
      </c>
      <c r="S959">
        <v>79</v>
      </c>
      <c r="T959">
        <v>44</v>
      </c>
      <c r="U959">
        <v>0</v>
      </c>
      <c r="V959" s="3">
        <f t="shared" si="57"/>
        <v>1054022</v>
      </c>
      <c r="W959">
        <v>87835.166666666672</v>
      </c>
      <c r="X959">
        <v>0</v>
      </c>
      <c r="Y959">
        <f t="shared" si="58"/>
        <v>87835.166666666672</v>
      </c>
      <c r="Z959">
        <f t="shared" si="59"/>
        <v>0</v>
      </c>
      <c r="AA959">
        <v>0</v>
      </c>
    </row>
    <row r="960" spans="1:27" x14ac:dyDescent="0.25">
      <c r="A960" s="1">
        <v>959</v>
      </c>
      <c r="B960" t="s">
        <v>1684</v>
      </c>
      <c r="C960" t="s">
        <v>1134</v>
      </c>
      <c r="D960" t="s">
        <v>1138</v>
      </c>
      <c r="E960" t="s">
        <v>1144</v>
      </c>
      <c r="H960" t="s">
        <v>1170</v>
      </c>
      <c r="I960" t="s">
        <v>1170</v>
      </c>
      <c r="J960" t="s">
        <v>2677</v>
      </c>
      <c r="K960" t="s">
        <v>1212</v>
      </c>
      <c r="M960" s="3">
        <f t="shared" si="56"/>
        <v>57.857142857142854</v>
      </c>
      <c r="N960">
        <v>21</v>
      </c>
      <c r="O960">
        <v>64</v>
      </c>
      <c r="P960">
        <v>59</v>
      </c>
      <c r="Q960">
        <v>72</v>
      </c>
      <c r="R960">
        <v>76</v>
      </c>
      <c r="S960">
        <v>80</v>
      </c>
      <c r="T960">
        <v>33</v>
      </c>
      <c r="U960">
        <v>0</v>
      </c>
      <c r="V960" s="3">
        <f t="shared" si="57"/>
        <v>420311</v>
      </c>
      <c r="W960">
        <v>35025.916666666664</v>
      </c>
      <c r="X960">
        <v>0</v>
      </c>
      <c r="Y960">
        <f t="shared" si="58"/>
        <v>35025.916666666664</v>
      </c>
      <c r="Z960">
        <f t="shared" si="59"/>
        <v>0</v>
      </c>
      <c r="AA960">
        <v>0</v>
      </c>
    </row>
    <row r="961" spans="1:27" x14ac:dyDescent="0.25">
      <c r="A961" s="1">
        <v>960</v>
      </c>
      <c r="B961" t="s">
        <v>227</v>
      </c>
      <c r="C961" t="s">
        <v>1134</v>
      </c>
      <c r="D961" t="s">
        <v>1138</v>
      </c>
      <c r="E961" t="s">
        <v>1140</v>
      </c>
      <c r="F961" t="s">
        <v>1144</v>
      </c>
      <c r="G961" t="s">
        <v>1170</v>
      </c>
      <c r="H961" t="s">
        <v>1173</v>
      </c>
      <c r="I961" t="s">
        <v>1173</v>
      </c>
      <c r="J961" t="s">
        <v>2677</v>
      </c>
      <c r="K961" t="s">
        <v>1212</v>
      </c>
      <c r="M961" s="3">
        <f t="shared" si="56"/>
        <v>80.142857142857139</v>
      </c>
      <c r="N961">
        <v>64</v>
      </c>
      <c r="O961">
        <v>74</v>
      </c>
      <c r="P961">
        <v>74</v>
      </c>
      <c r="Q961">
        <v>89</v>
      </c>
      <c r="R961">
        <v>90</v>
      </c>
      <c r="S961">
        <v>90</v>
      </c>
      <c r="T961">
        <v>80</v>
      </c>
      <c r="U961">
        <v>26</v>
      </c>
      <c r="V961" s="3">
        <f t="shared" si="57"/>
        <v>16396059</v>
      </c>
      <c r="W961">
        <v>1366338.25</v>
      </c>
      <c r="X961">
        <v>0</v>
      </c>
      <c r="Y961">
        <f t="shared" si="58"/>
        <v>1366338.25</v>
      </c>
      <c r="Z961">
        <f t="shared" si="59"/>
        <v>0</v>
      </c>
      <c r="AA961">
        <v>0</v>
      </c>
    </row>
    <row r="962" spans="1:27" x14ac:dyDescent="0.25">
      <c r="A962" s="1">
        <v>961</v>
      </c>
      <c r="B962" t="s">
        <v>2668</v>
      </c>
      <c r="C962" t="s">
        <v>1134</v>
      </c>
      <c r="D962" t="s">
        <v>1138</v>
      </c>
      <c r="E962" t="s">
        <v>1140</v>
      </c>
      <c r="H962" t="s">
        <v>1170</v>
      </c>
      <c r="I962" t="s">
        <v>1170</v>
      </c>
      <c r="J962" t="s">
        <v>2677</v>
      </c>
      <c r="K962" t="s">
        <v>1212</v>
      </c>
      <c r="M962" s="3">
        <f t="shared" ref="M962:M1025" si="60">AVERAGE(N962:T962)</f>
        <v>62.285714285714285</v>
      </c>
      <c r="N962">
        <v>25</v>
      </c>
      <c r="O962">
        <v>71</v>
      </c>
      <c r="P962">
        <v>63</v>
      </c>
      <c r="Q962">
        <v>76</v>
      </c>
      <c r="R962">
        <v>80</v>
      </c>
      <c r="S962">
        <v>82</v>
      </c>
      <c r="T962">
        <v>39</v>
      </c>
      <c r="U962">
        <v>0</v>
      </c>
      <c r="V962" s="3">
        <f t="shared" ref="V962:V1025" si="61">ROUNDUP(M962^10/1000000000000 * IF(U962&gt;0,1.5,1),0)</f>
        <v>878789</v>
      </c>
      <c r="W962">
        <v>73232.416666666672</v>
      </c>
      <c r="X962">
        <v>0</v>
      </c>
      <c r="Y962">
        <f t="shared" ref="Y962:Y1025" si="62">V962/12</f>
        <v>73232.416666666672</v>
      </c>
      <c r="Z962">
        <f t="shared" ref="Z962:Z1025" si="63">ROUND(((W962-Y962)/Y962)*100,2)</f>
        <v>0</v>
      </c>
      <c r="AA962">
        <v>0</v>
      </c>
    </row>
    <row r="963" spans="1:27" x14ac:dyDescent="0.25">
      <c r="A963" s="1">
        <v>962</v>
      </c>
      <c r="B963" t="s">
        <v>1686</v>
      </c>
      <c r="C963" t="s">
        <v>1134</v>
      </c>
      <c r="D963" t="s">
        <v>1138</v>
      </c>
      <c r="E963" t="s">
        <v>1140</v>
      </c>
      <c r="H963" t="s">
        <v>1170</v>
      </c>
      <c r="I963" t="s">
        <v>1170</v>
      </c>
      <c r="J963" t="s">
        <v>2677</v>
      </c>
      <c r="K963" t="s">
        <v>1212</v>
      </c>
      <c r="M963" s="3">
        <f t="shared" si="60"/>
        <v>54</v>
      </c>
      <c r="N963">
        <v>20</v>
      </c>
      <c r="O963">
        <v>58</v>
      </c>
      <c r="P963">
        <v>54</v>
      </c>
      <c r="Q963">
        <v>66</v>
      </c>
      <c r="R963">
        <v>71</v>
      </c>
      <c r="S963">
        <v>78</v>
      </c>
      <c r="T963">
        <v>31</v>
      </c>
      <c r="U963">
        <v>0</v>
      </c>
      <c r="V963" s="3">
        <f t="shared" si="61"/>
        <v>210833</v>
      </c>
      <c r="W963">
        <v>17569.416666666668</v>
      </c>
      <c r="X963">
        <v>0</v>
      </c>
      <c r="Y963">
        <f t="shared" si="62"/>
        <v>17569.416666666668</v>
      </c>
      <c r="Z963">
        <f t="shared" si="63"/>
        <v>0</v>
      </c>
      <c r="AA963">
        <v>0</v>
      </c>
    </row>
    <row r="964" spans="1:27" x14ac:dyDescent="0.25">
      <c r="A964" s="1">
        <v>963</v>
      </c>
      <c r="B964" t="s">
        <v>226</v>
      </c>
      <c r="C964" t="s">
        <v>1134</v>
      </c>
      <c r="D964" t="s">
        <v>1139</v>
      </c>
      <c r="E964" t="s">
        <v>1138</v>
      </c>
      <c r="G964" t="s">
        <v>1170</v>
      </c>
      <c r="H964" t="s">
        <v>1170</v>
      </c>
      <c r="I964" t="s">
        <v>1170</v>
      </c>
      <c r="J964" t="s">
        <v>2677</v>
      </c>
      <c r="K964" t="s">
        <v>1212</v>
      </c>
      <c r="M964" s="3">
        <f t="shared" si="60"/>
        <v>77.714285714285708</v>
      </c>
      <c r="N964">
        <v>68</v>
      </c>
      <c r="O964">
        <v>84</v>
      </c>
      <c r="P964">
        <v>77</v>
      </c>
      <c r="Q964">
        <v>80</v>
      </c>
      <c r="R964">
        <v>81</v>
      </c>
      <c r="S964">
        <v>83</v>
      </c>
      <c r="T964">
        <v>71</v>
      </c>
      <c r="U964">
        <v>0</v>
      </c>
      <c r="V964" s="3">
        <f t="shared" si="61"/>
        <v>8035421</v>
      </c>
      <c r="W964">
        <v>669618.41666666663</v>
      </c>
      <c r="X964">
        <v>0</v>
      </c>
      <c r="Y964">
        <f t="shared" si="62"/>
        <v>669618.41666666663</v>
      </c>
      <c r="Z964">
        <f t="shared" si="63"/>
        <v>0</v>
      </c>
      <c r="AA964">
        <v>0</v>
      </c>
    </row>
    <row r="965" spans="1:27" x14ac:dyDescent="0.25">
      <c r="A965" s="1">
        <v>964</v>
      </c>
      <c r="B965" t="s">
        <v>225</v>
      </c>
      <c r="C965" t="s">
        <v>1134</v>
      </c>
      <c r="D965" t="s">
        <v>1139</v>
      </c>
      <c r="E965" t="s">
        <v>1144</v>
      </c>
      <c r="G965" t="s">
        <v>1170</v>
      </c>
      <c r="H965" t="s">
        <v>1170</v>
      </c>
      <c r="I965" t="s">
        <v>1170</v>
      </c>
      <c r="J965" t="s">
        <v>2677</v>
      </c>
      <c r="K965" t="s">
        <v>1212</v>
      </c>
      <c r="M965" s="3">
        <f t="shared" si="60"/>
        <v>77.142857142857139</v>
      </c>
      <c r="N965">
        <v>65</v>
      </c>
      <c r="O965">
        <v>88</v>
      </c>
      <c r="P965">
        <v>75</v>
      </c>
      <c r="Q965">
        <v>81</v>
      </c>
      <c r="R965">
        <v>82</v>
      </c>
      <c r="S965">
        <v>77</v>
      </c>
      <c r="T965">
        <v>72</v>
      </c>
      <c r="U965">
        <v>0</v>
      </c>
      <c r="V965" s="3">
        <f t="shared" si="61"/>
        <v>7463752</v>
      </c>
      <c r="W965">
        <v>621979.33333333337</v>
      </c>
      <c r="X965">
        <v>0</v>
      </c>
      <c r="Y965">
        <f t="shared" si="62"/>
        <v>621979.33333333337</v>
      </c>
      <c r="Z965">
        <f t="shared" si="63"/>
        <v>0</v>
      </c>
      <c r="AA965">
        <v>0</v>
      </c>
    </row>
    <row r="966" spans="1:27" x14ac:dyDescent="0.25">
      <c r="A966" s="1">
        <v>965</v>
      </c>
      <c r="B966" t="s">
        <v>1685</v>
      </c>
      <c r="C966" t="s">
        <v>1134</v>
      </c>
      <c r="D966" t="s">
        <v>1138</v>
      </c>
      <c r="E966" t="s">
        <v>1139</v>
      </c>
      <c r="H966" t="s">
        <v>1170</v>
      </c>
      <c r="I966" t="s">
        <v>1170</v>
      </c>
      <c r="J966" t="s">
        <v>2677</v>
      </c>
      <c r="K966" t="s">
        <v>1212</v>
      </c>
      <c r="M966" s="3">
        <f t="shared" si="60"/>
        <v>66.428571428571431</v>
      </c>
      <c r="N966">
        <v>29</v>
      </c>
      <c r="O966">
        <v>75</v>
      </c>
      <c r="P966">
        <v>68</v>
      </c>
      <c r="Q966">
        <v>80</v>
      </c>
      <c r="R966">
        <v>83</v>
      </c>
      <c r="S966">
        <v>84</v>
      </c>
      <c r="T966">
        <v>46</v>
      </c>
      <c r="U966">
        <v>0</v>
      </c>
      <c r="V966" s="3">
        <f t="shared" si="61"/>
        <v>1673205</v>
      </c>
      <c r="W966">
        <v>139433.75</v>
      </c>
      <c r="X966">
        <v>0</v>
      </c>
      <c r="Y966">
        <f t="shared" si="62"/>
        <v>139433.75</v>
      </c>
      <c r="Z966">
        <f t="shared" si="63"/>
        <v>0</v>
      </c>
      <c r="AA966">
        <v>0</v>
      </c>
    </row>
    <row r="967" spans="1:27" x14ac:dyDescent="0.25">
      <c r="A967" s="1">
        <v>966</v>
      </c>
      <c r="B967" t="s">
        <v>2572</v>
      </c>
      <c r="C967" t="s">
        <v>1135</v>
      </c>
      <c r="D967" t="s">
        <v>1141</v>
      </c>
      <c r="H967" t="s">
        <v>1170</v>
      </c>
      <c r="I967" t="s">
        <v>1170</v>
      </c>
      <c r="J967" t="s">
        <v>2677</v>
      </c>
      <c r="K967" t="s">
        <v>1212</v>
      </c>
      <c r="M967" s="3">
        <f t="shared" si="60"/>
        <v>66.142857142857139</v>
      </c>
      <c r="N967">
        <v>27</v>
      </c>
      <c r="O967">
        <v>79</v>
      </c>
      <c r="P967">
        <v>74</v>
      </c>
      <c r="Q967">
        <v>82</v>
      </c>
      <c r="R967">
        <v>78</v>
      </c>
      <c r="S967">
        <v>80</v>
      </c>
      <c r="T967">
        <v>43</v>
      </c>
      <c r="U967">
        <v>0</v>
      </c>
      <c r="V967" s="3">
        <f t="shared" si="61"/>
        <v>1602617</v>
      </c>
      <c r="W967">
        <v>133551.41666666666</v>
      </c>
      <c r="X967">
        <v>0</v>
      </c>
      <c r="Y967">
        <f t="shared" si="62"/>
        <v>133551.41666666666</v>
      </c>
      <c r="Z967">
        <f t="shared" si="63"/>
        <v>0</v>
      </c>
      <c r="AA967">
        <v>0</v>
      </c>
    </row>
    <row r="968" spans="1:27" x14ac:dyDescent="0.25">
      <c r="A968" s="1">
        <v>967</v>
      </c>
      <c r="B968" t="s">
        <v>445</v>
      </c>
      <c r="C968" t="s">
        <v>1135</v>
      </c>
      <c r="D968" t="s">
        <v>1141</v>
      </c>
      <c r="G968" t="s">
        <v>1151</v>
      </c>
      <c r="H968" t="s">
        <v>1151</v>
      </c>
      <c r="I968" t="s">
        <v>1151</v>
      </c>
      <c r="J968" t="s">
        <v>2677</v>
      </c>
      <c r="K968" t="s">
        <v>1212</v>
      </c>
      <c r="M968" s="3">
        <f t="shared" si="60"/>
        <v>79.571428571428569</v>
      </c>
      <c r="N968">
        <v>75</v>
      </c>
      <c r="O968">
        <v>75</v>
      </c>
      <c r="P968">
        <v>98</v>
      </c>
      <c r="Q968">
        <v>70</v>
      </c>
      <c r="R968">
        <v>81</v>
      </c>
      <c r="S968">
        <v>98</v>
      </c>
      <c r="T968">
        <v>60</v>
      </c>
      <c r="U968">
        <v>6</v>
      </c>
      <c r="V968" s="3">
        <f t="shared" si="61"/>
        <v>15263806</v>
      </c>
      <c r="W968">
        <v>1271983.8333333333</v>
      </c>
      <c r="X968">
        <v>0</v>
      </c>
      <c r="Y968">
        <f t="shared" si="62"/>
        <v>1271983.8333333333</v>
      </c>
      <c r="Z968">
        <f t="shared" si="63"/>
        <v>0</v>
      </c>
      <c r="AA968">
        <v>0</v>
      </c>
    </row>
    <row r="969" spans="1:27" x14ac:dyDescent="0.25">
      <c r="A969" s="1">
        <v>968</v>
      </c>
      <c r="B969" t="s">
        <v>505</v>
      </c>
      <c r="C969" t="s">
        <v>1135</v>
      </c>
      <c r="D969" t="s">
        <v>1141</v>
      </c>
      <c r="E969" t="s">
        <v>1142</v>
      </c>
      <c r="F969" t="s">
        <v>1145</v>
      </c>
      <c r="G969" t="s">
        <v>1170</v>
      </c>
      <c r="H969" t="s">
        <v>1170</v>
      </c>
      <c r="I969" t="s">
        <v>1170</v>
      </c>
      <c r="J969" t="s">
        <v>2677</v>
      </c>
      <c r="K969" t="s">
        <v>1212</v>
      </c>
      <c r="M969" s="3">
        <f t="shared" si="60"/>
        <v>86.142857142857139</v>
      </c>
      <c r="N969">
        <v>86</v>
      </c>
      <c r="O969">
        <v>85</v>
      </c>
      <c r="P969">
        <v>93</v>
      </c>
      <c r="Q969">
        <v>84</v>
      </c>
      <c r="R969">
        <v>85</v>
      </c>
      <c r="S969">
        <v>87</v>
      </c>
      <c r="T969">
        <v>83</v>
      </c>
      <c r="U969">
        <v>7</v>
      </c>
      <c r="V969" s="3">
        <f t="shared" si="61"/>
        <v>33750793</v>
      </c>
      <c r="W969">
        <v>2812566.0833333335</v>
      </c>
      <c r="X969">
        <v>0</v>
      </c>
      <c r="Y969">
        <f t="shared" si="62"/>
        <v>2812566.0833333335</v>
      </c>
      <c r="Z969">
        <f t="shared" si="63"/>
        <v>0</v>
      </c>
      <c r="AA969">
        <v>0</v>
      </c>
    </row>
    <row r="970" spans="1:27" x14ac:dyDescent="0.25">
      <c r="A970" s="1">
        <v>969</v>
      </c>
      <c r="B970" t="s">
        <v>1687</v>
      </c>
      <c r="C970" t="s">
        <v>1135</v>
      </c>
      <c r="D970" t="s">
        <v>1141</v>
      </c>
      <c r="E970" t="s">
        <v>1145</v>
      </c>
      <c r="H970" t="s">
        <v>1170</v>
      </c>
      <c r="I970" t="s">
        <v>1170</v>
      </c>
      <c r="J970" t="s">
        <v>2677</v>
      </c>
      <c r="K970" t="s">
        <v>1212</v>
      </c>
      <c r="M970" s="3">
        <f t="shared" si="60"/>
        <v>67.428571428571431</v>
      </c>
      <c r="N970">
        <v>28</v>
      </c>
      <c r="O970">
        <v>77</v>
      </c>
      <c r="P970">
        <v>76</v>
      </c>
      <c r="Q970">
        <v>78</v>
      </c>
      <c r="R970">
        <v>82</v>
      </c>
      <c r="S970">
        <v>86</v>
      </c>
      <c r="T970">
        <v>45</v>
      </c>
      <c r="U970">
        <v>0</v>
      </c>
      <c r="V970" s="3">
        <f t="shared" si="61"/>
        <v>1942852</v>
      </c>
      <c r="W970">
        <v>161904.33333333334</v>
      </c>
      <c r="X970">
        <v>0</v>
      </c>
      <c r="Y970">
        <f t="shared" si="62"/>
        <v>161904.33333333334</v>
      </c>
      <c r="Z970">
        <f t="shared" si="63"/>
        <v>0</v>
      </c>
      <c r="AA970">
        <v>0</v>
      </c>
    </row>
    <row r="971" spans="1:27" x14ac:dyDescent="0.25">
      <c r="A971" s="1">
        <v>970</v>
      </c>
      <c r="B971" t="s">
        <v>764</v>
      </c>
      <c r="C971" t="s">
        <v>1136</v>
      </c>
      <c r="D971" t="s">
        <v>1143</v>
      </c>
      <c r="E971" t="s">
        <v>1146</v>
      </c>
      <c r="G971" t="s">
        <v>1170</v>
      </c>
      <c r="H971" t="s">
        <v>1170</v>
      </c>
      <c r="I971" t="s">
        <v>1170</v>
      </c>
      <c r="J971" t="s">
        <v>2677</v>
      </c>
      <c r="K971" t="s">
        <v>1212</v>
      </c>
      <c r="M971" s="3">
        <f t="shared" si="60"/>
        <v>62.571428571428569</v>
      </c>
      <c r="N971">
        <v>45</v>
      </c>
      <c r="O971">
        <v>68</v>
      </c>
      <c r="P971">
        <v>70</v>
      </c>
      <c r="Q971">
        <v>64</v>
      </c>
      <c r="R971">
        <v>70</v>
      </c>
      <c r="S971">
        <v>71</v>
      </c>
      <c r="T971">
        <v>50</v>
      </c>
      <c r="U971">
        <v>0</v>
      </c>
      <c r="V971" s="3">
        <f t="shared" si="61"/>
        <v>919943</v>
      </c>
      <c r="W971">
        <v>76661.916666666672</v>
      </c>
      <c r="X971">
        <v>0</v>
      </c>
      <c r="Y971">
        <f t="shared" si="62"/>
        <v>76661.916666666672</v>
      </c>
      <c r="Z971">
        <f t="shared" si="63"/>
        <v>0</v>
      </c>
      <c r="AA971">
        <v>0</v>
      </c>
    </row>
    <row r="972" spans="1:27" x14ac:dyDescent="0.25">
      <c r="A972" s="1">
        <v>971</v>
      </c>
      <c r="B972" t="s">
        <v>760</v>
      </c>
      <c r="C972" t="s">
        <v>1136</v>
      </c>
      <c r="D972" t="s">
        <v>1145</v>
      </c>
      <c r="E972" t="s">
        <v>1146</v>
      </c>
      <c r="F972" t="s">
        <v>1143</v>
      </c>
      <c r="G972" t="s">
        <v>1170</v>
      </c>
      <c r="H972" t="s">
        <v>1170</v>
      </c>
      <c r="I972" t="s">
        <v>1170</v>
      </c>
      <c r="J972" t="s">
        <v>2677</v>
      </c>
      <c r="K972" t="s">
        <v>1212</v>
      </c>
      <c r="M972" s="3">
        <f t="shared" si="60"/>
        <v>85.142857142857139</v>
      </c>
      <c r="N972">
        <v>81</v>
      </c>
      <c r="O972">
        <v>81</v>
      </c>
      <c r="P972">
        <v>91</v>
      </c>
      <c r="Q972">
        <v>89</v>
      </c>
      <c r="R972">
        <v>83</v>
      </c>
      <c r="S972">
        <v>85</v>
      </c>
      <c r="T972">
        <v>86</v>
      </c>
      <c r="U972">
        <v>21</v>
      </c>
      <c r="V972" s="3">
        <f t="shared" si="61"/>
        <v>30031254</v>
      </c>
      <c r="W972">
        <v>2502604.5</v>
      </c>
      <c r="X972">
        <v>0</v>
      </c>
      <c r="Y972">
        <f t="shared" si="62"/>
        <v>2502604.5</v>
      </c>
      <c r="Z972">
        <f t="shared" si="63"/>
        <v>0</v>
      </c>
      <c r="AA972">
        <v>0</v>
      </c>
    </row>
    <row r="973" spans="1:27" x14ac:dyDescent="0.25">
      <c r="A973" s="1">
        <v>972</v>
      </c>
      <c r="B973" t="s">
        <v>2584</v>
      </c>
      <c r="C973" t="s">
        <v>1136</v>
      </c>
      <c r="D973" t="s">
        <v>1145</v>
      </c>
      <c r="E973" t="s">
        <v>1146</v>
      </c>
      <c r="H973" t="s">
        <v>1170</v>
      </c>
      <c r="I973" t="s">
        <v>1170</v>
      </c>
      <c r="J973" t="s">
        <v>2677</v>
      </c>
      <c r="K973" t="s">
        <v>1212</v>
      </c>
      <c r="M973" s="3">
        <f t="shared" si="60"/>
        <v>66.142857142857139</v>
      </c>
      <c r="N973">
        <v>27</v>
      </c>
      <c r="O973">
        <v>79</v>
      </c>
      <c r="P973">
        <v>74</v>
      </c>
      <c r="Q973">
        <v>82</v>
      </c>
      <c r="R973">
        <v>78</v>
      </c>
      <c r="S973">
        <v>80</v>
      </c>
      <c r="T973">
        <v>43</v>
      </c>
      <c r="U973">
        <v>0</v>
      </c>
      <c r="V973" s="3">
        <f t="shared" si="61"/>
        <v>1602617</v>
      </c>
      <c r="W973">
        <v>133551.41666666666</v>
      </c>
      <c r="X973">
        <v>0</v>
      </c>
      <c r="Y973">
        <f t="shared" si="62"/>
        <v>133551.41666666666</v>
      </c>
      <c r="Z973">
        <f t="shared" si="63"/>
        <v>0</v>
      </c>
      <c r="AA973">
        <v>0</v>
      </c>
    </row>
    <row r="974" spans="1:27" x14ac:dyDescent="0.25">
      <c r="A974" s="1">
        <v>973</v>
      </c>
      <c r="B974" t="s">
        <v>761</v>
      </c>
      <c r="C974" t="s">
        <v>1136</v>
      </c>
      <c r="D974" t="s">
        <v>1145</v>
      </c>
      <c r="E974" t="s">
        <v>1141</v>
      </c>
      <c r="F974" t="s">
        <v>1143</v>
      </c>
      <c r="G974" t="s">
        <v>1170</v>
      </c>
      <c r="H974" t="s">
        <v>1170</v>
      </c>
      <c r="I974" t="s">
        <v>1170</v>
      </c>
      <c r="J974" t="s">
        <v>2677</v>
      </c>
      <c r="K974" t="s">
        <v>1212</v>
      </c>
      <c r="M974" s="3">
        <f t="shared" si="60"/>
        <v>88.714285714285708</v>
      </c>
      <c r="N974">
        <v>85</v>
      </c>
      <c r="O974">
        <v>82</v>
      </c>
      <c r="P974">
        <v>95</v>
      </c>
      <c r="Q974">
        <v>90</v>
      </c>
      <c r="R974">
        <v>88</v>
      </c>
      <c r="S974">
        <v>92</v>
      </c>
      <c r="T974">
        <v>89</v>
      </c>
      <c r="U974">
        <v>1</v>
      </c>
      <c r="V974" s="3">
        <f t="shared" si="61"/>
        <v>45292560</v>
      </c>
      <c r="W974">
        <v>3774380</v>
      </c>
      <c r="X974">
        <v>0</v>
      </c>
      <c r="Y974">
        <f t="shared" si="62"/>
        <v>3774380</v>
      </c>
      <c r="Z974">
        <f t="shared" si="63"/>
        <v>0</v>
      </c>
      <c r="AA974">
        <v>0</v>
      </c>
    </row>
    <row r="975" spans="1:27" x14ac:dyDescent="0.25">
      <c r="A975" s="1">
        <v>974</v>
      </c>
      <c r="B975" t="s">
        <v>1688</v>
      </c>
      <c r="C975" t="s">
        <v>1136</v>
      </c>
      <c r="D975" t="s">
        <v>1147</v>
      </c>
      <c r="E975" t="s">
        <v>1145</v>
      </c>
      <c r="H975" t="s">
        <v>1170</v>
      </c>
      <c r="I975" t="s">
        <v>1170</v>
      </c>
      <c r="J975" t="s">
        <v>2677</v>
      </c>
      <c r="K975" t="s">
        <v>1212</v>
      </c>
      <c r="M975" s="3">
        <f t="shared" si="60"/>
        <v>60</v>
      </c>
      <c r="N975">
        <v>20</v>
      </c>
      <c r="O975">
        <v>86</v>
      </c>
      <c r="P975">
        <v>65</v>
      </c>
      <c r="Q975">
        <v>74</v>
      </c>
      <c r="R975">
        <v>72</v>
      </c>
      <c r="S975">
        <v>73</v>
      </c>
      <c r="T975">
        <v>30</v>
      </c>
      <c r="U975">
        <v>0</v>
      </c>
      <c r="V975" s="3">
        <f t="shared" si="61"/>
        <v>604662</v>
      </c>
      <c r="W975">
        <v>50388.5</v>
      </c>
      <c r="X975">
        <v>0</v>
      </c>
      <c r="Y975">
        <f t="shared" si="62"/>
        <v>50388.5</v>
      </c>
      <c r="Z975">
        <f t="shared" si="63"/>
        <v>0</v>
      </c>
      <c r="AA975">
        <v>0</v>
      </c>
    </row>
    <row r="976" spans="1:27" x14ac:dyDescent="0.25">
      <c r="A976" s="1">
        <v>975</v>
      </c>
      <c r="B976" t="s">
        <v>763</v>
      </c>
      <c r="C976" t="s">
        <v>1136</v>
      </c>
      <c r="D976" t="s">
        <v>1144</v>
      </c>
      <c r="E976" t="s">
        <v>1138</v>
      </c>
      <c r="G976" t="s">
        <v>1170</v>
      </c>
      <c r="H976" t="s">
        <v>1170</v>
      </c>
      <c r="I976" t="s">
        <v>1170</v>
      </c>
      <c r="J976" t="s">
        <v>2677</v>
      </c>
      <c r="K976" t="s">
        <v>1212</v>
      </c>
      <c r="M976" s="3">
        <f t="shared" si="60"/>
        <v>64.285714285714292</v>
      </c>
      <c r="N976">
        <v>44</v>
      </c>
      <c r="O976">
        <v>70</v>
      </c>
      <c r="P976">
        <v>71</v>
      </c>
      <c r="Q976">
        <v>68</v>
      </c>
      <c r="R976">
        <v>71</v>
      </c>
      <c r="S976">
        <v>73</v>
      </c>
      <c r="T976">
        <v>53</v>
      </c>
      <c r="U976">
        <v>0</v>
      </c>
      <c r="V976" s="3">
        <f t="shared" si="61"/>
        <v>1205438</v>
      </c>
      <c r="W976">
        <v>100453.16666666667</v>
      </c>
      <c r="X976">
        <v>0</v>
      </c>
      <c r="Y976">
        <f t="shared" si="62"/>
        <v>100453.16666666667</v>
      </c>
      <c r="Z976">
        <f t="shared" si="63"/>
        <v>0</v>
      </c>
      <c r="AA976">
        <v>0</v>
      </c>
    </row>
    <row r="977" spans="1:27" x14ac:dyDescent="0.25">
      <c r="A977" s="1">
        <v>976</v>
      </c>
      <c r="B977" t="s">
        <v>762</v>
      </c>
      <c r="C977" t="s">
        <v>1136</v>
      </c>
      <c r="D977" t="s">
        <v>1147</v>
      </c>
      <c r="E977" t="s">
        <v>1145</v>
      </c>
      <c r="F977" t="s">
        <v>1143</v>
      </c>
      <c r="G977" t="s">
        <v>1170</v>
      </c>
      <c r="H977" t="s">
        <v>1170</v>
      </c>
      <c r="I977" t="s">
        <v>1170</v>
      </c>
      <c r="J977" t="s">
        <v>2677</v>
      </c>
      <c r="K977" t="s">
        <v>1212</v>
      </c>
      <c r="M977" s="3">
        <f t="shared" si="60"/>
        <v>87.142857142857139</v>
      </c>
      <c r="N977">
        <v>87</v>
      </c>
      <c r="O977">
        <v>95</v>
      </c>
      <c r="P977">
        <v>84</v>
      </c>
      <c r="Q977">
        <v>84</v>
      </c>
      <c r="R977">
        <v>84</v>
      </c>
      <c r="S977">
        <v>88</v>
      </c>
      <c r="T977">
        <v>88</v>
      </c>
      <c r="U977">
        <v>3</v>
      </c>
      <c r="V977" s="3">
        <f t="shared" si="61"/>
        <v>37879934</v>
      </c>
      <c r="W977">
        <v>3156661.1666666665</v>
      </c>
      <c r="X977">
        <v>0</v>
      </c>
      <c r="Y977">
        <f t="shared" si="62"/>
        <v>3156661.1666666665</v>
      </c>
      <c r="Z977">
        <f t="shared" si="63"/>
        <v>0</v>
      </c>
      <c r="AA977">
        <v>0</v>
      </c>
    </row>
    <row r="978" spans="1:27" x14ac:dyDescent="0.25">
      <c r="A978" s="1">
        <v>977</v>
      </c>
      <c r="B978" t="s">
        <v>1689</v>
      </c>
      <c r="C978" t="s">
        <v>1137</v>
      </c>
      <c r="D978" t="s">
        <v>1137</v>
      </c>
      <c r="H978" t="s">
        <v>1170</v>
      </c>
      <c r="I978" t="s">
        <v>1170</v>
      </c>
      <c r="J978" t="s">
        <v>2677</v>
      </c>
      <c r="K978" t="s">
        <v>1212</v>
      </c>
      <c r="M978" s="3">
        <f t="shared" si="60"/>
        <v>60.857142857142854</v>
      </c>
      <c r="N978">
        <v>24</v>
      </c>
      <c r="O978">
        <v>71</v>
      </c>
      <c r="P978">
        <v>67</v>
      </c>
      <c r="Q978">
        <v>76</v>
      </c>
      <c r="R978">
        <v>74</v>
      </c>
      <c r="S978">
        <v>77</v>
      </c>
      <c r="T978">
        <v>37</v>
      </c>
      <c r="U978">
        <v>0</v>
      </c>
      <c r="V978" s="3">
        <f t="shared" si="61"/>
        <v>696812</v>
      </c>
      <c r="W978">
        <v>58067.666666666664</v>
      </c>
      <c r="X978">
        <v>0</v>
      </c>
      <c r="Y978">
        <f t="shared" si="62"/>
        <v>58067.666666666664</v>
      </c>
      <c r="Z978">
        <f t="shared" si="63"/>
        <v>0</v>
      </c>
      <c r="AA978">
        <v>0</v>
      </c>
    </row>
    <row r="979" spans="1:27" x14ac:dyDescent="0.25">
      <c r="A979" s="1">
        <v>978</v>
      </c>
      <c r="B979" t="s">
        <v>1974</v>
      </c>
      <c r="C979" t="s">
        <v>1133</v>
      </c>
      <c r="D979" t="s">
        <v>1133</v>
      </c>
      <c r="H979" t="s">
        <v>1168</v>
      </c>
      <c r="I979" t="s">
        <v>1168</v>
      </c>
      <c r="J979" t="s">
        <v>1242</v>
      </c>
      <c r="K979" t="s">
        <v>1212</v>
      </c>
      <c r="M979" s="3">
        <f t="shared" si="60"/>
        <v>65.285714285714292</v>
      </c>
      <c r="N979">
        <v>24</v>
      </c>
      <c r="O979">
        <v>73</v>
      </c>
      <c r="P979">
        <v>69</v>
      </c>
      <c r="Q979">
        <v>79</v>
      </c>
      <c r="R979">
        <v>81</v>
      </c>
      <c r="S979">
        <v>83</v>
      </c>
      <c r="T979">
        <v>48</v>
      </c>
      <c r="U979">
        <v>0</v>
      </c>
      <c r="V979" s="3">
        <f t="shared" si="61"/>
        <v>1406636</v>
      </c>
      <c r="W979">
        <v>117219.66666666667</v>
      </c>
      <c r="X979">
        <v>0</v>
      </c>
      <c r="Y979">
        <f t="shared" si="62"/>
        <v>117219.66666666667</v>
      </c>
      <c r="Z979">
        <f t="shared" si="63"/>
        <v>0</v>
      </c>
      <c r="AA979">
        <v>0</v>
      </c>
    </row>
    <row r="980" spans="1:27" x14ac:dyDescent="0.25">
      <c r="A980" s="1">
        <v>979</v>
      </c>
      <c r="B980" t="s">
        <v>49</v>
      </c>
      <c r="C980" t="s">
        <v>1133</v>
      </c>
      <c r="D980" t="s">
        <v>1133</v>
      </c>
      <c r="G980" t="s">
        <v>1168</v>
      </c>
      <c r="H980" t="s">
        <v>1168</v>
      </c>
      <c r="I980" t="s">
        <v>1168</v>
      </c>
      <c r="J980" t="s">
        <v>1242</v>
      </c>
      <c r="K980" t="s">
        <v>1212</v>
      </c>
      <c r="M980" s="3">
        <f t="shared" si="60"/>
        <v>76.857142857142861</v>
      </c>
      <c r="N980">
        <v>60</v>
      </c>
      <c r="O980">
        <v>74</v>
      </c>
      <c r="P980">
        <v>75</v>
      </c>
      <c r="Q980">
        <v>79</v>
      </c>
      <c r="R980">
        <v>83</v>
      </c>
      <c r="S980">
        <v>87</v>
      </c>
      <c r="T980">
        <v>80</v>
      </c>
      <c r="U980">
        <v>31</v>
      </c>
      <c r="V980" s="3">
        <f t="shared" si="61"/>
        <v>10787819</v>
      </c>
      <c r="W980">
        <v>898984.91666666663</v>
      </c>
      <c r="X980">
        <v>0</v>
      </c>
      <c r="Y980">
        <f t="shared" si="62"/>
        <v>898984.91666666663</v>
      </c>
      <c r="Z980">
        <f t="shared" si="63"/>
        <v>0</v>
      </c>
      <c r="AA980">
        <v>0</v>
      </c>
    </row>
    <row r="981" spans="1:27" x14ac:dyDescent="0.25">
      <c r="A981" s="1">
        <v>980</v>
      </c>
      <c r="B981" t="s">
        <v>216</v>
      </c>
      <c r="C981" t="s">
        <v>1134</v>
      </c>
      <c r="D981" t="s">
        <v>1138</v>
      </c>
      <c r="E981" t="s">
        <v>1140</v>
      </c>
      <c r="F981" t="s">
        <v>1144</v>
      </c>
      <c r="G981" t="s">
        <v>1168</v>
      </c>
      <c r="H981" t="s">
        <v>1168</v>
      </c>
      <c r="I981" t="s">
        <v>1168</v>
      </c>
      <c r="J981" t="s">
        <v>1242</v>
      </c>
      <c r="K981" t="s">
        <v>1212</v>
      </c>
      <c r="M981" s="3">
        <f t="shared" si="60"/>
        <v>89.571428571428569</v>
      </c>
      <c r="N981">
        <v>85</v>
      </c>
      <c r="O981">
        <v>86</v>
      </c>
      <c r="P981">
        <v>91</v>
      </c>
      <c r="Q981">
        <v>90</v>
      </c>
      <c r="R981">
        <v>93</v>
      </c>
      <c r="S981">
        <v>92</v>
      </c>
      <c r="T981">
        <v>90</v>
      </c>
      <c r="U981">
        <v>28</v>
      </c>
      <c r="V981" s="3">
        <f t="shared" si="61"/>
        <v>49863903</v>
      </c>
      <c r="W981">
        <v>4155325.25</v>
      </c>
      <c r="X981">
        <v>0</v>
      </c>
      <c r="Y981">
        <f t="shared" si="62"/>
        <v>4155325.25</v>
      </c>
      <c r="Z981">
        <f t="shared" si="63"/>
        <v>0</v>
      </c>
      <c r="AA981">
        <v>0</v>
      </c>
    </row>
    <row r="982" spans="1:27" x14ac:dyDescent="0.25">
      <c r="A982" s="1">
        <v>981</v>
      </c>
      <c r="B982" t="s">
        <v>215</v>
      </c>
      <c r="C982" t="s">
        <v>1134</v>
      </c>
      <c r="D982" t="s">
        <v>1138</v>
      </c>
      <c r="E982" t="s">
        <v>1140</v>
      </c>
      <c r="G982" t="s">
        <v>1168</v>
      </c>
      <c r="H982" t="s">
        <v>1168</v>
      </c>
      <c r="I982" t="s">
        <v>1168</v>
      </c>
      <c r="J982" t="s">
        <v>1242</v>
      </c>
      <c r="K982" t="s">
        <v>1212</v>
      </c>
      <c r="M982" s="3">
        <f t="shared" si="60"/>
        <v>89.714285714285708</v>
      </c>
      <c r="N982">
        <v>85</v>
      </c>
      <c r="O982">
        <v>87</v>
      </c>
      <c r="P982">
        <v>90</v>
      </c>
      <c r="Q982">
        <v>90</v>
      </c>
      <c r="R982">
        <v>94</v>
      </c>
      <c r="S982">
        <v>92</v>
      </c>
      <c r="T982">
        <v>90</v>
      </c>
      <c r="U982">
        <v>28</v>
      </c>
      <c r="V982" s="3">
        <f t="shared" si="61"/>
        <v>50664913</v>
      </c>
      <c r="W982">
        <v>4222076.083333333</v>
      </c>
      <c r="X982">
        <v>0</v>
      </c>
      <c r="Y982">
        <f t="shared" si="62"/>
        <v>4222076.083333333</v>
      </c>
      <c r="Z982">
        <f t="shared" si="63"/>
        <v>0</v>
      </c>
      <c r="AA982">
        <v>0</v>
      </c>
    </row>
    <row r="983" spans="1:27" x14ac:dyDescent="0.25">
      <c r="A983" s="1">
        <v>982</v>
      </c>
      <c r="B983" t="s">
        <v>217</v>
      </c>
      <c r="C983" t="s">
        <v>1134</v>
      </c>
      <c r="D983" t="s">
        <v>1138</v>
      </c>
      <c r="E983" t="s">
        <v>1139</v>
      </c>
      <c r="G983" t="s">
        <v>1168</v>
      </c>
      <c r="H983" t="s">
        <v>1168</v>
      </c>
      <c r="I983" t="s">
        <v>1168</v>
      </c>
      <c r="J983" t="s">
        <v>1242</v>
      </c>
      <c r="K983" t="s">
        <v>1212</v>
      </c>
      <c r="M983" s="3">
        <f t="shared" si="60"/>
        <v>86.857142857142861</v>
      </c>
      <c r="N983">
        <v>80</v>
      </c>
      <c r="O983">
        <v>81</v>
      </c>
      <c r="P983">
        <v>87</v>
      </c>
      <c r="Q983">
        <v>89</v>
      </c>
      <c r="R983">
        <v>87</v>
      </c>
      <c r="S983">
        <v>98</v>
      </c>
      <c r="T983">
        <v>86</v>
      </c>
      <c r="U983">
        <v>26</v>
      </c>
      <c r="V983" s="3">
        <f t="shared" si="61"/>
        <v>36656134</v>
      </c>
      <c r="W983">
        <v>3054677.8333333335</v>
      </c>
      <c r="X983">
        <v>0</v>
      </c>
      <c r="Y983">
        <f t="shared" si="62"/>
        <v>3054677.8333333335</v>
      </c>
      <c r="Z983">
        <f t="shared" si="63"/>
        <v>0</v>
      </c>
      <c r="AA983">
        <v>0</v>
      </c>
    </row>
    <row r="984" spans="1:27" x14ac:dyDescent="0.25">
      <c r="A984" s="1">
        <v>983</v>
      </c>
      <c r="B984" t="s">
        <v>1988</v>
      </c>
      <c r="C984" t="s">
        <v>1134</v>
      </c>
      <c r="D984" t="s">
        <v>1138</v>
      </c>
      <c r="E984" t="s">
        <v>1144</v>
      </c>
      <c r="H984" t="s">
        <v>1168</v>
      </c>
      <c r="I984" t="s">
        <v>1168</v>
      </c>
      <c r="J984" t="s">
        <v>1242</v>
      </c>
      <c r="K984" t="s">
        <v>1212</v>
      </c>
      <c r="M984" s="3">
        <f t="shared" si="60"/>
        <v>65.857142857142861</v>
      </c>
      <c r="N984">
        <v>21</v>
      </c>
      <c r="O984">
        <v>85</v>
      </c>
      <c r="P984">
        <v>73</v>
      </c>
      <c r="Q984">
        <v>81</v>
      </c>
      <c r="R984">
        <v>83</v>
      </c>
      <c r="S984">
        <v>85</v>
      </c>
      <c r="T984">
        <v>33</v>
      </c>
      <c r="U984">
        <v>0</v>
      </c>
      <c r="V984" s="3">
        <f t="shared" si="61"/>
        <v>1534719</v>
      </c>
      <c r="W984">
        <v>127893.25</v>
      </c>
      <c r="X984">
        <v>0</v>
      </c>
      <c r="Y984">
        <f t="shared" si="62"/>
        <v>127893.25</v>
      </c>
      <c r="Z984">
        <f t="shared" si="63"/>
        <v>0</v>
      </c>
      <c r="AA984">
        <v>0</v>
      </c>
    </row>
    <row r="985" spans="1:27" x14ac:dyDescent="0.25">
      <c r="A985" s="1">
        <v>984</v>
      </c>
      <c r="B985" t="s">
        <v>1976</v>
      </c>
      <c r="C985" t="s">
        <v>1134</v>
      </c>
      <c r="D985" t="s">
        <v>1140</v>
      </c>
      <c r="E985" t="s">
        <v>1138</v>
      </c>
      <c r="H985" t="s">
        <v>1168</v>
      </c>
      <c r="I985" t="s">
        <v>1168</v>
      </c>
      <c r="J985" t="s">
        <v>1242</v>
      </c>
      <c r="K985" t="s">
        <v>1212</v>
      </c>
      <c r="M985" s="3">
        <f t="shared" si="60"/>
        <v>60</v>
      </c>
      <c r="N985">
        <v>21</v>
      </c>
      <c r="O985">
        <v>81</v>
      </c>
      <c r="P985">
        <v>66</v>
      </c>
      <c r="Q985">
        <v>70</v>
      </c>
      <c r="R985">
        <v>72</v>
      </c>
      <c r="S985">
        <v>75</v>
      </c>
      <c r="T985">
        <v>35</v>
      </c>
      <c r="U985">
        <v>0</v>
      </c>
      <c r="V985" s="3">
        <f t="shared" si="61"/>
        <v>604662</v>
      </c>
      <c r="W985">
        <v>50388.5</v>
      </c>
      <c r="X985">
        <v>0</v>
      </c>
      <c r="Y985">
        <f t="shared" si="62"/>
        <v>50388.5</v>
      </c>
      <c r="Z985">
        <f t="shared" si="63"/>
        <v>0</v>
      </c>
      <c r="AA985">
        <v>0</v>
      </c>
    </row>
    <row r="986" spans="1:27" x14ac:dyDescent="0.25">
      <c r="A986" s="1">
        <v>985</v>
      </c>
      <c r="B986" t="s">
        <v>1977</v>
      </c>
      <c r="C986" t="s">
        <v>1134</v>
      </c>
      <c r="D986" t="s">
        <v>1139</v>
      </c>
      <c r="E986" t="s">
        <v>1138</v>
      </c>
      <c r="H986" t="s">
        <v>1168</v>
      </c>
      <c r="I986" t="s">
        <v>1168</v>
      </c>
      <c r="J986" t="s">
        <v>1242</v>
      </c>
      <c r="K986" t="s">
        <v>1212</v>
      </c>
      <c r="M986" s="3">
        <f t="shared" si="60"/>
        <v>64.285714285714292</v>
      </c>
      <c r="N986">
        <v>23</v>
      </c>
      <c r="O986">
        <v>87</v>
      </c>
      <c r="P986">
        <v>71</v>
      </c>
      <c r="Q986">
        <v>75</v>
      </c>
      <c r="R986">
        <v>77</v>
      </c>
      <c r="S986">
        <v>79</v>
      </c>
      <c r="T986">
        <v>38</v>
      </c>
      <c r="U986">
        <v>0</v>
      </c>
      <c r="V986" s="3">
        <f t="shared" si="61"/>
        <v>1205438</v>
      </c>
      <c r="W986">
        <v>100453.16666666667</v>
      </c>
      <c r="X986">
        <v>0</v>
      </c>
      <c r="Y986">
        <f t="shared" si="62"/>
        <v>100453.16666666667</v>
      </c>
      <c r="Z986">
        <f t="shared" si="63"/>
        <v>0</v>
      </c>
      <c r="AA986">
        <v>0</v>
      </c>
    </row>
    <row r="987" spans="1:27" x14ac:dyDescent="0.25">
      <c r="A987" s="1">
        <v>986</v>
      </c>
      <c r="B987" t="s">
        <v>1986</v>
      </c>
      <c r="C987" t="s">
        <v>1135</v>
      </c>
      <c r="D987" t="s">
        <v>1142</v>
      </c>
      <c r="E987" t="s">
        <v>1147</v>
      </c>
      <c r="H987" t="s">
        <v>1168</v>
      </c>
      <c r="I987" t="s">
        <v>1168</v>
      </c>
      <c r="J987" t="s">
        <v>1242</v>
      </c>
      <c r="K987" t="s">
        <v>1212</v>
      </c>
      <c r="M987" s="3">
        <f t="shared" si="60"/>
        <v>59</v>
      </c>
      <c r="N987">
        <v>20</v>
      </c>
      <c r="O987">
        <v>77</v>
      </c>
      <c r="P987">
        <v>64</v>
      </c>
      <c r="Q987">
        <v>72</v>
      </c>
      <c r="R987">
        <v>74</v>
      </c>
      <c r="S987">
        <v>76</v>
      </c>
      <c r="T987">
        <v>30</v>
      </c>
      <c r="U987">
        <v>0</v>
      </c>
      <c r="V987" s="3">
        <f t="shared" si="61"/>
        <v>511117</v>
      </c>
      <c r="W987">
        <v>42593.083333333336</v>
      </c>
      <c r="X987">
        <v>0</v>
      </c>
      <c r="Y987">
        <f t="shared" si="62"/>
        <v>42593.083333333336</v>
      </c>
      <c r="Z987">
        <f t="shared" si="63"/>
        <v>0</v>
      </c>
      <c r="AA987">
        <v>0</v>
      </c>
    </row>
    <row r="988" spans="1:27" x14ac:dyDescent="0.25">
      <c r="A988" s="1">
        <v>987</v>
      </c>
      <c r="B988" t="s">
        <v>1987</v>
      </c>
      <c r="C988" t="s">
        <v>1135</v>
      </c>
      <c r="D988" t="s">
        <v>1141</v>
      </c>
      <c r="E988" t="s">
        <v>1142</v>
      </c>
      <c r="H988" t="s">
        <v>1168</v>
      </c>
      <c r="I988" t="s">
        <v>1168</v>
      </c>
      <c r="J988" t="s">
        <v>1242</v>
      </c>
      <c r="K988" t="s">
        <v>1212</v>
      </c>
      <c r="M988" s="3">
        <f t="shared" si="60"/>
        <v>75</v>
      </c>
      <c r="N988">
        <v>28</v>
      </c>
      <c r="O988">
        <v>93</v>
      </c>
      <c r="P988">
        <v>87</v>
      </c>
      <c r="Q988">
        <v>87</v>
      </c>
      <c r="R988">
        <v>89</v>
      </c>
      <c r="S988">
        <v>91</v>
      </c>
      <c r="T988">
        <v>50</v>
      </c>
      <c r="U988">
        <v>0</v>
      </c>
      <c r="V988" s="3">
        <f t="shared" si="61"/>
        <v>5631352</v>
      </c>
      <c r="W988">
        <v>469279.33333333331</v>
      </c>
      <c r="X988">
        <v>0</v>
      </c>
      <c r="Y988">
        <f t="shared" si="62"/>
        <v>469279.33333333331</v>
      </c>
      <c r="Z988">
        <f t="shared" si="63"/>
        <v>0</v>
      </c>
      <c r="AA988">
        <v>0</v>
      </c>
    </row>
    <row r="989" spans="1:27" x14ac:dyDescent="0.25">
      <c r="A989" s="1">
        <v>988</v>
      </c>
      <c r="B989" t="s">
        <v>1985</v>
      </c>
      <c r="C989" t="s">
        <v>1135</v>
      </c>
      <c r="D989" t="s">
        <v>1142</v>
      </c>
      <c r="E989" t="s">
        <v>1141</v>
      </c>
      <c r="H989" t="s">
        <v>1168</v>
      </c>
      <c r="I989" t="s">
        <v>1168</v>
      </c>
      <c r="J989" t="s">
        <v>1242</v>
      </c>
      <c r="K989" t="s">
        <v>1212</v>
      </c>
      <c r="M989" s="3">
        <f t="shared" si="60"/>
        <v>67.714285714285708</v>
      </c>
      <c r="N989">
        <v>24</v>
      </c>
      <c r="O989">
        <v>88</v>
      </c>
      <c r="P989">
        <v>76</v>
      </c>
      <c r="Q989">
        <v>80</v>
      </c>
      <c r="R989">
        <v>82</v>
      </c>
      <c r="S989">
        <v>84</v>
      </c>
      <c r="T989">
        <v>40</v>
      </c>
      <c r="U989">
        <v>0</v>
      </c>
      <c r="V989" s="3">
        <f t="shared" si="61"/>
        <v>2026764</v>
      </c>
      <c r="W989">
        <v>168897</v>
      </c>
      <c r="X989">
        <v>0</v>
      </c>
      <c r="Y989">
        <f t="shared" si="62"/>
        <v>168897</v>
      </c>
      <c r="Z989">
        <f t="shared" si="63"/>
        <v>0</v>
      </c>
      <c r="AA989">
        <v>0</v>
      </c>
    </row>
    <row r="990" spans="1:27" x14ac:dyDescent="0.25">
      <c r="A990" s="1">
        <v>989</v>
      </c>
      <c r="B990" t="s">
        <v>1980</v>
      </c>
      <c r="C990" t="s">
        <v>1136</v>
      </c>
      <c r="D990" t="s">
        <v>1145</v>
      </c>
      <c r="E990" t="s">
        <v>1143</v>
      </c>
      <c r="H990" t="s">
        <v>1168</v>
      </c>
      <c r="I990" t="s">
        <v>1168</v>
      </c>
      <c r="J990" t="s">
        <v>1242</v>
      </c>
      <c r="K990" t="s">
        <v>1212</v>
      </c>
      <c r="M990" s="3">
        <f t="shared" si="60"/>
        <v>65</v>
      </c>
      <c r="N990">
        <v>23</v>
      </c>
      <c r="O990">
        <v>85</v>
      </c>
      <c r="P990">
        <v>72</v>
      </c>
      <c r="Q990">
        <v>80</v>
      </c>
      <c r="R990">
        <v>78</v>
      </c>
      <c r="S990">
        <v>80</v>
      </c>
      <c r="T990">
        <v>37</v>
      </c>
      <c r="U990">
        <v>0</v>
      </c>
      <c r="V990" s="3">
        <f t="shared" si="61"/>
        <v>1346275</v>
      </c>
      <c r="W990">
        <v>112189.58333333333</v>
      </c>
      <c r="X990">
        <v>0</v>
      </c>
      <c r="Y990">
        <f t="shared" si="62"/>
        <v>112189.58333333333</v>
      </c>
      <c r="Z990">
        <f t="shared" si="63"/>
        <v>0</v>
      </c>
      <c r="AA990">
        <v>0</v>
      </c>
    </row>
    <row r="991" spans="1:27" x14ac:dyDescent="0.25">
      <c r="A991" s="1">
        <v>990</v>
      </c>
      <c r="B991" t="s">
        <v>1982</v>
      </c>
      <c r="C991" t="s">
        <v>1136</v>
      </c>
      <c r="D991" t="s">
        <v>1146</v>
      </c>
      <c r="E991" t="s">
        <v>1144</v>
      </c>
      <c r="H991" t="s">
        <v>1168</v>
      </c>
      <c r="I991" t="s">
        <v>1168</v>
      </c>
      <c r="J991" t="s">
        <v>1242</v>
      </c>
      <c r="K991" t="s">
        <v>1212</v>
      </c>
      <c r="M991" s="3">
        <f t="shared" si="60"/>
        <v>62.571428571428569</v>
      </c>
      <c r="N991">
        <v>21</v>
      </c>
      <c r="O991">
        <v>81</v>
      </c>
      <c r="P991">
        <v>68</v>
      </c>
      <c r="Q991">
        <v>76</v>
      </c>
      <c r="R991">
        <v>78</v>
      </c>
      <c r="S991">
        <v>80</v>
      </c>
      <c r="T991">
        <v>34</v>
      </c>
      <c r="U991">
        <v>0</v>
      </c>
      <c r="V991" s="3">
        <f t="shared" si="61"/>
        <v>919943</v>
      </c>
      <c r="W991">
        <v>76661.916666666672</v>
      </c>
      <c r="X991">
        <v>0</v>
      </c>
      <c r="Y991">
        <f t="shared" si="62"/>
        <v>76661.916666666672</v>
      </c>
      <c r="Z991">
        <f t="shared" si="63"/>
        <v>0</v>
      </c>
      <c r="AA991">
        <v>0</v>
      </c>
    </row>
    <row r="992" spans="1:27" x14ac:dyDescent="0.25">
      <c r="A992" s="1">
        <v>991</v>
      </c>
      <c r="B992" t="s">
        <v>1981</v>
      </c>
      <c r="C992" t="s">
        <v>1136</v>
      </c>
      <c r="D992" t="s">
        <v>1145</v>
      </c>
      <c r="E992" t="s">
        <v>1147</v>
      </c>
      <c r="H992" t="s">
        <v>1168</v>
      </c>
      <c r="I992" t="s">
        <v>1168</v>
      </c>
      <c r="J992" t="s">
        <v>1242</v>
      </c>
      <c r="K992" t="s">
        <v>1212</v>
      </c>
      <c r="M992" s="3">
        <f t="shared" si="60"/>
        <v>64.142857142857139</v>
      </c>
      <c r="N992">
        <v>22</v>
      </c>
      <c r="O992">
        <v>82</v>
      </c>
      <c r="P992">
        <v>70</v>
      </c>
      <c r="Q992">
        <v>78</v>
      </c>
      <c r="R992">
        <v>80</v>
      </c>
      <c r="S992">
        <v>82</v>
      </c>
      <c r="T992">
        <v>35</v>
      </c>
      <c r="U992">
        <v>0</v>
      </c>
      <c r="V992" s="3">
        <f t="shared" si="61"/>
        <v>1178917</v>
      </c>
      <c r="W992">
        <v>98243.083333333328</v>
      </c>
      <c r="X992">
        <v>0</v>
      </c>
      <c r="Y992">
        <f t="shared" si="62"/>
        <v>98243.083333333328</v>
      </c>
      <c r="Z992">
        <f t="shared" si="63"/>
        <v>0</v>
      </c>
      <c r="AA992">
        <v>0</v>
      </c>
    </row>
    <row r="993" spans="1:27" x14ac:dyDescent="0.25">
      <c r="A993" s="1">
        <v>992</v>
      </c>
      <c r="B993" t="s">
        <v>749</v>
      </c>
      <c r="C993" t="s">
        <v>1136</v>
      </c>
      <c r="D993" t="s">
        <v>1143</v>
      </c>
      <c r="E993" t="s">
        <v>1146</v>
      </c>
      <c r="F993" t="s">
        <v>1144</v>
      </c>
      <c r="G993" t="s">
        <v>1168</v>
      </c>
      <c r="H993" t="s">
        <v>1168</v>
      </c>
      <c r="I993" t="s">
        <v>1168</v>
      </c>
      <c r="J993" t="s">
        <v>1242</v>
      </c>
      <c r="K993" t="s">
        <v>1212</v>
      </c>
      <c r="M993" s="3">
        <f t="shared" si="60"/>
        <v>83.142857142857139</v>
      </c>
      <c r="N993">
        <v>75</v>
      </c>
      <c r="O993">
        <v>83</v>
      </c>
      <c r="P993">
        <v>85</v>
      </c>
      <c r="Q993">
        <v>86</v>
      </c>
      <c r="R993">
        <v>84</v>
      </c>
      <c r="S993">
        <v>86</v>
      </c>
      <c r="T993">
        <v>83</v>
      </c>
      <c r="U993">
        <v>22</v>
      </c>
      <c r="V993" s="3">
        <f t="shared" si="61"/>
        <v>23677765</v>
      </c>
      <c r="W993">
        <v>1973147.0833333333</v>
      </c>
      <c r="X993">
        <v>0</v>
      </c>
      <c r="Y993">
        <f t="shared" si="62"/>
        <v>1973147.0833333333</v>
      </c>
      <c r="Z993">
        <f t="shared" si="63"/>
        <v>0</v>
      </c>
      <c r="AA993">
        <v>0</v>
      </c>
    </row>
    <row r="994" spans="1:27" x14ac:dyDescent="0.25">
      <c r="A994" s="1">
        <v>993</v>
      </c>
      <c r="B994" t="s">
        <v>1984</v>
      </c>
      <c r="C994" t="s">
        <v>1136</v>
      </c>
      <c r="D994" t="s">
        <v>1147</v>
      </c>
      <c r="E994" t="s">
        <v>1146</v>
      </c>
      <c r="H994" t="s">
        <v>1168</v>
      </c>
      <c r="I994" t="s">
        <v>1168</v>
      </c>
      <c r="J994" t="s">
        <v>1242</v>
      </c>
      <c r="K994" t="s">
        <v>1212</v>
      </c>
      <c r="M994" s="3">
        <f t="shared" si="60"/>
        <v>64.428571428571431</v>
      </c>
      <c r="N994">
        <v>21</v>
      </c>
      <c r="O994">
        <v>84</v>
      </c>
      <c r="P994">
        <v>71</v>
      </c>
      <c r="Q994">
        <v>79</v>
      </c>
      <c r="R994">
        <v>81</v>
      </c>
      <c r="S994">
        <v>83</v>
      </c>
      <c r="T994">
        <v>32</v>
      </c>
      <c r="U994">
        <v>0</v>
      </c>
      <c r="V994" s="3">
        <f t="shared" si="61"/>
        <v>1232495</v>
      </c>
      <c r="W994">
        <v>102707.91666666667</v>
      </c>
      <c r="X994">
        <v>0</v>
      </c>
      <c r="Y994">
        <f t="shared" si="62"/>
        <v>102707.91666666667</v>
      </c>
      <c r="Z994">
        <f t="shared" si="63"/>
        <v>0</v>
      </c>
      <c r="AA994">
        <v>0</v>
      </c>
    </row>
    <row r="995" spans="1:27" x14ac:dyDescent="0.25">
      <c r="A995" s="1">
        <v>994</v>
      </c>
      <c r="B995" t="s">
        <v>1978</v>
      </c>
      <c r="C995" t="s">
        <v>1136</v>
      </c>
      <c r="D995" t="s">
        <v>1144</v>
      </c>
      <c r="E995" t="s">
        <v>1143</v>
      </c>
      <c r="H995" t="s">
        <v>1168</v>
      </c>
      <c r="I995" t="s">
        <v>1168</v>
      </c>
      <c r="J995" t="s">
        <v>1242</v>
      </c>
      <c r="K995" t="s">
        <v>1212</v>
      </c>
      <c r="M995" s="3">
        <f t="shared" si="60"/>
        <v>62.857142857142854</v>
      </c>
      <c r="N995">
        <v>22</v>
      </c>
      <c r="O995">
        <v>84</v>
      </c>
      <c r="P995">
        <v>70</v>
      </c>
      <c r="Q995">
        <v>78</v>
      </c>
      <c r="R995">
        <v>74</v>
      </c>
      <c r="S995">
        <v>76</v>
      </c>
      <c r="T995">
        <v>36</v>
      </c>
      <c r="U995">
        <v>0</v>
      </c>
      <c r="V995" s="3">
        <f t="shared" si="61"/>
        <v>962823</v>
      </c>
      <c r="W995">
        <v>80235.25</v>
      </c>
      <c r="X995">
        <v>0</v>
      </c>
      <c r="Y995">
        <f t="shared" si="62"/>
        <v>80235.25</v>
      </c>
      <c r="Z995">
        <f t="shared" si="63"/>
        <v>0</v>
      </c>
      <c r="AA995">
        <v>0</v>
      </c>
    </row>
    <row r="996" spans="1:27" x14ac:dyDescent="0.25">
      <c r="A996" s="1">
        <v>995</v>
      </c>
      <c r="B996" t="s">
        <v>1979</v>
      </c>
      <c r="C996" t="s">
        <v>1136</v>
      </c>
      <c r="D996" t="s">
        <v>1143</v>
      </c>
      <c r="E996" t="s">
        <v>1144</v>
      </c>
      <c r="H996" t="s">
        <v>1168</v>
      </c>
      <c r="I996" t="s">
        <v>1168</v>
      </c>
      <c r="J996" t="s">
        <v>1242</v>
      </c>
      <c r="K996" t="s">
        <v>1212</v>
      </c>
      <c r="M996" s="3">
        <f t="shared" si="60"/>
        <v>62</v>
      </c>
      <c r="N996">
        <v>21</v>
      </c>
      <c r="O996">
        <v>83</v>
      </c>
      <c r="P996">
        <v>68</v>
      </c>
      <c r="Q996">
        <v>74</v>
      </c>
      <c r="R996">
        <v>76</v>
      </c>
      <c r="S996">
        <v>78</v>
      </c>
      <c r="T996">
        <v>34</v>
      </c>
      <c r="U996">
        <v>0</v>
      </c>
      <c r="V996" s="3">
        <f t="shared" si="61"/>
        <v>839300</v>
      </c>
      <c r="W996">
        <v>69941.666666666672</v>
      </c>
      <c r="X996">
        <v>0</v>
      </c>
      <c r="Y996">
        <f t="shared" si="62"/>
        <v>69941.666666666672</v>
      </c>
      <c r="Z996">
        <f t="shared" si="63"/>
        <v>0</v>
      </c>
      <c r="AA996">
        <v>0</v>
      </c>
    </row>
    <row r="997" spans="1:27" x14ac:dyDescent="0.25">
      <c r="A997" s="1">
        <v>996</v>
      </c>
      <c r="B997" t="s">
        <v>1983</v>
      </c>
      <c r="C997" t="s">
        <v>1136</v>
      </c>
      <c r="D997" t="s">
        <v>1147</v>
      </c>
      <c r="E997" t="s">
        <v>1145</v>
      </c>
      <c r="H997" t="s">
        <v>1168</v>
      </c>
      <c r="I997" t="s">
        <v>1168</v>
      </c>
      <c r="J997" t="s">
        <v>1242</v>
      </c>
      <c r="K997" t="s">
        <v>1212</v>
      </c>
      <c r="M997" s="3">
        <f t="shared" si="60"/>
        <v>69.714285714285708</v>
      </c>
      <c r="N997">
        <v>26</v>
      </c>
      <c r="O997">
        <v>90</v>
      </c>
      <c r="P997">
        <v>78</v>
      </c>
      <c r="Q997">
        <v>82</v>
      </c>
      <c r="R997">
        <v>84</v>
      </c>
      <c r="S997">
        <v>86</v>
      </c>
      <c r="T997">
        <v>42</v>
      </c>
      <c r="U997">
        <v>0</v>
      </c>
      <c r="V997" s="3">
        <f t="shared" si="61"/>
        <v>2711552</v>
      </c>
      <c r="W997">
        <v>225962.66666666666</v>
      </c>
      <c r="X997">
        <v>0</v>
      </c>
      <c r="Y997">
        <f t="shared" si="62"/>
        <v>225962.66666666666</v>
      </c>
      <c r="Z997">
        <f t="shared" si="63"/>
        <v>0</v>
      </c>
      <c r="AA997">
        <v>0</v>
      </c>
    </row>
    <row r="998" spans="1:27" x14ac:dyDescent="0.25">
      <c r="A998" s="1">
        <v>997</v>
      </c>
      <c r="B998" t="s">
        <v>1975</v>
      </c>
      <c r="C998" t="s">
        <v>1137</v>
      </c>
      <c r="D998" t="s">
        <v>1137</v>
      </c>
      <c r="H998" t="s">
        <v>1168</v>
      </c>
      <c r="I998" t="s">
        <v>1168</v>
      </c>
      <c r="J998" t="s">
        <v>1242</v>
      </c>
      <c r="K998" t="s">
        <v>1212</v>
      </c>
      <c r="M998" s="3">
        <f t="shared" si="60"/>
        <v>62.428571428571431</v>
      </c>
      <c r="N998">
        <v>22</v>
      </c>
      <c r="O998">
        <v>70</v>
      </c>
      <c r="P998">
        <v>66</v>
      </c>
      <c r="Q998">
        <v>76</v>
      </c>
      <c r="R998">
        <v>78</v>
      </c>
      <c r="S998">
        <v>80</v>
      </c>
      <c r="T998">
        <v>45</v>
      </c>
      <c r="U998">
        <v>0</v>
      </c>
      <c r="V998" s="3">
        <f t="shared" si="61"/>
        <v>899154</v>
      </c>
      <c r="W998">
        <v>74929.5</v>
      </c>
      <c r="X998">
        <v>0</v>
      </c>
      <c r="Y998">
        <f t="shared" si="62"/>
        <v>74929.5</v>
      </c>
      <c r="Z998">
        <f t="shared" si="63"/>
        <v>0</v>
      </c>
      <c r="AA998">
        <v>0</v>
      </c>
    </row>
    <row r="999" spans="1:27" x14ac:dyDescent="0.25">
      <c r="A999" s="1">
        <v>998</v>
      </c>
      <c r="B999" t="s">
        <v>496</v>
      </c>
      <c r="C999" t="s">
        <v>1135</v>
      </c>
      <c r="D999" t="s">
        <v>1141</v>
      </c>
      <c r="E999" t="s">
        <v>1145</v>
      </c>
      <c r="F999" t="s">
        <v>1142</v>
      </c>
      <c r="G999" t="s">
        <v>1168</v>
      </c>
      <c r="H999" t="s">
        <v>1168</v>
      </c>
      <c r="I999" t="s">
        <v>1168</v>
      </c>
      <c r="J999" t="s">
        <v>1285</v>
      </c>
      <c r="K999" t="s">
        <v>1220</v>
      </c>
      <c r="M999" s="3">
        <f t="shared" si="60"/>
        <v>91.285714285714292</v>
      </c>
      <c r="N999">
        <v>93</v>
      </c>
      <c r="O999">
        <v>90</v>
      </c>
      <c r="P999">
        <v>97</v>
      </c>
      <c r="Q999">
        <v>90</v>
      </c>
      <c r="R999">
        <v>88</v>
      </c>
      <c r="S999">
        <v>91</v>
      </c>
      <c r="T999">
        <v>90</v>
      </c>
      <c r="U999">
        <v>7</v>
      </c>
      <c r="V999" s="3">
        <f t="shared" si="61"/>
        <v>60272533</v>
      </c>
      <c r="W999">
        <v>5022711.083333333</v>
      </c>
      <c r="X999">
        <v>0</v>
      </c>
      <c r="Y999">
        <f t="shared" si="62"/>
        <v>5022711.083333333</v>
      </c>
      <c r="Z999">
        <f t="shared" si="63"/>
        <v>0</v>
      </c>
      <c r="AA999">
        <v>0</v>
      </c>
    </row>
    <row r="1000" spans="1:27" x14ac:dyDescent="0.25">
      <c r="A1000" s="1">
        <v>999</v>
      </c>
      <c r="B1000" t="s">
        <v>547</v>
      </c>
      <c r="C1000" t="s">
        <v>1135</v>
      </c>
      <c r="D1000" t="s">
        <v>1141</v>
      </c>
      <c r="E1000" t="s">
        <v>1142</v>
      </c>
      <c r="G1000" t="s">
        <v>1184</v>
      </c>
      <c r="H1000" t="s">
        <v>1153</v>
      </c>
      <c r="I1000" t="s">
        <v>1153</v>
      </c>
      <c r="J1000" t="s">
        <v>1288</v>
      </c>
      <c r="K1000" t="s">
        <v>1214</v>
      </c>
      <c r="M1000" s="3">
        <f t="shared" si="60"/>
        <v>88</v>
      </c>
      <c r="N1000">
        <v>87</v>
      </c>
      <c r="O1000">
        <v>95</v>
      </c>
      <c r="P1000">
        <v>98</v>
      </c>
      <c r="Q1000">
        <v>85</v>
      </c>
      <c r="R1000">
        <v>83</v>
      </c>
      <c r="S1000">
        <v>83</v>
      </c>
      <c r="T1000">
        <v>85</v>
      </c>
      <c r="U1000">
        <v>15</v>
      </c>
      <c r="V1000" s="3">
        <f t="shared" si="61"/>
        <v>41775147</v>
      </c>
      <c r="W1000">
        <v>3481262.25</v>
      </c>
      <c r="X1000">
        <v>0</v>
      </c>
      <c r="Y1000">
        <f t="shared" si="62"/>
        <v>3481262.25</v>
      </c>
      <c r="Z1000">
        <f t="shared" si="63"/>
        <v>0</v>
      </c>
      <c r="AA1000">
        <v>0</v>
      </c>
    </row>
    <row r="1001" spans="1:27" x14ac:dyDescent="0.25">
      <c r="A1001" s="1">
        <v>1000</v>
      </c>
      <c r="B1001" t="s">
        <v>90</v>
      </c>
      <c r="C1001" t="s">
        <v>1133</v>
      </c>
      <c r="D1001" t="s">
        <v>1133</v>
      </c>
      <c r="G1001" t="s">
        <v>1197</v>
      </c>
      <c r="H1001" t="s">
        <v>1197</v>
      </c>
      <c r="I1001" t="s">
        <v>1197</v>
      </c>
      <c r="J1001" t="s">
        <v>1265</v>
      </c>
      <c r="K1001" t="s">
        <v>1212</v>
      </c>
      <c r="M1001" s="3">
        <f t="shared" si="60"/>
        <v>66.571428571428569</v>
      </c>
      <c r="N1001">
        <v>32</v>
      </c>
      <c r="O1001">
        <v>70</v>
      </c>
      <c r="P1001">
        <v>80</v>
      </c>
      <c r="Q1001">
        <v>77</v>
      </c>
      <c r="R1001">
        <v>71</v>
      </c>
      <c r="S1001">
        <v>70</v>
      </c>
      <c r="T1001">
        <v>66</v>
      </c>
      <c r="U1001">
        <v>0</v>
      </c>
      <c r="V1001" s="3">
        <f t="shared" si="61"/>
        <v>1709539</v>
      </c>
      <c r="W1001">
        <v>117219.66666666667</v>
      </c>
      <c r="X1001">
        <v>0</v>
      </c>
      <c r="Y1001">
        <f t="shared" si="62"/>
        <v>142461.58333333334</v>
      </c>
      <c r="Z1001">
        <f t="shared" si="63"/>
        <v>-17.72</v>
      </c>
      <c r="AA1001">
        <v>0</v>
      </c>
    </row>
    <row r="1002" spans="1:27" x14ac:dyDescent="0.25">
      <c r="A1002" s="1">
        <v>1001</v>
      </c>
      <c r="B1002" t="s">
        <v>1749</v>
      </c>
      <c r="C1002" t="s">
        <v>1133</v>
      </c>
      <c r="D1002" t="s">
        <v>1133</v>
      </c>
      <c r="G1002" t="s">
        <v>1197</v>
      </c>
      <c r="H1002" t="s">
        <v>1197</v>
      </c>
      <c r="I1002" t="s">
        <v>1197</v>
      </c>
      <c r="J1002" t="s">
        <v>1265</v>
      </c>
      <c r="K1002" t="s">
        <v>1212</v>
      </c>
      <c r="M1002" s="3">
        <f t="shared" si="60"/>
        <v>61.857142857142854</v>
      </c>
      <c r="N1002">
        <v>22</v>
      </c>
      <c r="O1002">
        <v>68</v>
      </c>
      <c r="P1002">
        <v>72</v>
      </c>
      <c r="Q1002">
        <v>73</v>
      </c>
      <c r="R1002">
        <v>80</v>
      </c>
      <c r="S1002">
        <v>78</v>
      </c>
      <c r="T1002">
        <v>40</v>
      </c>
      <c r="U1002">
        <v>0</v>
      </c>
      <c r="V1002" s="3">
        <f t="shared" si="61"/>
        <v>820160</v>
      </c>
      <c r="W1002">
        <v>68346.666666666672</v>
      </c>
      <c r="X1002">
        <v>0</v>
      </c>
      <c r="Y1002">
        <f t="shared" si="62"/>
        <v>68346.666666666672</v>
      </c>
      <c r="Z1002">
        <f t="shared" si="63"/>
        <v>0</v>
      </c>
      <c r="AA1002">
        <v>0</v>
      </c>
    </row>
    <row r="1003" spans="1:27" x14ac:dyDescent="0.25">
      <c r="A1003" s="1">
        <v>1002</v>
      </c>
      <c r="B1003" t="s">
        <v>2549</v>
      </c>
      <c r="C1003" t="s">
        <v>1134</v>
      </c>
      <c r="D1003" t="s">
        <v>1138</v>
      </c>
      <c r="G1003" t="s">
        <v>1197</v>
      </c>
      <c r="H1003" t="s">
        <v>1197</v>
      </c>
      <c r="I1003" t="s">
        <v>1197</v>
      </c>
      <c r="J1003" t="s">
        <v>1265</v>
      </c>
      <c r="K1003" t="s">
        <v>1212</v>
      </c>
      <c r="M1003" s="3">
        <f t="shared" si="60"/>
        <v>50.857142857142854</v>
      </c>
      <c r="N1003">
        <v>15</v>
      </c>
      <c r="O1003">
        <v>46</v>
      </c>
      <c r="P1003">
        <v>74</v>
      </c>
      <c r="Q1003">
        <v>60</v>
      </c>
      <c r="R1003">
        <v>65</v>
      </c>
      <c r="S1003">
        <v>69</v>
      </c>
      <c r="T1003">
        <v>27</v>
      </c>
      <c r="U1003">
        <v>0</v>
      </c>
      <c r="V1003" s="3">
        <f t="shared" si="61"/>
        <v>115750</v>
      </c>
      <c r="W1003">
        <v>9645.8333333333339</v>
      </c>
      <c r="X1003">
        <v>0</v>
      </c>
      <c r="Y1003">
        <f t="shared" si="62"/>
        <v>9645.8333333333339</v>
      </c>
      <c r="Z1003">
        <f t="shared" si="63"/>
        <v>0</v>
      </c>
      <c r="AA1003">
        <v>0</v>
      </c>
    </row>
    <row r="1004" spans="1:27" x14ac:dyDescent="0.25">
      <c r="A1004" s="1">
        <v>1003</v>
      </c>
      <c r="B1004" t="s">
        <v>362</v>
      </c>
      <c r="C1004" t="s">
        <v>1134</v>
      </c>
      <c r="D1004" t="s">
        <v>1138</v>
      </c>
      <c r="E1004" t="s">
        <v>1139</v>
      </c>
      <c r="G1004" t="s">
        <v>1197</v>
      </c>
      <c r="H1004" t="s">
        <v>1197</v>
      </c>
      <c r="I1004" t="s">
        <v>1197</v>
      </c>
      <c r="J1004" t="s">
        <v>1265</v>
      </c>
      <c r="K1004" t="s">
        <v>1212</v>
      </c>
      <c r="M1004" s="3">
        <f t="shared" si="60"/>
        <v>65.142857142857139</v>
      </c>
      <c r="N1004">
        <v>23</v>
      </c>
      <c r="O1004">
        <v>55</v>
      </c>
      <c r="P1004">
        <v>88</v>
      </c>
      <c r="Q1004">
        <v>61</v>
      </c>
      <c r="R1004">
        <v>80</v>
      </c>
      <c r="S1004">
        <v>94</v>
      </c>
      <c r="T1004">
        <v>55</v>
      </c>
      <c r="U1004">
        <v>0</v>
      </c>
      <c r="V1004" s="3">
        <f t="shared" si="61"/>
        <v>1376158</v>
      </c>
      <c r="W1004">
        <v>114679.83333333333</v>
      </c>
      <c r="X1004">
        <v>0</v>
      </c>
      <c r="Y1004">
        <f t="shared" si="62"/>
        <v>114679.83333333333</v>
      </c>
      <c r="Z1004">
        <f t="shared" si="63"/>
        <v>0</v>
      </c>
      <c r="AA1004">
        <v>0</v>
      </c>
    </row>
    <row r="1005" spans="1:27" x14ac:dyDescent="0.25">
      <c r="A1005" s="1">
        <v>1004</v>
      </c>
      <c r="B1005" t="s">
        <v>1751</v>
      </c>
      <c r="C1005" t="s">
        <v>1134</v>
      </c>
      <c r="D1005" t="s">
        <v>1138</v>
      </c>
      <c r="E1005" t="s">
        <v>1139</v>
      </c>
      <c r="G1005" t="s">
        <v>1197</v>
      </c>
      <c r="H1005" t="s">
        <v>1197</v>
      </c>
      <c r="I1005" t="s">
        <v>1197</v>
      </c>
      <c r="J1005" t="s">
        <v>1265</v>
      </c>
      <c r="K1005" t="s">
        <v>1212</v>
      </c>
      <c r="M1005" s="3">
        <f t="shared" si="60"/>
        <v>67.857142857142861</v>
      </c>
      <c r="N1005">
        <v>25</v>
      </c>
      <c r="O1005">
        <v>74</v>
      </c>
      <c r="P1005">
        <v>80</v>
      </c>
      <c r="Q1005">
        <v>82</v>
      </c>
      <c r="R1005">
        <v>85</v>
      </c>
      <c r="S1005">
        <v>86</v>
      </c>
      <c r="T1005">
        <v>43</v>
      </c>
      <c r="U1005">
        <v>0</v>
      </c>
      <c r="V1005" s="3">
        <f t="shared" si="61"/>
        <v>2069931</v>
      </c>
      <c r="W1005">
        <v>172494.25</v>
      </c>
      <c r="X1005">
        <v>0</v>
      </c>
      <c r="Y1005">
        <f t="shared" si="62"/>
        <v>172494.25</v>
      </c>
      <c r="Z1005">
        <f t="shared" si="63"/>
        <v>0</v>
      </c>
      <c r="AA1005">
        <v>0</v>
      </c>
    </row>
    <row r="1006" spans="1:27" x14ac:dyDescent="0.25">
      <c r="A1006" s="1">
        <v>1005</v>
      </c>
      <c r="B1006" t="s">
        <v>361</v>
      </c>
      <c r="C1006" t="s">
        <v>1134</v>
      </c>
      <c r="D1006" t="s">
        <v>1138</v>
      </c>
      <c r="E1006" t="s">
        <v>1139</v>
      </c>
      <c r="G1006" t="s">
        <v>1197</v>
      </c>
      <c r="H1006" t="s">
        <v>1197</v>
      </c>
      <c r="I1006" t="s">
        <v>1197</v>
      </c>
      <c r="J1006" t="s">
        <v>1265</v>
      </c>
      <c r="K1006" t="s">
        <v>1212</v>
      </c>
      <c r="M1006" s="3">
        <f t="shared" si="60"/>
        <v>58</v>
      </c>
      <c r="N1006">
        <v>16</v>
      </c>
      <c r="O1006">
        <v>53</v>
      </c>
      <c r="P1006">
        <v>81</v>
      </c>
      <c r="Q1006">
        <v>60</v>
      </c>
      <c r="R1006">
        <v>71</v>
      </c>
      <c r="S1006">
        <v>81</v>
      </c>
      <c r="T1006">
        <v>44</v>
      </c>
      <c r="U1006">
        <v>0</v>
      </c>
      <c r="V1006" s="3">
        <f t="shared" si="61"/>
        <v>430805</v>
      </c>
      <c r="W1006">
        <v>35900.416666666664</v>
      </c>
      <c r="X1006">
        <v>0</v>
      </c>
      <c r="Y1006">
        <f t="shared" si="62"/>
        <v>35900.416666666664</v>
      </c>
      <c r="Z1006">
        <f t="shared" si="63"/>
        <v>0</v>
      </c>
      <c r="AA1006">
        <v>0</v>
      </c>
    </row>
    <row r="1007" spans="1:27" x14ac:dyDescent="0.25">
      <c r="A1007" s="1">
        <v>1006</v>
      </c>
      <c r="B1007" t="s">
        <v>2637</v>
      </c>
      <c r="C1007" t="s">
        <v>1134</v>
      </c>
      <c r="D1007" t="s">
        <v>1138</v>
      </c>
      <c r="G1007" t="s">
        <v>1197</v>
      </c>
      <c r="H1007" t="s">
        <v>1197</v>
      </c>
      <c r="I1007" t="s">
        <v>1197</v>
      </c>
      <c r="J1007" t="s">
        <v>1265</v>
      </c>
      <c r="K1007" t="s">
        <v>1212</v>
      </c>
      <c r="M1007" s="3">
        <f t="shared" si="60"/>
        <v>67.142857142857139</v>
      </c>
      <c r="N1007">
        <v>50</v>
      </c>
      <c r="O1007">
        <v>69</v>
      </c>
      <c r="P1007">
        <v>87</v>
      </c>
      <c r="Q1007">
        <v>67</v>
      </c>
      <c r="R1007">
        <v>80</v>
      </c>
      <c r="S1007">
        <v>77</v>
      </c>
      <c r="T1007">
        <v>40</v>
      </c>
      <c r="U1007">
        <v>1</v>
      </c>
      <c r="V1007" s="3">
        <f t="shared" si="61"/>
        <v>2793119</v>
      </c>
      <c r="W1007">
        <v>29421.833333333332</v>
      </c>
      <c r="X1007">
        <v>0</v>
      </c>
      <c r="Y1007">
        <f t="shared" si="62"/>
        <v>232759.91666666666</v>
      </c>
      <c r="Z1007">
        <f t="shared" si="63"/>
        <v>-87.36</v>
      </c>
      <c r="AA1007">
        <v>0</v>
      </c>
    </row>
    <row r="1008" spans="1:27" x14ac:dyDescent="0.25">
      <c r="A1008" s="1">
        <v>1007</v>
      </c>
      <c r="B1008" t="s">
        <v>359</v>
      </c>
      <c r="C1008" t="s">
        <v>1134</v>
      </c>
      <c r="D1008" t="s">
        <v>1138</v>
      </c>
      <c r="G1008" t="s">
        <v>1197</v>
      </c>
      <c r="H1008" t="s">
        <v>1148</v>
      </c>
      <c r="I1008" t="s">
        <v>1148</v>
      </c>
      <c r="J1008" t="s">
        <v>1265</v>
      </c>
      <c r="K1008" t="s">
        <v>1212</v>
      </c>
      <c r="M1008" s="3">
        <f t="shared" si="60"/>
        <v>66.857142857142861</v>
      </c>
      <c r="N1008">
        <v>30</v>
      </c>
      <c r="O1008">
        <v>68</v>
      </c>
      <c r="P1008">
        <v>86</v>
      </c>
      <c r="Q1008">
        <v>65</v>
      </c>
      <c r="R1008">
        <v>84</v>
      </c>
      <c r="S1008">
        <v>84</v>
      </c>
      <c r="T1008">
        <v>51</v>
      </c>
      <c r="U1008">
        <v>26</v>
      </c>
      <c r="V1008" s="3">
        <f t="shared" si="61"/>
        <v>2676514</v>
      </c>
      <c r="W1008">
        <v>107354.58333333333</v>
      </c>
      <c r="X1008">
        <v>0</v>
      </c>
      <c r="Y1008">
        <f t="shared" si="62"/>
        <v>223042.83333333334</v>
      </c>
      <c r="Z1008">
        <f t="shared" si="63"/>
        <v>-51.87</v>
      </c>
      <c r="AA1008">
        <v>0</v>
      </c>
    </row>
    <row r="1009" spans="1:27" x14ac:dyDescent="0.25">
      <c r="A1009" s="1">
        <v>1008</v>
      </c>
      <c r="B1009" t="s">
        <v>1750</v>
      </c>
      <c r="C1009" t="s">
        <v>1134</v>
      </c>
      <c r="D1009" t="s">
        <v>1138</v>
      </c>
      <c r="E1009" t="s">
        <v>1144</v>
      </c>
      <c r="G1009" t="s">
        <v>1197</v>
      </c>
      <c r="H1009" t="s">
        <v>1197</v>
      </c>
      <c r="I1009" t="s">
        <v>1197</v>
      </c>
      <c r="J1009" t="s">
        <v>1265</v>
      </c>
      <c r="K1009" t="s">
        <v>1212</v>
      </c>
      <c r="M1009" s="3">
        <f t="shared" si="60"/>
        <v>60.857142857142854</v>
      </c>
      <c r="N1009">
        <v>17</v>
      </c>
      <c r="O1009">
        <v>64</v>
      </c>
      <c r="P1009">
        <v>78</v>
      </c>
      <c r="Q1009">
        <v>76</v>
      </c>
      <c r="R1009">
        <v>79</v>
      </c>
      <c r="S1009">
        <v>80</v>
      </c>
      <c r="T1009">
        <v>32</v>
      </c>
      <c r="U1009">
        <v>0</v>
      </c>
      <c r="V1009" s="3">
        <f t="shared" si="61"/>
        <v>696812</v>
      </c>
      <c r="W1009">
        <v>58067.666666666664</v>
      </c>
      <c r="X1009">
        <v>0</v>
      </c>
      <c r="Y1009">
        <f t="shared" si="62"/>
        <v>58067.666666666664</v>
      </c>
      <c r="Z1009">
        <f t="shared" si="63"/>
        <v>0</v>
      </c>
      <c r="AA1009">
        <v>0</v>
      </c>
    </row>
    <row r="1010" spans="1:27" x14ac:dyDescent="0.25">
      <c r="A1010" s="1">
        <v>1009</v>
      </c>
      <c r="B1010" t="s">
        <v>360</v>
      </c>
      <c r="C1010" t="s">
        <v>1134</v>
      </c>
      <c r="D1010" t="s">
        <v>1138</v>
      </c>
      <c r="G1010" t="s">
        <v>1197</v>
      </c>
      <c r="H1010" t="s">
        <v>1148</v>
      </c>
      <c r="I1010" t="s">
        <v>1148</v>
      </c>
      <c r="J1010" t="s">
        <v>1265</v>
      </c>
      <c r="K1010" t="s">
        <v>1212</v>
      </c>
      <c r="M1010" s="3">
        <f t="shared" si="60"/>
        <v>60</v>
      </c>
      <c r="N1010">
        <v>26</v>
      </c>
      <c r="O1010">
        <v>51</v>
      </c>
      <c r="P1010">
        <v>83</v>
      </c>
      <c r="Q1010">
        <v>61</v>
      </c>
      <c r="R1010">
        <v>73</v>
      </c>
      <c r="S1010">
        <v>80</v>
      </c>
      <c r="T1010">
        <v>46</v>
      </c>
      <c r="U1010">
        <v>0</v>
      </c>
      <c r="V1010" s="3">
        <f t="shared" si="61"/>
        <v>604662</v>
      </c>
      <c r="W1010">
        <v>50388.5</v>
      </c>
      <c r="X1010">
        <v>0</v>
      </c>
      <c r="Y1010">
        <f t="shared" si="62"/>
        <v>50388.5</v>
      </c>
      <c r="Z1010">
        <f t="shared" si="63"/>
        <v>0</v>
      </c>
      <c r="AA1010">
        <v>0</v>
      </c>
    </row>
    <row r="1011" spans="1:27" x14ac:dyDescent="0.25">
      <c r="A1011" s="1">
        <v>1010</v>
      </c>
      <c r="B1011" t="s">
        <v>588</v>
      </c>
      <c r="C1011" t="s">
        <v>1135</v>
      </c>
      <c r="D1011" t="s">
        <v>1141</v>
      </c>
      <c r="E1011" t="s">
        <v>1142</v>
      </c>
      <c r="G1011" t="s">
        <v>1197</v>
      </c>
      <c r="H1011" t="s">
        <v>1197</v>
      </c>
      <c r="I1011" t="s">
        <v>1197</v>
      </c>
      <c r="J1011" t="s">
        <v>1265</v>
      </c>
      <c r="K1011" t="s">
        <v>1212</v>
      </c>
      <c r="M1011" s="3">
        <f t="shared" si="60"/>
        <v>73.142857142857139</v>
      </c>
      <c r="N1011">
        <v>55</v>
      </c>
      <c r="O1011">
        <v>77</v>
      </c>
      <c r="P1011">
        <v>88</v>
      </c>
      <c r="Q1011">
        <v>71</v>
      </c>
      <c r="R1011">
        <v>73</v>
      </c>
      <c r="S1011">
        <v>85</v>
      </c>
      <c r="T1011">
        <v>63</v>
      </c>
      <c r="U1011">
        <v>0</v>
      </c>
      <c r="V1011" s="3">
        <f t="shared" si="61"/>
        <v>4382473</v>
      </c>
      <c r="W1011">
        <v>365206.08333333331</v>
      </c>
      <c r="X1011">
        <v>0</v>
      </c>
      <c r="Y1011">
        <f t="shared" si="62"/>
        <v>365206.08333333331</v>
      </c>
      <c r="Z1011">
        <f t="shared" si="63"/>
        <v>0</v>
      </c>
      <c r="AA1011">
        <v>0</v>
      </c>
    </row>
    <row r="1012" spans="1:27" x14ac:dyDescent="0.25">
      <c r="A1012" s="1">
        <v>1011</v>
      </c>
      <c r="B1012" t="s">
        <v>587</v>
      </c>
      <c r="C1012" t="s">
        <v>1135</v>
      </c>
      <c r="D1012" t="s">
        <v>1141</v>
      </c>
      <c r="E1012" t="s">
        <v>1142</v>
      </c>
      <c r="G1012" t="s">
        <v>1197</v>
      </c>
      <c r="H1012" t="s">
        <v>1197</v>
      </c>
      <c r="I1012" t="s">
        <v>1197</v>
      </c>
      <c r="J1012" t="s">
        <v>1265</v>
      </c>
      <c r="K1012" t="s">
        <v>1212</v>
      </c>
      <c r="M1012" s="3">
        <f t="shared" si="60"/>
        <v>70.571428571428569</v>
      </c>
      <c r="N1012">
        <v>53</v>
      </c>
      <c r="O1012">
        <v>74</v>
      </c>
      <c r="P1012">
        <v>84</v>
      </c>
      <c r="Q1012">
        <v>72</v>
      </c>
      <c r="R1012">
        <v>71</v>
      </c>
      <c r="S1012">
        <v>80</v>
      </c>
      <c r="T1012">
        <v>60</v>
      </c>
      <c r="U1012">
        <v>0</v>
      </c>
      <c r="V1012" s="3">
        <f t="shared" si="61"/>
        <v>3064003</v>
      </c>
      <c r="W1012">
        <v>255333.58333333334</v>
      </c>
      <c r="X1012">
        <v>0</v>
      </c>
      <c r="Y1012">
        <f t="shared" si="62"/>
        <v>255333.58333333334</v>
      </c>
      <c r="Z1012">
        <f t="shared" si="63"/>
        <v>0</v>
      </c>
      <c r="AA1012">
        <v>0</v>
      </c>
    </row>
    <row r="1013" spans="1:27" x14ac:dyDescent="0.25">
      <c r="A1013" s="1">
        <v>1012</v>
      </c>
      <c r="B1013" t="s">
        <v>1755</v>
      </c>
      <c r="C1013" t="s">
        <v>1135</v>
      </c>
      <c r="D1013" t="s">
        <v>1141</v>
      </c>
      <c r="E1013" t="s">
        <v>1142</v>
      </c>
      <c r="G1013" t="s">
        <v>1197</v>
      </c>
      <c r="H1013" t="s">
        <v>1197</v>
      </c>
      <c r="I1013" t="s">
        <v>1197</v>
      </c>
      <c r="J1013" t="s">
        <v>1265</v>
      </c>
      <c r="K1013" t="s">
        <v>1212</v>
      </c>
      <c r="M1013" s="3">
        <f t="shared" si="60"/>
        <v>68.285714285714292</v>
      </c>
      <c r="N1013">
        <v>26</v>
      </c>
      <c r="O1013">
        <v>78</v>
      </c>
      <c r="P1013">
        <v>86</v>
      </c>
      <c r="Q1013">
        <v>77</v>
      </c>
      <c r="R1013">
        <v>82</v>
      </c>
      <c r="S1013">
        <v>85</v>
      </c>
      <c r="T1013">
        <v>44</v>
      </c>
      <c r="U1013">
        <v>0</v>
      </c>
      <c r="V1013" s="3">
        <f t="shared" si="61"/>
        <v>2204442</v>
      </c>
      <c r="W1013">
        <v>183703.5</v>
      </c>
      <c r="X1013">
        <v>0</v>
      </c>
      <c r="Y1013">
        <f t="shared" si="62"/>
        <v>183703.5</v>
      </c>
      <c r="Z1013">
        <f t="shared" si="63"/>
        <v>0</v>
      </c>
      <c r="AA1013">
        <v>0</v>
      </c>
    </row>
    <row r="1014" spans="1:27" x14ac:dyDescent="0.25">
      <c r="A1014" s="1">
        <v>1013</v>
      </c>
      <c r="B1014" t="s">
        <v>1754</v>
      </c>
      <c r="C1014" t="s">
        <v>1136</v>
      </c>
      <c r="D1014" t="s">
        <v>1147</v>
      </c>
      <c r="E1014" t="s">
        <v>1145</v>
      </c>
      <c r="G1014" t="s">
        <v>1197</v>
      </c>
      <c r="H1014" t="s">
        <v>1197</v>
      </c>
      <c r="I1014" t="s">
        <v>1197</v>
      </c>
      <c r="J1014" t="s">
        <v>1265</v>
      </c>
      <c r="K1014" t="s">
        <v>1212</v>
      </c>
      <c r="M1014" s="3">
        <f t="shared" si="60"/>
        <v>60.285714285714285</v>
      </c>
      <c r="N1014">
        <v>21</v>
      </c>
      <c r="O1014">
        <v>76</v>
      </c>
      <c r="P1014">
        <v>70</v>
      </c>
      <c r="Q1014">
        <v>71</v>
      </c>
      <c r="R1014">
        <v>75</v>
      </c>
      <c r="S1014">
        <v>74</v>
      </c>
      <c r="T1014">
        <v>35</v>
      </c>
      <c r="U1014">
        <v>0</v>
      </c>
      <c r="V1014" s="3">
        <f t="shared" si="61"/>
        <v>634081</v>
      </c>
      <c r="W1014">
        <v>52840.083333333336</v>
      </c>
      <c r="X1014">
        <v>0</v>
      </c>
      <c r="Y1014">
        <f t="shared" si="62"/>
        <v>52840.083333333336</v>
      </c>
      <c r="Z1014">
        <f t="shared" si="63"/>
        <v>0</v>
      </c>
      <c r="AA1014">
        <v>0</v>
      </c>
    </row>
    <row r="1015" spans="1:27" x14ac:dyDescent="0.25">
      <c r="A1015" s="1">
        <v>1014</v>
      </c>
      <c r="B1015" t="s">
        <v>2580</v>
      </c>
      <c r="C1015" t="s">
        <v>1136</v>
      </c>
      <c r="D1015" t="s">
        <v>1146</v>
      </c>
      <c r="E1015" t="s">
        <v>1144</v>
      </c>
      <c r="G1015" t="s">
        <v>1197</v>
      </c>
      <c r="H1015" t="s">
        <v>1197</v>
      </c>
      <c r="I1015" t="s">
        <v>1197</v>
      </c>
      <c r="J1015" t="s">
        <v>1265</v>
      </c>
      <c r="K1015" t="s">
        <v>1212</v>
      </c>
      <c r="M1015" s="3">
        <f t="shared" si="60"/>
        <v>64</v>
      </c>
      <c r="N1015">
        <v>45</v>
      </c>
      <c r="O1015">
        <v>80</v>
      </c>
      <c r="P1015">
        <v>66</v>
      </c>
      <c r="Q1015">
        <v>69</v>
      </c>
      <c r="R1015">
        <v>67</v>
      </c>
      <c r="S1015">
        <v>71</v>
      </c>
      <c r="T1015">
        <v>50</v>
      </c>
      <c r="U1015">
        <v>0</v>
      </c>
      <c r="V1015" s="3">
        <f t="shared" si="61"/>
        <v>1152922</v>
      </c>
      <c r="W1015">
        <v>25275.5</v>
      </c>
      <c r="X1015">
        <v>0</v>
      </c>
      <c r="Y1015">
        <f t="shared" si="62"/>
        <v>96076.833333333328</v>
      </c>
      <c r="Z1015">
        <f t="shared" si="63"/>
        <v>-73.69</v>
      </c>
      <c r="AA1015">
        <v>0</v>
      </c>
    </row>
    <row r="1016" spans="1:27" x14ac:dyDescent="0.25">
      <c r="A1016" s="1">
        <v>1015</v>
      </c>
      <c r="B1016" t="s">
        <v>1752</v>
      </c>
      <c r="C1016" t="s">
        <v>1136</v>
      </c>
      <c r="D1016" t="s">
        <v>1144</v>
      </c>
      <c r="E1016" t="s">
        <v>1138</v>
      </c>
      <c r="G1016" t="s">
        <v>1197</v>
      </c>
      <c r="H1016" t="s">
        <v>1197</v>
      </c>
      <c r="I1016" t="s">
        <v>1197</v>
      </c>
      <c r="J1016" t="s">
        <v>1265</v>
      </c>
      <c r="K1016" t="s">
        <v>1212</v>
      </c>
      <c r="M1016" s="3">
        <f t="shared" si="60"/>
        <v>64.142857142857139</v>
      </c>
      <c r="N1016">
        <v>23</v>
      </c>
      <c r="O1016">
        <v>72</v>
      </c>
      <c r="P1016">
        <v>78</v>
      </c>
      <c r="Q1016">
        <v>80</v>
      </c>
      <c r="R1016">
        <v>77</v>
      </c>
      <c r="S1016">
        <v>79</v>
      </c>
      <c r="T1016">
        <v>40</v>
      </c>
      <c r="U1016">
        <v>0</v>
      </c>
      <c r="V1016" s="3">
        <f t="shared" si="61"/>
        <v>1178917</v>
      </c>
      <c r="W1016">
        <v>98243.083333333328</v>
      </c>
      <c r="X1016">
        <v>0</v>
      </c>
      <c r="Y1016">
        <f t="shared" si="62"/>
        <v>98243.083333333328</v>
      </c>
      <c r="Z1016">
        <f t="shared" si="63"/>
        <v>0</v>
      </c>
      <c r="AA1016">
        <v>0</v>
      </c>
    </row>
    <row r="1017" spans="1:27" x14ac:dyDescent="0.25">
      <c r="A1017" s="1">
        <v>1016</v>
      </c>
      <c r="B1017" t="s">
        <v>934</v>
      </c>
      <c r="C1017" t="s">
        <v>1136</v>
      </c>
      <c r="D1017" t="s">
        <v>1147</v>
      </c>
      <c r="E1017" t="s">
        <v>1146</v>
      </c>
      <c r="G1017" t="s">
        <v>1197</v>
      </c>
      <c r="H1017" t="s">
        <v>1197</v>
      </c>
      <c r="I1017" t="s">
        <v>1197</v>
      </c>
      <c r="J1017" t="s">
        <v>1265</v>
      </c>
      <c r="K1017" t="s">
        <v>1212</v>
      </c>
      <c r="M1017" s="3">
        <f t="shared" si="60"/>
        <v>75.857142857142861</v>
      </c>
      <c r="N1017">
        <v>70</v>
      </c>
      <c r="O1017">
        <v>85</v>
      </c>
      <c r="P1017">
        <v>72</v>
      </c>
      <c r="Q1017">
        <v>78</v>
      </c>
      <c r="R1017">
        <v>78</v>
      </c>
      <c r="S1017">
        <v>78</v>
      </c>
      <c r="T1017">
        <v>70</v>
      </c>
      <c r="U1017">
        <v>23</v>
      </c>
      <c r="V1017" s="3">
        <f t="shared" si="61"/>
        <v>9463594</v>
      </c>
      <c r="W1017">
        <v>35900.416666666664</v>
      </c>
      <c r="X1017">
        <v>0</v>
      </c>
      <c r="Y1017">
        <f t="shared" si="62"/>
        <v>788632.83333333337</v>
      </c>
      <c r="Z1017">
        <f t="shared" si="63"/>
        <v>-95.45</v>
      </c>
      <c r="AA1017">
        <v>0</v>
      </c>
    </row>
    <row r="1018" spans="1:27" x14ac:dyDescent="0.25">
      <c r="A1018" s="1">
        <v>1017</v>
      </c>
      <c r="B1018" t="s">
        <v>933</v>
      </c>
      <c r="C1018" t="s">
        <v>1136</v>
      </c>
      <c r="D1018" t="s">
        <v>1143</v>
      </c>
      <c r="G1018" t="s">
        <v>1197</v>
      </c>
      <c r="H1018" t="s">
        <v>1197</v>
      </c>
      <c r="I1018" t="s">
        <v>1197</v>
      </c>
      <c r="J1018" t="s">
        <v>1265</v>
      </c>
      <c r="K1018" t="s">
        <v>1212</v>
      </c>
      <c r="M1018" s="3">
        <f t="shared" si="60"/>
        <v>75.285714285714292</v>
      </c>
      <c r="N1018">
        <v>65</v>
      </c>
      <c r="O1018">
        <v>76</v>
      </c>
      <c r="P1018">
        <v>88</v>
      </c>
      <c r="Q1018">
        <v>85</v>
      </c>
      <c r="R1018">
        <v>75</v>
      </c>
      <c r="S1018">
        <v>70</v>
      </c>
      <c r="T1018">
        <v>68</v>
      </c>
      <c r="U1018">
        <v>21</v>
      </c>
      <c r="V1018" s="3">
        <f t="shared" si="61"/>
        <v>8774392</v>
      </c>
      <c r="W1018">
        <v>38643.083333333336</v>
      </c>
      <c r="X1018">
        <v>0</v>
      </c>
      <c r="Y1018">
        <f t="shared" si="62"/>
        <v>731199.33333333337</v>
      </c>
      <c r="Z1018">
        <f t="shared" si="63"/>
        <v>-94.72</v>
      </c>
      <c r="AA1018">
        <v>0</v>
      </c>
    </row>
    <row r="1019" spans="1:27" x14ac:dyDescent="0.25">
      <c r="A1019" s="1">
        <v>1018</v>
      </c>
      <c r="B1019" t="s">
        <v>938</v>
      </c>
      <c r="C1019" t="s">
        <v>1136</v>
      </c>
      <c r="D1019" t="s">
        <v>1144</v>
      </c>
      <c r="E1019" t="s">
        <v>1143</v>
      </c>
      <c r="G1019" t="s">
        <v>1197</v>
      </c>
      <c r="H1019" t="s">
        <v>1197</v>
      </c>
      <c r="I1019" t="s">
        <v>1197</v>
      </c>
      <c r="J1019" t="s">
        <v>1265</v>
      </c>
      <c r="K1019" t="s">
        <v>1212</v>
      </c>
      <c r="M1019" s="3">
        <f t="shared" si="60"/>
        <v>71.285714285714292</v>
      </c>
      <c r="N1019">
        <v>60</v>
      </c>
      <c r="O1019">
        <v>78</v>
      </c>
      <c r="P1019">
        <v>67</v>
      </c>
      <c r="Q1019">
        <v>75</v>
      </c>
      <c r="R1019">
        <v>80</v>
      </c>
      <c r="S1019">
        <v>80</v>
      </c>
      <c r="T1019">
        <v>59</v>
      </c>
      <c r="U1019">
        <v>12</v>
      </c>
      <c r="V1019" s="3">
        <f t="shared" si="61"/>
        <v>5082956</v>
      </c>
      <c r="W1019">
        <v>130694.75</v>
      </c>
      <c r="X1019">
        <v>0</v>
      </c>
      <c r="Y1019">
        <f t="shared" si="62"/>
        <v>423579.66666666669</v>
      </c>
      <c r="Z1019">
        <f t="shared" si="63"/>
        <v>-69.150000000000006</v>
      </c>
      <c r="AA1019">
        <v>0</v>
      </c>
    </row>
    <row r="1020" spans="1:27" x14ac:dyDescent="0.25">
      <c r="A1020" s="1">
        <v>1019</v>
      </c>
      <c r="B1020" t="s">
        <v>2605</v>
      </c>
      <c r="C1020" t="s">
        <v>1136</v>
      </c>
      <c r="D1020" t="s">
        <v>1143</v>
      </c>
      <c r="E1020" t="s">
        <v>1144</v>
      </c>
      <c r="G1020" t="s">
        <v>1197</v>
      </c>
      <c r="H1020" t="s">
        <v>1197</v>
      </c>
      <c r="I1020" t="s">
        <v>1197</v>
      </c>
      <c r="J1020" t="s">
        <v>1265</v>
      </c>
      <c r="K1020" t="s">
        <v>1212</v>
      </c>
      <c r="M1020" s="3">
        <f t="shared" si="60"/>
        <v>53.714285714285715</v>
      </c>
      <c r="N1020">
        <v>16</v>
      </c>
      <c r="O1020">
        <v>58</v>
      </c>
      <c r="P1020">
        <v>68</v>
      </c>
      <c r="Q1020">
        <v>66</v>
      </c>
      <c r="R1020">
        <v>68</v>
      </c>
      <c r="S1020">
        <v>72</v>
      </c>
      <c r="T1020">
        <v>28</v>
      </c>
      <c r="U1020">
        <v>0</v>
      </c>
      <c r="V1020" s="3">
        <f t="shared" si="61"/>
        <v>199940</v>
      </c>
      <c r="W1020">
        <v>16661.666666666668</v>
      </c>
      <c r="X1020">
        <v>0</v>
      </c>
      <c r="Y1020">
        <f t="shared" si="62"/>
        <v>16661.666666666668</v>
      </c>
      <c r="Z1020">
        <f t="shared" si="63"/>
        <v>0</v>
      </c>
      <c r="AA1020">
        <v>0</v>
      </c>
    </row>
    <row r="1021" spans="1:27" x14ac:dyDescent="0.25">
      <c r="A1021" s="1">
        <v>1020</v>
      </c>
      <c r="B1021" t="s">
        <v>939</v>
      </c>
      <c r="C1021" t="s">
        <v>1136</v>
      </c>
      <c r="D1021" t="s">
        <v>1144</v>
      </c>
      <c r="E1021" t="s">
        <v>1138</v>
      </c>
      <c r="G1021" t="s">
        <v>1197</v>
      </c>
      <c r="H1021" t="s">
        <v>1197</v>
      </c>
      <c r="I1021" t="s">
        <v>1197</v>
      </c>
      <c r="J1021" t="s">
        <v>1265</v>
      </c>
      <c r="K1021" t="s">
        <v>1212</v>
      </c>
      <c r="M1021" s="3">
        <f t="shared" si="60"/>
        <v>64.857142857142861</v>
      </c>
      <c r="N1021">
        <v>48</v>
      </c>
      <c r="O1021">
        <v>65</v>
      </c>
      <c r="P1021">
        <v>67</v>
      </c>
      <c r="Q1021">
        <v>71</v>
      </c>
      <c r="R1021">
        <v>77</v>
      </c>
      <c r="S1021">
        <v>77</v>
      </c>
      <c r="T1021">
        <v>49</v>
      </c>
      <c r="U1021">
        <v>0</v>
      </c>
      <c r="V1021" s="3">
        <f t="shared" si="61"/>
        <v>1316977</v>
      </c>
      <c r="W1021">
        <v>109748.08333333333</v>
      </c>
      <c r="X1021">
        <v>0</v>
      </c>
      <c r="Y1021">
        <f t="shared" si="62"/>
        <v>109748.08333333333</v>
      </c>
      <c r="Z1021">
        <f t="shared" si="63"/>
        <v>0</v>
      </c>
      <c r="AA1021">
        <v>0</v>
      </c>
    </row>
    <row r="1022" spans="1:27" x14ac:dyDescent="0.25">
      <c r="A1022" s="1">
        <v>1021</v>
      </c>
      <c r="B1022" t="s">
        <v>935</v>
      </c>
      <c r="C1022" t="s">
        <v>1136</v>
      </c>
      <c r="D1022" t="s">
        <v>1144</v>
      </c>
      <c r="E1022" t="s">
        <v>1143</v>
      </c>
      <c r="G1022" t="s">
        <v>1197</v>
      </c>
      <c r="H1022" t="s">
        <v>1197</v>
      </c>
      <c r="I1022" t="s">
        <v>1197</v>
      </c>
      <c r="J1022" t="s">
        <v>1265</v>
      </c>
      <c r="K1022" t="s">
        <v>1212</v>
      </c>
      <c r="M1022" s="3">
        <f t="shared" si="60"/>
        <v>61.285714285714285</v>
      </c>
      <c r="N1022">
        <v>59</v>
      </c>
      <c r="O1022">
        <v>68</v>
      </c>
      <c r="P1022">
        <v>73</v>
      </c>
      <c r="Q1022">
        <v>56</v>
      </c>
      <c r="R1022">
        <v>56</v>
      </c>
      <c r="S1022">
        <v>80</v>
      </c>
      <c r="T1022">
        <v>37</v>
      </c>
      <c r="U1022">
        <v>0</v>
      </c>
      <c r="V1022" s="3">
        <f t="shared" si="61"/>
        <v>747468</v>
      </c>
      <c r="W1022">
        <v>62289</v>
      </c>
      <c r="X1022">
        <v>0</v>
      </c>
      <c r="Y1022">
        <f t="shared" si="62"/>
        <v>62289</v>
      </c>
      <c r="Z1022">
        <f t="shared" si="63"/>
        <v>0</v>
      </c>
      <c r="AA1022">
        <v>0</v>
      </c>
    </row>
    <row r="1023" spans="1:27" x14ac:dyDescent="0.25">
      <c r="A1023" s="1">
        <v>1022</v>
      </c>
      <c r="B1023" t="s">
        <v>1095</v>
      </c>
      <c r="C1023" t="s">
        <v>1137</v>
      </c>
      <c r="D1023" t="s">
        <v>1137</v>
      </c>
      <c r="H1023" t="s">
        <v>1197</v>
      </c>
      <c r="I1023" t="s">
        <v>1197</v>
      </c>
      <c r="J1023" t="s">
        <v>1265</v>
      </c>
      <c r="K1023" t="s">
        <v>1212</v>
      </c>
      <c r="M1023" s="3">
        <f t="shared" si="60"/>
        <v>70</v>
      </c>
      <c r="N1023">
        <v>40</v>
      </c>
      <c r="O1023">
        <v>79</v>
      </c>
      <c r="P1023">
        <v>68</v>
      </c>
      <c r="Q1023">
        <v>83</v>
      </c>
      <c r="R1023">
        <v>85</v>
      </c>
      <c r="S1023">
        <v>76</v>
      </c>
      <c r="T1023">
        <v>59</v>
      </c>
      <c r="U1023">
        <v>0</v>
      </c>
      <c r="V1023" s="3">
        <f t="shared" si="61"/>
        <v>2824753</v>
      </c>
      <c r="W1023">
        <v>235396.08333333334</v>
      </c>
      <c r="X1023">
        <v>0</v>
      </c>
      <c r="Y1023">
        <f t="shared" si="62"/>
        <v>235396.08333333334</v>
      </c>
      <c r="Z1023">
        <f t="shared" si="63"/>
        <v>0</v>
      </c>
      <c r="AA1023">
        <v>0</v>
      </c>
    </row>
    <row r="1024" spans="1:27" x14ac:dyDescent="0.25">
      <c r="A1024" s="1">
        <v>1023</v>
      </c>
      <c r="B1024" t="s">
        <v>101</v>
      </c>
      <c r="C1024" t="s">
        <v>1133</v>
      </c>
      <c r="D1024" t="s">
        <v>1133</v>
      </c>
      <c r="G1024" t="s">
        <v>1203</v>
      </c>
      <c r="H1024" t="s">
        <v>1203</v>
      </c>
      <c r="I1024" t="s">
        <v>1203</v>
      </c>
      <c r="J1024" t="s">
        <v>1271</v>
      </c>
      <c r="K1024" t="s">
        <v>1212</v>
      </c>
      <c r="M1024" s="3">
        <f t="shared" si="60"/>
        <v>69.714285714285708</v>
      </c>
      <c r="N1024">
        <v>46</v>
      </c>
      <c r="O1024">
        <v>90</v>
      </c>
      <c r="P1024">
        <v>83</v>
      </c>
      <c r="Q1024">
        <v>61</v>
      </c>
      <c r="R1024">
        <v>66</v>
      </c>
      <c r="S1024">
        <v>70</v>
      </c>
      <c r="T1024">
        <v>72</v>
      </c>
      <c r="U1024">
        <v>0</v>
      </c>
      <c r="V1024" s="3">
        <f t="shared" si="61"/>
        <v>2711552</v>
      </c>
      <c r="W1024">
        <v>225962.66666666666</v>
      </c>
      <c r="X1024">
        <v>0</v>
      </c>
      <c r="Y1024">
        <f t="shared" si="62"/>
        <v>225962.66666666666</v>
      </c>
      <c r="Z1024">
        <f t="shared" si="63"/>
        <v>0</v>
      </c>
      <c r="AA1024">
        <v>0</v>
      </c>
    </row>
    <row r="1025" spans="1:27" x14ac:dyDescent="0.25">
      <c r="A1025" s="1">
        <v>1024</v>
      </c>
      <c r="B1025" t="s">
        <v>388</v>
      </c>
      <c r="C1025" t="s">
        <v>1134</v>
      </c>
      <c r="D1025" t="s">
        <v>1138</v>
      </c>
      <c r="G1025" t="s">
        <v>1203</v>
      </c>
      <c r="H1025" t="s">
        <v>1203</v>
      </c>
      <c r="I1025" t="s">
        <v>1203</v>
      </c>
      <c r="J1025" t="s">
        <v>1271</v>
      </c>
      <c r="K1025" t="s">
        <v>1212</v>
      </c>
      <c r="M1025" s="3">
        <f t="shared" si="60"/>
        <v>75</v>
      </c>
      <c r="N1025">
        <v>52</v>
      </c>
      <c r="O1025">
        <v>67</v>
      </c>
      <c r="P1025">
        <v>83</v>
      </c>
      <c r="Q1025">
        <v>81</v>
      </c>
      <c r="R1025">
        <v>78</v>
      </c>
      <c r="S1025">
        <v>93</v>
      </c>
      <c r="T1025">
        <v>71</v>
      </c>
      <c r="U1025">
        <v>0</v>
      </c>
      <c r="V1025" s="3">
        <f t="shared" si="61"/>
        <v>5631352</v>
      </c>
      <c r="W1025">
        <v>469279.33333333331</v>
      </c>
      <c r="X1025">
        <v>0</v>
      </c>
      <c r="Y1025">
        <f t="shared" si="62"/>
        <v>469279.33333333331</v>
      </c>
      <c r="Z1025">
        <f t="shared" si="63"/>
        <v>0</v>
      </c>
      <c r="AA1025">
        <v>0</v>
      </c>
    </row>
    <row r="1026" spans="1:27" x14ac:dyDescent="0.25">
      <c r="A1026" s="1">
        <v>1025</v>
      </c>
      <c r="B1026" t="s">
        <v>387</v>
      </c>
      <c r="C1026" t="s">
        <v>1134</v>
      </c>
      <c r="D1026" t="s">
        <v>1138</v>
      </c>
      <c r="E1026" t="s">
        <v>1139</v>
      </c>
      <c r="G1026" t="s">
        <v>1203</v>
      </c>
      <c r="H1026" t="s">
        <v>1203</v>
      </c>
      <c r="I1026" t="s">
        <v>1203</v>
      </c>
      <c r="J1026" t="s">
        <v>1271</v>
      </c>
      <c r="K1026" t="s">
        <v>1212</v>
      </c>
      <c r="M1026" s="3">
        <f t="shared" ref="M1026:M1089" si="64">AVERAGE(N1026:T1026)</f>
        <v>74.857142857142861</v>
      </c>
      <c r="N1026">
        <v>51</v>
      </c>
      <c r="O1026">
        <v>71</v>
      </c>
      <c r="P1026">
        <v>80</v>
      </c>
      <c r="Q1026">
        <v>82</v>
      </c>
      <c r="R1026">
        <v>80</v>
      </c>
      <c r="S1026">
        <v>90</v>
      </c>
      <c r="T1026">
        <v>70</v>
      </c>
      <c r="U1026">
        <v>0</v>
      </c>
      <c r="V1026" s="3">
        <f t="shared" ref="V1026:V1089" si="65">ROUNDUP(M1026^10/1000000000000 * IF(U1026&gt;0,1.5,1),0)</f>
        <v>5525003</v>
      </c>
      <c r="W1026">
        <v>460416.91666666669</v>
      </c>
      <c r="X1026">
        <v>0</v>
      </c>
      <c r="Y1026">
        <f t="shared" ref="Y1026:Y1089" si="66">V1026/12</f>
        <v>460416.91666666669</v>
      </c>
      <c r="Z1026">
        <f t="shared" ref="Z1026:Z1089" si="67">ROUND(((W1026-Y1026)/Y1026)*100,2)</f>
        <v>0</v>
      </c>
      <c r="AA1026">
        <v>0</v>
      </c>
    </row>
    <row r="1027" spans="1:27" x14ac:dyDescent="0.25">
      <c r="A1027" s="1">
        <v>1026</v>
      </c>
      <c r="B1027" t="s">
        <v>367</v>
      </c>
      <c r="C1027" t="s">
        <v>1134</v>
      </c>
      <c r="D1027" t="s">
        <v>1138</v>
      </c>
      <c r="G1027" t="s">
        <v>1198</v>
      </c>
      <c r="H1027" t="s">
        <v>1198</v>
      </c>
      <c r="I1027" t="s">
        <v>1198</v>
      </c>
      <c r="J1027" t="s">
        <v>1271</v>
      </c>
      <c r="K1027" t="s">
        <v>1212</v>
      </c>
      <c r="M1027" s="3">
        <f t="shared" si="64"/>
        <v>57.857142857142854</v>
      </c>
      <c r="N1027">
        <v>30</v>
      </c>
      <c r="O1027">
        <v>65</v>
      </c>
      <c r="P1027">
        <v>63</v>
      </c>
      <c r="Q1027">
        <v>62</v>
      </c>
      <c r="R1027">
        <v>70</v>
      </c>
      <c r="S1027">
        <v>75</v>
      </c>
      <c r="T1027">
        <v>40</v>
      </c>
      <c r="U1027">
        <v>0</v>
      </c>
      <c r="V1027" s="3">
        <f t="shared" si="65"/>
        <v>420311</v>
      </c>
      <c r="W1027">
        <v>35025.916666666664</v>
      </c>
      <c r="X1027">
        <v>0</v>
      </c>
      <c r="Y1027">
        <f t="shared" si="66"/>
        <v>35025.916666666664</v>
      </c>
      <c r="Z1027">
        <f t="shared" si="67"/>
        <v>0</v>
      </c>
      <c r="AA1027">
        <v>0</v>
      </c>
    </row>
    <row r="1028" spans="1:27" x14ac:dyDescent="0.25">
      <c r="A1028" s="1">
        <v>1027</v>
      </c>
      <c r="B1028" t="s">
        <v>389</v>
      </c>
      <c r="C1028" t="s">
        <v>1134</v>
      </c>
      <c r="D1028" t="s">
        <v>1138</v>
      </c>
      <c r="G1028" t="s">
        <v>1203</v>
      </c>
      <c r="H1028" t="s">
        <v>1203</v>
      </c>
      <c r="I1028" t="s">
        <v>1203</v>
      </c>
      <c r="J1028" t="s">
        <v>1271</v>
      </c>
      <c r="K1028" t="s">
        <v>1212</v>
      </c>
      <c r="M1028" s="3">
        <f t="shared" si="64"/>
        <v>73.142857142857139</v>
      </c>
      <c r="N1028">
        <v>48</v>
      </c>
      <c r="O1028">
        <v>68</v>
      </c>
      <c r="P1028">
        <v>82</v>
      </c>
      <c r="Q1028">
        <v>80</v>
      </c>
      <c r="R1028">
        <v>77</v>
      </c>
      <c r="S1028">
        <v>90</v>
      </c>
      <c r="T1028">
        <v>67</v>
      </c>
      <c r="U1028">
        <v>0</v>
      </c>
      <c r="V1028" s="3">
        <f t="shared" si="65"/>
        <v>4382473</v>
      </c>
      <c r="W1028">
        <v>365206.08333333331</v>
      </c>
      <c r="X1028">
        <v>0</v>
      </c>
      <c r="Y1028">
        <f t="shared" si="66"/>
        <v>365206.08333333331</v>
      </c>
      <c r="Z1028">
        <f t="shared" si="67"/>
        <v>0</v>
      </c>
      <c r="AA1028">
        <v>0</v>
      </c>
    </row>
    <row r="1029" spans="1:27" x14ac:dyDescent="0.25">
      <c r="A1029" s="1">
        <v>1028</v>
      </c>
      <c r="B1029" t="s">
        <v>394</v>
      </c>
      <c r="C1029" t="s">
        <v>1134</v>
      </c>
      <c r="D1029" t="s">
        <v>1138</v>
      </c>
      <c r="G1029" t="s">
        <v>1204</v>
      </c>
      <c r="H1029" t="s">
        <v>1204</v>
      </c>
      <c r="I1029" t="s">
        <v>1204</v>
      </c>
      <c r="J1029" t="s">
        <v>1271</v>
      </c>
      <c r="K1029" t="s">
        <v>1212</v>
      </c>
      <c r="M1029" s="3">
        <f t="shared" si="64"/>
        <v>63.571428571428569</v>
      </c>
      <c r="N1029">
        <v>34</v>
      </c>
      <c r="O1029">
        <v>60</v>
      </c>
      <c r="P1029">
        <v>64</v>
      </c>
      <c r="Q1029">
        <v>70</v>
      </c>
      <c r="R1029">
        <v>72</v>
      </c>
      <c r="S1029">
        <v>84</v>
      </c>
      <c r="T1029">
        <v>61</v>
      </c>
      <c r="U1029">
        <v>0</v>
      </c>
      <c r="V1029" s="3">
        <f t="shared" si="65"/>
        <v>1078003</v>
      </c>
      <c r="W1029">
        <v>89833.583333333328</v>
      </c>
      <c r="X1029">
        <v>0</v>
      </c>
      <c r="Y1029">
        <f t="shared" si="66"/>
        <v>89833.583333333328</v>
      </c>
      <c r="Z1029">
        <f t="shared" si="67"/>
        <v>0</v>
      </c>
      <c r="AA1029">
        <v>0</v>
      </c>
    </row>
    <row r="1030" spans="1:27" x14ac:dyDescent="0.25">
      <c r="A1030" s="1">
        <v>1029</v>
      </c>
      <c r="B1030" t="s">
        <v>141</v>
      </c>
      <c r="C1030" t="s">
        <v>1134</v>
      </c>
      <c r="D1030" t="s">
        <v>1140</v>
      </c>
      <c r="G1030" t="s">
        <v>1152</v>
      </c>
      <c r="H1030" t="s">
        <v>1152</v>
      </c>
      <c r="I1030" t="s">
        <v>1152</v>
      </c>
      <c r="J1030" t="s">
        <v>1271</v>
      </c>
      <c r="K1030" t="s">
        <v>1212</v>
      </c>
      <c r="M1030" s="3">
        <f t="shared" si="64"/>
        <v>64.285714285714292</v>
      </c>
      <c r="N1030">
        <v>42</v>
      </c>
      <c r="O1030">
        <v>85</v>
      </c>
      <c r="P1030">
        <v>63</v>
      </c>
      <c r="Q1030">
        <v>60</v>
      </c>
      <c r="R1030">
        <v>80</v>
      </c>
      <c r="S1030">
        <v>70</v>
      </c>
      <c r="T1030">
        <v>50</v>
      </c>
      <c r="U1030">
        <v>0</v>
      </c>
      <c r="V1030" s="3">
        <f t="shared" si="65"/>
        <v>1205438</v>
      </c>
      <c r="W1030">
        <v>100453.16666666667</v>
      </c>
      <c r="X1030">
        <v>0</v>
      </c>
      <c r="Y1030">
        <f t="shared" si="66"/>
        <v>100453.16666666667</v>
      </c>
      <c r="Z1030">
        <f t="shared" si="67"/>
        <v>0</v>
      </c>
      <c r="AA1030">
        <v>0</v>
      </c>
    </row>
    <row r="1031" spans="1:27" x14ac:dyDescent="0.25">
      <c r="A1031" s="1">
        <v>1030</v>
      </c>
      <c r="B1031" t="s">
        <v>606</v>
      </c>
      <c r="C1031" t="s">
        <v>1135</v>
      </c>
      <c r="D1031" t="s">
        <v>1141</v>
      </c>
      <c r="E1031" t="s">
        <v>1145</v>
      </c>
      <c r="G1031" t="s">
        <v>1203</v>
      </c>
      <c r="H1031" t="s">
        <v>1203</v>
      </c>
      <c r="I1031" t="s">
        <v>1203</v>
      </c>
      <c r="J1031" t="s">
        <v>1271</v>
      </c>
      <c r="K1031" t="s">
        <v>1212</v>
      </c>
      <c r="M1031" s="3">
        <f t="shared" si="64"/>
        <v>67</v>
      </c>
      <c r="N1031">
        <v>41</v>
      </c>
      <c r="O1031">
        <v>70</v>
      </c>
      <c r="P1031">
        <v>76</v>
      </c>
      <c r="Q1031">
        <v>70</v>
      </c>
      <c r="R1031">
        <v>74</v>
      </c>
      <c r="S1031">
        <v>86</v>
      </c>
      <c r="T1031">
        <v>52</v>
      </c>
      <c r="U1031">
        <v>0</v>
      </c>
      <c r="V1031" s="3">
        <f t="shared" si="65"/>
        <v>1822838</v>
      </c>
      <c r="W1031">
        <v>151903.16666666666</v>
      </c>
      <c r="X1031">
        <v>0</v>
      </c>
      <c r="Y1031">
        <f t="shared" si="66"/>
        <v>151903.16666666666</v>
      </c>
      <c r="Z1031">
        <f t="shared" si="67"/>
        <v>0</v>
      </c>
      <c r="AA1031">
        <v>0</v>
      </c>
    </row>
    <row r="1032" spans="1:27" x14ac:dyDescent="0.25">
      <c r="A1032" s="1">
        <v>1031</v>
      </c>
      <c r="B1032" t="s">
        <v>607</v>
      </c>
      <c r="C1032" t="s">
        <v>1135</v>
      </c>
      <c r="D1032" t="s">
        <v>1142</v>
      </c>
      <c r="E1032" t="s">
        <v>1146</v>
      </c>
      <c r="G1032" t="s">
        <v>1203</v>
      </c>
      <c r="H1032" t="s">
        <v>1203</v>
      </c>
      <c r="I1032" t="s">
        <v>1203</v>
      </c>
      <c r="J1032" t="s">
        <v>1271</v>
      </c>
      <c r="K1032" t="s">
        <v>1212</v>
      </c>
      <c r="M1032" s="3">
        <f t="shared" si="64"/>
        <v>67</v>
      </c>
      <c r="N1032">
        <v>35</v>
      </c>
      <c r="O1032">
        <v>86</v>
      </c>
      <c r="P1032">
        <v>70</v>
      </c>
      <c r="Q1032">
        <v>78</v>
      </c>
      <c r="R1032">
        <v>75</v>
      </c>
      <c r="S1032">
        <v>70</v>
      </c>
      <c r="T1032">
        <v>55</v>
      </c>
      <c r="U1032">
        <v>3</v>
      </c>
      <c r="V1032" s="3">
        <f t="shared" si="65"/>
        <v>2734257</v>
      </c>
      <c r="W1032">
        <v>227854.75</v>
      </c>
      <c r="X1032">
        <v>0</v>
      </c>
      <c r="Y1032">
        <f t="shared" si="66"/>
        <v>227854.75</v>
      </c>
      <c r="Z1032">
        <f t="shared" si="67"/>
        <v>0</v>
      </c>
      <c r="AA1032">
        <v>0</v>
      </c>
    </row>
    <row r="1033" spans="1:27" x14ac:dyDescent="0.25">
      <c r="A1033" s="1">
        <v>1032</v>
      </c>
      <c r="B1033" t="s">
        <v>986</v>
      </c>
      <c r="C1033" t="s">
        <v>1136</v>
      </c>
      <c r="D1033" t="s">
        <v>1143</v>
      </c>
      <c r="E1033" t="s">
        <v>1145</v>
      </c>
      <c r="G1033" t="s">
        <v>1204</v>
      </c>
      <c r="H1033" t="s">
        <v>1204</v>
      </c>
      <c r="I1033" t="s">
        <v>1204</v>
      </c>
      <c r="J1033" t="s">
        <v>1271</v>
      </c>
      <c r="K1033" t="s">
        <v>1212</v>
      </c>
      <c r="M1033" s="3">
        <f t="shared" si="64"/>
        <v>52.428571428571431</v>
      </c>
      <c r="N1033">
        <v>34</v>
      </c>
      <c r="O1033">
        <v>56</v>
      </c>
      <c r="P1033">
        <v>60</v>
      </c>
      <c r="Q1033">
        <v>55</v>
      </c>
      <c r="R1033">
        <v>51</v>
      </c>
      <c r="S1033">
        <v>74</v>
      </c>
      <c r="T1033">
        <v>37</v>
      </c>
      <c r="U1033">
        <v>0</v>
      </c>
      <c r="V1033" s="3">
        <f t="shared" si="65"/>
        <v>156921</v>
      </c>
      <c r="W1033">
        <v>13076.75</v>
      </c>
      <c r="X1033">
        <v>0</v>
      </c>
      <c r="Y1033">
        <f t="shared" si="66"/>
        <v>13076.75</v>
      </c>
      <c r="Z1033">
        <f t="shared" si="67"/>
        <v>0</v>
      </c>
      <c r="AA1033">
        <v>0</v>
      </c>
    </row>
    <row r="1034" spans="1:27" x14ac:dyDescent="0.25">
      <c r="A1034" s="1">
        <v>1033</v>
      </c>
      <c r="B1034" t="s">
        <v>978</v>
      </c>
      <c r="C1034" t="s">
        <v>1136</v>
      </c>
      <c r="D1034" t="s">
        <v>1144</v>
      </c>
      <c r="E1034" t="s">
        <v>1143</v>
      </c>
      <c r="G1034" t="s">
        <v>1203</v>
      </c>
      <c r="H1034" t="s">
        <v>1203</v>
      </c>
      <c r="I1034" t="s">
        <v>1203</v>
      </c>
      <c r="J1034" t="s">
        <v>1271</v>
      </c>
      <c r="K1034" t="s">
        <v>1212</v>
      </c>
      <c r="M1034" s="3">
        <f t="shared" si="64"/>
        <v>76.428571428571431</v>
      </c>
      <c r="N1034">
        <v>55</v>
      </c>
      <c r="O1034">
        <v>78</v>
      </c>
      <c r="P1034">
        <v>83</v>
      </c>
      <c r="Q1034">
        <v>84</v>
      </c>
      <c r="R1034">
        <v>82</v>
      </c>
      <c r="S1034">
        <v>88</v>
      </c>
      <c r="T1034">
        <v>65</v>
      </c>
      <c r="U1034">
        <v>26</v>
      </c>
      <c r="V1034" s="3">
        <f t="shared" si="65"/>
        <v>10201140</v>
      </c>
      <c r="W1034">
        <v>850095</v>
      </c>
      <c r="X1034">
        <v>0</v>
      </c>
      <c r="Y1034">
        <f t="shared" si="66"/>
        <v>850095</v>
      </c>
      <c r="Z1034">
        <f t="shared" si="67"/>
        <v>0</v>
      </c>
      <c r="AA1034">
        <v>0</v>
      </c>
    </row>
    <row r="1035" spans="1:27" x14ac:dyDescent="0.25">
      <c r="A1035" s="1">
        <v>1034</v>
      </c>
      <c r="B1035" t="s">
        <v>977</v>
      </c>
      <c r="C1035" t="s">
        <v>1136</v>
      </c>
      <c r="D1035" t="s">
        <v>1147</v>
      </c>
      <c r="E1035" t="s">
        <v>1143</v>
      </c>
      <c r="G1035" t="s">
        <v>1203</v>
      </c>
      <c r="H1035" t="s">
        <v>1203</v>
      </c>
      <c r="I1035" t="s">
        <v>1203</v>
      </c>
      <c r="J1035" t="s">
        <v>1271</v>
      </c>
      <c r="K1035" t="s">
        <v>1212</v>
      </c>
      <c r="M1035" s="3">
        <f t="shared" si="64"/>
        <v>72</v>
      </c>
      <c r="N1035">
        <v>60</v>
      </c>
      <c r="O1035">
        <v>85</v>
      </c>
      <c r="P1035">
        <v>73</v>
      </c>
      <c r="Q1035">
        <v>80</v>
      </c>
      <c r="R1035">
        <v>70</v>
      </c>
      <c r="S1035">
        <v>73</v>
      </c>
      <c r="T1035">
        <v>63</v>
      </c>
      <c r="U1035">
        <v>0</v>
      </c>
      <c r="V1035" s="3">
        <f t="shared" si="65"/>
        <v>3743907</v>
      </c>
      <c r="W1035">
        <v>311992.25</v>
      </c>
      <c r="X1035">
        <v>0</v>
      </c>
      <c r="Y1035">
        <f t="shared" si="66"/>
        <v>311992.25</v>
      </c>
      <c r="Z1035">
        <f t="shared" si="67"/>
        <v>0</v>
      </c>
      <c r="AA1035">
        <v>0</v>
      </c>
    </row>
    <row r="1036" spans="1:27" x14ac:dyDescent="0.25">
      <c r="A1036" s="1">
        <v>1035</v>
      </c>
      <c r="B1036" t="s">
        <v>890</v>
      </c>
      <c r="C1036" t="s">
        <v>1136</v>
      </c>
      <c r="D1036" t="s">
        <v>1147</v>
      </c>
      <c r="G1036" t="s">
        <v>1191</v>
      </c>
      <c r="H1036" t="s">
        <v>1191</v>
      </c>
      <c r="I1036" t="s">
        <v>1191</v>
      </c>
      <c r="J1036" t="s">
        <v>1271</v>
      </c>
      <c r="K1036" t="s">
        <v>1212</v>
      </c>
      <c r="M1036" s="3">
        <f t="shared" si="64"/>
        <v>49.428571428571431</v>
      </c>
      <c r="N1036">
        <v>29</v>
      </c>
      <c r="O1036">
        <v>74</v>
      </c>
      <c r="P1036">
        <v>53</v>
      </c>
      <c r="Q1036">
        <v>41</v>
      </c>
      <c r="R1036">
        <v>70</v>
      </c>
      <c r="S1036">
        <v>51</v>
      </c>
      <c r="T1036">
        <v>28</v>
      </c>
      <c r="U1036">
        <v>0</v>
      </c>
      <c r="V1036" s="3">
        <f t="shared" si="65"/>
        <v>87053</v>
      </c>
      <c r="W1036">
        <v>7254.416666666667</v>
      </c>
      <c r="X1036">
        <v>0</v>
      </c>
      <c r="Y1036">
        <f t="shared" si="66"/>
        <v>7254.416666666667</v>
      </c>
      <c r="Z1036">
        <f t="shared" si="67"/>
        <v>0</v>
      </c>
      <c r="AA1036">
        <v>0</v>
      </c>
    </row>
    <row r="1037" spans="1:27" x14ac:dyDescent="0.25">
      <c r="A1037" s="1">
        <v>1036</v>
      </c>
      <c r="B1037" t="s">
        <v>979</v>
      </c>
      <c r="C1037" t="s">
        <v>1136</v>
      </c>
      <c r="D1037" t="s">
        <v>1143</v>
      </c>
      <c r="E1037" t="s">
        <v>1144</v>
      </c>
      <c r="G1037" t="s">
        <v>1203</v>
      </c>
      <c r="H1037" t="s">
        <v>1203</v>
      </c>
      <c r="I1037" t="s">
        <v>1203</v>
      </c>
      <c r="J1037" t="s">
        <v>1271</v>
      </c>
      <c r="K1037" t="s">
        <v>1212</v>
      </c>
      <c r="M1037" s="3">
        <f t="shared" si="64"/>
        <v>56.857142857142854</v>
      </c>
      <c r="N1037">
        <v>36</v>
      </c>
      <c r="O1037">
        <v>68</v>
      </c>
      <c r="P1037">
        <v>70</v>
      </c>
      <c r="Q1037">
        <v>59</v>
      </c>
      <c r="R1037">
        <v>58</v>
      </c>
      <c r="S1037">
        <v>68</v>
      </c>
      <c r="T1037">
        <v>39</v>
      </c>
      <c r="U1037">
        <v>0</v>
      </c>
      <c r="V1037" s="3">
        <f t="shared" si="65"/>
        <v>353062</v>
      </c>
      <c r="W1037">
        <v>29421.833333333332</v>
      </c>
      <c r="X1037">
        <v>0</v>
      </c>
      <c r="Y1037">
        <f t="shared" si="66"/>
        <v>29421.833333333332</v>
      </c>
      <c r="Z1037">
        <f t="shared" si="67"/>
        <v>0</v>
      </c>
      <c r="AA1037">
        <v>0</v>
      </c>
    </row>
    <row r="1038" spans="1:27" x14ac:dyDescent="0.25">
      <c r="A1038" s="1">
        <v>1037</v>
      </c>
      <c r="B1038" t="s">
        <v>981</v>
      </c>
      <c r="C1038" t="s">
        <v>1136</v>
      </c>
      <c r="D1038" t="s">
        <v>1145</v>
      </c>
      <c r="E1038" t="s">
        <v>1143</v>
      </c>
      <c r="G1038" t="s">
        <v>1203</v>
      </c>
      <c r="H1038" t="s">
        <v>1203</v>
      </c>
      <c r="I1038" t="s">
        <v>1203</v>
      </c>
      <c r="J1038" t="s">
        <v>1271</v>
      </c>
      <c r="K1038" t="s">
        <v>1212</v>
      </c>
      <c r="M1038" s="3">
        <f t="shared" si="64"/>
        <v>57.285714285714285</v>
      </c>
      <c r="N1038">
        <v>29</v>
      </c>
      <c r="O1038">
        <v>69</v>
      </c>
      <c r="P1038">
        <v>75</v>
      </c>
      <c r="Q1038">
        <v>50</v>
      </c>
      <c r="R1038">
        <v>52</v>
      </c>
      <c r="S1038">
        <v>63</v>
      </c>
      <c r="T1038">
        <v>63</v>
      </c>
      <c r="U1038">
        <v>0</v>
      </c>
      <c r="V1038" s="3">
        <f t="shared" si="65"/>
        <v>380596</v>
      </c>
      <c r="W1038">
        <v>31716.333333333332</v>
      </c>
      <c r="X1038">
        <v>0</v>
      </c>
      <c r="Y1038">
        <f t="shared" si="66"/>
        <v>31716.333333333332</v>
      </c>
      <c r="Z1038">
        <f t="shared" si="67"/>
        <v>0</v>
      </c>
      <c r="AA1038">
        <v>0</v>
      </c>
    </row>
    <row r="1039" spans="1:27" x14ac:dyDescent="0.25">
      <c r="A1039" s="1">
        <v>1038</v>
      </c>
      <c r="B1039" t="s">
        <v>980</v>
      </c>
      <c r="C1039" t="s">
        <v>1136</v>
      </c>
      <c r="D1039" t="s">
        <v>1147</v>
      </c>
      <c r="E1039" t="s">
        <v>1145</v>
      </c>
      <c r="G1039" t="s">
        <v>1203</v>
      </c>
      <c r="H1039" t="s">
        <v>1203</v>
      </c>
      <c r="I1039" t="s">
        <v>1203</v>
      </c>
      <c r="J1039" t="s">
        <v>1271</v>
      </c>
      <c r="K1039" t="s">
        <v>1212</v>
      </c>
      <c r="M1039" s="3">
        <f t="shared" si="64"/>
        <v>60.285714285714285</v>
      </c>
      <c r="N1039">
        <v>63</v>
      </c>
      <c r="O1039">
        <v>73</v>
      </c>
      <c r="P1039">
        <v>63</v>
      </c>
      <c r="Q1039">
        <v>69</v>
      </c>
      <c r="R1039">
        <v>60</v>
      </c>
      <c r="S1039">
        <v>55</v>
      </c>
      <c r="T1039">
        <v>39</v>
      </c>
      <c r="U1039">
        <v>0</v>
      </c>
      <c r="V1039" s="3">
        <f t="shared" si="65"/>
        <v>634081</v>
      </c>
      <c r="W1039">
        <v>52840.083333333336</v>
      </c>
      <c r="X1039">
        <v>0</v>
      </c>
      <c r="Y1039">
        <f t="shared" si="66"/>
        <v>52840.083333333336</v>
      </c>
      <c r="Z1039">
        <f t="shared" si="67"/>
        <v>0</v>
      </c>
      <c r="AA1039">
        <v>0</v>
      </c>
    </row>
    <row r="1040" spans="1:27" x14ac:dyDescent="0.25">
      <c r="A1040" s="1">
        <v>1039</v>
      </c>
      <c r="B1040" t="s">
        <v>697</v>
      </c>
      <c r="C1040" t="s">
        <v>1136</v>
      </c>
      <c r="D1040" t="s">
        <v>1143</v>
      </c>
      <c r="G1040" t="s">
        <v>1158</v>
      </c>
      <c r="H1040" t="s">
        <v>1158</v>
      </c>
      <c r="I1040" t="s">
        <v>1158</v>
      </c>
      <c r="J1040" t="s">
        <v>1271</v>
      </c>
      <c r="K1040" t="s">
        <v>1212</v>
      </c>
      <c r="M1040" s="3">
        <f t="shared" si="64"/>
        <v>62.571428571428569</v>
      </c>
      <c r="N1040">
        <v>32</v>
      </c>
      <c r="O1040">
        <v>62</v>
      </c>
      <c r="P1040">
        <v>70</v>
      </c>
      <c r="Q1040">
        <v>72</v>
      </c>
      <c r="R1040">
        <v>70</v>
      </c>
      <c r="S1040">
        <v>77</v>
      </c>
      <c r="T1040">
        <v>55</v>
      </c>
      <c r="U1040">
        <v>0</v>
      </c>
      <c r="V1040" s="3">
        <f t="shared" si="65"/>
        <v>919943</v>
      </c>
      <c r="W1040">
        <v>76661.916666666672</v>
      </c>
      <c r="X1040">
        <v>0</v>
      </c>
      <c r="Y1040">
        <f t="shared" si="66"/>
        <v>76661.916666666672</v>
      </c>
      <c r="Z1040">
        <f t="shared" si="67"/>
        <v>0</v>
      </c>
      <c r="AA1040">
        <v>0</v>
      </c>
    </row>
    <row r="1041" spans="1:27" x14ac:dyDescent="0.25">
      <c r="A1041" s="1">
        <v>1040</v>
      </c>
      <c r="B1041" t="s">
        <v>1107</v>
      </c>
      <c r="C1041" t="s">
        <v>1137</v>
      </c>
      <c r="D1041" t="s">
        <v>1137</v>
      </c>
      <c r="H1041" t="s">
        <v>1203</v>
      </c>
      <c r="I1041" t="s">
        <v>1203</v>
      </c>
      <c r="J1041" t="s">
        <v>1271</v>
      </c>
      <c r="K1041" t="s">
        <v>1212</v>
      </c>
      <c r="M1041" s="3">
        <f t="shared" si="64"/>
        <v>72.285714285714292</v>
      </c>
      <c r="N1041">
        <v>68</v>
      </c>
      <c r="O1041">
        <v>69</v>
      </c>
      <c r="P1041">
        <v>80</v>
      </c>
      <c r="Q1041">
        <v>85</v>
      </c>
      <c r="R1041">
        <v>74</v>
      </c>
      <c r="S1041">
        <v>74</v>
      </c>
      <c r="T1041">
        <v>56</v>
      </c>
      <c r="U1041">
        <v>0</v>
      </c>
      <c r="V1041" s="3">
        <f t="shared" si="65"/>
        <v>3895156</v>
      </c>
      <c r="W1041">
        <v>324596.33333333331</v>
      </c>
      <c r="X1041">
        <v>0</v>
      </c>
      <c r="Y1041">
        <f t="shared" si="66"/>
        <v>324596.33333333331</v>
      </c>
      <c r="Z1041">
        <f t="shared" si="67"/>
        <v>0</v>
      </c>
      <c r="AA1041">
        <v>0</v>
      </c>
    </row>
    <row r="1042" spans="1:27" x14ac:dyDescent="0.25">
      <c r="A1042" s="1">
        <v>1041</v>
      </c>
      <c r="B1042" t="s">
        <v>826</v>
      </c>
      <c r="C1042" t="s">
        <v>1136</v>
      </c>
      <c r="D1042" t="s">
        <v>1146</v>
      </c>
      <c r="E1042" t="s">
        <v>1147</v>
      </c>
      <c r="G1042" t="s">
        <v>1180</v>
      </c>
      <c r="H1042" t="s">
        <v>1180</v>
      </c>
      <c r="I1042" t="s">
        <v>1180</v>
      </c>
      <c r="J1042" t="s">
        <v>1292</v>
      </c>
      <c r="K1042" t="s">
        <v>1219</v>
      </c>
      <c r="M1042" s="3">
        <f t="shared" si="64"/>
        <v>89.285714285714292</v>
      </c>
      <c r="N1042">
        <v>86</v>
      </c>
      <c r="O1042">
        <v>93</v>
      </c>
      <c r="P1042">
        <v>89</v>
      </c>
      <c r="Q1042">
        <v>90</v>
      </c>
      <c r="R1042">
        <v>92</v>
      </c>
      <c r="S1042">
        <v>89</v>
      </c>
      <c r="T1042">
        <v>86</v>
      </c>
      <c r="U1042">
        <v>22</v>
      </c>
      <c r="V1042" s="3">
        <f t="shared" si="65"/>
        <v>48295986</v>
      </c>
      <c r="W1042">
        <v>4024665.5</v>
      </c>
      <c r="X1042">
        <v>0</v>
      </c>
      <c r="Y1042">
        <f t="shared" si="66"/>
        <v>4024665.5</v>
      </c>
      <c r="Z1042">
        <f t="shared" si="67"/>
        <v>0</v>
      </c>
      <c r="AA1042">
        <v>0</v>
      </c>
    </row>
    <row r="1043" spans="1:27" x14ac:dyDescent="0.25">
      <c r="A1043" s="1">
        <v>1042</v>
      </c>
      <c r="B1043" t="s">
        <v>28</v>
      </c>
      <c r="C1043" t="s">
        <v>1133</v>
      </c>
      <c r="D1043" t="s">
        <v>1133</v>
      </c>
      <c r="G1043" t="s">
        <v>1153</v>
      </c>
      <c r="H1043" t="s">
        <v>1153</v>
      </c>
      <c r="I1043" t="s">
        <v>1153</v>
      </c>
      <c r="J1043" t="s">
        <v>1331</v>
      </c>
      <c r="K1043" t="s">
        <v>1212</v>
      </c>
      <c r="M1043" s="3">
        <f t="shared" si="64"/>
        <v>96.714285714285708</v>
      </c>
      <c r="N1043">
        <v>97</v>
      </c>
      <c r="O1043">
        <v>96</v>
      </c>
      <c r="P1043">
        <v>90</v>
      </c>
      <c r="Q1043">
        <v>99</v>
      </c>
      <c r="R1043">
        <v>99</v>
      </c>
      <c r="S1043">
        <v>97</v>
      </c>
      <c r="T1043">
        <v>99</v>
      </c>
      <c r="U1043">
        <v>29</v>
      </c>
      <c r="V1043" s="3">
        <f t="shared" si="65"/>
        <v>107398335</v>
      </c>
      <c r="W1043">
        <v>8949861.25</v>
      </c>
      <c r="X1043">
        <v>0</v>
      </c>
      <c r="Y1043">
        <f t="shared" si="66"/>
        <v>8949861.25</v>
      </c>
      <c r="Z1043">
        <f t="shared" si="67"/>
        <v>0</v>
      </c>
      <c r="AA1043">
        <v>0</v>
      </c>
    </row>
    <row r="1044" spans="1:27" x14ac:dyDescent="0.25">
      <c r="A1044" s="1">
        <v>1043</v>
      </c>
      <c r="B1044" t="s">
        <v>1416</v>
      </c>
      <c r="C1044" t="s">
        <v>1134</v>
      </c>
      <c r="D1044" t="s">
        <v>1138</v>
      </c>
      <c r="H1044" t="s">
        <v>1153</v>
      </c>
      <c r="I1044" t="s">
        <v>1153</v>
      </c>
      <c r="J1044" t="s">
        <v>1331</v>
      </c>
      <c r="K1044" t="s">
        <v>1212</v>
      </c>
      <c r="M1044" s="3">
        <f t="shared" si="64"/>
        <v>73.428571428571431</v>
      </c>
      <c r="N1044">
        <v>35</v>
      </c>
      <c r="O1044">
        <v>87</v>
      </c>
      <c r="P1044">
        <v>73</v>
      </c>
      <c r="Q1044">
        <v>72</v>
      </c>
      <c r="R1044">
        <v>84</v>
      </c>
      <c r="S1044">
        <v>90</v>
      </c>
      <c r="T1044">
        <v>73</v>
      </c>
      <c r="U1044">
        <v>0</v>
      </c>
      <c r="V1044" s="3">
        <f t="shared" si="65"/>
        <v>4556704</v>
      </c>
      <c r="W1044">
        <v>379725.33333333331</v>
      </c>
      <c r="X1044">
        <v>0</v>
      </c>
      <c r="Y1044">
        <f t="shared" si="66"/>
        <v>379725.33333333331</v>
      </c>
      <c r="Z1044">
        <f t="shared" si="67"/>
        <v>0</v>
      </c>
      <c r="AA1044">
        <v>0</v>
      </c>
    </row>
    <row r="1045" spans="1:27" x14ac:dyDescent="0.25">
      <c r="A1045" s="1">
        <v>1044</v>
      </c>
      <c r="B1045" t="s">
        <v>275</v>
      </c>
      <c r="C1045" t="s">
        <v>1134</v>
      </c>
      <c r="D1045" t="s">
        <v>1138</v>
      </c>
      <c r="E1045" t="s">
        <v>1144</v>
      </c>
      <c r="F1045" t="s">
        <v>1140</v>
      </c>
      <c r="G1045" t="s">
        <v>1179</v>
      </c>
      <c r="H1045" t="s">
        <v>1179</v>
      </c>
      <c r="I1045" t="s">
        <v>1179</v>
      </c>
      <c r="J1045" t="s">
        <v>1331</v>
      </c>
      <c r="K1045" t="s">
        <v>1212</v>
      </c>
      <c r="M1045" s="3">
        <f t="shared" si="64"/>
        <v>87.714285714285708</v>
      </c>
      <c r="N1045">
        <v>82</v>
      </c>
      <c r="O1045">
        <v>78</v>
      </c>
      <c r="P1045">
        <v>88</v>
      </c>
      <c r="Q1045">
        <v>88</v>
      </c>
      <c r="R1045">
        <v>90</v>
      </c>
      <c r="S1045">
        <v>98</v>
      </c>
      <c r="T1045">
        <v>90</v>
      </c>
      <c r="U1045">
        <v>26</v>
      </c>
      <c r="V1045" s="3">
        <f t="shared" si="65"/>
        <v>40438457</v>
      </c>
      <c r="W1045">
        <v>3369871.4166666665</v>
      </c>
      <c r="X1045">
        <v>0</v>
      </c>
      <c r="Y1045">
        <f t="shared" si="66"/>
        <v>3369871.4166666665</v>
      </c>
      <c r="Z1045">
        <f t="shared" si="67"/>
        <v>0</v>
      </c>
      <c r="AA1045">
        <v>0</v>
      </c>
    </row>
    <row r="1046" spans="1:27" x14ac:dyDescent="0.25">
      <c r="A1046" s="1">
        <v>1045</v>
      </c>
      <c r="B1046" t="s">
        <v>1417</v>
      </c>
      <c r="C1046" t="s">
        <v>1134</v>
      </c>
      <c r="D1046" t="s">
        <v>1140</v>
      </c>
      <c r="H1046" t="s">
        <v>1153</v>
      </c>
      <c r="I1046" t="s">
        <v>1153</v>
      </c>
      <c r="J1046" t="s">
        <v>1331</v>
      </c>
      <c r="K1046" t="s">
        <v>1212</v>
      </c>
      <c r="M1046" s="3">
        <f t="shared" si="64"/>
        <v>75.285714285714292</v>
      </c>
      <c r="N1046">
        <v>35</v>
      </c>
      <c r="O1046">
        <v>88</v>
      </c>
      <c r="P1046">
        <v>79</v>
      </c>
      <c r="Q1046">
        <v>77</v>
      </c>
      <c r="R1046">
        <v>80</v>
      </c>
      <c r="S1046">
        <v>81</v>
      </c>
      <c r="T1046">
        <v>87</v>
      </c>
      <c r="U1046">
        <v>0</v>
      </c>
      <c r="V1046" s="3">
        <f t="shared" si="65"/>
        <v>5849595</v>
      </c>
      <c r="W1046">
        <v>487466.25</v>
      </c>
      <c r="X1046">
        <v>0</v>
      </c>
      <c r="Y1046">
        <f t="shared" si="66"/>
        <v>487466.25</v>
      </c>
      <c r="Z1046">
        <f t="shared" si="67"/>
        <v>0</v>
      </c>
      <c r="AA1046">
        <v>0</v>
      </c>
    </row>
    <row r="1047" spans="1:27" x14ac:dyDescent="0.25">
      <c r="A1047" s="1">
        <v>1046</v>
      </c>
      <c r="B1047" t="s">
        <v>1415</v>
      </c>
      <c r="C1047" t="s">
        <v>1134</v>
      </c>
      <c r="D1047" t="s">
        <v>1139</v>
      </c>
      <c r="H1047" t="s">
        <v>1153</v>
      </c>
      <c r="I1047" t="s">
        <v>1153</v>
      </c>
      <c r="J1047" t="s">
        <v>1331</v>
      </c>
      <c r="K1047" t="s">
        <v>1212</v>
      </c>
      <c r="M1047" s="3">
        <f t="shared" si="64"/>
        <v>75.571428571428569</v>
      </c>
      <c r="N1047">
        <v>40</v>
      </c>
      <c r="O1047">
        <v>90</v>
      </c>
      <c r="P1047">
        <v>80</v>
      </c>
      <c r="Q1047">
        <v>86</v>
      </c>
      <c r="R1047">
        <v>77</v>
      </c>
      <c r="S1047">
        <v>71</v>
      </c>
      <c r="T1047">
        <v>85</v>
      </c>
      <c r="U1047">
        <v>0</v>
      </c>
      <c r="V1047" s="3">
        <f t="shared" si="65"/>
        <v>6075421</v>
      </c>
      <c r="W1047">
        <v>506285.08333333331</v>
      </c>
      <c r="X1047">
        <v>0</v>
      </c>
      <c r="Y1047">
        <f t="shared" si="66"/>
        <v>506285.08333333331</v>
      </c>
      <c r="Z1047">
        <f t="shared" si="67"/>
        <v>0</v>
      </c>
      <c r="AA1047">
        <v>0</v>
      </c>
    </row>
    <row r="1048" spans="1:27" x14ac:dyDescent="0.25">
      <c r="A1048" s="1">
        <v>1047</v>
      </c>
      <c r="B1048" t="s">
        <v>368</v>
      </c>
      <c r="C1048" t="s">
        <v>1134</v>
      </c>
      <c r="D1048" t="s">
        <v>1138</v>
      </c>
      <c r="E1048" t="s">
        <v>1144</v>
      </c>
      <c r="G1048" t="s">
        <v>1199</v>
      </c>
      <c r="H1048" t="s">
        <v>1153</v>
      </c>
      <c r="I1048" t="s">
        <v>1153</v>
      </c>
      <c r="J1048" t="s">
        <v>1331</v>
      </c>
      <c r="K1048" t="s">
        <v>1212</v>
      </c>
      <c r="M1048" s="3">
        <f t="shared" si="64"/>
        <v>79.285714285714292</v>
      </c>
      <c r="N1048">
        <v>60</v>
      </c>
      <c r="O1048">
        <v>85</v>
      </c>
      <c r="P1048">
        <v>85</v>
      </c>
      <c r="Q1048">
        <v>83</v>
      </c>
      <c r="R1048">
        <v>84</v>
      </c>
      <c r="S1048">
        <v>88</v>
      </c>
      <c r="T1048">
        <v>70</v>
      </c>
      <c r="U1048">
        <v>26</v>
      </c>
      <c r="V1048" s="3">
        <f t="shared" si="65"/>
        <v>14724505</v>
      </c>
      <c r="W1048">
        <v>1227042.0833333333</v>
      </c>
      <c r="X1048">
        <v>0</v>
      </c>
      <c r="Y1048">
        <f t="shared" si="66"/>
        <v>1227042.0833333333</v>
      </c>
      <c r="Z1048">
        <f t="shared" si="67"/>
        <v>0</v>
      </c>
      <c r="AA1048">
        <v>0</v>
      </c>
    </row>
    <row r="1049" spans="1:27" x14ac:dyDescent="0.25">
      <c r="A1049" s="1">
        <v>1048</v>
      </c>
      <c r="B1049" t="s">
        <v>264</v>
      </c>
      <c r="C1049" t="s">
        <v>1134</v>
      </c>
      <c r="D1049" t="s">
        <v>1138</v>
      </c>
      <c r="E1049" t="s">
        <v>1139</v>
      </c>
      <c r="G1049" t="s">
        <v>1177</v>
      </c>
      <c r="H1049" t="s">
        <v>1153</v>
      </c>
      <c r="I1049" t="s">
        <v>1153</v>
      </c>
      <c r="J1049" t="s">
        <v>1331</v>
      </c>
      <c r="K1049" t="s">
        <v>1212</v>
      </c>
      <c r="M1049" s="3">
        <f t="shared" si="64"/>
        <v>79.285714285714292</v>
      </c>
      <c r="N1049">
        <v>60</v>
      </c>
      <c r="O1049">
        <v>77</v>
      </c>
      <c r="P1049">
        <v>84</v>
      </c>
      <c r="Q1049">
        <v>82</v>
      </c>
      <c r="R1049">
        <v>85</v>
      </c>
      <c r="S1049">
        <v>87</v>
      </c>
      <c r="T1049">
        <v>80</v>
      </c>
      <c r="U1049">
        <v>26</v>
      </c>
      <c r="V1049" s="3">
        <f t="shared" si="65"/>
        <v>14724505</v>
      </c>
      <c r="W1049">
        <v>1227042.0833333333</v>
      </c>
      <c r="X1049">
        <v>0</v>
      </c>
      <c r="Y1049">
        <f t="shared" si="66"/>
        <v>1227042.0833333333</v>
      </c>
      <c r="Z1049">
        <f t="shared" si="67"/>
        <v>0</v>
      </c>
      <c r="AA1049">
        <v>0</v>
      </c>
    </row>
    <row r="1050" spans="1:27" x14ac:dyDescent="0.25">
      <c r="A1050" s="1">
        <v>1049</v>
      </c>
      <c r="B1050" t="s">
        <v>369</v>
      </c>
      <c r="C1050" t="s">
        <v>1134</v>
      </c>
      <c r="D1050" t="s">
        <v>1138</v>
      </c>
      <c r="E1050" t="s">
        <v>1139</v>
      </c>
      <c r="F1050" t="s">
        <v>1140</v>
      </c>
      <c r="G1050" t="s">
        <v>1199</v>
      </c>
      <c r="H1050" t="s">
        <v>1153</v>
      </c>
      <c r="I1050" t="s">
        <v>1153</v>
      </c>
      <c r="J1050" t="s">
        <v>1331</v>
      </c>
      <c r="K1050" t="s">
        <v>1212</v>
      </c>
      <c r="M1050" s="3">
        <f t="shared" si="64"/>
        <v>80</v>
      </c>
      <c r="N1050">
        <v>65</v>
      </c>
      <c r="O1050">
        <v>81</v>
      </c>
      <c r="P1050">
        <v>86</v>
      </c>
      <c r="Q1050">
        <v>85</v>
      </c>
      <c r="R1050">
        <v>85</v>
      </c>
      <c r="S1050">
        <v>85</v>
      </c>
      <c r="T1050">
        <v>73</v>
      </c>
      <c r="U1050">
        <v>27</v>
      </c>
      <c r="V1050" s="3">
        <f t="shared" si="65"/>
        <v>16106128</v>
      </c>
      <c r="W1050">
        <v>1342177.3333333333</v>
      </c>
      <c r="X1050">
        <v>0</v>
      </c>
      <c r="Y1050">
        <f t="shared" si="66"/>
        <v>1342177.3333333333</v>
      </c>
      <c r="Z1050">
        <f t="shared" si="67"/>
        <v>0</v>
      </c>
      <c r="AA1050">
        <v>0</v>
      </c>
    </row>
    <row r="1051" spans="1:27" x14ac:dyDescent="0.25">
      <c r="A1051" s="1">
        <v>1050</v>
      </c>
      <c r="B1051" t="s">
        <v>479</v>
      </c>
      <c r="C1051" t="s">
        <v>1135</v>
      </c>
      <c r="D1051" t="s">
        <v>1141</v>
      </c>
      <c r="E1051" t="s">
        <v>1145</v>
      </c>
      <c r="F1051" t="s">
        <v>1142</v>
      </c>
      <c r="G1051" t="s">
        <v>1162</v>
      </c>
      <c r="H1051" t="s">
        <v>1162</v>
      </c>
      <c r="I1051" t="s">
        <v>1162</v>
      </c>
      <c r="J1051" t="s">
        <v>1331</v>
      </c>
      <c r="K1051" t="s">
        <v>1212</v>
      </c>
      <c r="M1051" s="3">
        <f t="shared" si="64"/>
        <v>85.571428571428569</v>
      </c>
      <c r="N1051">
        <v>76</v>
      </c>
      <c r="O1051">
        <v>75</v>
      </c>
      <c r="P1051">
        <v>95</v>
      </c>
      <c r="Q1051">
        <v>85</v>
      </c>
      <c r="R1051">
        <v>92</v>
      </c>
      <c r="S1051">
        <v>96</v>
      </c>
      <c r="T1051">
        <v>80</v>
      </c>
      <c r="U1051">
        <v>6</v>
      </c>
      <c r="V1051" s="3">
        <f t="shared" si="65"/>
        <v>31577598</v>
      </c>
      <c r="W1051">
        <v>2631466.5</v>
      </c>
      <c r="X1051">
        <v>0</v>
      </c>
      <c r="Y1051">
        <f t="shared" si="66"/>
        <v>2631466.5</v>
      </c>
      <c r="Z1051">
        <f t="shared" si="67"/>
        <v>0</v>
      </c>
      <c r="AA1051">
        <v>0</v>
      </c>
    </row>
    <row r="1052" spans="1:27" x14ac:dyDescent="0.25">
      <c r="A1052" s="1">
        <v>1051</v>
      </c>
      <c r="B1052" t="s">
        <v>548</v>
      </c>
      <c r="C1052" t="s">
        <v>1135</v>
      </c>
      <c r="D1052" t="s">
        <v>1141</v>
      </c>
      <c r="E1052" t="s">
        <v>1145</v>
      </c>
      <c r="G1052" t="s">
        <v>1184</v>
      </c>
      <c r="H1052" t="s">
        <v>1153</v>
      </c>
      <c r="I1052" t="s">
        <v>1153</v>
      </c>
      <c r="J1052" t="s">
        <v>1331</v>
      </c>
      <c r="K1052" t="s">
        <v>1212</v>
      </c>
      <c r="M1052" s="3">
        <f t="shared" si="64"/>
        <v>79.571428571428569</v>
      </c>
      <c r="N1052">
        <v>70</v>
      </c>
      <c r="O1052">
        <v>84</v>
      </c>
      <c r="P1052">
        <v>85</v>
      </c>
      <c r="Q1052">
        <v>82</v>
      </c>
      <c r="R1052">
        <v>78</v>
      </c>
      <c r="S1052">
        <v>86</v>
      </c>
      <c r="T1052">
        <v>72</v>
      </c>
      <c r="U1052">
        <v>12</v>
      </c>
      <c r="V1052" s="3">
        <f t="shared" si="65"/>
        <v>15263806</v>
      </c>
      <c r="W1052">
        <v>1271983.8333333333</v>
      </c>
      <c r="X1052">
        <v>0</v>
      </c>
      <c r="Y1052">
        <f t="shared" si="66"/>
        <v>1271983.8333333333</v>
      </c>
      <c r="Z1052">
        <f t="shared" si="67"/>
        <v>0</v>
      </c>
      <c r="AA1052">
        <v>0</v>
      </c>
    </row>
    <row r="1053" spans="1:27" x14ac:dyDescent="0.25">
      <c r="A1053" s="1">
        <v>1052</v>
      </c>
      <c r="B1053" t="s">
        <v>449</v>
      </c>
      <c r="C1053" t="s">
        <v>1135</v>
      </c>
      <c r="D1053" t="s">
        <v>1142</v>
      </c>
      <c r="E1053" t="s">
        <v>1145</v>
      </c>
      <c r="F1053" t="s">
        <v>1141</v>
      </c>
      <c r="G1053" t="s">
        <v>1153</v>
      </c>
      <c r="H1053" t="s">
        <v>1214</v>
      </c>
      <c r="I1053" t="s">
        <v>1214</v>
      </c>
      <c r="J1053" t="s">
        <v>1331</v>
      </c>
      <c r="K1053" t="s">
        <v>1212</v>
      </c>
      <c r="M1053" s="3">
        <f t="shared" si="64"/>
        <v>88.571428571428569</v>
      </c>
      <c r="N1053">
        <v>90</v>
      </c>
      <c r="O1053">
        <v>93</v>
      </c>
      <c r="P1053">
        <v>90</v>
      </c>
      <c r="Q1053">
        <v>91</v>
      </c>
      <c r="R1053">
        <v>82</v>
      </c>
      <c r="S1053">
        <v>84</v>
      </c>
      <c r="T1053">
        <v>90</v>
      </c>
      <c r="U1053">
        <v>7</v>
      </c>
      <c r="V1053" s="3">
        <f t="shared" si="65"/>
        <v>44568473</v>
      </c>
      <c r="W1053">
        <v>3714039.4166666665</v>
      </c>
      <c r="X1053">
        <v>0</v>
      </c>
      <c r="Y1053">
        <f t="shared" si="66"/>
        <v>3714039.4166666665</v>
      </c>
      <c r="Z1053">
        <f t="shared" si="67"/>
        <v>0</v>
      </c>
      <c r="AA1053">
        <v>0</v>
      </c>
    </row>
    <row r="1054" spans="1:27" x14ac:dyDescent="0.25">
      <c r="A1054" s="1">
        <v>1053</v>
      </c>
      <c r="B1054" t="s">
        <v>843</v>
      </c>
      <c r="C1054" t="s">
        <v>1136</v>
      </c>
      <c r="D1054" t="s">
        <v>1145</v>
      </c>
      <c r="E1054" t="s">
        <v>1146</v>
      </c>
      <c r="F1054" t="s">
        <v>1147</v>
      </c>
      <c r="G1054" t="s">
        <v>1182</v>
      </c>
      <c r="H1054" t="s">
        <v>1182</v>
      </c>
      <c r="I1054" t="s">
        <v>1182</v>
      </c>
      <c r="J1054" t="s">
        <v>1331</v>
      </c>
      <c r="K1054" t="s">
        <v>1212</v>
      </c>
      <c r="M1054" s="3">
        <f t="shared" si="64"/>
        <v>89.571428571428569</v>
      </c>
      <c r="N1054">
        <v>89</v>
      </c>
      <c r="O1054">
        <v>86</v>
      </c>
      <c r="P1054">
        <v>94</v>
      </c>
      <c r="Q1054">
        <v>90</v>
      </c>
      <c r="R1054">
        <v>87</v>
      </c>
      <c r="S1054">
        <v>91</v>
      </c>
      <c r="T1054">
        <v>90</v>
      </c>
      <c r="U1054">
        <v>17</v>
      </c>
      <c r="V1054" s="3">
        <f t="shared" si="65"/>
        <v>49863903</v>
      </c>
      <c r="W1054">
        <v>4155325.25</v>
      </c>
      <c r="X1054">
        <v>0</v>
      </c>
      <c r="Y1054">
        <f t="shared" si="66"/>
        <v>4155325.25</v>
      </c>
      <c r="Z1054">
        <f t="shared" si="67"/>
        <v>0</v>
      </c>
      <c r="AA1054">
        <v>0</v>
      </c>
    </row>
    <row r="1055" spans="1:27" x14ac:dyDescent="0.25">
      <c r="A1055" s="1">
        <v>1054</v>
      </c>
      <c r="B1055" t="s">
        <v>917</v>
      </c>
      <c r="C1055" t="s">
        <v>1136</v>
      </c>
      <c r="D1055" t="s">
        <v>1143</v>
      </c>
      <c r="E1055" t="s">
        <v>1147</v>
      </c>
      <c r="G1055" t="s">
        <v>1194</v>
      </c>
      <c r="H1055" t="s">
        <v>1194</v>
      </c>
      <c r="I1055" t="s">
        <v>1194</v>
      </c>
      <c r="J1055" t="s">
        <v>1331</v>
      </c>
      <c r="K1055" t="s">
        <v>1212</v>
      </c>
      <c r="M1055" s="3">
        <f t="shared" si="64"/>
        <v>88.571428571428569</v>
      </c>
      <c r="N1055">
        <v>90</v>
      </c>
      <c r="O1055">
        <v>86</v>
      </c>
      <c r="P1055">
        <v>95</v>
      </c>
      <c r="Q1055">
        <v>90</v>
      </c>
      <c r="R1055">
        <v>85</v>
      </c>
      <c r="S1055">
        <v>85</v>
      </c>
      <c r="T1055">
        <v>89</v>
      </c>
      <c r="U1055">
        <v>17</v>
      </c>
      <c r="V1055" s="3">
        <f t="shared" si="65"/>
        <v>44568473</v>
      </c>
      <c r="W1055">
        <v>3714039.4166666665</v>
      </c>
      <c r="X1055">
        <v>0</v>
      </c>
      <c r="Y1055">
        <f t="shared" si="66"/>
        <v>3714039.4166666665</v>
      </c>
      <c r="Z1055">
        <f t="shared" si="67"/>
        <v>0</v>
      </c>
      <c r="AA1055">
        <v>0</v>
      </c>
    </row>
    <row r="1056" spans="1:27" x14ac:dyDescent="0.25">
      <c r="A1056" s="1">
        <v>1055</v>
      </c>
      <c r="B1056" t="s">
        <v>802</v>
      </c>
      <c r="C1056" t="s">
        <v>1136</v>
      </c>
      <c r="D1056" t="s">
        <v>1144</v>
      </c>
      <c r="E1056" t="s">
        <v>1138</v>
      </c>
      <c r="G1056" t="s">
        <v>1177</v>
      </c>
      <c r="H1056" t="s">
        <v>1153</v>
      </c>
      <c r="I1056" t="s">
        <v>1153</v>
      </c>
      <c r="J1056" t="s">
        <v>1331</v>
      </c>
      <c r="K1056" t="s">
        <v>1212</v>
      </c>
      <c r="M1056" s="3">
        <f t="shared" si="64"/>
        <v>89.857142857142861</v>
      </c>
      <c r="N1056">
        <v>92</v>
      </c>
      <c r="O1056">
        <v>91</v>
      </c>
      <c r="P1056">
        <v>89</v>
      </c>
      <c r="Q1056">
        <v>90</v>
      </c>
      <c r="R1056">
        <v>98</v>
      </c>
      <c r="S1056">
        <v>86</v>
      </c>
      <c r="T1056">
        <v>83</v>
      </c>
      <c r="U1056">
        <v>11</v>
      </c>
      <c r="V1056" s="3">
        <f t="shared" si="65"/>
        <v>51477485</v>
      </c>
      <c r="W1056">
        <v>4289790.416666667</v>
      </c>
      <c r="X1056">
        <v>0</v>
      </c>
      <c r="Y1056">
        <f t="shared" si="66"/>
        <v>4289790.416666667</v>
      </c>
      <c r="Z1056">
        <f t="shared" si="67"/>
        <v>0</v>
      </c>
      <c r="AA1056">
        <v>0</v>
      </c>
    </row>
    <row r="1057" spans="1:27" x14ac:dyDescent="0.25">
      <c r="A1057" s="1">
        <v>1056</v>
      </c>
      <c r="B1057" t="s">
        <v>641</v>
      </c>
      <c r="C1057" t="s">
        <v>1136</v>
      </c>
      <c r="D1057" t="s">
        <v>1145</v>
      </c>
      <c r="E1057" t="s">
        <v>1147</v>
      </c>
      <c r="F1057" t="s">
        <v>1146</v>
      </c>
      <c r="G1057" t="s">
        <v>1150</v>
      </c>
      <c r="H1057" t="s">
        <v>1150</v>
      </c>
      <c r="I1057" t="s">
        <v>1150</v>
      </c>
      <c r="J1057" t="s">
        <v>1331</v>
      </c>
      <c r="K1057" t="s">
        <v>1212</v>
      </c>
      <c r="M1057" s="3">
        <f t="shared" si="64"/>
        <v>87.428571428571431</v>
      </c>
      <c r="N1057">
        <v>80</v>
      </c>
      <c r="O1057">
        <v>83</v>
      </c>
      <c r="P1057">
        <v>94</v>
      </c>
      <c r="Q1057">
        <v>92</v>
      </c>
      <c r="R1057">
        <v>87</v>
      </c>
      <c r="S1057">
        <v>89</v>
      </c>
      <c r="T1057">
        <v>87</v>
      </c>
      <c r="U1057">
        <v>21</v>
      </c>
      <c r="V1057" s="3">
        <f t="shared" si="65"/>
        <v>39140384</v>
      </c>
      <c r="W1057">
        <v>3261698.6666666665</v>
      </c>
      <c r="X1057">
        <v>0</v>
      </c>
      <c r="Y1057">
        <f t="shared" si="66"/>
        <v>3261698.6666666665</v>
      </c>
      <c r="Z1057">
        <f t="shared" si="67"/>
        <v>0</v>
      </c>
      <c r="AA1057">
        <v>0</v>
      </c>
    </row>
    <row r="1058" spans="1:27" x14ac:dyDescent="0.25">
      <c r="A1058" s="1">
        <v>1057</v>
      </c>
      <c r="B1058" t="s">
        <v>1418</v>
      </c>
      <c r="C1058" t="s">
        <v>1136</v>
      </c>
      <c r="D1058" t="s">
        <v>1145</v>
      </c>
      <c r="E1058" t="s">
        <v>1146</v>
      </c>
      <c r="F1058" t="s">
        <v>1147</v>
      </c>
      <c r="H1058" t="s">
        <v>1153</v>
      </c>
      <c r="I1058" t="s">
        <v>1153</v>
      </c>
      <c r="J1058" t="s">
        <v>1331</v>
      </c>
      <c r="K1058" t="s">
        <v>1212</v>
      </c>
      <c r="M1058" s="3">
        <f t="shared" si="64"/>
        <v>75.857142857142861</v>
      </c>
      <c r="N1058">
        <v>50</v>
      </c>
      <c r="O1058">
        <v>91</v>
      </c>
      <c r="P1058">
        <v>76</v>
      </c>
      <c r="Q1058">
        <v>85</v>
      </c>
      <c r="R1058">
        <v>75</v>
      </c>
      <c r="S1058">
        <v>83</v>
      </c>
      <c r="T1058">
        <v>71</v>
      </c>
      <c r="U1058">
        <v>22</v>
      </c>
      <c r="V1058" s="3">
        <f t="shared" si="65"/>
        <v>9463594</v>
      </c>
      <c r="W1058">
        <v>788632.83333333337</v>
      </c>
      <c r="X1058">
        <v>0</v>
      </c>
      <c r="Y1058">
        <f t="shared" si="66"/>
        <v>788632.83333333337</v>
      </c>
      <c r="Z1058">
        <f t="shared" si="67"/>
        <v>0</v>
      </c>
      <c r="AA1058">
        <v>0</v>
      </c>
    </row>
    <row r="1059" spans="1:27" x14ac:dyDescent="0.25">
      <c r="A1059" s="1">
        <v>1058</v>
      </c>
      <c r="B1059" t="s">
        <v>663</v>
      </c>
      <c r="C1059" t="s">
        <v>1136</v>
      </c>
      <c r="D1059" t="s">
        <v>1143</v>
      </c>
      <c r="E1059" t="s">
        <v>1144</v>
      </c>
      <c r="F1059" t="s">
        <v>1147</v>
      </c>
      <c r="G1059" t="s">
        <v>1153</v>
      </c>
      <c r="H1059" t="s">
        <v>1153</v>
      </c>
      <c r="I1059" t="s">
        <v>1153</v>
      </c>
      <c r="J1059" t="s">
        <v>1331</v>
      </c>
      <c r="K1059" t="s">
        <v>1212</v>
      </c>
      <c r="M1059" s="3">
        <f t="shared" si="64"/>
        <v>91.571428571428569</v>
      </c>
      <c r="N1059">
        <v>90</v>
      </c>
      <c r="O1059">
        <v>84</v>
      </c>
      <c r="P1059">
        <v>99</v>
      </c>
      <c r="Q1059">
        <v>93</v>
      </c>
      <c r="R1059">
        <v>90</v>
      </c>
      <c r="S1059">
        <v>95</v>
      </c>
      <c r="T1059">
        <v>90</v>
      </c>
      <c r="U1059">
        <v>21</v>
      </c>
      <c r="V1059" s="3">
        <f t="shared" si="65"/>
        <v>62185790</v>
      </c>
      <c r="W1059">
        <v>5182149.166666667</v>
      </c>
      <c r="X1059">
        <v>0</v>
      </c>
      <c r="Y1059">
        <f t="shared" si="66"/>
        <v>5182149.166666667</v>
      </c>
      <c r="Z1059">
        <f t="shared" si="67"/>
        <v>0</v>
      </c>
      <c r="AA1059">
        <v>0</v>
      </c>
    </row>
    <row r="1060" spans="1:27" x14ac:dyDescent="0.25">
      <c r="A1060" s="1">
        <v>1059</v>
      </c>
      <c r="B1060" t="s">
        <v>1101</v>
      </c>
      <c r="C1060" t="s">
        <v>1137</v>
      </c>
      <c r="D1060" t="s">
        <v>1137</v>
      </c>
      <c r="H1060" t="s">
        <v>1153</v>
      </c>
      <c r="I1060" t="s">
        <v>1153</v>
      </c>
      <c r="J1060" t="s">
        <v>1331</v>
      </c>
      <c r="K1060" t="s">
        <v>1212</v>
      </c>
      <c r="M1060" s="3">
        <f t="shared" si="64"/>
        <v>81.142857142857139</v>
      </c>
      <c r="N1060">
        <v>73</v>
      </c>
      <c r="O1060">
        <v>95</v>
      </c>
      <c r="P1060">
        <v>82</v>
      </c>
      <c r="Q1060">
        <v>83</v>
      </c>
      <c r="R1060">
        <v>80</v>
      </c>
      <c r="S1060">
        <v>80</v>
      </c>
      <c r="T1060">
        <v>75</v>
      </c>
      <c r="U1060">
        <v>0</v>
      </c>
      <c r="V1060" s="3">
        <f t="shared" si="65"/>
        <v>12373797</v>
      </c>
      <c r="W1060">
        <v>1031149.75</v>
      </c>
      <c r="X1060">
        <v>0</v>
      </c>
      <c r="Y1060">
        <f t="shared" si="66"/>
        <v>1031149.75</v>
      </c>
      <c r="Z1060">
        <f t="shared" si="67"/>
        <v>0</v>
      </c>
      <c r="AA1060">
        <v>0</v>
      </c>
    </row>
    <row r="1061" spans="1:27" x14ac:dyDescent="0.25">
      <c r="A1061" s="1">
        <v>1060</v>
      </c>
      <c r="B1061" t="s">
        <v>2203</v>
      </c>
      <c r="C1061" t="s">
        <v>1133</v>
      </c>
      <c r="D1061" t="s">
        <v>1133</v>
      </c>
      <c r="H1061" t="s">
        <v>1185</v>
      </c>
      <c r="I1061" t="s">
        <v>1185</v>
      </c>
      <c r="J1061" t="s">
        <v>2686</v>
      </c>
      <c r="K1061" t="s">
        <v>1212</v>
      </c>
      <c r="M1061" s="3">
        <f t="shared" si="64"/>
        <v>61.142857142857146</v>
      </c>
      <c r="N1061">
        <v>26</v>
      </c>
      <c r="O1061">
        <v>72</v>
      </c>
      <c r="P1061">
        <v>66</v>
      </c>
      <c r="Q1061">
        <v>70</v>
      </c>
      <c r="R1061">
        <v>72</v>
      </c>
      <c r="S1061">
        <v>74</v>
      </c>
      <c r="T1061">
        <v>48</v>
      </c>
      <c r="U1061">
        <v>0</v>
      </c>
      <c r="V1061" s="3">
        <f t="shared" si="65"/>
        <v>730226</v>
      </c>
      <c r="W1061">
        <v>60852.166666666664</v>
      </c>
      <c r="X1061">
        <v>0</v>
      </c>
      <c r="Y1061">
        <f t="shared" si="66"/>
        <v>60852.166666666664</v>
      </c>
      <c r="Z1061">
        <f t="shared" si="67"/>
        <v>0</v>
      </c>
      <c r="AA1061">
        <v>0</v>
      </c>
    </row>
    <row r="1062" spans="1:27" x14ac:dyDescent="0.25">
      <c r="A1062" s="1">
        <v>1061</v>
      </c>
      <c r="B1062" t="s">
        <v>2202</v>
      </c>
      <c r="C1062" t="s">
        <v>1133</v>
      </c>
      <c r="D1062" t="s">
        <v>1133</v>
      </c>
      <c r="H1062" t="s">
        <v>1185</v>
      </c>
      <c r="I1062" t="s">
        <v>1185</v>
      </c>
      <c r="J1062" t="s">
        <v>2686</v>
      </c>
      <c r="K1062" t="s">
        <v>1212</v>
      </c>
      <c r="M1062" s="3">
        <f t="shared" si="64"/>
        <v>63.142857142857146</v>
      </c>
      <c r="N1062">
        <v>28</v>
      </c>
      <c r="O1062">
        <v>74</v>
      </c>
      <c r="P1062">
        <v>68</v>
      </c>
      <c r="Q1062">
        <v>72</v>
      </c>
      <c r="R1062">
        <v>74</v>
      </c>
      <c r="S1062">
        <v>76</v>
      </c>
      <c r="T1062">
        <v>50</v>
      </c>
      <c r="U1062">
        <v>0</v>
      </c>
      <c r="V1062" s="3">
        <f t="shared" si="65"/>
        <v>1007494</v>
      </c>
      <c r="W1062">
        <v>83957.833333333328</v>
      </c>
      <c r="X1062">
        <v>0</v>
      </c>
      <c r="Y1062">
        <f t="shared" si="66"/>
        <v>83957.833333333328</v>
      </c>
      <c r="Z1062">
        <f t="shared" si="67"/>
        <v>0</v>
      </c>
      <c r="AA1062">
        <v>0</v>
      </c>
    </row>
    <row r="1063" spans="1:27" x14ac:dyDescent="0.25">
      <c r="A1063" s="1">
        <v>1062</v>
      </c>
      <c r="B1063" t="s">
        <v>2207</v>
      </c>
      <c r="C1063" t="s">
        <v>1134</v>
      </c>
      <c r="D1063" t="s">
        <v>1140</v>
      </c>
      <c r="E1063" t="s">
        <v>1138</v>
      </c>
      <c r="H1063" t="s">
        <v>1185</v>
      </c>
      <c r="I1063" t="s">
        <v>1185</v>
      </c>
      <c r="J1063" t="s">
        <v>2686</v>
      </c>
      <c r="K1063" t="s">
        <v>1212</v>
      </c>
      <c r="M1063" s="3">
        <f t="shared" si="64"/>
        <v>61</v>
      </c>
      <c r="N1063">
        <v>26</v>
      </c>
      <c r="O1063">
        <v>72</v>
      </c>
      <c r="P1063">
        <v>66</v>
      </c>
      <c r="Q1063">
        <v>70</v>
      </c>
      <c r="R1063">
        <v>72</v>
      </c>
      <c r="S1063">
        <v>74</v>
      </c>
      <c r="T1063">
        <v>47</v>
      </c>
      <c r="U1063">
        <v>0</v>
      </c>
      <c r="V1063" s="3">
        <f t="shared" si="65"/>
        <v>713343</v>
      </c>
      <c r="W1063">
        <v>59445.25</v>
      </c>
      <c r="X1063">
        <v>0</v>
      </c>
      <c r="Y1063">
        <f t="shared" si="66"/>
        <v>59445.25</v>
      </c>
      <c r="Z1063">
        <f t="shared" si="67"/>
        <v>0</v>
      </c>
      <c r="AA1063">
        <v>0</v>
      </c>
    </row>
    <row r="1064" spans="1:27" x14ac:dyDescent="0.25">
      <c r="A1064" s="1">
        <v>1063</v>
      </c>
      <c r="B1064" t="s">
        <v>2205</v>
      </c>
      <c r="C1064" t="s">
        <v>1134</v>
      </c>
      <c r="D1064" t="s">
        <v>1138</v>
      </c>
      <c r="E1064" t="s">
        <v>1144</v>
      </c>
      <c r="H1064" t="s">
        <v>1185</v>
      </c>
      <c r="I1064" t="s">
        <v>1185</v>
      </c>
      <c r="J1064" t="s">
        <v>2686</v>
      </c>
      <c r="K1064" t="s">
        <v>1212</v>
      </c>
      <c r="M1064" s="3">
        <f t="shared" si="64"/>
        <v>59.142857142857146</v>
      </c>
      <c r="N1064">
        <v>25</v>
      </c>
      <c r="O1064">
        <v>70</v>
      </c>
      <c r="P1064">
        <v>64</v>
      </c>
      <c r="Q1064">
        <v>68</v>
      </c>
      <c r="R1064">
        <v>70</v>
      </c>
      <c r="S1064">
        <v>72</v>
      </c>
      <c r="T1064">
        <v>45</v>
      </c>
      <c r="U1064">
        <v>0</v>
      </c>
      <c r="V1064" s="3">
        <f t="shared" si="65"/>
        <v>523629</v>
      </c>
      <c r="W1064">
        <v>43635.75</v>
      </c>
      <c r="X1064">
        <v>0</v>
      </c>
      <c r="Y1064">
        <f t="shared" si="66"/>
        <v>43635.75</v>
      </c>
      <c r="Z1064">
        <f t="shared" si="67"/>
        <v>0</v>
      </c>
      <c r="AA1064">
        <v>0</v>
      </c>
    </row>
    <row r="1065" spans="1:27" x14ac:dyDescent="0.25">
      <c r="A1065" s="1">
        <v>1064</v>
      </c>
      <c r="B1065" t="s">
        <v>2208</v>
      </c>
      <c r="C1065" t="s">
        <v>1134</v>
      </c>
      <c r="D1065" t="s">
        <v>1140</v>
      </c>
      <c r="E1065" t="s">
        <v>1139</v>
      </c>
      <c r="H1065" t="s">
        <v>1185</v>
      </c>
      <c r="I1065" t="s">
        <v>1185</v>
      </c>
      <c r="J1065" t="s">
        <v>2686</v>
      </c>
      <c r="K1065" t="s">
        <v>1212</v>
      </c>
      <c r="M1065" s="3">
        <f t="shared" si="64"/>
        <v>57.857142857142854</v>
      </c>
      <c r="N1065">
        <v>24</v>
      </c>
      <c r="O1065">
        <v>68</v>
      </c>
      <c r="P1065">
        <v>63</v>
      </c>
      <c r="Q1065">
        <v>67</v>
      </c>
      <c r="R1065">
        <v>69</v>
      </c>
      <c r="S1065">
        <v>71</v>
      </c>
      <c r="T1065">
        <v>43</v>
      </c>
      <c r="U1065">
        <v>0</v>
      </c>
      <c r="V1065" s="3">
        <f t="shared" si="65"/>
        <v>420311</v>
      </c>
      <c r="W1065">
        <v>35025.916666666664</v>
      </c>
      <c r="X1065">
        <v>0</v>
      </c>
      <c r="Y1065">
        <f t="shared" si="66"/>
        <v>35025.916666666664</v>
      </c>
      <c r="Z1065">
        <f t="shared" si="67"/>
        <v>0</v>
      </c>
      <c r="AA1065">
        <v>0</v>
      </c>
    </row>
    <row r="1066" spans="1:27" x14ac:dyDescent="0.25">
      <c r="A1066" s="1">
        <v>1065</v>
      </c>
      <c r="B1066" t="s">
        <v>2209</v>
      </c>
      <c r="C1066" t="s">
        <v>1134</v>
      </c>
      <c r="D1066" t="s">
        <v>1139</v>
      </c>
      <c r="E1066" t="s">
        <v>1138</v>
      </c>
      <c r="H1066" t="s">
        <v>1185</v>
      </c>
      <c r="I1066" t="s">
        <v>1185</v>
      </c>
      <c r="J1066" t="s">
        <v>2686</v>
      </c>
      <c r="K1066" t="s">
        <v>1212</v>
      </c>
      <c r="M1066" s="3">
        <f t="shared" si="64"/>
        <v>65.714285714285708</v>
      </c>
      <c r="N1066">
        <v>30</v>
      </c>
      <c r="O1066">
        <v>78</v>
      </c>
      <c r="P1066">
        <v>70</v>
      </c>
      <c r="Q1066">
        <v>74</v>
      </c>
      <c r="R1066">
        <v>76</v>
      </c>
      <c r="S1066">
        <v>78</v>
      </c>
      <c r="T1066">
        <v>54</v>
      </c>
      <c r="U1066">
        <v>0</v>
      </c>
      <c r="V1066" s="3">
        <f t="shared" si="65"/>
        <v>1501751</v>
      </c>
      <c r="W1066">
        <v>125145.91666666667</v>
      </c>
      <c r="X1066">
        <v>0</v>
      </c>
      <c r="Y1066">
        <f t="shared" si="66"/>
        <v>125145.91666666667</v>
      </c>
      <c r="Z1066">
        <f t="shared" si="67"/>
        <v>0</v>
      </c>
      <c r="AA1066">
        <v>0</v>
      </c>
    </row>
    <row r="1067" spans="1:27" x14ac:dyDescent="0.25">
      <c r="A1067" s="1">
        <v>1066</v>
      </c>
      <c r="B1067" t="s">
        <v>2206</v>
      </c>
      <c r="C1067" t="s">
        <v>1134</v>
      </c>
      <c r="D1067" t="s">
        <v>1138</v>
      </c>
      <c r="E1067" t="s">
        <v>1139</v>
      </c>
      <c r="H1067" t="s">
        <v>1185</v>
      </c>
      <c r="I1067" t="s">
        <v>1185</v>
      </c>
      <c r="J1067" t="s">
        <v>2686</v>
      </c>
      <c r="K1067" t="s">
        <v>1212</v>
      </c>
      <c r="M1067" s="3">
        <f t="shared" si="64"/>
        <v>67.571428571428569</v>
      </c>
      <c r="N1067">
        <v>31</v>
      </c>
      <c r="O1067">
        <v>80</v>
      </c>
      <c r="P1067">
        <v>72</v>
      </c>
      <c r="Q1067">
        <v>76</v>
      </c>
      <c r="R1067">
        <v>78</v>
      </c>
      <c r="S1067">
        <v>80</v>
      </c>
      <c r="T1067">
        <v>56</v>
      </c>
      <c r="U1067">
        <v>0</v>
      </c>
      <c r="V1067" s="3">
        <f t="shared" si="65"/>
        <v>1984409</v>
      </c>
      <c r="W1067">
        <v>165367.41666666666</v>
      </c>
      <c r="X1067">
        <v>0</v>
      </c>
      <c r="Y1067">
        <f t="shared" si="66"/>
        <v>165367.41666666666</v>
      </c>
      <c r="Z1067">
        <f t="shared" si="67"/>
        <v>0</v>
      </c>
      <c r="AA1067">
        <v>0</v>
      </c>
    </row>
    <row r="1068" spans="1:27" x14ac:dyDescent="0.25">
      <c r="A1068" s="1">
        <v>1067</v>
      </c>
      <c r="B1068" t="s">
        <v>2217</v>
      </c>
      <c r="C1068" t="s">
        <v>1135</v>
      </c>
      <c r="D1068" t="s">
        <v>1142</v>
      </c>
      <c r="E1068" t="s">
        <v>1141</v>
      </c>
      <c r="H1068" t="s">
        <v>1185</v>
      </c>
      <c r="I1068" t="s">
        <v>1185</v>
      </c>
      <c r="J1068" t="s">
        <v>2686</v>
      </c>
      <c r="K1068" t="s">
        <v>1212</v>
      </c>
      <c r="M1068" s="3">
        <f t="shared" si="64"/>
        <v>65.142857142857139</v>
      </c>
      <c r="N1068">
        <v>29</v>
      </c>
      <c r="O1068">
        <v>76</v>
      </c>
      <c r="P1068">
        <v>70</v>
      </c>
      <c r="Q1068">
        <v>74</v>
      </c>
      <c r="R1068">
        <v>76</v>
      </c>
      <c r="S1068">
        <v>78</v>
      </c>
      <c r="T1068">
        <v>53</v>
      </c>
      <c r="U1068">
        <v>0</v>
      </c>
      <c r="V1068" s="3">
        <f t="shared" si="65"/>
        <v>1376158</v>
      </c>
      <c r="W1068">
        <v>114679.83333333333</v>
      </c>
      <c r="X1068">
        <v>0</v>
      </c>
      <c r="Y1068">
        <f t="shared" si="66"/>
        <v>114679.83333333333</v>
      </c>
      <c r="Z1068">
        <f t="shared" si="67"/>
        <v>0</v>
      </c>
      <c r="AA1068">
        <v>0</v>
      </c>
    </row>
    <row r="1069" spans="1:27" x14ac:dyDescent="0.25">
      <c r="A1069" s="1">
        <v>1068</v>
      </c>
      <c r="B1069" t="s">
        <v>2218</v>
      </c>
      <c r="C1069" t="s">
        <v>1135</v>
      </c>
      <c r="D1069" t="s">
        <v>1141</v>
      </c>
      <c r="E1069" t="s">
        <v>1142</v>
      </c>
      <c r="H1069" t="s">
        <v>1185</v>
      </c>
      <c r="I1069" t="s">
        <v>1185</v>
      </c>
      <c r="J1069" t="s">
        <v>2686</v>
      </c>
      <c r="K1069" t="s">
        <v>1212</v>
      </c>
      <c r="M1069" s="3">
        <f t="shared" si="64"/>
        <v>72.571428571428569</v>
      </c>
      <c r="N1069">
        <v>36</v>
      </c>
      <c r="O1069">
        <v>86</v>
      </c>
      <c r="P1069">
        <v>78</v>
      </c>
      <c r="Q1069">
        <v>80</v>
      </c>
      <c r="R1069">
        <v>82</v>
      </c>
      <c r="S1069">
        <v>84</v>
      </c>
      <c r="T1069">
        <v>62</v>
      </c>
      <c r="U1069">
        <v>0</v>
      </c>
      <c r="V1069" s="3">
        <f t="shared" si="65"/>
        <v>4051882</v>
      </c>
      <c r="W1069">
        <v>337656.83333333331</v>
      </c>
      <c r="X1069">
        <v>0</v>
      </c>
      <c r="Y1069">
        <f t="shared" si="66"/>
        <v>337656.83333333331</v>
      </c>
      <c r="Z1069">
        <f t="shared" si="67"/>
        <v>0</v>
      </c>
      <c r="AA1069">
        <v>0</v>
      </c>
    </row>
    <row r="1070" spans="1:27" x14ac:dyDescent="0.25">
      <c r="A1070" s="1">
        <v>1069</v>
      </c>
      <c r="B1070" t="s">
        <v>2220</v>
      </c>
      <c r="C1070" t="s">
        <v>1136</v>
      </c>
      <c r="D1070" t="s">
        <v>1144</v>
      </c>
      <c r="E1070" t="s">
        <v>1143</v>
      </c>
      <c r="H1070" t="s">
        <v>1185</v>
      </c>
      <c r="I1070" t="s">
        <v>1185</v>
      </c>
      <c r="J1070" t="s">
        <v>2686</v>
      </c>
      <c r="K1070" t="s">
        <v>1212</v>
      </c>
      <c r="M1070" s="3">
        <f t="shared" si="64"/>
        <v>57.142857142857146</v>
      </c>
      <c r="N1070">
        <v>24</v>
      </c>
      <c r="O1070">
        <v>68</v>
      </c>
      <c r="P1070">
        <v>62</v>
      </c>
      <c r="Q1070">
        <v>66</v>
      </c>
      <c r="R1070">
        <v>68</v>
      </c>
      <c r="S1070">
        <v>70</v>
      </c>
      <c r="T1070">
        <v>42</v>
      </c>
      <c r="U1070">
        <v>0</v>
      </c>
      <c r="V1070" s="3">
        <f t="shared" si="65"/>
        <v>371210</v>
      </c>
      <c r="W1070">
        <v>30934.166666666668</v>
      </c>
      <c r="X1070">
        <v>0</v>
      </c>
      <c r="Y1070">
        <f t="shared" si="66"/>
        <v>30934.166666666668</v>
      </c>
      <c r="Z1070">
        <f t="shared" si="67"/>
        <v>0</v>
      </c>
      <c r="AA1070">
        <v>0</v>
      </c>
    </row>
    <row r="1071" spans="1:27" x14ac:dyDescent="0.25">
      <c r="A1071" s="1">
        <v>1070</v>
      </c>
      <c r="B1071" t="s">
        <v>2215</v>
      </c>
      <c r="C1071" t="s">
        <v>1136</v>
      </c>
      <c r="D1071" t="s">
        <v>1146</v>
      </c>
      <c r="E1071" t="s">
        <v>1144</v>
      </c>
      <c r="H1071" t="s">
        <v>1185</v>
      </c>
      <c r="I1071" t="s">
        <v>1185</v>
      </c>
      <c r="J1071" t="s">
        <v>2686</v>
      </c>
      <c r="K1071" t="s">
        <v>1212</v>
      </c>
      <c r="M1071" s="3">
        <f t="shared" si="64"/>
        <v>56.142857142857146</v>
      </c>
      <c r="N1071">
        <v>23</v>
      </c>
      <c r="O1071">
        <v>67</v>
      </c>
      <c r="P1071">
        <v>61</v>
      </c>
      <c r="Q1071">
        <v>65</v>
      </c>
      <c r="R1071">
        <v>67</v>
      </c>
      <c r="S1071">
        <v>69</v>
      </c>
      <c r="T1071">
        <v>41</v>
      </c>
      <c r="U1071">
        <v>0</v>
      </c>
      <c r="V1071" s="3">
        <f t="shared" si="65"/>
        <v>311133</v>
      </c>
      <c r="W1071">
        <v>25927.75</v>
      </c>
      <c r="X1071">
        <v>0</v>
      </c>
      <c r="Y1071">
        <f t="shared" si="66"/>
        <v>25927.75</v>
      </c>
      <c r="Z1071">
        <f t="shared" si="67"/>
        <v>0</v>
      </c>
      <c r="AA1071">
        <v>0</v>
      </c>
    </row>
    <row r="1072" spans="1:27" x14ac:dyDescent="0.25">
      <c r="A1072" s="1">
        <v>1071</v>
      </c>
      <c r="B1072" t="s">
        <v>2212</v>
      </c>
      <c r="C1072" t="s">
        <v>1136</v>
      </c>
      <c r="D1072" t="s">
        <v>1143</v>
      </c>
      <c r="E1072" t="s">
        <v>1144</v>
      </c>
      <c r="H1072" t="s">
        <v>1185</v>
      </c>
      <c r="I1072" t="s">
        <v>1185</v>
      </c>
      <c r="J1072" t="s">
        <v>2686</v>
      </c>
      <c r="K1072" t="s">
        <v>1212</v>
      </c>
      <c r="M1072" s="3">
        <f t="shared" si="64"/>
        <v>62.142857142857146</v>
      </c>
      <c r="N1072">
        <v>27</v>
      </c>
      <c r="O1072">
        <v>73</v>
      </c>
      <c r="P1072">
        <v>67</v>
      </c>
      <c r="Q1072">
        <v>71</v>
      </c>
      <c r="R1072">
        <v>73</v>
      </c>
      <c r="S1072">
        <v>75</v>
      </c>
      <c r="T1072">
        <v>49</v>
      </c>
      <c r="U1072">
        <v>0</v>
      </c>
      <c r="V1072" s="3">
        <f t="shared" si="65"/>
        <v>858840</v>
      </c>
      <c r="W1072">
        <v>71570</v>
      </c>
      <c r="X1072">
        <v>0</v>
      </c>
      <c r="Y1072">
        <f t="shared" si="66"/>
        <v>71570</v>
      </c>
      <c r="Z1072">
        <f t="shared" si="67"/>
        <v>0</v>
      </c>
      <c r="AA1072">
        <v>0</v>
      </c>
    </row>
    <row r="1073" spans="1:27" x14ac:dyDescent="0.25">
      <c r="A1073" s="1">
        <v>1072</v>
      </c>
      <c r="B1073" t="s">
        <v>2210</v>
      </c>
      <c r="C1073" t="s">
        <v>1136</v>
      </c>
      <c r="D1073" t="s">
        <v>1144</v>
      </c>
      <c r="E1073" t="s">
        <v>1143</v>
      </c>
      <c r="H1073" t="s">
        <v>1185</v>
      </c>
      <c r="I1073" t="s">
        <v>1185</v>
      </c>
      <c r="J1073" t="s">
        <v>2686</v>
      </c>
      <c r="K1073" t="s">
        <v>1212</v>
      </c>
      <c r="M1073" s="3">
        <f t="shared" si="64"/>
        <v>60</v>
      </c>
      <c r="N1073">
        <v>25</v>
      </c>
      <c r="O1073">
        <v>71</v>
      </c>
      <c r="P1073">
        <v>65</v>
      </c>
      <c r="Q1073">
        <v>69</v>
      </c>
      <c r="R1073">
        <v>71</v>
      </c>
      <c r="S1073">
        <v>73</v>
      </c>
      <c r="T1073">
        <v>46</v>
      </c>
      <c r="U1073">
        <v>0</v>
      </c>
      <c r="V1073" s="3">
        <f t="shared" si="65"/>
        <v>604662</v>
      </c>
      <c r="W1073">
        <v>50388.5</v>
      </c>
      <c r="X1073">
        <v>0</v>
      </c>
      <c r="Y1073">
        <f t="shared" si="66"/>
        <v>50388.5</v>
      </c>
      <c r="Z1073">
        <f t="shared" si="67"/>
        <v>0</v>
      </c>
      <c r="AA1073">
        <v>0</v>
      </c>
    </row>
    <row r="1074" spans="1:27" x14ac:dyDescent="0.25">
      <c r="A1074" s="1">
        <v>1073</v>
      </c>
      <c r="B1074" t="s">
        <v>2219</v>
      </c>
      <c r="C1074" t="s">
        <v>1136</v>
      </c>
      <c r="D1074" t="s">
        <v>1147</v>
      </c>
      <c r="E1074" t="s">
        <v>1146</v>
      </c>
      <c r="H1074" t="s">
        <v>1185</v>
      </c>
      <c r="I1074" t="s">
        <v>1185</v>
      </c>
      <c r="J1074" t="s">
        <v>2686</v>
      </c>
      <c r="K1074" t="s">
        <v>1212</v>
      </c>
      <c r="M1074" s="3">
        <f t="shared" si="64"/>
        <v>69</v>
      </c>
      <c r="N1074">
        <v>34</v>
      </c>
      <c r="O1074">
        <v>83</v>
      </c>
      <c r="P1074">
        <v>74</v>
      </c>
      <c r="Q1074">
        <v>76</v>
      </c>
      <c r="R1074">
        <v>78</v>
      </c>
      <c r="S1074">
        <v>80</v>
      </c>
      <c r="T1074">
        <v>58</v>
      </c>
      <c r="U1074">
        <v>0</v>
      </c>
      <c r="V1074" s="3">
        <f t="shared" si="65"/>
        <v>2446195</v>
      </c>
      <c r="W1074">
        <v>203849.58333333334</v>
      </c>
      <c r="X1074">
        <v>0</v>
      </c>
      <c r="Y1074">
        <f t="shared" si="66"/>
        <v>203849.58333333334</v>
      </c>
      <c r="Z1074">
        <f t="shared" si="67"/>
        <v>0</v>
      </c>
      <c r="AA1074">
        <v>0</v>
      </c>
    </row>
    <row r="1075" spans="1:27" x14ac:dyDescent="0.25">
      <c r="A1075" s="1">
        <v>1074</v>
      </c>
      <c r="B1075" t="s">
        <v>2214</v>
      </c>
      <c r="C1075" t="s">
        <v>1136</v>
      </c>
      <c r="D1075" t="s">
        <v>1145</v>
      </c>
      <c r="E1075" t="s">
        <v>1143</v>
      </c>
      <c r="H1075" t="s">
        <v>1185</v>
      </c>
      <c r="I1075" t="s">
        <v>1185</v>
      </c>
      <c r="J1075" t="s">
        <v>2686</v>
      </c>
      <c r="K1075" t="s">
        <v>1212</v>
      </c>
      <c r="M1075" s="3">
        <f t="shared" si="64"/>
        <v>65</v>
      </c>
      <c r="N1075">
        <v>29</v>
      </c>
      <c r="O1075">
        <v>76</v>
      </c>
      <c r="P1075">
        <v>70</v>
      </c>
      <c r="Q1075">
        <v>74</v>
      </c>
      <c r="R1075">
        <v>76</v>
      </c>
      <c r="S1075">
        <v>78</v>
      </c>
      <c r="T1075">
        <v>52</v>
      </c>
      <c r="U1075">
        <v>0</v>
      </c>
      <c r="V1075" s="3">
        <f t="shared" si="65"/>
        <v>1346275</v>
      </c>
      <c r="W1075">
        <v>112189.58333333333</v>
      </c>
      <c r="X1075">
        <v>0</v>
      </c>
      <c r="Y1075">
        <f t="shared" si="66"/>
        <v>112189.58333333333</v>
      </c>
      <c r="Z1075">
        <f t="shared" si="67"/>
        <v>0</v>
      </c>
      <c r="AA1075">
        <v>0</v>
      </c>
    </row>
    <row r="1076" spans="1:27" x14ac:dyDescent="0.25">
      <c r="A1076" s="1">
        <v>1075</v>
      </c>
      <c r="B1076" t="s">
        <v>2216</v>
      </c>
      <c r="C1076" t="s">
        <v>1136</v>
      </c>
      <c r="D1076" t="s">
        <v>1147</v>
      </c>
      <c r="E1076" t="s">
        <v>1145</v>
      </c>
      <c r="H1076" t="s">
        <v>1185</v>
      </c>
      <c r="I1076" t="s">
        <v>1185</v>
      </c>
      <c r="J1076" t="s">
        <v>2686</v>
      </c>
      <c r="K1076" t="s">
        <v>1212</v>
      </c>
      <c r="M1076" s="3">
        <f t="shared" si="64"/>
        <v>61</v>
      </c>
      <c r="N1076">
        <v>26</v>
      </c>
      <c r="O1076">
        <v>72</v>
      </c>
      <c r="P1076">
        <v>66</v>
      </c>
      <c r="Q1076">
        <v>70</v>
      </c>
      <c r="R1076">
        <v>72</v>
      </c>
      <c r="S1076">
        <v>74</v>
      </c>
      <c r="T1076">
        <v>47</v>
      </c>
      <c r="U1076">
        <v>0</v>
      </c>
      <c r="V1076" s="3">
        <f t="shared" si="65"/>
        <v>713343</v>
      </c>
      <c r="W1076">
        <v>59445.25</v>
      </c>
      <c r="X1076">
        <v>0</v>
      </c>
      <c r="Y1076">
        <f t="shared" si="66"/>
        <v>59445.25</v>
      </c>
      <c r="Z1076">
        <f t="shared" si="67"/>
        <v>0</v>
      </c>
      <c r="AA1076">
        <v>0</v>
      </c>
    </row>
    <row r="1077" spans="1:27" x14ac:dyDescent="0.25">
      <c r="A1077" s="1">
        <v>1076</v>
      </c>
      <c r="B1077" t="s">
        <v>2211</v>
      </c>
      <c r="C1077" t="s">
        <v>1136</v>
      </c>
      <c r="D1077" t="s">
        <v>1144</v>
      </c>
      <c r="E1077" t="s">
        <v>1138</v>
      </c>
      <c r="H1077" t="s">
        <v>1185</v>
      </c>
      <c r="I1077" t="s">
        <v>1185</v>
      </c>
      <c r="J1077" t="s">
        <v>2686</v>
      </c>
      <c r="K1077" t="s">
        <v>1212</v>
      </c>
      <c r="M1077" s="3">
        <f t="shared" si="64"/>
        <v>69.857142857142861</v>
      </c>
      <c r="N1077">
        <v>33</v>
      </c>
      <c r="O1077">
        <v>84</v>
      </c>
      <c r="P1077">
        <v>74</v>
      </c>
      <c r="Q1077">
        <v>78</v>
      </c>
      <c r="R1077">
        <v>80</v>
      </c>
      <c r="S1077">
        <v>82</v>
      </c>
      <c r="T1077">
        <v>58</v>
      </c>
      <c r="U1077">
        <v>0</v>
      </c>
      <c r="V1077" s="3">
        <f t="shared" si="65"/>
        <v>2767632</v>
      </c>
      <c r="W1077">
        <v>230636</v>
      </c>
      <c r="X1077">
        <v>0</v>
      </c>
      <c r="Y1077">
        <f t="shared" si="66"/>
        <v>230636</v>
      </c>
      <c r="Z1077">
        <f t="shared" si="67"/>
        <v>0</v>
      </c>
      <c r="AA1077">
        <v>0</v>
      </c>
    </row>
    <row r="1078" spans="1:27" x14ac:dyDescent="0.25">
      <c r="A1078" s="1">
        <v>1077</v>
      </c>
      <c r="B1078" t="s">
        <v>1328</v>
      </c>
      <c r="C1078" t="s">
        <v>1136</v>
      </c>
      <c r="D1078" t="s">
        <v>1145</v>
      </c>
      <c r="E1078" t="s">
        <v>1146</v>
      </c>
      <c r="F1078" t="s">
        <v>1147</v>
      </c>
      <c r="G1078" t="s">
        <v>1185</v>
      </c>
      <c r="H1078" t="s">
        <v>1185</v>
      </c>
      <c r="I1078" t="s">
        <v>1185</v>
      </c>
      <c r="J1078" t="s">
        <v>2686</v>
      </c>
      <c r="K1078" t="s">
        <v>1212</v>
      </c>
      <c r="M1078" s="3">
        <f t="shared" si="64"/>
        <v>64</v>
      </c>
      <c r="N1078">
        <v>40</v>
      </c>
      <c r="O1078">
        <v>76</v>
      </c>
      <c r="P1078">
        <v>62</v>
      </c>
      <c r="Q1078">
        <v>68</v>
      </c>
      <c r="R1078">
        <v>60</v>
      </c>
      <c r="S1078">
        <v>60</v>
      </c>
      <c r="T1078">
        <v>82</v>
      </c>
      <c r="U1078">
        <v>0</v>
      </c>
      <c r="V1078" s="3">
        <f t="shared" si="65"/>
        <v>1152922</v>
      </c>
      <c r="W1078">
        <v>96076.833333333328</v>
      </c>
      <c r="X1078">
        <v>0</v>
      </c>
      <c r="Y1078">
        <f t="shared" si="66"/>
        <v>96076.833333333328</v>
      </c>
      <c r="Z1078">
        <f t="shared" si="67"/>
        <v>0</v>
      </c>
      <c r="AA1078">
        <v>0</v>
      </c>
    </row>
    <row r="1079" spans="1:27" x14ac:dyDescent="0.25">
      <c r="A1079" s="1">
        <v>1078</v>
      </c>
      <c r="B1079" t="s">
        <v>2213</v>
      </c>
      <c r="C1079" t="s">
        <v>1136</v>
      </c>
      <c r="D1079" t="s">
        <v>1143</v>
      </c>
      <c r="E1079" t="s">
        <v>1146</v>
      </c>
      <c r="H1079" t="s">
        <v>1185</v>
      </c>
      <c r="I1079" t="s">
        <v>1185</v>
      </c>
      <c r="J1079" t="s">
        <v>2686</v>
      </c>
      <c r="K1079" t="s">
        <v>1212</v>
      </c>
      <c r="M1079" s="3">
        <f t="shared" si="64"/>
        <v>58.142857142857146</v>
      </c>
      <c r="N1079">
        <v>24</v>
      </c>
      <c r="O1079">
        <v>69</v>
      </c>
      <c r="P1079">
        <v>63</v>
      </c>
      <c r="Q1079">
        <v>67</v>
      </c>
      <c r="R1079">
        <v>69</v>
      </c>
      <c r="S1079">
        <v>71</v>
      </c>
      <c r="T1079">
        <v>44</v>
      </c>
      <c r="U1079">
        <v>0</v>
      </c>
      <c r="V1079" s="3">
        <f t="shared" si="65"/>
        <v>441534</v>
      </c>
      <c r="W1079">
        <v>36794.5</v>
      </c>
      <c r="X1079">
        <v>0</v>
      </c>
      <c r="Y1079">
        <f t="shared" si="66"/>
        <v>36794.5</v>
      </c>
      <c r="Z1079">
        <f t="shared" si="67"/>
        <v>0</v>
      </c>
      <c r="AA1079">
        <v>0</v>
      </c>
    </row>
    <row r="1080" spans="1:27" x14ac:dyDescent="0.25">
      <c r="A1080" s="1">
        <v>1079</v>
      </c>
      <c r="B1080" t="s">
        <v>2204</v>
      </c>
      <c r="C1080" t="s">
        <v>1137</v>
      </c>
      <c r="D1080" t="s">
        <v>1137</v>
      </c>
      <c r="H1080" t="s">
        <v>1185</v>
      </c>
      <c r="I1080" t="s">
        <v>1185</v>
      </c>
      <c r="J1080" t="s">
        <v>2686</v>
      </c>
      <c r="K1080" t="s">
        <v>1212</v>
      </c>
      <c r="M1080" s="3">
        <f t="shared" si="64"/>
        <v>62.142857142857146</v>
      </c>
      <c r="N1080">
        <v>27</v>
      </c>
      <c r="O1080">
        <v>73</v>
      </c>
      <c r="P1080">
        <v>67</v>
      </c>
      <c r="Q1080">
        <v>71</v>
      </c>
      <c r="R1080">
        <v>73</v>
      </c>
      <c r="S1080">
        <v>75</v>
      </c>
      <c r="T1080">
        <v>49</v>
      </c>
      <c r="U1080">
        <v>0</v>
      </c>
      <c r="V1080" s="3">
        <f t="shared" si="65"/>
        <v>858840</v>
      </c>
      <c r="W1080">
        <v>71570</v>
      </c>
      <c r="X1080">
        <v>0</v>
      </c>
      <c r="Y1080">
        <f t="shared" si="66"/>
        <v>71570</v>
      </c>
      <c r="Z1080">
        <f t="shared" si="67"/>
        <v>0</v>
      </c>
      <c r="AA1080">
        <v>0</v>
      </c>
    </row>
    <row r="1081" spans="1:27" x14ac:dyDescent="0.25">
      <c r="A1081" s="1">
        <v>1080</v>
      </c>
      <c r="B1081" t="s">
        <v>1666</v>
      </c>
      <c r="C1081" t="s">
        <v>1133</v>
      </c>
      <c r="D1081" t="s">
        <v>1133</v>
      </c>
      <c r="H1081" t="s">
        <v>1174</v>
      </c>
      <c r="I1081" t="s">
        <v>1174</v>
      </c>
      <c r="J1081" t="s">
        <v>1248</v>
      </c>
      <c r="K1081" t="s">
        <v>1212</v>
      </c>
      <c r="M1081" s="3">
        <f t="shared" si="64"/>
        <v>63</v>
      </c>
      <c r="N1081">
        <v>26</v>
      </c>
      <c r="O1081">
        <v>76</v>
      </c>
      <c r="P1081">
        <v>68</v>
      </c>
      <c r="Q1081">
        <v>72</v>
      </c>
      <c r="R1081">
        <v>77</v>
      </c>
      <c r="S1081">
        <v>78</v>
      </c>
      <c r="T1081">
        <v>44</v>
      </c>
      <c r="U1081">
        <v>0</v>
      </c>
      <c r="V1081" s="3">
        <f t="shared" si="65"/>
        <v>984931</v>
      </c>
      <c r="W1081">
        <v>82077.583333333328</v>
      </c>
      <c r="X1081">
        <v>0</v>
      </c>
      <c r="Y1081">
        <f t="shared" si="66"/>
        <v>82077.583333333328</v>
      </c>
      <c r="Z1081">
        <f t="shared" si="67"/>
        <v>0</v>
      </c>
      <c r="AA1081">
        <v>0</v>
      </c>
    </row>
    <row r="1082" spans="1:27" x14ac:dyDescent="0.25">
      <c r="A1082" s="1">
        <v>1081</v>
      </c>
      <c r="B1082" t="s">
        <v>59</v>
      </c>
      <c r="C1082" t="s">
        <v>1133</v>
      </c>
      <c r="D1082" t="s">
        <v>1133</v>
      </c>
      <c r="G1082" t="s">
        <v>1174</v>
      </c>
      <c r="H1082" t="s">
        <v>1174</v>
      </c>
      <c r="I1082" t="s">
        <v>1174</v>
      </c>
      <c r="J1082" t="s">
        <v>1248</v>
      </c>
      <c r="K1082" t="s">
        <v>1212</v>
      </c>
      <c r="M1082" s="3">
        <f t="shared" si="64"/>
        <v>69.857142857142861</v>
      </c>
      <c r="N1082">
        <v>51</v>
      </c>
      <c r="O1082">
        <v>93</v>
      </c>
      <c r="P1082">
        <v>70</v>
      </c>
      <c r="Q1082">
        <v>60</v>
      </c>
      <c r="R1082">
        <v>75</v>
      </c>
      <c r="S1082">
        <v>75</v>
      </c>
      <c r="T1082">
        <v>65</v>
      </c>
      <c r="U1082">
        <v>29</v>
      </c>
      <c r="V1082" s="3">
        <f t="shared" si="65"/>
        <v>4151447</v>
      </c>
      <c r="W1082">
        <v>345953.91666666669</v>
      </c>
      <c r="X1082">
        <v>0</v>
      </c>
      <c r="Y1082">
        <f t="shared" si="66"/>
        <v>345953.91666666669</v>
      </c>
      <c r="Z1082">
        <f t="shared" si="67"/>
        <v>0</v>
      </c>
      <c r="AA1082">
        <v>0</v>
      </c>
    </row>
    <row r="1083" spans="1:27" x14ac:dyDescent="0.25">
      <c r="A1083" s="1">
        <v>1082</v>
      </c>
      <c r="B1083" t="s">
        <v>60</v>
      </c>
      <c r="C1083" t="s">
        <v>1133</v>
      </c>
      <c r="D1083" t="s">
        <v>1133</v>
      </c>
      <c r="G1083" t="s">
        <v>1174</v>
      </c>
      <c r="H1083" t="s">
        <v>1174</v>
      </c>
      <c r="I1083" t="s">
        <v>1174</v>
      </c>
      <c r="J1083" t="s">
        <v>1248</v>
      </c>
      <c r="K1083" t="s">
        <v>1212</v>
      </c>
      <c r="M1083" s="3">
        <f t="shared" si="64"/>
        <v>60.142857142857146</v>
      </c>
      <c r="N1083">
        <v>38</v>
      </c>
      <c r="O1083">
        <v>67</v>
      </c>
      <c r="P1083">
        <v>43</v>
      </c>
      <c r="Q1083">
        <v>83</v>
      </c>
      <c r="R1083">
        <v>66</v>
      </c>
      <c r="S1083">
        <v>64</v>
      </c>
      <c r="T1083">
        <v>60</v>
      </c>
      <c r="U1083">
        <v>0</v>
      </c>
      <c r="V1083" s="3">
        <f t="shared" si="65"/>
        <v>619214</v>
      </c>
      <c r="W1083">
        <v>51601.166666666664</v>
      </c>
      <c r="X1083">
        <v>0</v>
      </c>
      <c r="Y1083">
        <f t="shared" si="66"/>
        <v>51601.166666666664</v>
      </c>
      <c r="Z1083">
        <f t="shared" si="67"/>
        <v>0</v>
      </c>
      <c r="AA1083">
        <v>0</v>
      </c>
    </row>
    <row r="1084" spans="1:27" x14ac:dyDescent="0.25">
      <c r="A1084" s="1">
        <v>1083</v>
      </c>
      <c r="B1084" t="s">
        <v>248</v>
      </c>
      <c r="C1084" t="s">
        <v>1134</v>
      </c>
      <c r="D1084" t="s">
        <v>1138</v>
      </c>
      <c r="E1084" t="s">
        <v>1144</v>
      </c>
      <c r="G1084" t="s">
        <v>1174</v>
      </c>
      <c r="H1084" t="s">
        <v>1174</v>
      </c>
      <c r="I1084" t="s">
        <v>1174</v>
      </c>
      <c r="J1084" t="s">
        <v>1248</v>
      </c>
      <c r="K1084" t="s">
        <v>1212</v>
      </c>
      <c r="M1084" s="3">
        <f t="shared" si="64"/>
        <v>72.571428571428569</v>
      </c>
      <c r="N1084">
        <v>50</v>
      </c>
      <c r="O1084">
        <v>75</v>
      </c>
      <c r="P1084">
        <v>70</v>
      </c>
      <c r="Q1084">
        <v>75</v>
      </c>
      <c r="R1084">
        <v>80</v>
      </c>
      <c r="S1084">
        <v>83</v>
      </c>
      <c r="T1084">
        <v>75</v>
      </c>
      <c r="U1084">
        <v>26</v>
      </c>
      <c r="V1084" s="3">
        <f t="shared" si="65"/>
        <v>6077823</v>
      </c>
      <c r="W1084">
        <v>506485.25</v>
      </c>
      <c r="X1084">
        <v>0</v>
      </c>
      <c r="Y1084">
        <f t="shared" si="66"/>
        <v>506485.25</v>
      </c>
      <c r="Z1084">
        <f t="shared" si="67"/>
        <v>0</v>
      </c>
      <c r="AA1084">
        <v>0</v>
      </c>
    </row>
    <row r="1085" spans="1:27" x14ac:dyDescent="0.25">
      <c r="A1085" s="1">
        <v>1084</v>
      </c>
      <c r="B1085" t="s">
        <v>1668</v>
      </c>
      <c r="C1085" t="s">
        <v>1134</v>
      </c>
      <c r="D1085" t="s">
        <v>1138</v>
      </c>
      <c r="E1085" t="s">
        <v>1139</v>
      </c>
      <c r="G1085" t="s">
        <v>1174</v>
      </c>
      <c r="H1085" t="s">
        <v>1174</v>
      </c>
      <c r="I1085" t="s">
        <v>1174</v>
      </c>
      <c r="J1085" t="s">
        <v>1248</v>
      </c>
      <c r="K1085" t="s">
        <v>1212</v>
      </c>
      <c r="M1085" s="3">
        <f t="shared" si="64"/>
        <v>65.714285714285708</v>
      </c>
      <c r="N1085">
        <v>29</v>
      </c>
      <c r="O1085">
        <v>72</v>
      </c>
      <c r="P1085">
        <v>71</v>
      </c>
      <c r="Q1085">
        <v>76</v>
      </c>
      <c r="R1085">
        <v>82</v>
      </c>
      <c r="S1085">
        <v>84</v>
      </c>
      <c r="T1085">
        <v>46</v>
      </c>
      <c r="U1085">
        <v>0</v>
      </c>
      <c r="V1085" s="3">
        <f t="shared" si="65"/>
        <v>1501751</v>
      </c>
      <c r="W1085">
        <v>125145.91666666667</v>
      </c>
      <c r="X1085">
        <v>0</v>
      </c>
      <c r="Y1085">
        <f t="shared" si="66"/>
        <v>125145.91666666667</v>
      </c>
      <c r="Z1085">
        <f t="shared" si="67"/>
        <v>0</v>
      </c>
      <c r="AA1085">
        <v>0</v>
      </c>
    </row>
    <row r="1086" spans="1:27" x14ac:dyDescent="0.25">
      <c r="A1086" s="1">
        <v>1085</v>
      </c>
      <c r="B1086" t="s">
        <v>2667</v>
      </c>
      <c r="C1086" t="s">
        <v>1134</v>
      </c>
      <c r="D1086" t="s">
        <v>1138</v>
      </c>
      <c r="E1086" t="s">
        <v>1140</v>
      </c>
      <c r="H1086" t="s">
        <v>1174</v>
      </c>
      <c r="I1086" t="s">
        <v>1174</v>
      </c>
      <c r="J1086" t="s">
        <v>1248</v>
      </c>
      <c r="K1086" t="s">
        <v>1212</v>
      </c>
      <c r="M1086" s="3">
        <f t="shared" si="64"/>
        <v>61.571428571428569</v>
      </c>
      <c r="N1086">
        <v>25</v>
      </c>
      <c r="O1086">
        <v>69</v>
      </c>
      <c r="P1086">
        <v>64</v>
      </c>
      <c r="Q1086">
        <v>73</v>
      </c>
      <c r="R1086">
        <v>79</v>
      </c>
      <c r="S1086">
        <v>82</v>
      </c>
      <c r="T1086">
        <v>39</v>
      </c>
      <c r="U1086">
        <v>0</v>
      </c>
      <c r="V1086" s="3">
        <f t="shared" si="65"/>
        <v>783056</v>
      </c>
      <c r="W1086">
        <v>65254.666666666664</v>
      </c>
      <c r="X1086">
        <v>0</v>
      </c>
      <c r="Y1086">
        <f t="shared" si="66"/>
        <v>65254.666666666664</v>
      </c>
      <c r="Z1086">
        <f t="shared" si="67"/>
        <v>0</v>
      </c>
      <c r="AA1086">
        <v>0</v>
      </c>
    </row>
    <row r="1087" spans="1:27" x14ac:dyDescent="0.25">
      <c r="A1087" s="1">
        <v>1086</v>
      </c>
      <c r="B1087" t="s">
        <v>249</v>
      </c>
      <c r="C1087" t="s">
        <v>1134</v>
      </c>
      <c r="D1087" t="s">
        <v>1138</v>
      </c>
      <c r="E1087" t="s">
        <v>1144</v>
      </c>
      <c r="G1087" t="s">
        <v>1174</v>
      </c>
      <c r="H1087" t="s">
        <v>1174</v>
      </c>
      <c r="I1087" t="s">
        <v>1174</v>
      </c>
      <c r="J1087" t="s">
        <v>1248</v>
      </c>
      <c r="K1087" t="s">
        <v>1212</v>
      </c>
      <c r="M1087" s="3">
        <f t="shared" si="64"/>
        <v>70.285714285714292</v>
      </c>
      <c r="N1087">
        <v>40</v>
      </c>
      <c r="O1087">
        <v>70</v>
      </c>
      <c r="P1087">
        <v>80</v>
      </c>
      <c r="Q1087">
        <v>67</v>
      </c>
      <c r="R1087">
        <v>84</v>
      </c>
      <c r="S1087">
        <v>86</v>
      </c>
      <c r="T1087">
        <v>65</v>
      </c>
      <c r="U1087">
        <v>27</v>
      </c>
      <c r="V1087" s="3">
        <f t="shared" si="65"/>
        <v>4413285</v>
      </c>
      <c r="W1087">
        <v>367773.75</v>
      </c>
      <c r="X1087">
        <v>0</v>
      </c>
      <c r="Y1087">
        <f t="shared" si="66"/>
        <v>367773.75</v>
      </c>
      <c r="Z1087">
        <f t="shared" si="67"/>
        <v>0</v>
      </c>
      <c r="AA1087">
        <v>0</v>
      </c>
    </row>
    <row r="1088" spans="1:27" x14ac:dyDescent="0.25">
      <c r="A1088" s="1">
        <v>1087</v>
      </c>
      <c r="B1088" t="s">
        <v>250</v>
      </c>
      <c r="C1088" t="s">
        <v>1134</v>
      </c>
      <c r="D1088" t="s">
        <v>1138</v>
      </c>
      <c r="E1088" t="s">
        <v>1140</v>
      </c>
      <c r="G1088" t="s">
        <v>1174</v>
      </c>
      <c r="H1088" t="s">
        <v>1174</v>
      </c>
      <c r="I1088" t="s">
        <v>1174</v>
      </c>
      <c r="J1088" t="s">
        <v>1248</v>
      </c>
      <c r="K1088" t="s">
        <v>1212</v>
      </c>
      <c r="M1088" s="3">
        <f t="shared" si="64"/>
        <v>70.285714285714292</v>
      </c>
      <c r="N1088">
        <v>42</v>
      </c>
      <c r="O1088">
        <v>70</v>
      </c>
      <c r="P1088">
        <v>78</v>
      </c>
      <c r="Q1088">
        <v>70</v>
      </c>
      <c r="R1088">
        <v>81</v>
      </c>
      <c r="S1088">
        <v>83</v>
      </c>
      <c r="T1088">
        <v>68</v>
      </c>
      <c r="U1088">
        <v>0</v>
      </c>
      <c r="V1088" s="3">
        <f t="shared" si="65"/>
        <v>2942190</v>
      </c>
      <c r="W1088">
        <v>245182.5</v>
      </c>
      <c r="X1088">
        <v>0</v>
      </c>
      <c r="Y1088">
        <f t="shared" si="66"/>
        <v>245182.5</v>
      </c>
      <c r="Z1088">
        <f t="shared" si="67"/>
        <v>0</v>
      </c>
      <c r="AA1088">
        <v>0</v>
      </c>
    </row>
    <row r="1089" spans="1:27" x14ac:dyDescent="0.25">
      <c r="A1089" s="1">
        <v>1088</v>
      </c>
      <c r="B1089" t="s">
        <v>1667</v>
      </c>
      <c r="C1089" t="s">
        <v>1134</v>
      </c>
      <c r="D1089" t="s">
        <v>1138</v>
      </c>
      <c r="E1089" t="s">
        <v>1144</v>
      </c>
      <c r="H1089" t="s">
        <v>1174</v>
      </c>
      <c r="I1089" t="s">
        <v>1174</v>
      </c>
      <c r="J1089" t="s">
        <v>1248</v>
      </c>
      <c r="K1089" t="s">
        <v>1212</v>
      </c>
      <c r="M1089" s="3">
        <f t="shared" si="64"/>
        <v>57.142857142857146</v>
      </c>
      <c r="N1089">
        <v>21</v>
      </c>
      <c r="O1089">
        <v>63</v>
      </c>
      <c r="P1089">
        <v>60</v>
      </c>
      <c r="Q1089">
        <v>69</v>
      </c>
      <c r="R1089">
        <v>75</v>
      </c>
      <c r="S1089">
        <v>79</v>
      </c>
      <c r="T1089">
        <v>33</v>
      </c>
      <c r="U1089">
        <v>0</v>
      </c>
      <c r="V1089" s="3">
        <f t="shared" si="65"/>
        <v>371210</v>
      </c>
      <c r="W1089">
        <v>30934.166666666668</v>
      </c>
      <c r="X1089">
        <v>0</v>
      </c>
      <c r="Y1089">
        <f t="shared" si="66"/>
        <v>30934.166666666668</v>
      </c>
      <c r="Z1089">
        <f t="shared" si="67"/>
        <v>0</v>
      </c>
      <c r="AA1089">
        <v>0</v>
      </c>
    </row>
    <row r="1090" spans="1:27" x14ac:dyDescent="0.25">
      <c r="A1090" s="1">
        <v>1089</v>
      </c>
      <c r="B1090" t="s">
        <v>251</v>
      </c>
      <c r="C1090" t="s">
        <v>1134</v>
      </c>
      <c r="D1090" t="s">
        <v>1138</v>
      </c>
      <c r="E1090" t="s">
        <v>1140</v>
      </c>
      <c r="G1090" t="s">
        <v>1174</v>
      </c>
      <c r="H1090" t="s">
        <v>1174</v>
      </c>
      <c r="I1090" t="s">
        <v>1174</v>
      </c>
      <c r="J1090" t="s">
        <v>1248</v>
      </c>
      <c r="K1090" t="s">
        <v>1212</v>
      </c>
      <c r="M1090" s="3">
        <f t="shared" ref="M1090:M1153" si="68">AVERAGE(N1090:T1090)</f>
        <v>65.428571428571431</v>
      </c>
      <c r="N1090">
        <v>38</v>
      </c>
      <c r="O1090">
        <v>65</v>
      </c>
      <c r="P1090">
        <v>74</v>
      </c>
      <c r="Q1090">
        <v>65</v>
      </c>
      <c r="R1090">
        <v>78</v>
      </c>
      <c r="S1090">
        <v>80</v>
      </c>
      <c r="T1090">
        <v>58</v>
      </c>
      <c r="U1090">
        <v>0</v>
      </c>
      <c r="V1090" s="3">
        <f t="shared" ref="V1090:V1153" si="69">ROUNDUP(M1090^10/1000000000000 * IF(U1090&gt;0,1.5,1),0)</f>
        <v>1437721</v>
      </c>
      <c r="W1090">
        <v>119810.08333333333</v>
      </c>
      <c r="X1090">
        <v>0</v>
      </c>
      <c r="Y1090">
        <f t="shared" ref="Y1090:Y1153" si="70">V1090/12</f>
        <v>119810.08333333333</v>
      </c>
      <c r="Z1090">
        <f t="shared" ref="Z1090:Z1153" si="71">ROUND(((W1090-Y1090)/Y1090)*100,2)</f>
        <v>0</v>
      </c>
      <c r="AA1090">
        <v>0</v>
      </c>
    </row>
    <row r="1091" spans="1:27" x14ac:dyDescent="0.25">
      <c r="A1091" s="1">
        <v>1090</v>
      </c>
      <c r="B1091" t="s">
        <v>252</v>
      </c>
      <c r="C1091" t="s">
        <v>1134</v>
      </c>
      <c r="D1091" t="s">
        <v>1138</v>
      </c>
      <c r="G1091" t="s">
        <v>1174</v>
      </c>
      <c r="H1091" t="s">
        <v>1174</v>
      </c>
      <c r="I1091" t="s">
        <v>1174</v>
      </c>
      <c r="J1091" t="s">
        <v>1248</v>
      </c>
      <c r="K1091" t="s">
        <v>1212</v>
      </c>
      <c r="M1091" s="3">
        <f t="shared" si="68"/>
        <v>59.428571428571431</v>
      </c>
      <c r="N1091">
        <v>20</v>
      </c>
      <c r="O1091">
        <v>58</v>
      </c>
      <c r="P1091">
        <v>70</v>
      </c>
      <c r="Q1091">
        <v>62</v>
      </c>
      <c r="R1091">
        <v>84</v>
      </c>
      <c r="S1091">
        <v>78</v>
      </c>
      <c r="T1091">
        <v>44</v>
      </c>
      <c r="U1091">
        <v>0</v>
      </c>
      <c r="V1091" s="3">
        <f t="shared" si="69"/>
        <v>549482</v>
      </c>
      <c r="W1091">
        <v>45790.166666666664</v>
      </c>
      <c r="X1091">
        <v>0</v>
      </c>
      <c r="Y1091">
        <f t="shared" si="70"/>
        <v>45790.166666666664</v>
      </c>
      <c r="Z1091">
        <f t="shared" si="71"/>
        <v>0</v>
      </c>
      <c r="AA1091">
        <v>0</v>
      </c>
    </row>
    <row r="1092" spans="1:27" x14ac:dyDescent="0.25">
      <c r="A1092" s="1">
        <v>1091</v>
      </c>
      <c r="B1092" t="s">
        <v>1669</v>
      </c>
      <c r="C1092" t="s">
        <v>1134</v>
      </c>
      <c r="D1092" t="s">
        <v>1138</v>
      </c>
      <c r="E1092" t="s">
        <v>1140</v>
      </c>
      <c r="H1092" t="s">
        <v>1174</v>
      </c>
      <c r="I1092" t="s">
        <v>1174</v>
      </c>
      <c r="J1092" t="s">
        <v>1248</v>
      </c>
      <c r="K1092" t="s">
        <v>1212</v>
      </c>
      <c r="M1092" s="3">
        <f t="shared" si="68"/>
        <v>53.285714285714285</v>
      </c>
      <c r="N1092">
        <v>20</v>
      </c>
      <c r="O1092">
        <v>56</v>
      </c>
      <c r="P1092">
        <v>55</v>
      </c>
      <c r="Q1092">
        <v>64</v>
      </c>
      <c r="R1092">
        <v>70</v>
      </c>
      <c r="S1092">
        <v>77</v>
      </c>
      <c r="T1092">
        <v>31</v>
      </c>
      <c r="U1092">
        <v>0</v>
      </c>
      <c r="V1092" s="3">
        <f t="shared" si="69"/>
        <v>184548</v>
      </c>
      <c r="W1092">
        <v>15379</v>
      </c>
      <c r="X1092">
        <v>0</v>
      </c>
      <c r="Y1092">
        <f t="shared" si="70"/>
        <v>15379</v>
      </c>
      <c r="Z1092">
        <f t="shared" si="71"/>
        <v>0</v>
      </c>
      <c r="AA1092">
        <v>0</v>
      </c>
    </row>
    <row r="1093" spans="1:27" x14ac:dyDescent="0.25">
      <c r="A1093" s="1">
        <v>1092</v>
      </c>
      <c r="B1093" t="s">
        <v>516</v>
      </c>
      <c r="C1093" t="s">
        <v>1135</v>
      </c>
      <c r="D1093" t="s">
        <v>1141</v>
      </c>
      <c r="E1093" t="s">
        <v>1145</v>
      </c>
      <c r="G1093" t="s">
        <v>1174</v>
      </c>
      <c r="H1093" t="s">
        <v>1174</v>
      </c>
      <c r="I1093" t="s">
        <v>1174</v>
      </c>
      <c r="J1093" t="s">
        <v>1248</v>
      </c>
      <c r="K1093" t="s">
        <v>1212</v>
      </c>
      <c r="M1093" s="3">
        <f t="shared" si="68"/>
        <v>70</v>
      </c>
      <c r="N1093">
        <v>44</v>
      </c>
      <c r="O1093">
        <v>70</v>
      </c>
      <c r="P1093">
        <v>74</v>
      </c>
      <c r="Q1093">
        <v>70</v>
      </c>
      <c r="R1093">
        <v>81</v>
      </c>
      <c r="S1093">
        <v>88</v>
      </c>
      <c r="T1093">
        <v>63</v>
      </c>
      <c r="U1093">
        <v>0</v>
      </c>
      <c r="V1093" s="3">
        <f t="shared" si="69"/>
        <v>2824753</v>
      </c>
      <c r="W1093">
        <v>235396.08333333334</v>
      </c>
      <c r="X1093">
        <v>0</v>
      </c>
      <c r="Y1093">
        <f t="shared" si="70"/>
        <v>235396.08333333334</v>
      </c>
      <c r="Z1093">
        <f t="shared" si="71"/>
        <v>0</v>
      </c>
      <c r="AA1093">
        <v>0</v>
      </c>
    </row>
    <row r="1094" spans="1:27" x14ac:dyDescent="0.25">
      <c r="A1094" s="1">
        <v>1093</v>
      </c>
      <c r="B1094" t="s">
        <v>1671</v>
      </c>
      <c r="C1094" t="s">
        <v>1135</v>
      </c>
      <c r="D1094" t="s">
        <v>1141</v>
      </c>
      <c r="G1094" t="s">
        <v>1174</v>
      </c>
      <c r="H1094" t="s">
        <v>1174</v>
      </c>
      <c r="I1094" t="s">
        <v>1174</v>
      </c>
      <c r="J1094" t="s">
        <v>1248</v>
      </c>
      <c r="K1094" t="s">
        <v>1212</v>
      </c>
      <c r="M1094" s="3">
        <f t="shared" si="68"/>
        <v>66.571428571428569</v>
      </c>
      <c r="N1094">
        <v>28</v>
      </c>
      <c r="O1094">
        <v>75</v>
      </c>
      <c r="P1094">
        <v>77</v>
      </c>
      <c r="Q1094">
        <v>74</v>
      </c>
      <c r="R1094">
        <v>81</v>
      </c>
      <c r="S1094">
        <v>86</v>
      </c>
      <c r="T1094">
        <v>45</v>
      </c>
      <c r="U1094">
        <v>0</v>
      </c>
      <c r="V1094" s="3">
        <f t="shared" si="69"/>
        <v>1709539</v>
      </c>
      <c r="W1094">
        <v>142461.58333333334</v>
      </c>
      <c r="X1094">
        <v>0</v>
      </c>
      <c r="Y1094">
        <f t="shared" si="70"/>
        <v>142461.58333333334</v>
      </c>
      <c r="Z1094">
        <f t="shared" si="71"/>
        <v>0</v>
      </c>
      <c r="AA1094">
        <v>0</v>
      </c>
    </row>
    <row r="1095" spans="1:27" x14ac:dyDescent="0.25">
      <c r="A1095" s="1">
        <v>1094</v>
      </c>
      <c r="B1095" t="s">
        <v>1670</v>
      </c>
      <c r="C1095" t="s">
        <v>1135</v>
      </c>
      <c r="D1095" t="s">
        <v>1141</v>
      </c>
      <c r="E1095" t="s">
        <v>1145</v>
      </c>
      <c r="G1095" t="s">
        <v>1174</v>
      </c>
      <c r="H1095" t="s">
        <v>1174</v>
      </c>
      <c r="I1095" t="s">
        <v>1174</v>
      </c>
      <c r="J1095" t="s">
        <v>1248</v>
      </c>
      <c r="K1095" t="s">
        <v>1212</v>
      </c>
      <c r="M1095" s="3">
        <f t="shared" si="68"/>
        <v>66.571428571428569</v>
      </c>
      <c r="N1095">
        <v>28</v>
      </c>
      <c r="O1095">
        <v>75</v>
      </c>
      <c r="P1095">
        <v>77</v>
      </c>
      <c r="Q1095">
        <v>74</v>
      </c>
      <c r="R1095">
        <v>81</v>
      </c>
      <c r="S1095">
        <v>86</v>
      </c>
      <c r="T1095">
        <v>45</v>
      </c>
      <c r="U1095">
        <v>0</v>
      </c>
      <c r="V1095" s="3">
        <f t="shared" si="69"/>
        <v>1709539</v>
      </c>
      <c r="W1095">
        <v>142461.58333333334</v>
      </c>
      <c r="X1095">
        <v>0</v>
      </c>
      <c r="Y1095">
        <f t="shared" si="70"/>
        <v>142461.58333333334</v>
      </c>
      <c r="Z1095">
        <f t="shared" si="71"/>
        <v>0</v>
      </c>
      <c r="AA1095">
        <v>0</v>
      </c>
    </row>
    <row r="1096" spans="1:27" x14ac:dyDescent="0.25">
      <c r="A1096" s="1">
        <v>1095</v>
      </c>
      <c r="B1096" t="s">
        <v>515</v>
      </c>
      <c r="C1096" t="s">
        <v>1135</v>
      </c>
      <c r="D1096" t="s">
        <v>1141</v>
      </c>
      <c r="E1096" t="s">
        <v>1145</v>
      </c>
      <c r="G1096" t="s">
        <v>1174</v>
      </c>
      <c r="H1096" t="s">
        <v>1174</v>
      </c>
      <c r="I1096" t="s">
        <v>1174</v>
      </c>
      <c r="J1096" t="s">
        <v>1248</v>
      </c>
      <c r="K1096" t="s">
        <v>1212</v>
      </c>
      <c r="M1096" s="3">
        <f t="shared" si="68"/>
        <v>75.428571428571431</v>
      </c>
      <c r="N1096">
        <v>60</v>
      </c>
      <c r="O1096">
        <v>77</v>
      </c>
      <c r="P1096">
        <v>79</v>
      </c>
      <c r="Q1096">
        <v>74</v>
      </c>
      <c r="R1096">
        <v>82</v>
      </c>
      <c r="S1096">
        <v>86</v>
      </c>
      <c r="T1096">
        <v>70</v>
      </c>
      <c r="U1096">
        <v>0</v>
      </c>
      <c r="V1096" s="3">
        <f t="shared" si="69"/>
        <v>5961545</v>
      </c>
      <c r="W1096">
        <v>496795.41666666669</v>
      </c>
      <c r="X1096">
        <v>0</v>
      </c>
      <c r="Y1096">
        <f t="shared" si="70"/>
        <v>496795.41666666669</v>
      </c>
      <c r="Z1096">
        <f t="shared" si="71"/>
        <v>0</v>
      </c>
      <c r="AA1096">
        <v>0</v>
      </c>
    </row>
    <row r="1097" spans="1:27" x14ac:dyDescent="0.25">
      <c r="A1097" s="1">
        <v>1096</v>
      </c>
      <c r="B1097" t="s">
        <v>1673</v>
      </c>
      <c r="C1097" t="s">
        <v>1136</v>
      </c>
      <c r="D1097" t="s">
        <v>1146</v>
      </c>
      <c r="E1097" t="s">
        <v>1144</v>
      </c>
      <c r="H1097" t="s">
        <v>1174</v>
      </c>
      <c r="I1097" t="s">
        <v>1174</v>
      </c>
      <c r="J1097" t="s">
        <v>1248</v>
      </c>
      <c r="K1097" t="s">
        <v>1212</v>
      </c>
      <c r="M1097" s="3">
        <f t="shared" si="68"/>
        <v>59.142857142857146</v>
      </c>
      <c r="N1097">
        <v>20</v>
      </c>
      <c r="O1097">
        <v>85</v>
      </c>
      <c r="P1097">
        <v>66</v>
      </c>
      <c r="Q1097">
        <v>70</v>
      </c>
      <c r="R1097">
        <v>71</v>
      </c>
      <c r="S1097">
        <v>72</v>
      </c>
      <c r="T1097">
        <v>30</v>
      </c>
      <c r="U1097">
        <v>0</v>
      </c>
      <c r="V1097" s="3">
        <f t="shared" si="69"/>
        <v>523629</v>
      </c>
      <c r="W1097">
        <v>43635.75</v>
      </c>
      <c r="X1097">
        <v>0</v>
      </c>
      <c r="Y1097">
        <f t="shared" si="70"/>
        <v>43635.75</v>
      </c>
      <c r="Z1097">
        <f t="shared" si="71"/>
        <v>0</v>
      </c>
      <c r="AA1097">
        <v>0</v>
      </c>
    </row>
    <row r="1098" spans="1:27" x14ac:dyDescent="0.25">
      <c r="A1098" s="1">
        <v>1097</v>
      </c>
      <c r="B1098" t="s">
        <v>788</v>
      </c>
      <c r="C1098" t="s">
        <v>1136</v>
      </c>
      <c r="D1098" t="s">
        <v>1146</v>
      </c>
      <c r="E1098" t="s">
        <v>1144</v>
      </c>
      <c r="F1098" t="s">
        <v>1147</v>
      </c>
      <c r="G1098" t="s">
        <v>1174</v>
      </c>
      <c r="H1098" t="s">
        <v>1174</v>
      </c>
      <c r="I1098" t="s">
        <v>1174</v>
      </c>
      <c r="J1098" t="s">
        <v>1248</v>
      </c>
      <c r="K1098" t="s">
        <v>1212</v>
      </c>
      <c r="M1098" s="3">
        <f t="shared" si="68"/>
        <v>67.285714285714292</v>
      </c>
      <c r="N1098">
        <v>42</v>
      </c>
      <c r="O1098">
        <v>88</v>
      </c>
      <c r="P1098">
        <v>73</v>
      </c>
      <c r="Q1098">
        <v>72</v>
      </c>
      <c r="R1098">
        <v>74</v>
      </c>
      <c r="S1098">
        <v>70</v>
      </c>
      <c r="T1098">
        <v>52</v>
      </c>
      <c r="U1098">
        <v>23</v>
      </c>
      <c r="V1098" s="3">
        <f t="shared" si="69"/>
        <v>2853120</v>
      </c>
      <c r="W1098">
        <v>237760</v>
      </c>
      <c r="X1098">
        <v>0</v>
      </c>
      <c r="Y1098">
        <f t="shared" si="70"/>
        <v>237760</v>
      </c>
      <c r="Z1098">
        <f t="shared" si="71"/>
        <v>0</v>
      </c>
      <c r="AA1098">
        <v>0</v>
      </c>
    </row>
    <row r="1099" spans="1:27" x14ac:dyDescent="0.25">
      <c r="A1099" s="1">
        <v>1098</v>
      </c>
      <c r="B1099" t="s">
        <v>786</v>
      </c>
      <c r="C1099" t="s">
        <v>1136</v>
      </c>
      <c r="D1099" t="s">
        <v>1144</v>
      </c>
      <c r="E1099" t="s">
        <v>1143</v>
      </c>
      <c r="G1099" t="s">
        <v>1174</v>
      </c>
      <c r="H1099" t="s">
        <v>1174</v>
      </c>
      <c r="I1099" t="s">
        <v>1174</v>
      </c>
      <c r="J1099" t="s">
        <v>1248</v>
      </c>
      <c r="K1099" t="s">
        <v>1212</v>
      </c>
      <c r="M1099" s="3">
        <f t="shared" si="68"/>
        <v>77.285714285714292</v>
      </c>
      <c r="N1099">
        <v>60</v>
      </c>
      <c r="O1099">
        <v>75</v>
      </c>
      <c r="P1099">
        <v>84</v>
      </c>
      <c r="Q1099">
        <v>77</v>
      </c>
      <c r="R1099">
        <v>86</v>
      </c>
      <c r="S1099">
        <v>93</v>
      </c>
      <c r="T1099">
        <v>66</v>
      </c>
      <c r="U1099">
        <v>18</v>
      </c>
      <c r="V1099" s="3">
        <f t="shared" si="69"/>
        <v>11404691</v>
      </c>
      <c r="W1099">
        <v>950390.91666666663</v>
      </c>
      <c r="X1099">
        <v>0</v>
      </c>
      <c r="Y1099">
        <f t="shared" si="70"/>
        <v>950390.91666666663</v>
      </c>
      <c r="Z1099">
        <f t="shared" si="71"/>
        <v>0</v>
      </c>
      <c r="AA1099">
        <v>0</v>
      </c>
    </row>
    <row r="1100" spans="1:27" x14ac:dyDescent="0.25">
      <c r="A1100" s="1">
        <v>1099</v>
      </c>
      <c r="B1100" t="s">
        <v>787</v>
      </c>
      <c r="C1100" t="s">
        <v>1136</v>
      </c>
      <c r="D1100" t="s">
        <v>1145</v>
      </c>
      <c r="E1100" t="s">
        <v>1147</v>
      </c>
      <c r="G1100" t="s">
        <v>1174</v>
      </c>
      <c r="H1100" t="s">
        <v>1174</v>
      </c>
      <c r="I1100" t="s">
        <v>1174</v>
      </c>
      <c r="J1100" t="s">
        <v>1248</v>
      </c>
      <c r="K1100" t="s">
        <v>1212</v>
      </c>
      <c r="M1100" s="3">
        <f t="shared" si="68"/>
        <v>64.428571428571431</v>
      </c>
      <c r="N1100">
        <v>40</v>
      </c>
      <c r="O1100">
        <v>71</v>
      </c>
      <c r="P1100">
        <v>74</v>
      </c>
      <c r="Q1100">
        <v>71</v>
      </c>
      <c r="R1100">
        <v>73</v>
      </c>
      <c r="S1100">
        <v>73</v>
      </c>
      <c r="T1100">
        <v>49</v>
      </c>
      <c r="U1100">
        <v>0</v>
      </c>
      <c r="V1100" s="3">
        <f t="shared" si="69"/>
        <v>1232495</v>
      </c>
      <c r="W1100">
        <v>102707.91666666667</v>
      </c>
      <c r="X1100">
        <v>0</v>
      </c>
      <c r="Y1100">
        <f t="shared" si="70"/>
        <v>102707.91666666667</v>
      </c>
      <c r="Z1100">
        <f t="shared" si="71"/>
        <v>0</v>
      </c>
      <c r="AA1100">
        <v>0</v>
      </c>
    </row>
    <row r="1101" spans="1:27" x14ac:dyDescent="0.25">
      <c r="A1101" s="1">
        <v>1100</v>
      </c>
      <c r="B1101" t="s">
        <v>789</v>
      </c>
      <c r="C1101" t="s">
        <v>1136</v>
      </c>
      <c r="D1101" t="s">
        <v>1144</v>
      </c>
      <c r="G1101" t="s">
        <v>1174</v>
      </c>
      <c r="H1101" t="s">
        <v>1174</v>
      </c>
      <c r="I1101" t="s">
        <v>1174</v>
      </c>
      <c r="J1101" t="s">
        <v>1248</v>
      </c>
      <c r="K1101" t="s">
        <v>1212</v>
      </c>
      <c r="M1101" s="3">
        <f t="shared" si="68"/>
        <v>74.714285714285708</v>
      </c>
      <c r="N1101">
        <v>41</v>
      </c>
      <c r="O1101">
        <v>78</v>
      </c>
      <c r="P1101">
        <v>85</v>
      </c>
      <c r="Q1101">
        <v>74</v>
      </c>
      <c r="R1101">
        <v>85</v>
      </c>
      <c r="S1101">
        <v>90</v>
      </c>
      <c r="T1101">
        <v>70</v>
      </c>
      <c r="U1101">
        <v>18</v>
      </c>
      <c r="V1101" s="3">
        <f t="shared" si="69"/>
        <v>8130697</v>
      </c>
      <c r="W1101">
        <v>677558.08333333337</v>
      </c>
      <c r="X1101">
        <v>0</v>
      </c>
      <c r="Y1101">
        <f t="shared" si="70"/>
        <v>677558.08333333337</v>
      </c>
      <c r="Z1101">
        <f t="shared" si="71"/>
        <v>0</v>
      </c>
      <c r="AA1101">
        <v>0</v>
      </c>
    </row>
    <row r="1102" spans="1:27" x14ac:dyDescent="0.25">
      <c r="A1102" s="1">
        <v>1101</v>
      </c>
      <c r="B1102" t="s">
        <v>1672</v>
      </c>
      <c r="C1102" t="s">
        <v>1136</v>
      </c>
      <c r="D1102" t="s">
        <v>1144</v>
      </c>
      <c r="E1102" t="s">
        <v>1143</v>
      </c>
      <c r="H1102" t="s">
        <v>1174</v>
      </c>
      <c r="I1102" t="s">
        <v>1174</v>
      </c>
      <c r="J1102" t="s">
        <v>1248</v>
      </c>
      <c r="K1102" t="s">
        <v>1212</v>
      </c>
      <c r="M1102" s="3">
        <f t="shared" si="68"/>
        <v>64.571428571428569</v>
      </c>
      <c r="N1102">
        <v>27</v>
      </c>
      <c r="O1102">
        <v>73</v>
      </c>
      <c r="P1102">
        <v>75</v>
      </c>
      <c r="Q1102">
        <v>78</v>
      </c>
      <c r="R1102">
        <v>77</v>
      </c>
      <c r="S1102">
        <v>79</v>
      </c>
      <c r="T1102">
        <v>43</v>
      </c>
      <c r="U1102">
        <v>0</v>
      </c>
      <c r="V1102" s="3">
        <f t="shared" si="69"/>
        <v>1260097</v>
      </c>
      <c r="W1102">
        <v>105008.08333333333</v>
      </c>
      <c r="X1102">
        <v>0</v>
      </c>
      <c r="Y1102">
        <f t="shared" si="70"/>
        <v>105008.08333333333</v>
      </c>
      <c r="Z1102">
        <f t="shared" si="71"/>
        <v>0</v>
      </c>
      <c r="AA1102">
        <v>0</v>
      </c>
    </row>
    <row r="1103" spans="1:27" x14ac:dyDescent="0.25">
      <c r="A1103" s="1">
        <v>1102</v>
      </c>
      <c r="B1103" t="s">
        <v>785</v>
      </c>
      <c r="C1103" t="s">
        <v>1136</v>
      </c>
      <c r="D1103" t="s">
        <v>1144</v>
      </c>
      <c r="G1103" t="s">
        <v>1174</v>
      </c>
      <c r="H1103" t="s">
        <v>1174</v>
      </c>
      <c r="I1103" t="s">
        <v>1174</v>
      </c>
      <c r="J1103" t="s">
        <v>1248</v>
      </c>
      <c r="K1103" t="s">
        <v>1212</v>
      </c>
      <c r="M1103" s="3">
        <f t="shared" si="68"/>
        <v>64.571428571428569</v>
      </c>
      <c r="N1103">
        <v>35</v>
      </c>
      <c r="O1103">
        <v>70</v>
      </c>
      <c r="P1103">
        <v>74</v>
      </c>
      <c r="Q1103">
        <v>72</v>
      </c>
      <c r="R1103">
        <v>74</v>
      </c>
      <c r="S1103">
        <v>76</v>
      </c>
      <c r="T1103">
        <v>51</v>
      </c>
      <c r="U1103">
        <v>0</v>
      </c>
      <c r="V1103" s="3">
        <f t="shared" si="69"/>
        <v>1260097</v>
      </c>
      <c r="W1103">
        <v>105008.08333333333</v>
      </c>
      <c r="X1103">
        <v>0</v>
      </c>
      <c r="Y1103">
        <f t="shared" si="70"/>
        <v>105008.08333333333</v>
      </c>
      <c r="Z1103">
        <f t="shared" si="71"/>
        <v>0</v>
      </c>
      <c r="AA1103">
        <v>0</v>
      </c>
    </row>
    <row r="1104" spans="1:27" x14ac:dyDescent="0.25">
      <c r="A1104" s="1">
        <v>1103</v>
      </c>
      <c r="B1104" t="s">
        <v>1674</v>
      </c>
      <c r="C1104" t="s">
        <v>1137</v>
      </c>
      <c r="D1104" t="s">
        <v>1137</v>
      </c>
      <c r="H1104" t="s">
        <v>1174</v>
      </c>
      <c r="I1104" t="s">
        <v>1174</v>
      </c>
      <c r="J1104" t="s">
        <v>1248</v>
      </c>
      <c r="K1104" t="s">
        <v>1212</v>
      </c>
      <c r="M1104" s="3">
        <f t="shared" si="68"/>
        <v>60.285714285714285</v>
      </c>
      <c r="N1104">
        <v>24</v>
      </c>
      <c r="O1104">
        <v>70</v>
      </c>
      <c r="P1104">
        <v>68</v>
      </c>
      <c r="Q1104">
        <v>74</v>
      </c>
      <c r="R1104">
        <v>73</v>
      </c>
      <c r="S1104">
        <v>76</v>
      </c>
      <c r="T1104">
        <v>37</v>
      </c>
      <c r="U1104">
        <v>0</v>
      </c>
      <c r="V1104" s="3">
        <f t="shared" si="69"/>
        <v>634081</v>
      </c>
      <c r="W1104">
        <v>52840.083333333336</v>
      </c>
      <c r="X1104">
        <v>0</v>
      </c>
      <c r="Y1104">
        <f t="shared" si="70"/>
        <v>52840.083333333336</v>
      </c>
      <c r="Z1104">
        <f t="shared" si="71"/>
        <v>0</v>
      </c>
      <c r="AA1104">
        <v>0</v>
      </c>
    </row>
    <row r="1105" spans="1:27" x14ac:dyDescent="0.25">
      <c r="A1105" s="1">
        <v>1104</v>
      </c>
      <c r="B1105" t="s">
        <v>107</v>
      </c>
      <c r="C1105" t="s">
        <v>1133</v>
      </c>
      <c r="D1105" t="s">
        <v>1133</v>
      </c>
      <c r="G1105" t="s">
        <v>1207</v>
      </c>
      <c r="H1105" t="s">
        <v>1207</v>
      </c>
      <c r="I1105" t="s">
        <v>1207</v>
      </c>
      <c r="J1105" t="s">
        <v>1332</v>
      </c>
      <c r="K1105" t="s">
        <v>1212</v>
      </c>
      <c r="M1105" s="3">
        <f t="shared" si="68"/>
        <v>64.142857142857139</v>
      </c>
      <c r="N1105">
        <v>32</v>
      </c>
      <c r="O1105">
        <v>60</v>
      </c>
      <c r="P1105">
        <v>61</v>
      </c>
      <c r="Q1105">
        <v>63</v>
      </c>
      <c r="R1105">
        <v>86</v>
      </c>
      <c r="S1105">
        <v>77</v>
      </c>
      <c r="T1105">
        <v>70</v>
      </c>
      <c r="U1105">
        <v>0</v>
      </c>
      <c r="V1105" s="3">
        <f t="shared" si="69"/>
        <v>1178917</v>
      </c>
      <c r="W1105">
        <v>98243.083333333328</v>
      </c>
      <c r="X1105">
        <v>0</v>
      </c>
      <c r="Y1105">
        <f t="shared" si="70"/>
        <v>98243.083333333328</v>
      </c>
      <c r="Z1105">
        <f t="shared" si="71"/>
        <v>0</v>
      </c>
      <c r="AA1105">
        <v>0</v>
      </c>
    </row>
    <row r="1106" spans="1:27" x14ac:dyDescent="0.25">
      <c r="A1106" s="1">
        <v>1105</v>
      </c>
      <c r="B1106" t="s">
        <v>1736</v>
      </c>
      <c r="C1106" t="s">
        <v>1133</v>
      </c>
      <c r="D1106" t="s">
        <v>1133</v>
      </c>
      <c r="H1106" t="s">
        <v>1153</v>
      </c>
      <c r="I1106" t="s">
        <v>1153</v>
      </c>
      <c r="J1106" t="s">
        <v>1332</v>
      </c>
      <c r="K1106" t="s">
        <v>1212</v>
      </c>
      <c r="M1106" s="3">
        <f t="shared" si="68"/>
        <v>67.571428571428569</v>
      </c>
      <c r="N1106">
        <v>28</v>
      </c>
      <c r="O1106">
        <v>78</v>
      </c>
      <c r="P1106">
        <v>74</v>
      </c>
      <c r="Q1106">
        <v>80</v>
      </c>
      <c r="R1106">
        <v>83</v>
      </c>
      <c r="S1106">
        <v>84</v>
      </c>
      <c r="T1106">
        <v>46</v>
      </c>
      <c r="U1106">
        <v>0</v>
      </c>
      <c r="V1106" s="3">
        <f t="shared" si="69"/>
        <v>1984409</v>
      </c>
      <c r="W1106">
        <v>165367.41666666666</v>
      </c>
      <c r="X1106">
        <v>0</v>
      </c>
      <c r="Y1106">
        <f t="shared" si="70"/>
        <v>165367.41666666666</v>
      </c>
      <c r="Z1106">
        <f t="shared" si="71"/>
        <v>0</v>
      </c>
      <c r="AA1106">
        <v>0</v>
      </c>
    </row>
    <row r="1107" spans="1:27" x14ac:dyDescent="0.25">
      <c r="A1107" s="1">
        <v>1106</v>
      </c>
      <c r="B1107" t="s">
        <v>297</v>
      </c>
      <c r="C1107" t="s">
        <v>1134</v>
      </c>
      <c r="D1107" t="s">
        <v>1138</v>
      </c>
      <c r="E1107" t="s">
        <v>1139</v>
      </c>
      <c r="G1107" t="s">
        <v>1184</v>
      </c>
      <c r="H1107" t="s">
        <v>1184</v>
      </c>
      <c r="I1107" t="s">
        <v>1184</v>
      </c>
      <c r="J1107" t="s">
        <v>1332</v>
      </c>
      <c r="K1107" t="s">
        <v>1212</v>
      </c>
      <c r="M1107" s="3">
        <f t="shared" si="68"/>
        <v>63.857142857142854</v>
      </c>
      <c r="N1107">
        <v>32</v>
      </c>
      <c r="O1107">
        <v>62</v>
      </c>
      <c r="P1107">
        <v>79</v>
      </c>
      <c r="Q1107">
        <v>65</v>
      </c>
      <c r="R1107">
        <v>71</v>
      </c>
      <c r="S1107">
        <v>87</v>
      </c>
      <c r="T1107">
        <v>51</v>
      </c>
      <c r="U1107">
        <v>0</v>
      </c>
      <c r="V1107" s="3">
        <f t="shared" si="69"/>
        <v>1127444</v>
      </c>
      <c r="W1107">
        <v>93953.666666666672</v>
      </c>
      <c r="X1107">
        <v>0</v>
      </c>
      <c r="Y1107">
        <f t="shared" si="70"/>
        <v>93953.666666666672</v>
      </c>
      <c r="Z1107">
        <f t="shared" si="71"/>
        <v>0</v>
      </c>
      <c r="AA1107">
        <v>0</v>
      </c>
    </row>
    <row r="1108" spans="1:27" x14ac:dyDescent="0.25">
      <c r="A1108" s="1">
        <v>1107</v>
      </c>
      <c r="B1108" t="s">
        <v>1738</v>
      </c>
      <c r="C1108" t="s">
        <v>1134</v>
      </c>
      <c r="D1108" t="s">
        <v>1138</v>
      </c>
      <c r="E1108" t="s">
        <v>1140</v>
      </c>
      <c r="H1108" t="s">
        <v>1153</v>
      </c>
      <c r="I1108" t="s">
        <v>1153</v>
      </c>
      <c r="J1108" t="s">
        <v>1332</v>
      </c>
      <c r="K1108" t="s">
        <v>1212</v>
      </c>
      <c r="M1108" s="3">
        <f t="shared" si="68"/>
        <v>70</v>
      </c>
      <c r="N1108">
        <v>29</v>
      </c>
      <c r="O1108">
        <v>80</v>
      </c>
      <c r="P1108">
        <v>72</v>
      </c>
      <c r="Q1108">
        <v>85</v>
      </c>
      <c r="R1108">
        <v>87</v>
      </c>
      <c r="S1108">
        <v>88</v>
      </c>
      <c r="T1108">
        <v>49</v>
      </c>
      <c r="U1108">
        <v>0</v>
      </c>
      <c r="V1108" s="3">
        <f t="shared" si="69"/>
        <v>2824753</v>
      </c>
      <c r="W1108">
        <v>235396.08333333334</v>
      </c>
      <c r="X1108">
        <v>0</v>
      </c>
      <c r="Y1108">
        <f t="shared" si="70"/>
        <v>235396.08333333334</v>
      </c>
      <c r="Z1108">
        <f t="shared" si="71"/>
        <v>0</v>
      </c>
      <c r="AA1108">
        <v>0</v>
      </c>
    </row>
    <row r="1109" spans="1:27" x14ac:dyDescent="0.25">
      <c r="A1109" s="1">
        <v>1108</v>
      </c>
      <c r="B1109" t="s">
        <v>1737</v>
      </c>
      <c r="C1109" t="s">
        <v>1134</v>
      </c>
      <c r="D1109" t="s">
        <v>1138</v>
      </c>
      <c r="E1109" t="s">
        <v>1144</v>
      </c>
      <c r="H1109" t="s">
        <v>1153</v>
      </c>
      <c r="I1109" t="s">
        <v>1153</v>
      </c>
      <c r="J1109" t="s">
        <v>1332</v>
      </c>
      <c r="K1109" t="s">
        <v>1212</v>
      </c>
      <c r="M1109" s="3">
        <f t="shared" si="68"/>
        <v>62.428571428571431</v>
      </c>
      <c r="N1109">
        <v>23</v>
      </c>
      <c r="O1109">
        <v>70</v>
      </c>
      <c r="P1109">
        <v>66</v>
      </c>
      <c r="Q1109">
        <v>76</v>
      </c>
      <c r="R1109">
        <v>80</v>
      </c>
      <c r="S1109">
        <v>84</v>
      </c>
      <c r="T1109">
        <v>38</v>
      </c>
      <c r="U1109">
        <v>0</v>
      </c>
      <c r="V1109" s="3">
        <f t="shared" si="69"/>
        <v>899154</v>
      </c>
      <c r="W1109">
        <v>74929.5</v>
      </c>
      <c r="X1109">
        <v>0</v>
      </c>
      <c r="Y1109">
        <f t="shared" si="70"/>
        <v>74929.5</v>
      </c>
      <c r="Z1109">
        <f t="shared" si="71"/>
        <v>0</v>
      </c>
      <c r="AA1109">
        <v>0</v>
      </c>
    </row>
    <row r="1110" spans="1:27" x14ac:dyDescent="0.25">
      <c r="A1110" s="1">
        <v>1109</v>
      </c>
      <c r="B1110" t="s">
        <v>2656</v>
      </c>
      <c r="C1110" t="s">
        <v>1134</v>
      </c>
      <c r="D1110" t="s">
        <v>1138</v>
      </c>
      <c r="H1110" t="s">
        <v>1153</v>
      </c>
      <c r="I1110" t="s">
        <v>1153</v>
      </c>
      <c r="J1110" t="s">
        <v>1332</v>
      </c>
      <c r="K1110" t="s">
        <v>1212</v>
      </c>
      <c r="M1110" s="3">
        <f t="shared" si="68"/>
        <v>69.142857142857139</v>
      </c>
      <c r="N1110">
        <v>40</v>
      </c>
      <c r="O1110">
        <v>80</v>
      </c>
      <c r="P1110">
        <v>77</v>
      </c>
      <c r="Q1110">
        <v>70</v>
      </c>
      <c r="R1110">
        <v>75</v>
      </c>
      <c r="S1110">
        <v>82</v>
      </c>
      <c r="T1110">
        <v>60</v>
      </c>
      <c r="U1110">
        <v>0</v>
      </c>
      <c r="V1110" s="3">
        <f t="shared" si="69"/>
        <v>2497315</v>
      </c>
      <c r="W1110">
        <v>32516.166666666668</v>
      </c>
      <c r="X1110">
        <v>0</v>
      </c>
      <c r="Y1110">
        <f t="shared" si="70"/>
        <v>208109.58333333334</v>
      </c>
      <c r="Z1110">
        <f t="shared" si="71"/>
        <v>-84.38</v>
      </c>
      <c r="AA1110">
        <v>0</v>
      </c>
    </row>
    <row r="1111" spans="1:27" x14ac:dyDescent="0.25">
      <c r="A1111" s="1">
        <v>1110</v>
      </c>
      <c r="B1111" t="s">
        <v>170</v>
      </c>
      <c r="C1111" t="s">
        <v>1134</v>
      </c>
      <c r="D1111" t="s">
        <v>1140</v>
      </c>
      <c r="G1111" t="s">
        <v>1158</v>
      </c>
      <c r="H1111" t="s">
        <v>1158</v>
      </c>
      <c r="I1111" t="s">
        <v>1158</v>
      </c>
      <c r="J1111" t="s">
        <v>1332</v>
      </c>
      <c r="K1111" t="s">
        <v>1212</v>
      </c>
      <c r="M1111" s="3">
        <f t="shared" si="68"/>
        <v>71.571428571428569</v>
      </c>
      <c r="N1111">
        <v>58</v>
      </c>
      <c r="O1111">
        <v>78</v>
      </c>
      <c r="P1111">
        <v>78</v>
      </c>
      <c r="Q1111">
        <v>72</v>
      </c>
      <c r="R1111">
        <v>76</v>
      </c>
      <c r="S1111">
        <v>74</v>
      </c>
      <c r="T1111">
        <v>65</v>
      </c>
      <c r="U1111">
        <v>0</v>
      </c>
      <c r="V1111" s="3">
        <f t="shared" si="69"/>
        <v>3526931</v>
      </c>
      <c r="W1111">
        <v>293910.91666666669</v>
      </c>
      <c r="X1111">
        <v>0</v>
      </c>
      <c r="Y1111">
        <f t="shared" si="70"/>
        <v>293910.91666666669</v>
      </c>
      <c r="Z1111">
        <f t="shared" si="71"/>
        <v>0</v>
      </c>
      <c r="AA1111">
        <v>0</v>
      </c>
    </row>
    <row r="1112" spans="1:27" x14ac:dyDescent="0.25">
      <c r="A1112" s="1">
        <v>1111</v>
      </c>
      <c r="B1112" t="s">
        <v>2642</v>
      </c>
      <c r="C1112" t="s">
        <v>1134</v>
      </c>
      <c r="D1112" t="s">
        <v>1138</v>
      </c>
      <c r="E1112" t="s">
        <v>1139</v>
      </c>
      <c r="H1112" t="s">
        <v>1153</v>
      </c>
      <c r="I1112" t="s">
        <v>1153</v>
      </c>
      <c r="J1112" t="s">
        <v>1332</v>
      </c>
      <c r="K1112" t="s">
        <v>1212</v>
      </c>
      <c r="M1112" s="3">
        <f t="shared" si="68"/>
        <v>65.428571428571431</v>
      </c>
      <c r="N1112">
        <v>26</v>
      </c>
      <c r="O1112">
        <v>75</v>
      </c>
      <c r="P1112">
        <v>67</v>
      </c>
      <c r="Q1112">
        <v>79</v>
      </c>
      <c r="R1112">
        <v>83</v>
      </c>
      <c r="S1112">
        <v>86</v>
      </c>
      <c r="T1112">
        <v>42</v>
      </c>
      <c r="U1112">
        <v>0</v>
      </c>
      <c r="V1112" s="3">
        <f t="shared" si="69"/>
        <v>1437721</v>
      </c>
      <c r="W1112">
        <v>119810.08333333333</v>
      </c>
      <c r="X1112">
        <v>0</v>
      </c>
      <c r="Y1112">
        <f t="shared" si="70"/>
        <v>119810.08333333333</v>
      </c>
      <c r="Z1112">
        <f t="shared" si="71"/>
        <v>0</v>
      </c>
      <c r="AA1112">
        <v>0</v>
      </c>
    </row>
    <row r="1113" spans="1:27" x14ac:dyDescent="0.25">
      <c r="A1113" s="1">
        <v>1112</v>
      </c>
      <c r="B1113" t="s">
        <v>138</v>
      </c>
      <c r="C1113" t="s">
        <v>1134</v>
      </c>
      <c r="D1113" t="s">
        <v>1138</v>
      </c>
      <c r="E1113" t="s">
        <v>1144</v>
      </c>
      <c r="G1113" t="s">
        <v>1152</v>
      </c>
      <c r="H1113" t="s">
        <v>1152</v>
      </c>
      <c r="I1113" t="s">
        <v>1152</v>
      </c>
      <c r="J1113" t="s">
        <v>1332</v>
      </c>
      <c r="K1113" t="s">
        <v>1212</v>
      </c>
      <c r="M1113" s="3">
        <f t="shared" si="68"/>
        <v>60.857142857142854</v>
      </c>
      <c r="N1113">
        <v>41</v>
      </c>
      <c r="O1113">
        <v>66</v>
      </c>
      <c r="P1113">
        <v>68</v>
      </c>
      <c r="Q1113">
        <v>65</v>
      </c>
      <c r="R1113">
        <v>87</v>
      </c>
      <c r="S1113">
        <v>67</v>
      </c>
      <c r="T1113">
        <v>32</v>
      </c>
      <c r="U1113">
        <v>0</v>
      </c>
      <c r="V1113" s="3">
        <f t="shared" si="69"/>
        <v>696812</v>
      </c>
      <c r="W1113">
        <v>58067.666666666664</v>
      </c>
      <c r="X1113">
        <v>0</v>
      </c>
      <c r="Y1113">
        <f t="shared" si="70"/>
        <v>58067.666666666664</v>
      </c>
      <c r="Z1113">
        <f t="shared" si="71"/>
        <v>0</v>
      </c>
      <c r="AA1113">
        <v>0</v>
      </c>
    </row>
    <row r="1114" spans="1:27" x14ac:dyDescent="0.25">
      <c r="A1114" s="1">
        <v>1113</v>
      </c>
      <c r="B1114" t="s">
        <v>296</v>
      </c>
      <c r="C1114" t="s">
        <v>1134</v>
      </c>
      <c r="D1114" t="s">
        <v>1138</v>
      </c>
      <c r="E1114" t="s">
        <v>1139</v>
      </c>
      <c r="G1114" t="s">
        <v>1184</v>
      </c>
      <c r="H1114" t="s">
        <v>1184</v>
      </c>
      <c r="I1114" t="s">
        <v>1184</v>
      </c>
      <c r="J1114" t="s">
        <v>1332</v>
      </c>
      <c r="K1114" t="s">
        <v>1212</v>
      </c>
      <c r="M1114" s="3">
        <f t="shared" si="68"/>
        <v>65.714285714285708</v>
      </c>
      <c r="N1114">
        <v>34</v>
      </c>
      <c r="O1114">
        <v>65</v>
      </c>
      <c r="P1114">
        <v>78</v>
      </c>
      <c r="Q1114">
        <v>63</v>
      </c>
      <c r="R1114">
        <v>74</v>
      </c>
      <c r="S1114">
        <v>93</v>
      </c>
      <c r="T1114">
        <v>53</v>
      </c>
      <c r="U1114">
        <v>0</v>
      </c>
      <c r="V1114" s="3">
        <f t="shared" si="69"/>
        <v>1501751</v>
      </c>
      <c r="W1114">
        <v>125145.91666666667</v>
      </c>
      <c r="X1114">
        <v>0</v>
      </c>
      <c r="Y1114">
        <f t="shared" si="70"/>
        <v>125145.91666666667</v>
      </c>
      <c r="Z1114">
        <f t="shared" si="71"/>
        <v>0</v>
      </c>
      <c r="AA1114">
        <v>0</v>
      </c>
    </row>
    <row r="1115" spans="1:27" x14ac:dyDescent="0.25">
      <c r="A1115" s="1">
        <v>1114</v>
      </c>
      <c r="B1115" t="s">
        <v>617</v>
      </c>
      <c r="C1115" t="s">
        <v>1135</v>
      </c>
      <c r="D1115" t="s">
        <v>1141</v>
      </c>
      <c r="E1115" t="s">
        <v>1142</v>
      </c>
      <c r="G1115" t="s">
        <v>1208</v>
      </c>
      <c r="H1115" t="s">
        <v>1208</v>
      </c>
      <c r="I1115" t="s">
        <v>1208</v>
      </c>
      <c r="J1115" t="s">
        <v>1332</v>
      </c>
      <c r="K1115" t="s">
        <v>1212</v>
      </c>
      <c r="M1115" s="3">
        <f t="shared" si="68"/>
        <v>72.571428571428569</v>
      </c>
      <c r="N1115">
        <v>50</v>
      </c>
      <c r="O1115">
        <v>81</v>
      </c>
      <c r="P1115">
        <v>80</v>
      </c>
      <c r="Q1115">
        <v>65</v>
      </c>
      <c r="R1115">
        <v>78</v>
      </c>
      <c r="S1115">
        <v>90</v>
      </c>
      <c r="T1115">
        <v>64</v>
      </c>
      <c r="U1115">
        <v>0</v>
      </c>
      <c r="V1115" s="3">
        <f t="shared" si="69"/>
        <v>4051882</v>
      </c>
      <c r="W1115">
        <v>337656.83333333331</v>
      </c>
      <c r="X1115">
        <v>0</v>
      </c>
      <c r="Y1115">
        <f t="shared" si="70"/>
        <v>337656.83333333331</v>
      </c>
      <c r="Z1115">
        <f t="shared" si="71"/>
        <v>0</v>
      </c>
      <c r="AA1115">
        <v>0</v>
      </c>
    </row>
    <row r="1116" spans="1:27" x14ac:dyDescent="0.25">
      <c r="A1116" s="1">
        <v>1115</v>
      </c>
      <c r="B1116" t="s">
        <v>549</v>
      </c>
      <c r="C1116" t="s">
        <v>1135</v>
      </c>
      <c r="D1116" t="s">
        <v>1142</v>
      </c>
      <c r="G1116" t="s">
        <v>1184</v>
      </c>
      <c r="H1116" t="s">
        <v>1153</v>
      </c>
      <c r="I1116" t="s">
        <v>1153</v>
      </c>
      <c r="J1116" t="s">
        <v>1332</v>
      </c>
      <c r="K1116" t="s">
        <v>1212</v>
      </c>
      <c r="M1116" s="3">
        <f t="shared" si="68"/>
        <v>76.142857142857139</v>
      </c>
      <c r="N1116">
        <v>65</v>
      </c>
      <c r="O1116">
        <v>90</v>
      </c>
      <c r="P1116">
        <v>78</v>
      </c>
      <c r="Q1116">
        <v>80</v>
      </c>
      <c r="R1116">
        <v>75</v>
      </c>
      <c r="S1116">
        <v>75</v>
      </c>
      <c r="T1116">
        <v>70</v>
      </c>
      <c r="U1116">
        <v>12</v>
      </c>
      <c r="V1116" s="3">
        <f t="shared" si="69"/>
        <v>9826141</v>
      </c>
      <c r="W1116">
        <v>818845.08333333337</v>
      </c>
      <c r="X1116">
        <v>0</v>
      </c>
      <c r="Y1116">
        <f t="shared" si="70"/>
        <v>818845.08333333337</v>
      </c>
      <c r="Z1116">
        <f t="shared" si="71"/>
        <v>0</v>
      </c>
      <c r="AA1116">
        <v>0</v>
      </c>
    </row>
    <row r="1117" spans="1:27" x14ac:dyDescent="0.25">
      <c r="A1117" s="1">
        <v>1116</v>
      </c>
      <c r="B1117" t="s">
        <v>591</v>
      </c>
      <c r="C1117" t="s">
        <v>1135</v>
      </c>
      <c r="D1117" t="s">
        <v>1141</v>
      </c>
      <c r="E1117" t="s">
        <v>1142</v>
      </c>
      <c r="G1117" t="s">
        <v>1198</v>
      </c>
      <c r="H1117" t="s">
        <v>1198</v>
      </c>
      <c r="I1117" t="s">
        <v>1198</v>
      </c>
      <c r="J1117" t="s">
        <v>1332</v>
      </c>
      <c r="K1117" t="s">
        <v>1212</v>
      </c>
      <c r="M1117" s="3">
        <f t="shared" si="68"/>
        <v>79.714285714285708</v>
      </c>
      <c r="N1117">
        <v>73</v>
      </c>
      <c r="O1117">
        <v>89</v>
      </c>
      <c r="P1117">
        <v>85</v>
      </c>
      <c r="Q1117">
        <v>73</v>
      </c>
      <c r="R1117">
        <v>77</v>
      </c>
      <c r="S1117">
        <v>81</v>
      </c>
      <c r="T1117">
        <v>80</v>
      </c>
      <c r="U1117">
        <v>12</v>
      </c>
      <c r="V1117" s="3">
        <f t="shared" si="69"/>
        <v>15540066</v>
      </c>
      <c r="W1117">
        <v>1295005.5</v>
      </c>
      <c r="X1117">
        <v>0</v>
      </c>
      <c r="Y1117">
        <f t="shared" si="70"/>
        <v>1295005.5</v>
      </c>
      <c r="Z1117">
        <f t="shared" si="71"/>
        <v>0</v>
      </c>
      <c r="AA1117">
        <v>0</v>
      </c>
    </row>
    <row r="1118" spans="1:27" x14ac:dyDescent="0.25">
      <c r="A1118" s="1">
        <v>1117</v>
      </c>
      <c r="B1118" t="s">
        <v>590</v>
      </c>
      <c r="C1118" t="s">
        <v>1135</v>
      </c>
      <c r="D1118" t="s">
        <v>1141</v>
      </c>
      <c r="E1118" t="s">
        <v>1145</v>
      </c>
      <c r="G1118" t="s">
        <v>1198</v>
      </c>
      <c r="H1118" t="s">
        <v>1198</v>
      </c>
      <c r="I1118" t="s">
        <v>1198</v>
      </c>
      <c r="J1118" t="s">
        <v>1332</v>
      </c>
      <c r="K1118" t="s">
        <v>1212</v>
      </c>
      <c r="M1118" s="3">
        <f t="shared" si="68"/>
        <v>77.285714285714292</v>
      </c>
      <c r="N1118">
        <v>70</v>
      </c>
      <c r="O1118">
        <v>83</v>
      </c>
      <c r="P1118">
        <v>90</v>
      </c>
      <c r="Q1118">
        <v>71</v>
      </c>
      <c r="R1118">
        <v>73</v>
      </c>
      <c r="S1118">
        <v>80</v>
      </c>
      <c r="T1118">
        <v>74</v>
      </c>
      <c r="U1118">
        <v>12</v>
      </c>
      <c r="V1118" s="3">
        <f t="shared" si="69"/>
        <v>11404691</v>
      </c>
      <c r="W1118">
        <v>950390.91666666663</v>
      </c>
      <c r="X1118">
        <v>0</v>
      </c>
      <c r="Y1118">
        <f t="shared" si="70"/>
        <v>950390.91666666663</v>
      </c>
      <c r="Z1118">
        <f t="shared" si="71"/>
        <v>0</v>
      </c>
      <c r="AA1118">
        <v>0</v>
      </c>
    </row>
    <row r="1119" spans="1:27" x14ac:dyDescent="0.25">
      <c r="A1119" s="1">
        <v>1118</v>
      </c>
      <c r="B1119" t="s">
        <v>2630</v>
      </c>
      <c r="C1119" t="s">
        <v>1135</v>
      </c>
      <c r="D1119" t="s">
        <v>1141</v>
      </c>
      <c r="E1119" t="s">
        <v>1142</v>
      </c>
      <c r="H1119" t="s">
        <v>1153</v>
      </c>
      <c r="I1119" t="s">
        <v>1153</v>
      </c>
      <c r="J1119" t="s">
        <v>1332</v>
      </c>
      <c r="K1119" t="s">
        <v>1212</v>
      </c>
      <c r="M1119" s="3">
        <f t="shared" si="68"/>
        <v>72.142857142857139</v>
      </c>
      <c r="N1119">
        <v>30</v>
      </c>
      <c r="O1119">
        <v>84</v>
      </c>
      <c r="P1119">
        <v>82</v>
      </c>
      <c r="Q1119">
        <v>83</v>
      </c>
      <c r="R1119">
        <v>87</v>
      </c>
      <c r="S1119">
        <v>91</v>
      </c>
      <c r="T1119">
        <v>48</v>
      </c>
      <c r="U1119">
        <v>0</v>
      </c>
      <c r="V1119" s="3">
        <f t="shared" si="69"/>
        <v>3818857</v>
      </c>
      <c r="W1119">
        <v>318238.08333333331</v>
      </c>
      <c r="X1119">
        <v>0</v>
      </c>
      <c r="Y1119">
        <f t="shared" si="70"/>
        <v>318238.08333333331</v>
      </c>
      <c r="Z1119">
        <f t="shared" si="71"/>
        <v>0</v>
      </c>
      <c r="AA1119">
        <v>0</v>
      </c>
    </row>
    <row r="1120" spans="1:27" x14ac:dyDescent="0.25">
      <c r="A1120" s="1">
        <v>1119</v>
      </c>
      <c r="B1120" t="s">
        <v>1702</v>
      </c>
      <c r="C1120" t="s">
        <v>1136</v>
      </c>
      <c r="D1120" t="s">
        <v>1147</v>
      </c>
      <c r="E1120" t="s">
        <v>1145</v>
      </c>
      <c r="H1120" t="s">
        <v>1153</v>
      </c>
      <c r="I1120" t="s">
        <v>1153</v>
      </c>
      <c r="J1120" t="s">
        <v>1332</v>
      </c>
      <c r="K1120" t="s">
        <v>1212</v>
      </c>
      <c r="M1120" s="3">
        <f t="shared" si="68"/>
        <v>65.571428571428569</v>
      </c>
      <c r="N1120">
        <v>27</v>
      </c>
      <c r="O1120">
        <v>82</v>
      </c>
      <c r="P1120">
        <v>70</v>
      </c>
      <c r="Q1120">
        <v>77</v>
      </c>
      <c r="R1120">
        <v>80</v>
      </c>
      <c r="S1120">
        <v>79</v>
      </c>
      <c r="T1120">
        <v>44</v>
      </c>
      <c r="U1120">
        <v>0</v>
      </c>
      <c r="V1120" s="3">
        <f t="shared" si="69"/>
        <v>1469422</v>
      </c>
      <c r="W1120">
        <v>122451.83333333333</v>
      </c>
      <c r="X1120">
        <v>0</v>
      </c>
      <c r="Y1120">
        <f t="shared" si="70"/>
        <v>122451.83333333333</v>
      </c>
      <c r="Z1120">
        <f t="shared" si="71"/>
        <v>0</v>
      </c>
      <c r="AA1120">
        <v>0</v>
      </c>
    </row>
    <row r="1121" spans="1:27" x14ac:dyDescent="0.25">
      <c r="A1121" s="1">
        <v>1120</v>
      </c>
      <c r="B1121" t="s">
        <v>2661</v>
      </c>
      <c r="C1121" t="s">
        <v>1136</v>
      </c>
      <c r="D1121" t="s">
        <v>1143</v>
      </c>
      <c r="E1121" t="s">
        <v>1144</v>
      </c>
      <c r="H1121" t="s">
        <v>1153</v>
      </c>
      <c r="I1121" t="s">
        <v>1153</v>
      </c>
      <c r="J1121" t="s">
        <v>1332</v>
      </c>
      <c r="K1121" t="s">
        <v>1212</v>
      </c>
      <c r="M1121" s="3">
        <f t="shared" si="68"/>
        <v>58.285714285714285</v>
      </c>
      <c r="N1121">
        <v>22</v>
      </c>
      <c r="O1121">
        <v>68</v>
      </c>
      <c r="P1121">
        <v>61</v>
      </c>
      <c r="Q1121">
        <v>75</v>
      </c>
      <c r="R1121">
        <v>72</v>
      </c>
      <c r="S1121">
        <v>77</v>
      </c>
      <c r="T1121">
        <v>33</v>
      </c>
      <c r="U1121">
        <v>0</v>
      </c>
      <c r="V1121" s="3">
        <f t="shared" si="69"/>
        <v>452503</v>
      </c>
      <c r="W1121">
        <v>37708.583333333336</v>
      </c>
      <c r="X1121">
        <v>0</v>
      </c>
      <c r="Y1121">
        <f t="shared" si="70"/>
        <v>37708.583333333336</v>
      </c>
      <c r="Z1121">
        <f t="shared" si="71"/>
        <v>0</v>
      </c>
      <c r="AA1121">
        <v>0</v>
      </c>
    </row>
    <row r="1122" spans="1:27" x14ac:dyDescent="0.25">
      <c r="A1122" s="1">
        <v>1121</v>
      </c>
      <c r="B1122" t="s">
        <v>664</v>
      </c>
      <c r="C1122" t="s">
        <v>1136</v>
      </c>
      <c r="D1122" t="s">
        <v>1146</v>
      </c>
      <c r="E1122" t="s">
        <v>1145</v>
      </c>
      <c r="F1122" t="s">
        <v>1144</v>
      </c>
      <c r="G1122" t="s">
        <v>1153</v>
      </c>
      <c r="H1122" t="s">
        <v>1153</v>
      </c>
      <c r="I1122" t="s">
        <v>1153</v>
      </c>
      <c r="J1122" t="s">
        <v>1332</v>
      </c>
      <c r="K1122" t="s">
        <v>1212</v>
      </c>
      <c r="M1122" s="3">
        <f t="shared" si="68"/>
        <v>83.428571428571431</v>
      </c>
      <c r="N1122">
        <v>72</v>
      </c>
      <c r="O1122">
        <v>88</v>
      </c>
      <c r="P1122">
        <v>86</v>
      </c>
      <c r="Q1122">
        <v>85</v>
      </c>
      <c r="R1122">
        <v>82</v>
      </c>
      <c r="S1122">
        <v>88</v>
      </c>
      <c r="T1122">
        <v>83</v>
      </c>
      <c r="U1122">
        <v>12</v>
      </c>
      <c r="V1122" s="3">
        <f t="shared" si="69"/>
        <v>24504133</v>
      </c>
      <c r="W1122">
        <v>2042011.0833333333</v>
      </c>
      <c r="X1122">
        <v>0</v>
      </c>
      <c r="Y1122">
        <f t="shared" si="70"/>
        <v>2042011.0833333333</v>
      </c>
      <c r="Z1122">
        <f t="shared" si="71"/>
        <v>0</v>
      </c>
      <c r="AA1122">
        <v>0</v>
      </c>
    </row>
    <row r="1123" spans="1:27" x14ac:dyDescent="0.25">
      <c r="A1123" s="1">
        <v>1122</v>
      </c>
      <c r="B1123" t="s">
        <v>2616</v>
      </c>
      <c r="C1123" t="s">
        <v>1136</v>
      </c>
      <c r="D1123" t="s">
        <v>1146</v>
      </c>
      <c r="E1123" t="s">
        <v>1144</v>
      </c>
      <c r="H1123" t="s">
        <v>1153</v>
      </c>
      <c r="I1123" t="s">
        <v>1153</v>
      </c>
      <c r="J1123" t="s">
        <v>1332</v>
      </c>
      <c r="K1123" t="s">
        <v>1212</v>
      </c>
      <c r="M1123" s="3">
        <f t="shared" si="68"/>
        <v>61.285714285714285</v>
      </c>
      <c r="N1123">
        <v>24</v>
      </c>
      <c r="O1123">
        <v>74</v>
      </c>
      <c r="P1123">
        <v>65</v>
      </c>
      <c r="Q1123">
        <v>76</v>
      </c>
      <c r="R1123">
        <v>73</v>
      </c>
      <c r="S1123">
        <v>78</v>
      </c>
      <c r="T1123">
        <v>39</v>
      </c>
      <c r="U1123">
        <v>0</v>
      </c>
      <c r="V1123" s="3">
        <f t="shared" si="69"/>
        <v>747468</v>
      </c>
      <c r="W1123">
        <v>62289</v>
      </c>
      <c r="X1123">
        <v>0</v>
      </c>
      <c r="Y1123">
        <f t="shared" si="70"/>
        <v>62289</v>
      </c>
      <c r="Z1123">
        <f t="shared" si="71"/>
        <v>0</v>
      </c>
      <c r="AA1123">
        <v>0</v>
      </c>
    </row>
    <row r="1124" spans="1:27" x14ac:dyDescent="0.25">
      <c r="A1124" s="1">
        <v>1123</v>
      </c>
      <c r="B1124" t="s">
        <v>2611</v>
      </c>
      <c r="C1124" t="s">
        <v>1136</v>
      </c>
      <c r="D1124" t="s">
        <v>1144</v>
      </c>
      <c r="E1124" t="s">
        <v>1138</v>
      </c>
      <c r="H1124" t="s">
        <v>1153</v>
      </c>
      <c r="I1124" t="s">
        <v>1153</v>
      </c>
      <c r="J1124" t="s">
        <v>1332</v>
      </c>
      <c r="K1124" t="s">
        <v>1212</v>
      </c>
      <c r="M1124" s="3">
        <f t="shared" si="68"/>
        <v>68.571428571428569</v>
      </c>
      <c r="N1124">
        <v>29</v>
      </c>
      <c r="O1124">
        <v>81</v>
      </c>
      <c r="P1124">
        <v>73</v>
      </c>
      <c r="Q1124">
        <v>86</v>
      </c>
      <c r="R1124">
        <v>82</v>
      </c>
      <c r="S1124">
        <v>84</v>
      </c>
      <c r="T1124">
        <v>45</v>
      </c>
      <c r="U1124">
        <v>0</v>
      </c>
      <c r="V1124" s="3">
        <f t="shared" si="69"/>
        <v>2298434</v>
      </c>
      <c r="W1124">
        <v>191536.16666666666</v>
      </c>
      <c r="X1124">
        <v>0</v>
      </c>
      <c r="Y1124">
        <f t="shared" si="70"/>
        <v>191536.16666666666</v>
      </c>
      <c r="Z1124">
        <f t="shared" si="71"/>
        <v>0</v>
      </c>
      <c r="AA1124">
        <v>0</v>
      </c>
    </row>
    <row r="1125" spans="1:27" x14ac:dyDescent="0.25">
      <c r="A1125" s="1">
        <v>1124</v>
      </c>
      <c r="B1125" t="s">
        <v>854</v>
      </c>
      <c r="C1125" t="s">
        <v>1136</v>
      </c>
      <c r="D1125" t="s">
        <v>1144</v>
      </c>
      <c r="G1125" t="s">
        <v>1184</v>
      </c>
      <c r="H1125" t="s">
        <v>1184</v>
      </c>
      <c r="I1125" t="s">
        <v>1184</v>
      </c>
      <c r="J1125" t="s">
        <v>1332</v>
      </c>
      <c r="K1125" t="s">
        <v>1212</v>
      </c>
      <c r="M1125" s="3">
        <f t="shared" si="68"/>
        <v>55.571428571428569</v>
      </c>
      <c r="N1125">
        <v>20</v>
      </c>
      <c r="O1125">
        <v>63</v>
      </c>
      <c r="P1125">
        <v>55</v>
      </c>
      <c r="Q1125">
        <v>61</v>
      </c>
      <c r="R1125">
        <v>63</v>
      </c>
      <c r="S1125">
        <v>72</v>
      </c>
      <c r="T1125">
        <v>55</v>
      </c>
      <c r="U1125">
        <v>0</v>
      </c>
      <c r="V1125" s="3">
        <f t="shared" si="69"/>
        <v>280877</v>
      </c>
      <c r="W1125">
        <v>23406.416666666668</v>
      </c>
      <c r="X1125">
        <v>0</v>
      </c>
      <c r="Y1125">
        <f t="shared" si="70"/>
        <v>23406.416666666668</v>
      </c>
      <c r="Z1125">
        <f t="shared" si="71"/>
        <v>0</v>
      </c>
      <c r="AA1125">
        <v>0</v>
      </c>
    </row>
    <row r="1126" spans="1:27" x14ac:dyDescent="0.25">
      <c r="A1126" s="1">
        <v>1125</v>
      </c>
      <c r="B1126" t="s">
        <v>783</v>
      </c>
      <c r="C1126" t="s">
        <v>1136</v>
      </c>
      <c r="D1126" t="s">
        <v>1144</v>
      </c>
      <c r="G1126" t="s">
        <v>1174</v>
      </c>
      <c r="H1126" t="s">
        <v>1174</v>
      </c>
      <c r="I1126" t="s">
        <v>1174</v>
      </c>
      <c r="J1126" t="s">
        <v>1332</v>
      </c>
      <c r="K1126" t="s">
        <v>1212</v>
      </c>
      <c r="M1126" s="3">
        <f t="shared" si="68"/>
        <v>71.857142857142861</v>
      </c>
      <c r="N1126">
        <v>40</v>
      </c>
      <c r="O1126">
        <v>76</v>
      </c>
      <c r="P1126">
        <v>82</v>
      </c>
      <c r="Q1126">
        <v>73</v>
      </c>
      <c r="R1126">
        <v>86</v>
      </c>
      <c r="S1126">
        <v>90</v>
      </c>
      <c r="T1126">
        <v>56</v>
      </c>
      <c r="U1126">
        <v>18</v>
      </c>
      <c r="V1126" s="3">
        <f t="shared" si="69"/>
        <v>5505424</v>
      </c>
      <c r="W1126">
        <v>458785.33333333331</v>
      </c>
      <c r="X1126">
        <v>0</v>
      </c>
      <c r="Y1126">
        <f t="shared" si="70"/>
        <v>458785.33333333331</v>
      </c>
      <c r="Z1126">
        <f t="shared" si="71"/>
        <v>0</v>
      </c>
      <c r="AA1126">
        <v>0</v>
      </c>
    </row>
    <row r="1127" spans="1:27" x14ac:dyDescent="0.25">
      <c r="A1127" s="1">
        <v>1126</v>
      </c>
      <c r="B1127" t="s">
        <v>2588</v>
      </c>
      <c r="C1127" t="s">
        <v>1137</v>
      </c>
      <c r="D1127" t="s">
        <v>1137</v>
      </c>
      <c r="H1127" t="s">
        <v>1153</v>
      </c>
      <c r="I1127" t="s">
        <v>1153</v>
      </c>
      <c r="J1127" t="s">
        <v>1332</v>
      </c>
      <c r="K1127" t="s">
        <v>1212</v>
      </c>
      <c r="M1127" s="3">
        <f t="shared" si="68"/>
        <v>65.142857142857139</v>
      </c>
      <c r="N1127">
        <v>25</v>
      </c>
      <c r="O1127">
        <v>77</v>
      </c>
      <c r="P1127">
        <v>72</v>
      </c>
      <c r="Q1127">
        <v>81</v>
      </c>
      <c r="R1127">
        <v>79</v>
      </c>
      <c r="S1127">
        <v>82</v>
      </c>
      <c r="T1127">
        <v>40</v>
      </c>
      <c r="U1127">
        <v>0</v>
      </c>
      <c r="V1127" s="3">
        <f t="shared" si="69"/>
        <v>1376158</v>
      </c>
      <c r="W1127">
        <v>114679.83333333333</v>
      </c>
      <c r="X1127">
        <v>0</v>
      </c>
      <c r="Y1127">
        <f t="shared" si="70"/>
        <v>114679.83333333333</v>
      </c>
      <c r="Z1127">
        <f t="shared" si="71"/>
        <v>0</v>
      </c>
      <c r="AA1127">
        <v>0</v>
      </c>
    </row>
    <row r="1128" spans="1:27" x14ac:dyDescent="0.25">
      <c r="A1128" s="1">
        <v>1127</v>
      </c>
      <c r="B1128" t="s">
        <v>1889</v>
      </c>
      <c r="C1128" t="s">
        <v>1133</v>
      </c>
      <c r="D1128" t="s">
        <v>1133</v>
      </c>
      <c r="H1128" t="s">
        <v>1148</v>
      </c>
      <c r="I1128" t="s">
        <v>1148</v>
      </c>
      <c r="J1128" t="s">
        <v>2685</v>
      </c>
      <c r="K1128" t="s">
        <v>1212</v>
      </c>
      <c r="M1128" s="3">
        <f t="shared" si="68"/>
        <v>49.428571428571431</v>
      </c>
      <c r="N1128">
        <v>10</v>
      </c>
      <c r="O1128">
        <v>56</v>
      </c>
      <c r="P1128">
        <v>52</v>
      </c>
      <c r="Q1128">
        <v>64</v>
      </c>
      <c r="R1128">
        <v>70</v>
      </c>
      <c r="S1128">
        <v>72</v>
      </c>
      <c r="T1128">
        <v>22</v>
      </c>
      <c r="U1128">
        <v>0</v>
      </c>
      <c r="V1128" s="3">
        <f t="shared" si="69"/>
        <v>87053</v>
      </c>
      <c r="W1128">
        <v>7254.416666666667</v>
      </c>
      <c r="X1128">
        <v>0</v>
      </c>
      <c r="Y1128">
        <f t="shared" si="70"/>
        <v>7254.416666666667</v>
      </c>
      <c r="Z1128">
        <f t="shared" si="71"/>
        <v>0</v>
      </c>
      <c r="AA1128">
        <v>0</v>
      </c>
    </row>
    <row r="1129" spans="1:27" x14ac:dyDescent="0.25">
      <c r="A1129" s="1">
        <v>1128</v>
      </c>
      <c r="B1129" t="s">
        <v>194</v>
      </c>
      <c r="C1129" t="s">
        <v>1134</v>
      </c>
      <c r="D1129" t="s">
        <v>1138</v>
      </c>
      <c r="G1129" t="s">
        <v>1163</v>
      </c>
      <c r="H1129" t="s">
        <v>1163</v>
      </c>
      <c r="I1129" t="s">
        <v>1163</v>
      </c>
      <c r="J1129" t="s">
        <v>2685</v>
      </c>
      <c r="K1129" t="s">
        <v>1212</v>
      </c>
      <c r="M1129" s="3">
        <f t="shared" si="68"/>
        <v>52.428571428571431</v>
      </c>
      <c r="N1129">
        <v>36</v>
      </c>
      <c r="O1129">
        <v>41</v>
      </c>
      <c r="P1129">
        <v>76</v>
      </c>
      <c r="Q1129">
        <v>57</v>
      </c>
      <c r="R1129">
        <v>70</v>
      </c>
      <c r="S1129">
        <v>57</v>
      </c>
      <c r="T1129">
        <v>30</v>
      </c>
      <c r="U1129">
        <v>0</v>
      </c>
      <c r="V1129" s="3">
        <f t="shared" si="69"/>
        <v>156921</v>
      </c>
      <c r="W1129">
        <v>13076.75</v>
      </c>
      <c r="X1129">
        <v>0</v>
      </c>
      <c r="Y1129">
        <f t="shared" si="70"/>
        <v>13076.75</v>
      </c>
      <c r="Z1129">
        <f t="shared" si="71"/>
        <v>0</v>
      </c>
      <c r="AA1129">
        <v>0</v>
      </c>
    </row>
    <row r="1130" spans="1:27" x14ac:dyDescent="0.25">
      <c r="A1130" s="1">
        <v>1129</v>
      </c>
      <c r="B1130" t="s">
        <v>2664</v>
      </c>
      <c r="C1130" t="s">
        <v>1134</v>
      </c>
      <c r="D1130" t="s">
        <v>1139</v>
      </c>
      <c r="E1130" t="s">
        <v>1138</v>
      </c>
      <c r="H1130" t="s">
        <v>1148</v>
      </c>
      <c r="I1130" t="s">
        <v>1148</v>
      </c>
      <c r="J1130" t="s">
        <v>2685</v>
      </c>
      <c r="K1130" t="s">
        <v>1212</v>
      </c>
      <c r="M1130" s="3">
        <f t="shared" si="68"/>
        <v>54.142857142857146</v>
      </c>
      <c r="N1130">
        <v>15</v>
      </c>
      <c r="O1130">
        <v>68</v>
      </c>
      <c r="P1130">
        <v>62</v>
      </c>
      <c r="Q1130">
        <v>70</v>
      </c>
      <c r="R1130">
        <v>68</v>
      </c>
      <c r="S1130">
        <v>70</v>
      </c>
      <c r="T1130">
        <v>26</v>
      </c>
      <c r="U1130">
        <v>0</v>
      </c>
      <c r="V1130" s="3">
        <f t="shared" si="69"/>
        <v>216477</v>
      </c>
      <c r="W1130">
        <v>18039.75</v>
      </c>
      <c r="X1130">
        <v>0</v>
      </c>
      <c r="Y1130">
        <f t="shared" si="70"/>
        <v>18039.75</v>
      </c>
      <c r="Z1130">
        <f t="shared" si="71"/>
        <v>0</v>
      </c>
      <c r="AA1130">
        <v>0</v>
      </c>
    </row>
    <row r="1131" spans="1:27" x14ac:dyDescent="0.25">
      <c r="A1131" s="1">
        <v>1130</v>
      </c>
      <c r="B1131" t="s">
        <v>119</v>
      </c>
      <c r="C1131" t="s">
        <v>1134</v>
      </c>
      <c r="D1131" t="s">
        <v>1139</v>
      </c>
      <c r="E1131" t="s">
        <v>1140</v>
      </c>
      <c r="F1131" t="s">
        <v>1138</v>
      </c>
      <c r="G1131" t="s">
        <v>1148</v>
      </c>
      <c r="H1131" t="s">
        <v>1148</v>
      </c>
      <c r="I1131" t="s">
        <v>1148</v>
      </c>
      <c r="J1131" t="s">
        <v>2685</v>
      </c>
      <c r="K1131" t="s">
        <v>1212</v>
      </c>
      <c r="M1131" s="3">
        <f t="shared" si="68"/>
        <v>80.714285714285708</v>
      </c>
      <c r="N1131">
        <v>70</v>
      </c>
      <c r="O1131">
        <v>95</v>
      </c>
      <c r="P1131">
        <v>81</v>
      </c>
      <c r="Q1131">
        <v>90</v>
      </c>
      <c r="R1131">
        <v>80</v>
      </c>
      <c r="S1131">
        <v>64</v>
      </c>
      <c r="T1131">
        <v>85</v>
      </c>
      <c r="U1131">
        <v>27</v>
      </c>
      <c r="V1131" s="3">
        <f t="shared" si="69"/>
        <v>17603351</v>
      </c>
      <c r="W1131">
        <v>1466945.9166666667</v>
      </c>
      <c r="X1131">
        <v>0</v>
      </c>
      <c r="Y1131">
        <f t="shared" si="70"/>
        <v>1466945.9166666667</v>
      </c>
      <c r="Z1131">
        <f t="shared" si="71"/>
        <v>0</v>
      </c>
      <c r="AA1131">
        <v>0</v>
      </c>
    </row>
    <row r="1132" spans="1:27" x14ac:dyDescent="0.25">
      <c r="A1132" s="1">
        <v>1131</v>
      </c>
      <c r="B1132" t="s">
        <v>1886</v>
      </c>
      <c r="C1132" t="s">
        <v>1134</v>
      </c>
      <c r="D1132" t="s">
        <v>1140</v>
      </c>
      <c r="E1132" t="s">
        <v>1138</v>
      </c>
      <c r="H1132" t="s">
        <v>1148</v>
      </c>
      <c r="I1132" t="s">
        <v>1148</v>
      </c>
      <c r="J1132" t="s">
        <v>2685</v>
      </c>
      <c r="K1132" t="s">
        <v>1212</v>
      </c>
      <c r="M1132" s="3">
        <f t="shared" si="68"/>
        <v>60.571428571428569</v>
      </c>
      <c r="N1132">
        <v>33</v>
      </c>
      <c r="O1132">
        <v>66</v>
      </c>
      <c r="P1132">
        <v>52</v>
      </c>
      <c r="Q1132">
        <v>70</v>
      </c>
      <c r="R1132">
        <v>80</v>
      </c>
      <c r="S1132">
        <v>88</v>
      </c>
      <c r="T1132">
        <v>35</v>
      </c>
      <c r="U1132">
        <v>26</v>
      </c>
      <c r="V1132" s="3">
        <f t="shared" si="69"/>
        <v>997171</v>
      </c>
      <c r="W1132">
        <v>83097.583333333328</v>
      </c>
      <c r="X1132">
        <v>0</v>
      </c>
      <c r="Y1132">
        <f t="shared" si="70"/>
        <v>83097.583333333328</v>
      </c>
      <c r="Z1132">
        <f t="shared" si="71"/>
        <v>0</v>
      </c>
      <c r="AA1132">
        <v>0</v>
      </c>
    </row>
    <row r="1133" spans="1:27" x14ac:dyDescent="0.25">
      <c r="A1133" s="1">
        <v>1132</v>
      </c>
      <c r="B1133" t="s">
        <v>1885</v>
      </c>
      <c r="C1133" t="s">
        <v>1134</v>
      </c>
      <c r="D1133" t="s">
        <v>1138</v>
      </c>
      <c r="E1133" t="s">
        <v>1144</v>
      </c>
      <c r="H1133" t="s">
        <v>1148</v>
      </c>
      <c r="I1133" t="s">
        <v>1148</v>
      </c>
      <c r="J1133" t="s">
        <v>2685</v>
      </c>
      <c r="K1133" t="s">
        <v>1212</v>
      </c>
      <c r="M1133" s="3">
        <f t="shared" si="68"/>
        <v>61.571428571428569</v>
      </c>
      <c r="N1133">
        <v>30</v>
      </c>
      <c r="O1133">
        <v>66</v>
      </c>
      <c r="P1133">
        <v>60</v>
      </c>
      <c r="Q1133">
        <v>72</v>
      </c>
      <c r="R1133">
        <v>84</v>
      </c>
      <c r="S1133">
        <v>86</v>
      </c>
      <c r="T1133">
        <v>33</v>
      </c>
      <c r="U1133">
        <v>26</v>
      </c>
      <c r="V1133" s="3">
        <f t="shared" si="69"/>
        <v>1174583</v>
      </c>
      <c r="W1133">
        <v>97881.916666666672</v>
      </c>
      <c r="X1133">
        <v>0</v>
      </c>
      <c r="Y1133">
        <f t="shared" si="70"/>
        <v>97881.916666666672</v>
      </c>
      <c r="Z1133">
        <f t="shared" si="71"/>
        <v>0</v>
      </c>
      <c r="AA1133">
        <v>0</v>
      </c>
    </row>
    <row r="1134" spans="1:27" x14ac:dyDescent="0.25">
      <c r="A1134" s="1">
        <v>1133</v>
      </c>
      <c r="B1134" t="s">
        <v>481</v>
      </c>
      <c r="C1134" t="s">
        <v>1135</v>
      </c>
      <c r="D1134" t="s">
        <v>1142</v>
      </c>
      <c r="G1134" t="s">
        <v>1163</v>
      </c>
      <c r="H1134" t="s">
        <v>1163</v>
      </c>
      <c r="I1134" t="s">
        <v>1163</v>
      </c>
      <c r="J1134" t="s">
        <v>2685</v>
      </c>
      <c r="K1134" t="s">
        <v>1212</v>
      </c>
      <c r="M1134" s="3">
        <f t="shared" si="68"/>
        <v>62.714285714285715</v>
      </c>
      <c r="N1134">
        <v>40</v>
      </c>
      <c r="O1134">
        <v>70</v>
      </c>
      <c r="P1134">
        <v>70</v>
      </c>
      <c r="Q1134">
        <v>71</v>
      </c>
      <c r="R1134">
        <v>68</v>
      </c>
      <c r="S1134">
        <v>70</v>
      </c>
      <c r="T1134">
        <v>50</v>
      </c>
      <c r="U1134">
        <v>0</v>
      </c>
      <c r="V1134" s="3">
        <f t="shared" si="69"/>
        <v>941163</v>
      </c>
      <c r="W1134">
        <v>48039.833333333336</v>
      </c>
      <c r="X1134">
        <v>0</v>
      </c>
      <c r="Y1134">
        <f t="shared" si="70"/>
        <v>78430.25</v>
      </c>
      <c r="Z1134">
        <f t="shared" si="71"/>
        <v>-38.75</v>
      </c>
      <c r="AA1134">
        <v>0</v>
      </c>
    </row>
    <row r="1135" spans="1:27" x14ac:dyDescent="0.25">
      <c r="A1135" s="1">
        <v>1134</v>
      </c>
      <c r="B1135" t="s">
        <v>575</v>
      </c>
      <c r="C1135" t="s">
        <v>1135</v>
      </c>
      <c r="D1135" t="s">
        <v>1142</v>
      </c>
      <c r="G1135" t="s">
        <v>1193</v>
      </c>
      <c r="H1135" t="s">
        <v>1193</v>
      </c>
      <c r="I1135" t="s">
        <v>1193</v>
      </c>
      <c r="J1135" t="s">
        <v>2685</v>
      </c>
      <c r="K1135" t="s">
        <v>1212</v>
      </c>
      <c r="M1135" s="3">
        <f t="shared" si="68"/>
        <v>75.285714285714292</v>
      </c>
      <c r="N1135">
        <v>65</v>
      </c>
      <c r="O1135">
        <v>87</v>
      </c>
      <c r="P1135">
        <v>75</v>
      </c>
      <c r="Q1135">
        <v>80</v>
      </c>
      <c r="R1135">
        <v>80</v>
      </c>
      <c r="S1135">
        <v>75</v>
      </c>
      <c r="T1135">
        <v>65</v>
      </c>
      <c r="U1135">
        <v>0</v>
      </c>
      <c r="V1135" s="3">
        <f t="shared" si="69"/>
        <v>5849595</v>
      </c>
      <c r="W1135">
        <v>410332.58333333331</v>
      </c>
      <c r="X1135">
        <v>0</v>
      </c>
      <c r="Y1135">
        <f t="shared" si="70"/>
        <v>487466.25</v>
      </c>
      <c r="Z1135">
        <f t="shared" si="71"/>
        <v>-15.82</v>
      </c>
      <c r="AA1135">
        <v>0</v>
      </c>
    </row>
    <row r="1136" spans="1:27" x14ac:dyDescent="0.25">
      <c r="A1136" s="1">
        <v>1135</v>
      </c>
      <c r="B1136" t="s">
        <v>1888</v>
      </c>
      <c r="C1136" t="s">
        <v>1135</v>
      </c>
      <c r="D1136" t="s">
        <v>1142</v>
      </c>
      <c r="E1136" t="s">
        <v>1141</v>
      </c>
      <c r="H1136" t="s">
        <v>1148</v>
      </c>
      <c r="I1136" t="s">
        <v>1148</v>
      </c>
      <c r="J1136" t="s">
        <v>2685</v>
      </c>
      <c r="K1136" t="s">
        <v>1212</v>
      </c>
      <c r="M1136" s="3">
        <f t="shared" si="68"/>
        <v>55.428571428571431</v>
      </c>
      <c r="N1136">
        <v>16</v>
      </c>
      <c r="O1136">
        <v>70</v>
      </c>
      <c r="P1136">
        <v>64</v>
      </c>
      <c r="Q1136">
        <v>68</v>
      </c>
      <c r="R1136">
        <v>70</v>
      </c>
      <c r="S1136">
        <v>72</v>
      </c>
      <c r="T1136">
        <v>28</v>
      </c>
      <c r="U1136">
        <v>0</v>
      </c>
      <c r="V1136" s="3">
        <f t="shared" si="69"/>
        <v>273740</v>
      </c>
      <c r="W1136">
        <v>22811.666666666668</v>
      </c>
      <c r="X1136">
        <v>0</v>
      </c>
      <c r="Y1136">
        <f t="shared" si="70"/>
        <v>22811.666666666668</v>
      </c>
      <c r="Z1136">
        <f t="shared" si="71"/>
        <v>0</v>
      </c>
      <c r="AA1136">
        <v>0</v>
      </c>
    </row>
    <row r="1137" spans="1:27" x14ac:dyDescent="0.25">
      <c r="A1137" s="1">
        <v>1136</v>
      </c>
      <c r="B1137" t="s">
        <v>723</v>
      </c>
      <c r="C1137" t="s">
        <v>1136</v>
      </c>
      <c r="D1137" t="s">
        <v>1145</v>
      </c>
      <c r="E1137" t="s">
        <v>1141</v>
      </c>
      <c r="F1137" t="s">
        <v>1146</v>
      </c>
      <c r="G1137" t="s">
        <v>1163</v>
      </c>
      <c r="H1137" t="s">
        <v>1163</v>
      </c>
      <c r="I1137" t="s">
        <v>1163</v>
      </c>
      <c r="J1137" t="s">
        <v>2685</v>
      </c>
      <c r="K1137" t="s">
        <v>1212</v>
      </c>
      <c r="M1137" s="3">
        <f t="shared" si="68"/>
        <v>73.857142857142861</v>
      </c>
      <c r="N1137">
        <v>70</v>
      </c>
      <c r="O1137">
        <v>71</v>
      </c>
      <c r="P1137">
        <v>80</v>
      </c>
      <c r="Q1137">
        <v>72</v>
      </c>
      <c r="R1137">
        <v>74</v>
      </c>
      <c r="S1137">
        <v>80</v>
      </c>
      <c r="T1137">
        <v>70</v>
      </c>
      <c r="U1137">
        <v>17</v>
      </c>
      <c r="V1137" s="3">
        <f t="shared" si="69"/>
        <v>7244632</v>
      </c>
      <c r="W1137">
        <v>603719.33333333337</v>
      </c>
      <c r="X1137">
        <v>0</v>
      </c>
      <c r="Y1137">
        <f t="shared" si="70"/>
        <v>603719.33333333337</v>
      </c>
      <c r="Z1137">
        <f t="shared" si="71"/>
        <v>0</v>
      </c>
      <c r="AA1137">
        <v>0</v>
      </c>
    </row>
    <row r="1138" spans="1:27" x14ac:dyDescent="0.25">
      <c r="A1138" s="1">
        <v>1137</v>
      </c>
      <c r="B1138" t="s">
        <v>937</v>
      </c>
      <c r="C1138" t="s">
        <v>1136</v>
      </c>
      <c r="D1138" t="s">
        <v>1143</v>
      </c>
      <c r="E1138" t="s">
        <v>1147</v>
      </c>
      <c r="G1138" t="s">
        <v>1197</v>
      </c>
      <c r="H1138" t="s">
        <v>1197</v>
      </c>
      <c r="I1138" t="s">
        <v>1197</v>
      </c>
      <c r="J1138" t="s">
        <v>2685</v>
      </c>
      <c r="K1138" t="s">
        <v>1212</v>
      </c>
      <c r="M1138" s="3">
        <f t="shared" si="68"/>
        <v>62.857142857142854</v>
      </c>
      <c r="N1138">
        <v>36</v>
      </c>
      <c r="O1138">
        <v>71</v>
      </c>
      <c r="P1138">
        <v>76</v>
      </c>
      <c r="Q1138">
        <v>57</v>
      </c>
      <c r="R1138">
        <v>77</v>
      </c>
      <c r="S1138">
        <v>80</v>
      </c>
      <c r="T1138">
        <v>43</v>
      </c>
      <c r="U1138">
        <v>0</v>
      </c>
      <c r="V1138" s="3">
        <f t="shared" si="69"/>
        <v>962823</v>
      </c>
      <c r="W1138">
        <v>80235.25</v>
      </c>
      <c r="X1138">
        <v>0</v>
      </c>
      <c r="Y1138">
        <f t="shared" si="70"/>
        <v>80235.25</v>
      </c>
      <c r="Z1138">
        <f t="shared" si="71"/>
        <v>0</v>
      </c>
      <c r="AA1138">
        <v>0</v>
      </c>
    </row>
    <row r="1139" spans="1:27" x14ac:dyDescent="0.25">
      <c r="A1139" s="1">
        <v>1138</v>
      </c>
      <c r="B1139" t="s">
        <v>2645</v>
      </c>
      <c r="C1139" t="s">
        <v>1136</v>
      </c>
      <c r="D1139" t="s">
        <v>1145</v>
      </c>
      <c r="E1139" t="s">
        <v>1143</v>
      </c>
      <c r="H1139" t="s">
        <v>1148</v>
      </c>
      <c r="I1139" t="s">
        <v>1148</v>
      </c>
      <c r="J1139" t="s">
        <v>2685</v>
      </c>
      <c r="K1139" t="s">
        <v>1212</v>
      </c>
      <c r="M1139" s="3">
        <f t="shared" si="68"/>
        <v>68.285714285714292</v>
      </c>
      <c r="N1139">
        <v>50</v>
      </c>
      <c r="O1139">
        <v>80</v>
      </c>
      <c r="P1139">
        <v>75</v>
      </c>
      <c r="Q1139">
        <v>74</v>
      </c>
      <c r="R1139">
        <v>76</v>
      </c>
      <c r="S1139">
        <v>83</v>
      </c>
      <c r="T1139">
        <v>40</v>
      </c>
      <c r="U1139">
        <v>12</v>
      </c>
      <c r="V1139" s="3">
        <f t="shared" si="69"/>
        <v>3306663</v>
      </c>
      <c r="W1139">
        <v>27976.333333333332</v>
      </c>
      <c r="X1139">
        <v>0</v>
      </c>
      <c r="Y1139">
        <f t="shared" si="70"/>
        <v>275555.25</v>
      </c>
      <c r="Z1139">
        <f t="shared" si="71"/>
        <v>-89.85</v>
      </c>
      <c r="AA1139">
        <v>0</v>
      </c>
    </row>
    <row r="1140" spans="1:27" x14ac:dyDescent="0.25">
      <c r="A1140" s="1">
        <v>1139</v>
      </c>
      <c r="B1140" t="s">
        <v>1891</v>
      </c>
      <c r="C1140" t="s">
        <v>1136</v>
      </c>
      <c r="D1140" t="s">
        <v>1143</v>
      </c>
      <c r="E1140" t="s">
        <v>1144</v>
      </c>
      <c r="H1140" t="s">
        <v>1148</v>
      </c>
      <c r="I1140" t="s">
        <v>1148</v>
      </c>
      <c r="J1140" t="s">
        <v>2685</v>
      </c>
      <c r="K1140" t="s">
        <v>1212</v>
      </c>
      <c r="M1140" s="3">
        <f t="shared" si="68"/>
        <v>58.571428571428569</v>
      </c>
      <c r="N1140">
        <v>30</v>
      </c>
      <c r="O1140">
        <v>70</v>
      </c>
      <c r="P1140">
        <v>58</v>
      </c>
      <c r="Q1140">
        <v>68</v>
      </c>
      <c r="R1140">
        <v>80</v>
      </c>
      <c r="S1140">
        <v>80</v>
      </c>
      <c r="T1140">
        <v>24</v>
      </c>
      <c r="U1140">
        <v>0</v>
      </c>
      <c r="V1140" s="3">
        <f t="shared" si="69"/>
        <v>475181</v>
      </c>
      <c r="W1140">
        <v>39598.416666666664</v>
      </c>
      <c r="X1140">
        <v>0</v>
      </c>
      <c r="Y1140">
        <f t="shared" si="70"/>
        <v>39598.416666666664</v>
      </c>
      <c r="Z1140">
        <f t="shared" si="71"/>
        <v>0</v>
      </c>
      <c r="AA1140">
        <v>0</v>
      </c>
    </row>
    <row r="1141" spans="1:27" x14ac:dyDescent="0.25">
      <c r="A1141" s="1">
        <v>1140</v>
      </c>
      <c r="B1141" t="s">
        <v>1890</v>
      </c>
      <c r="C1141" t="s">
        <v>1136</v>
      </c>
      <c r="D1141" t="s">
        <v>1145</v>
      </c>
      <c r="E1141" t="s">
        <v>1147</v>
      </c>
      <c r="F1141" t="s">
        <v>1146</v>
      </c>
      <c r="H1141" t="s">
        <v>1148</v>
      </c>
      <c r="I1141" t="s">
        <v>1148</v>
      </c>
      <c r="J1141" t="s">
        <v>2685</v>
      </c>
      <c r="K1141" t="s">
        <v>1212</v>
      </c>
      <c r="M1141" s="3">
        <f t="shared" si="68"/>
        <v>70.571428571428569</v>
      </c>
      <c r="N1141">
        <v>50</v>
      </c>
      <c r="O1141">
        <v>92</v>
      </c>
      <c r="P1141">
        <v>75</v>
      </c>
      <c r="Q1141">
        <v>80</v>
      </c>
      <c r="R1141">
        <v>70</v>
      </c>
      <c r="S1141">
        <v>67</v>
      </c>
      <c r="T1141">
        <v>60</v>
      </c>
      <c r="U1141">
        <v>3</v>
      </c>
      <c r="V1141" s="3">
        <f t="shared" si="69"/>
        <v>4596004</v>
      </c>
      <c r="W1141">
        <v>131752.66666666666</v>
      </c>
      <c r="X1141">
        <v>0</v>
      </c>
      <c r="Y1141">
        <f t="shared" si="70"/>
        <v>383000.33333333331</v>
      </c>
      <c r="Z1141">
        <f t="shared" si="71"/>
        <v>-65.599999999999994</v>
      </c>
      <c r="AA1141">
        <v>0</v>
      </c>
    </row>
    <row r="1142" spans="1:27" x14ac:dyDescent="0.25">
      <c r="A1142" s="1">
        <v>1141</v>
      </c>
      <c r="B1142" t="s">
        <v>936</v>
      </c>
      <c r="C1142" t="s">
        <v>1136</v>
      </c>
      <c r="D1142" t="s">
        <v>1145</v>
      </c>
      <c r="E1142" t="s">
        <v>1146</v>
      </c>
      <c r="G1142" t="s">
        <v>1197</v>
      </c>
      <c r="H1142" t="s">
        <v>1197</v>
      </c>
      <c r="I1142" t="s">
        <v>1197</v>
      </c>
      <c r="J1142" t="s">
        <v>2685</v>
      </c>
      <c r="K1142" t="s">
        <v>1212</v>
      </c>
      <c r="M1142" s="3">
        <f t="shared" si="68"/>
        <v>66.857142857142861</v>
      </c>
      <c r="N1142">
        <v>49</v>
      </c>
      <c r="O1142">
        <v>69</v>
      </c>
      <c r="P1142">
        <v>90</v>
      </c>
      <c r="Q1142">
        <v>70</v>
      </c>
      <c r="R1142">
        <v>64</v>
      </c>
      <c r="S1142">
        <v>69</v>
      </c>
      <c r="T1142">
        <v>57</v>
      </c>
      <c r="U1142">
        <v>0</v>
      </c>
      <c r="V1142" s="3">
        <f t="shared" si="69"/>
        <v>1784343</v>
      </c>
      <c r="W1142">
        <v>80235.25</v>
      </c>
      <c r="X1142">
        <v>0</v>
      </c>
      <c r="Y1142">
        <f t="shared" si="70"/>
        <v>148695.25</v>
      </c>
      <c r="Z1142">
        <f t="shared" si="71"/>
        <v>-46.04</v>
      </c>
      <c r="AA1142">
        <v>0</v>
      </c>
    </row>
    <row r="1143" spans="1:27" x14ac:dyDescent="0.25">
      <c r="A1143" s="1">
        <v>1142</v>
      </c>
      <c r="B1143" t="s">
        <v>724</v>
      </c>
      <c r="C1143" t="s">
        <v>1136</v>
      </c>
      <c r="D1143" t="s">
        <v>1144</v>
      </c>
      <c r="G1143" t="s">
        <v>1163</v>
      </c>
      <c r="H1143" t="s">
        <v>1163</v>
      </c>
      <c r="I1143" t="s">
        <v>1163</v>
      </c>
      <c r="J1143" t="s">
        <v>2685</v>
      </c>
      <c r="K1143" t="s">
        <v>1212</v>
      </c>
      <c r="M1143" s="3">
        <f t="shared" si="68"/>
        <v>62.857142857142854</v>
      </c>
      <c r="N1143">
        <v>30</v>
      </c>
      <c r="O1143">
        <v>70</v>
      </c>
      <c r="P1143">
        <v>74</v>
      </c>
      <c r="Q1143">
        <v>68</v>
      </c>
      <c r="R1143">
        <v>70</v>
      </c>
      <c r="S1143">
        <v>78</v>
      </c>
      <c r="T1143">
        <v>50</v>
      </c>
      <c r="U1143">
        <v>0</v>
      </c>
      <c r="V1143" s="3">
        <f t="shared" si="69"/>
        <v>962823</v>
      </c>
      <c r="W1143">
        <v>80235.25</v>
      </c>
      <c r="X1143">
        <v>0</v>
      </c>
      <c r="Y1143">
        <f t="shared" si="70"/>
        <v>80235.25</v>
      </c>
      <c r="Z1143">
        <f t="shared" si="71"/>
        <v>0</v>
      </c>
      <c r="AA1143">
        <v>0</v>
      </c>
    </row>
    <row r="1144" spans="1:27" x14ac:dyDescent="0.25">
      <c r="A1144" s="1">
        <v>1143</v>
      </c>
      <c r="B1144" t="s">
        <v>726</v>
      </c>
      <c r="C1144" t="s">
        <v>1136</v>
      </c>
      <c r="D1144" t="s">
        <v>1143</v>
      </c>
      <c r="E1144" t="s">
        <v>1145</v>
      </c>
      <c r="G1144" t="s">
        <v>1163</v>
      </c>
      <c r="H1144" t="s">
        <v>1163</v>
      </c>
      <c r="I1144" t="s">
        <v>1163</v>
      </c>
      <c r="J1144" t="s">
        <v>2685</v>
      </c>
      <c r="K1144" t="s">
        <v>1212</v>
      </c>
      <c r="M1144" s="3">
        <f t="shared" si="68"/>
        <v>56.857142857142854</v>
      </c>
      <c r="N1144">
        <v>27</v>
      </c>
      <c r="O1144">
        <v>58</v>
      </c>
      <c r="P1144">
        <v>67</v>
      </c>
      <c r="Q1144">
        <v>63</v>
      </c>
      <c r="R1144">
        <v>69</v>
      </c>
      <c r="S1144">
        <v>73</v>
      </c>
      <c r="T1144">
        <v>41</v>
      </c>
      <c r="U1144">
        <v>0</v>
      </c>
      <c r="V1144" s="3">
        <f t="shared" si="69"/>
        <v>353062</v>
      </c>
      <c r="W1144">
        <v>29421.833333333332</v>
      </c>
      <c r="X1144">
        <v>0</v>
      </c>
      <c r="Y1144">
        <f t="shared" si="70"/>
        <v>29421.833333333332</v>
      </c>
      <c r="Z1144">
        <f t="shared" si="71"/>
        <v>0</v>
      </c>
      <c r="AA1144">
        <v>0</v>
      </c>
    </row>
    <row r="1145" spans="1:27" x14ac:dyDescent="0.25">
      <c r="A1145" s="1">
        <v>1144</v>
      </c>
      <c r="B1145" t="s">
        <v>725</v>
      </c>
      <c r="C1145" t="s">
        <v>1136</v>
      </c>
      <c r="D1145" t="s">
        <v>1143</v>
      </c>
      <c r="E1145" t="s">
        <v>1144</v>
      </c>
      <c r="G1145" t="s">
        <v>1163</v>
      </c>
      <c r="H1145" t="s">
        <v>1163</v>
      </c>
      <c r="I1145" t="s">
        <v>1163</v>
      </c>
      <c r="J1145" t="s">
        <v>2685</v>
      </c>
      <c r="K1145" t="s">
        <v>1212</v>
      </c>
      <c r="M1145" s="3">
        <f t="shared" si="68"/>
        <v>57.285714285714285</v>
      </c>
      <c r="N1145">
        <v>22</v>
      </c>
      <c r="O1145">
        <v>67</v>
      </c>
      <c r="P1145">
        <v>65</v>
      </c>
      <c r="Q1145">
        <v>60</v>
      </c>
      <c r="R1145">
        <v>68</v>
      </c>
      <c r="S1145">
        <v>75</v>
      </c>
      <c r="T1145">
        <v>44</v>
      </c>
      <c r="U1145">
        <v>0</v>
      </c>
      <c r="V1145" s="3">
        <f t="shared" si="69"/>
        <v>380596</v>
      </c>
      <c r="W1145">
        <v>31716.333333333332</v>
      </c>
      <c r="X1145">
        <v>0</v>
      </c>
      <c r="Y1145">
        <f t="shared" si="70"/>
        <v>31716.333333333332</v>
      </c>
      <c r="Z1145">
        <f t="shared" si="71"/>
        <v>0</v>
      </c>
      <c r="AA1145">
        <v>0</v>
      </c>
    </row>
    <row r="1146" spans="1:27" x14ac:dyDescent="0.25">
      <c r="A1146" s="1">
        <v>1145</v>
      </c>
      <c r="B1146" t="s">
        <v>1892</v>
      </c>
      <c r="C1146" t="s">
        <v>1136</v>
      </c>
      <c r="D1146" t="s">
        <v>1146</v>
      </c>
      <c r="E1146" t="s">
        <v>1144</v>
      </c>
      <c r="H1146" t="s">
        <v>1148</v>
      </c>
      <c r="I1146" t="s">
        <v>1148</v>
      </c>
      <c r="J1146" t="s">
        <v>2685</v>
      </c>
      <c r="K1146" t="s">
        <v>1212</v>
      </c>
      <c r="M1146" s="3">
        <f t="shared" si="68"/>
        <v>49.857142857142854</v>
      </c>
      <c r="N1146">
        <v>11</v>
      </c>
      <c r="O1146">
        <v>66</v>
      </c>
      <c r="P1146">
        <v>54</v>
      </c>
      <c r="Q1146">
        <v>66</v>
      </c>
      <c r="R1146">
        <v>64</v>
      </c>
      <c r="S1146">
        <v>66</v>
      </c>
      <c r="T1146">
        <v>22</v>
      </c>
      <c r="U1146">
        <v>0</v>
      </c>
      <c r="V1146" s="3">
        <f t="shared" si="69"/>
        <v>94902</v>
      </c>
      <c r="W1146">
        <v>7908.5</v>
      </c>
      <c r="X1146">
        <v>0</v>
      </c>
      <c r="Y1146">
        <f t="shared" si="70"/>
        <v>7908.5</v>
      </c>
      <c r="Z1146">
        <f t="shared" si="71"/>
        <v>0</v>
      </c>
      <c r="AA1146">
        <v>0</v>
      </c>
    </row>
    <row r="1147" spans="1:27" x14ac:dyDescent="0.25">
      <c r="A1147" s="1">
        <v>1146</v>
      </c>
      <c r="B1147" t="s">
        <v>1884</v>
      </c>
      <c r="C1147" t="s">
        <v>1137</v>
      </c>
      <c r="D1147" t="s">
        <v>1137</v>
      </c>
      <c r="H1147" t="s">
        <v>1148</v>
      </c>
      <c r="I1147" t="s">
        <v>1148</v>
      </c>
      <c r="J1147" t="s">
        <v>2685</v>
      </c>
      <c r="K1147" t="s">
        <v>1212</v>
      </c>
      <c r="M1147" s="3">
        <f t="shared" si="68"/>
        <v>65</v>
      </c>
      <c r="N1147">
        <v>40</v>
      </c>
      <c r="O1147">
        <v>70</v>
      </c>
      <c r="P1147">
        <v>70</v>
      </c>
      <c r="Q1147">
        <v>75</v>
      </c>
      <c r="R1147">
        <v>80</v>
      </c>
      <c r="S1147">
        <v>80</v>
      </c>
      <c r="T1147">
        <v>40</v>
      </c>
      <c r="U1147">
        <v>0</v>
      </c>
      <c r="V1147" s="3">
        <f t="shared" si="69"/>
        <v>1346275</v>
      </c>
      <c r="W1147">
        <v>11719.416666666666</v>
      </c>
      <c r="X1147">
        <v>0</v>
      </c>
      <c r="Y1147">
        <f t="shared" si="70"/>
        <v>112189.58333333333</v>
      </c>
      <c r="Z1147">
        <f t="shared" si="71"/>
        <v>-89.55</v>
      </c>
      <c r="AA1147">
        <v>0</v>
      </c>
    </row>
    <row r="1148" spans="1:27" x14ac:dyDescent="0.25">
      <c r="A1148" s="1">
        <v>1147</v>
      </c>
      <c r="B1148" t="s">
        <v>1516</v>
      </c>
      <c r="C1148" t="s">
        <v>1133</v>
      </c>
      <c r="D1148" t="s">
        <v>1133</v>
      </c>
      <c r="H1148" t="s">
        <v>1148</v>
      </c>
      <c r="I1148" t="s">
        <v>1148</v>
      </c>
      <c r="J1148" t="s">
        <v>1243</v>
      </c>
      <c r="K1148" t="s">
        <v>1212</v>
      </c>
      <c r="M1148" s="3">
        <f t="shared" si="68"/>
        <v>70.714285714285708</v>
      </c>
      <c r="N1148">
        <v>38</v>
      </c>
      <c r="O1148">
        <v>73</v>
      </c>
      <c r="P1148">
        <v>74</v>
      </c>
      <c r="Q1148">
        <v>78</v>
      </c>
      <c r="R1148">
        <v>82</v>
      </c>
      <c r="S1148">
        <v>79</v>
      </c>
      <c r="T1148">
        <v>71</v>
      </c>
      <c r="U1148">
        <v>0</v>
      </c>
      <c r="V1148" s="3">
        <f t="shared" si="69"/>
        <v>3126595</v>
      </c>
      <c r="W1148">
        <v>260549.58333333334</v>
      </c>
      <c r="X1148">
        <v>0</v>
      </c>
      <c r="Y1148">
        <f t="shared" si="70"/>
        <v>260549.58333333334</v>
      </c>
      <c r="Z1148">
        <f t="shared" si="71"/>
        <v>0</v>
      </c>
      <c r="AA1148">
        <v>0</v>
      </c>
    </row>
    <row r="1149" spans="1:27" x14ac:dyDescent="0.25">
      <c r="A1149" s="1">
        <v>1148</v>
      </c>
      <c r="B1149" t="s">
        <v>51</v>
      </c>
      <c r="C1149" t="s">
        <v>1133</v>
      </c>
      <c r="D1149" t="s">
        <v>1133</v>
      </c>
      <c r="G1149" t="s">
        <v>1168</v>
      </c>
      <c r="H1149" t="s">
        <v>1168</v>
      </c>
      <c r="I1149" t="s">
        <v>1168</v>
      </c>
      <c r="J1149" t="s">
        <v>1243</v>
      </c>
      <c r="K1149" t="s">
        <v>1212</v>
      </c>
      <c r="M1149" s="3">
        <f t="shared" si="68"/>
        <v>90.571428571428569</v>
      </c>
      <c r="N1149">
        <v>97</v>
      </c>
      <c r="O1149">
        <v>74</v>
      </c>
      <c r="P1149">
        <v>90</v>
      </c>
      <c r="Q1149">
        <v>91</v>
      </c>
      <c r="R1149">
        <v>90</v>
      </c>
      <c r="S1149">
        <v>94</v>
      </c>
      <c r="T1149">
        <v>98</v>
      </c>
      <c r="U1149">
        <v>30</v>
      </c>
      <c r="V1149" s="3">
        <f t="shared" si="69"/>
        <v>55719016</v>
      </c>
      <c r="W1149">
        <v>4643251.333333333</v>
      </c>
      <c r="X1149">
        <v>0</v>
      </c>
      <c r="Y1149">
        <f t="shared" si="70"/>
        <v>4643251.333333333</v>
      </c>
      <c r="Z1149">
        <f t="shared" si="71"/>
        <v>0</v>
      </c>
      <c r="AA1149">
        <v>0</v>
      </c>
    </row>
    <row r="1150" spans="1:27" x14ac:dyDescent="0.25">
      <c r="A1150" s="1">
        <v>1149</v>
      </c>
      <c r="B1150" t="s">
        <v>118</v>
      </c>
      <c r="C1150" t="s">
        <v>1134</v>
      </c>
      <c r="D1150" t="s">
        <v>1139</v>
      </c>
      <c r="E1150" t="s">
        <v>1138</v>
      </c>
      <c r="G1150" t="s">
        <v>1148</v>
      </c>
      <c r="H1150" t="s">
        <v>1148</v>
      </c>
      <c r="I1150" t="s">
        <v>1148</v>
      </c>
      <c r="J1150" t="s">
        <v>1243</v>
      </c>
      <c r="K1150" t="s">
        <v>1212</v>
      </c>
      <c r="M1150" s="3">
        <f t="shared" si="68"/>
        <v>84.714285714285708</v>
      </c>
      <c r="N1150">
        <v>80</v>
      </c>
      <c r="O1150">
        <v>85</v>
      </c>
      <c r="P1150">
        <v>81</v>
      </c>
      <c r="Q1150">
        <v>85</v>
      </c>
      <c r="R1150">
        <v>85</v>
      </c>
      <c r="S1150">
        <v>83</v>
      </c>
      <c r="T1150">
        <v>94</v>
      </c>
      <c r="U1150">
        <v>26</v>
      </c>
      <c r="V1150" s="3">
        <f t="shared" si="69"/>
        <v>28553398</v>
      </c>
      <c r="W1150">
        <v>2379449.8333333335</v>
      </c>
      <c r="X1150">
        <v>0</v>
      </c>
      <c r="Y1150">
        <f t="shared" si="70"/>
        <v>2379449.8333333335</v>
      </c>
      <c r="Z1150">
        <f t="shared" si="71"/>
        <v>0</v>
      </c>
      <c r="AA1150">
        <v>0</v>
      </c>
    </row>
    <row r="1151" spans="1:27" x14ac:dyDescent="0.25">
      <c r="A1151" s="1">
        <v>1150</v>
      </c>
      <c r="B1151" t="s">
        <v>1517</v>
      </c>
      <c r="C1151" t="s">
        <v>1134</v>
      </c>
      <c r="D1151" t="s">
        <v>1140</v>
      </c>
      <c r="E1151" t="s">
        <v>1138</v>
      </c>
      <c r="H1151" t="s">
        <v>1148</v>
      </c>
      <c r="I1151" t="s">
        <v>1148</v>
      </c>
      <c r="J1151" t="s">
        <v>1243</v>
      </c>
      <c r="K1151" t="s">
        <v>1212</v>
      </c>
      <c r="M1151" s="3">
        <f t="shared" si="68"/>
        <v>72.571428571428569</v>
      </c>
      <c r="N1151">
        <v>42</v>
      </c>
      <c r="O1151">
        <v>76</v>
      </c>
      <c r="P1151">
        <v>81</v>
      </c>
      <c r="Q1151">
        <v>79</v>
      </c>
      <c r="R1151">
        <v>77</v>
      </c>
      <c r="S1151">
        <v>80</v>
      </c>
      <c r="T1151">
        <v>73</v>
      </c>
      <c r="U1151">
        <v>0</v>
      </c>
      <c r="V1151" s="3">
        <f t="shared" si="69"/>
        <v>4051882</v>
      </c>
      <c r="W1151">
        <v>337656.83333333331</v>
      </c>
      <c r="X1151">
        <v>0</v>
      </c>
      <c r="Y1151">
        <f t="shared" si="70"/>
        <v>337656.83333333331</v>
      </c>
      <c r="Z1151">
        <f t="shared" si="71"/>
        <v>0</v>
      </c>
      <c r="AA1151">
        <v>0</v>
      </c>
    </row>
    <row r="1152" spans="1:27" x14ac:dyDescent="0.25">
      <c r="A1152" s="1">
        <v>1151</v>
      </c>
      <c r="B1152" t="s">
        <v>1519</v>
      </c>
      <c r="C1152" t="s">
        <v>1134</v>
      </c>
      <c r="D1152" t="s">
        <v>1138</v>
      </c>
      <c r="E1152" t="s">
        <v>1144</v>
      </c>
      <c r="H1152" t="s">
        <v>1148</v>
      </c>
      <c r="I1152" t="s">
        <v>1148</v>
      </c>
      <c r="J1152" t="s">
        <v>1243</v>
      </c>
      <c r="K1152" t="s">
        <v>1212</v>
      </c>
      <c r="M1152" s="3">
        <f t="shared" si="68"/>
        <v>73</v>
      </c>
      <c r="N1152">
        <v>47</v>
      </c>
      <c r="O1152">
        <v>74</v>
      </c>
      <c r="P1152">
        <v>80</v>
      </c>
      <c r="Q1152">
        <v>78</v>
      </c>
      <c r="R1152">
        <v>81</v>
      </c>
      <c r="S1152">
        <v>79</v>
      </c>
      <c r="T1152">
        <v>72</v>
      </c>
      <c r="U1152">
        <v>0</v>
      </c>
      <c r="V1152" s="3">
        <f t="shared" si="69"/>
        <v>4297626</v>
      </c>
      <c r="W1152">
        <v>358135.5</v>
      </c>
      <c r="X1152">
        <v>0</v>
      </c>
      <c r="Y1152">
        <f t="shared" si="70"/>
        <v>358135.5</v>
      </c>
      <c r="Z1152">
        <f t="shared" si="71"/>
        <v>0</v>
      </c>
      <c r="AA1152">
        <v>0</v>
      </c>
    </row>
    <row r="1153" spans="1:27" x14ac:dyDescent="0.25">
      <c r="A1153" s="1">
        <v>1152</v>
      </c>
      <c r="B1153" t="s">
        <v>117</v>
      </c>
      <c r="C1153" t="s">
        <v>1134</v>
      </c>
      <c r="D1153" t="s">
        <v>1138</v>
      </c>
      <c r="E1153" t="s">
        <v>1140</v>
      </c>
      <c r="G1153" t="s">
        <v>1148</v>
      </c>
      <c r="H1153" t="s">
        <v>1148</v>
      </c>
      <c r="I1153" t="s">
        <v>1148</v>
      </c>
      <c r="J1153" t="s">
        <v>1243</v>
      </c>
      <c r="K1153" t="s">
        <v>1212</v>
      </c>
      <c r="M1153" s="3">
        <f t="shared" si="68"/>
        <v>83.428571428571431</v>
      </c>
      <c r="N1153">
        <v>75</v>
      </c>
      <c r="O1153">
        <v>84</v>
      </c>
      <c r="P1153">
        <v>80</v>
      </c>
      <c r="Q1153">
        <v>90</v>
      </c>
      <c r="R1153">
        <v>87</v>
      </c>
      <c r="S1153">
        <v>88</v>
      </c>
      <c r="T1153">
        <v>80</v>
      </c>
      <c r="U1153">
        <v>28</v>
      </c>
      <c r="V1153" s="3">
        <f t="shared" si="69"/>
        <v>24504133</v>
      </c>
      <c r="W1153">
        <v>2042011.0833333333</v>
      </c>
      <c r="X1153">
        <v>0</v>
      </c>
      <c r="Y1153">
        <f t="shared" si="70"/>
        <v>2042011.0833333333</v>
      </c>
      <c r="Z1153">
        <f t="shared" si="71"/>
        <v>0</v>
      </c>
      <c r="AA1153">
        <v>0</v>
      </c>
    </row>
    <row r="1154" spans="1:27" x14ac:dyDescent="0.25">
      <c r="A1154" s="1">
        <v>1153</v>
      </c>
      <c r="B1154" t="s">
        <v>115</v>
      </c>
      <c r="C1154" t="s">
        <v>1134</v>
      </c>
      <c r="D1154" t="s">
        <v>1138</v>
      </c>
      <c r="E1154" t="s">
        <v>1139</v>
      </c>
      <c r="G1154" t="s">
        <v>1148</v>
      </c>
      <c r="H1154" t="s">
        <v>1148</v>
      </c>
      <c r="I1154" t="s">
        <v>1148</v>
      </c>
      <c r="J1154" t="s">
        <v>1243</v>
      </c>
      <c r="K1154" t="s">
        <v>1212</v>
      </c>
      <c r="M1154" s="3">
        <f t="shared" ref="M1154:M1217" si="72">AVERAGE(N1154:T1154)</f>
        <v>85.857142857142861</v>
      </c>
      <c r="N1154">
        <v>70</v>
      </c>
      <c r="O1154">
        <v>80</v>
      </c>
      <c r="P1154">
        <v>83</v>
      </c>
      <c r="Q1154">
        <v>91</v>
      </c>
      <c r="R1154">
        <v>89</v>
      </c>
      <c r="S1154">
        <v>90</v>
      </c>
      <c r="T1154">
        <v>98</v>
      </c>
      <c r="U1154">
        <v>26</v>
      </c>
      <c r="V1154" s="3">
        <f t="shared" ref="V1154:V1217" si="73">ROUNDUP(M1154^10/1000000000000 * IF(U1154&gt;0,1.5,1),0)</f>
        <v>32647925</v>
      </c>
      <c r="W1154">
        <v>2720660.4166666665</v>
      </c>
      <c r="X1154">
        <v>0</v>
      </c>
      <c r="Y1154">
        <f t="shared" ref="Y1154:Y1217" si="74">V1154/12</f>
        <v>2720660.4166666665</v>
      </c>
      <c r="Z1154">
        <f t="shared" ref="Z1154:Z1217" si="75">ROUND(((W1154-Y1154)/Y1154)*100,2)</f>
        <v>0</v>
      </c>
      <c r="AA1154">
        <v>0</v>
      </c>
    </row>
    <row r="1155" spans="1:27" x14ac:dyDescent="0.25">
      <c r="A1155" s="1">
        <v>1154</v>
      </c>
      <c r="B1155" t="s">
        <v>1520</v>
      </c>
      <c r="C1155" t="s">
        <v>1134</v>
      </c>
      <c r="D1155" t="s">
        <v>1140</v>
      </c>
      <c r="E1155" t="s">
        <v>1139</v>
      </c>
      <c r="H1155" t="s">
        <v>1148</v>
      </c>
      <c r="I1155" t="s">
        <v>1148</v>
      </c>
      <c r="J1155" t="s">
        <v>1243</v>
      </c>
      <c r="K1155" t="s">
        <v>1212</v>
      </c>
      <c r="M1155" s="3">
        <f t="shared" si="72"/>
        <v>70.714285714285708</v>
      </c>
      <c r="N1155">
        <v>31</v>
      </c>
      <c r="O1155">
        <v>77</v>
      </c>
      <c r="P1155">
        <v>80</v>
      </c>
      <c r="Q1155">
        <v>79</v>
      </c>
      <c r="R1155">
        <v>77</v>
      </c>
      <c r="S1155">
        <v>81</v>
      </c>
      <c r="T1155">
        <v>70</v>
      </c>
      <c r="U1155">
        <v>0</v>
      </c>
      <c r="V1155" s="3">
        <f t="shared" si="73"/>
        <v>3126595</v>
      </c>
      <c r="W1155">
        <v>260549.58333333334</v>
      </c>
      <c r="X1155">
        <v>0</v>
      </c>
      <c r="Y1155">
        <f t="shared" si="74"/>
        <v>260549.58333333334</v>
      </c>
      <c r="Z1155">
        <f t="shared" si="75"/>
        <v>0</v>
      </c>
      <c r="AA1155">
        <v>0</v>
      </c>
    </row>
    <row r="1156" spans="1:27" x14ac:dyDescent="0.25">
      <c r="A1156" s="1">
        <v>1155</v>
      </c>
      <c r="B1156" t="s">
        <v>116</v>
      </c>
      <c r="C1156" t="s">
        <v>1134</v>
      </c>
      <c r="D1156" t="s">
        <v>1138</v>
      </c>
      <c r="E1156" t="s">
        <v>1144</v>
      </c>
      <c r="G1156" t="s">
        <v>1148</v>
      </c>
      <c r="H1156" t="s">
        <v>1148</v>
      </c>
      <c r="I1156" t="s">
        <v>1148</v>
      </c>
      <c r="J1156" t="s">
        <v>1243</v>
      </c>
      <c r="K1156" t="s">
        <v>1212</v>
      </c>
      <c r="M1156" s="3">
        <f t="shared" si="72"/>
        <v>86.142857142857139</v>
      </c>
      <c r="N1156">
        <v>80</v>
      </c>
      <c r="O1156">
        <v>83</v>
      </c>
      <c r="P1156">
        <v>90</v>
      </c>
      <c r="Q1156">
        <v>85</v>
      </c>
      <c r="R1156">
        <v>85</v>
      </c>
      <c r="S1156">
        <v>92</v>
      </c>
      <c r="T1156">
        <v>88</v>
      </c>
      <c r="U1156">
        <v>27</v>
      </c>
      <c r="V1156" s="3">
        <f t="shared" si="73"/>
        <v>33750793</v>
      </c>
      <c r="W1156">
        <v>2812566.0833333335</v>
      </c>
      <c r="X1156">
        <v>0</v>
      </c>
      <c r="Y1156">
        <f t="shared" si="74"/>
        <v>2812566.0833333335</v>
      </c>
      <c r="Z1156">
        <f t="shared" si="75"/>
        <v>0</v>
      </c>
      <c r="AA1156">
        <v>0</v>
      </c>
    </row>
    <row r="1157" spans="1:27" x14ac:dyDescent="0.25">
      <c r="A1157" s="1">
        <v>1156</v>
      </c>
      <c r="B1157" t="s">
        <v>1521</v>
      </c>
      <c r="C1157" t="s">
        <v>1134</v>
      </c>
      <c r="D1157" t="s">
        <v>1138</v>
      </c>
      <c r="E1157" t="s">
        <v>1140</v>
      </c>
      <c r="H1157" t="s">
        <v>1148</v>
      </c>
      <c r="I1157" t="s">
        <v>1148</v>
      </c>
      <c r="J1157" t="s">
        <v>1243</v>
      </c>
      <c r="K1157" t="s">
        <v>1212</v>
      </c>
      <c r="M1157" s="3">
        <f t="shared" si="72"/>
        <v>72.571428571428569</v>
      </c>
      <c r="N1157">
        <v>44</v>
      </c>
      <c r="O1157">
        <v>78</v>
      </c>
      <c r="P1157">
        <v>79</v>
      </c>
      <c r="Q1157">
        <v>80</v>
      </c>
      <c r="R1157">
        <v>78</v>
      </c>
      <c r="S1157">
        <v>80</v>
      </c>
      <c r="T1157">
        <v>69</v>
      </c>
      <c r="U1157">
        <v>0</v>
      </c>
      <c r="V1157" s="3">
        <f t="shared" si="73"/>
        <v>4051882</v>
      </c>
      <c r="W1157">
        <v>337656.83333333331</v>
      </c>
      <c r="X1157">
        <v>0</v>
      </c>
      <c r="Y1157">
        <f t="shared" si="74"/>
        <v>337656.83333333331</v>
      </c>
      <c r="Z1157">
        <f t="shared" si="75"/>
        <v>0</v>
      </c>
      <c r="AA1157">
        <v>0</v>
      </c>
    </row>
    <row r="1158" spans="1:27" x14ac:dyDescent="0.25">
      <c r="A1158" s="1">
        <v>1157</v>
      </c>
      <c r="B1158" t="s">
        <v>1518</v>
      </c>
      <c r="C1158" t="s">
        <v>1134</v>
      </c>
      <c r="D1158" t="s">
        <v>1139</v>
      </c>
      <c r="E1158" t="s">
        <v>1138</v>
      </c>
      <c r="H1158" t="s">
        <v>1148</v>
      </c>
      <c r="I1158" t="s">
        <v>1148</v>
      </c>
      <c r="J1158" t="s">
        <v>1243</v>
      </c>
      <c r="K1158" t="s">
        <v>1212</v>
      </c>
      <c r="M1158" s="3">
        <f t="shared" si="72"/>
        <v>71.428571428571431</v>
      </c>
      <c r="N1158">
        <v>35</v>
      </c>
      <c r="O1158">
        <v>78</v>
      </c>
      <c r="P1158">
        <v>79</v>
      </c>
      <c r="Q1158">
        <v>81</v>
      </c>
      <c r="R1158">
        <v>76</v>
      </c>
      <c r="S1158">
        <v>82</v>
      </c>
      <c r="T1158">
        <v>69</v>
      </c>
      <c r="U1158">
        <v>0</v>
      </c>
      <c r="V1158" s="3">
        <f t="shared" si="73"/>
        <v>3457162</v>
      </c>
      <c r="W1158">
        <v>288096.83333333331</v>
      </c>
      <c r="X1158">
        <v>0</v>
      </c>
      <c r="Y1158">
        <f t="shared" si="74"/>
        <v>288096.83333333331</v>
      </c>
      <c r="Z1158">
        <f t="shared" si="75"/>
        <v>0</v>
      </c>
      <c r="AA1158">
        <v>0</v>
      </c>
    </row>
    <row r="1159" spans="1:27" x14ac:dyDescent="0.25">
      <c r="A1159" s="1">
        <v>1158</v>
      </c>
      <c r="B1159" t="s">
        <v>431</v>
      </c>
      <c r="C1159" t="s">
        <v>1135</v>
      </c>
      <c r="D1159" t="s">
        <v>1141</v>
      </c>
      <c r="E1159" t="s">
        <v>1142</v>
      </c>
      <c r="F1159" t="s">
        <v>1145</v>
      </c>
      <c r="G1159" t="s">
        <v>1148</v>
      </c>
      <c r="H1159" t="s">
        <v>1148</v>
      </c>
      <c r="I1159" t="s">
        <v>1148</v>
      </c>
      <c r="J1159" t="s">
        <v>1243</v>
      </c>
      <c r="K1159" t="s">
        <v>1212</v>
      </c>
      <c r="M1159" s="3">
        <f t="shared" si="72"/>
        <v>88.857142857142861</v>
      </c>
      <c r="N1159">
        <v>85</v>
      </c>
      <c r="O1159">
        <v>92</v>
      </c>
      <c r="P1159">
        <v>95</v>
      </c>
      <c r="Q1159">
        <v>90</v>
      </c>
      <c r="R1159">
        <v>87</v>
      </c>
      <c r="S1159">
        <v>83</v>
      </c>
      <c r="T1159">
        <v>90</v>
      </c>
      <c r="U1159">
        <v>12</v>
      </c>
      <c r="V1159" s="3">
        <f t="shared" si="73"/>
        <v>46027216</v>
      </c>
      <c r="W1159">
        <v>3835601.3333333335</v>
      </c>
      <c r="X1159">
        <v>0</v>
      </c>
      <c r="Y1159">
        <f t="shared" si="74"/>
        <v>3835601.3333333335</v>
      </c>
      <c r="Z1159">
        <f t="shared" si="75"/>
        <v>0</v>
      </c>
      <c r="AA1159">
        <v>0</v>
      </c>
    </row>
    <row r="1160" spans="1:27" x14ac:dyDescent="0.25">
      <c r="A1160" s="1">
        <v>1159</v>
      </c>
      <c r="B1160" t="s">
        <v>497</v>
      </c>
      <c r="C1160" t="s">
        <v>1135</v>
      </c>
      <c r="D1160" t="s">
        <v>1141</v>
      </c>
      <c r="E1160" t="s">
        <v>1142</v>
      </c>
      <c r="G1160" t="s">
        <v>1168</v>
      </c>
      <c r="H1160" t="s">
        <v>1168</v>
      </c>
      <c r="I1160" t="s">
        <v>1168</v>
      </c>
      <c r="J1160" t="s">
        <v>1243</v>
      </c>
      <c r="K1160" t="s">
        <v>1212</v>
      </c>
      <c r="M1160" s="3">
        <f t="shared" si="72"/>
        <v>87</v>
      </c>
      <c r="N1160">
        <v>84</v>
      </c>
      <c r="O1160">
        <v>89</v>
      </c>
      <c r="P1160">
        <v>90</v>
      </c>
      <c r="Q1160">
        <v>87</v>
      </c>
      <c r="R1160">
        <v>85</v>
      </c>
      <c r="S1160">
        <v>90</v>
      </c>
      <c r="T1160">
        <v>84</v>
      </c>
      <c r="U1160">
        <v>16</v>
      </c>
      <c r="V1160" s="3">
        <f t="shared" si="73"/>
        <v>37263513</v>
      </c>
      <c r="W1160">
        <v>3105292.75</v>
      </c>
      <c r="X1160">
        <v>0</v>
      </c>
      <c r="Y1160">
        <f t="shared" si="74"/>
        <v>3105292.75</v>
      </c>
      <c r="Z1160">
        <f t="shared" si="75"/>
        <v>0</v>
      </c>
      <c r="AA1160">
        <v>0</v>
      </c>
    </row>
    <row r="1161" spans="1:27" x14ac:dyDescent="0.25">
      <c r="A1161" s="1">
        <v>1160</v>
      </c>
      <c r="B1161" t="s">
        <v>1530</v>
      </c>
      <c r="C1161" t="s">
        <v>1135</v>
      </c>
      <c r="D1161" t="s">
        <v>1141</v>
      </c>
      <c r="E1161" t="s">
        <v>1142</v>
      </c>
      <c r="H1161" t="s">
        <v>1148</v>
      </c>
      <c r="I1161" t="s">
        <v>1148</v>
      </c>
      <c r="J1161" t="s">
        <v>1243</v>
      </c>
      <c r="K1161" t="s">
        <v>1212</v>
      </c>
      <c r="M1161" s="3">
        <f t="shared" si="72"/>
        <v>73.142857142857139</v>
      </c>
      <c r="N1161">
        <v>45</v>
      </c>
      <c r="O1161">
        <v>74</v>
      </c>
      <c r="P1161">
        <v>82</v>
      </c>
      <c r="Q1161">
        <v>80</v>
      </c>
      <c r="R1161">
        <v>84</v>
      </c>
      <c r="S1161">
        <v>76</v>
      </c>
      <c r="T1161">
        <v>71</v>
      </c>
      <c r="U1161">
        <v>0</v>
      </c>
      <c r="V1161" s="3">
        <f t="shared" si="73"/>
        <v>4382473</v>
      </c>
      <c r="W1161">
        <v>365206.08333333331</v>
      </c>
      <c r="X1161">
        <v>0</v>
      </c>
      <c r="Y1161">
        <f t="shared" si="74"/>
        <v>365206.08333333331</v>
      </c>
      <c r="Z1161">
        <f t="shared" si="75"/>
        <v>0</v>
      </c>
      <c r="AA1161">
        <v>0</v>
      </c>
    </row>
    <row r="1162" spans="1:27" x14ac:dyDescent="0.25">
      <c r="A1162" s="1">
        <v>1161</v>
      </c>
      <c r="B1162" t="s">
        <v>563</v>
      </c>
      <c r="C1162" t="s">
        <v>1135</v>
      </c>
      <c r="D1162" t="s">
        <v>1141</v>
      </c>
      <c r="E1162" t="s">
        <v>1142</v>
      </c>
      <c r="F1162" t="s">
        <v>1145</v>
      </c>
      <c r="G1162" t="s">
        <v>1190</v>
      </c>
      <c r="H1162" t="s">
        <v>1190</v>
      </c>
      <c r="I1162" t="s">
        <v>1190</v>
      </c>
      <c r="J1162" t="s">
        <v>1243</v>
      </c>
      <c r="K1162" t="s">
        <v>1212</v>
      </c>
      <c r="M1162" s="3">
        <f t="shared" si="72"/>
        <v>87.428571428571431</v>
      </c>
      <c r="N1162">
        <v>85</v>
      </c>
      <c r="O1162">
        <v>90</v>
      </c>
      <c r="P1162">
        <v>91</v>
      </c>
      <c r="Q1162">
        <v>84</v>
      </c>
      <c r="R1162">
        <v>88</v>
      </c>
      <c r="S1162">
        <v>86</v>
      </c>
      <c r="T1162">
        <v>88</v>
      </c>
      <c r="U1162">
        <v>5</v>
      </c>
      <c r="V1162" s="3">
        <f t="shared" si="73"/>
        <v>39140384</v>
      </c>
      <c r="W1162">
        <v>3261698.6666666665</v>
      </c>
      <c r="X1162">
        <v>0</v>
      </c>
      <c r="Y1162">
        <f t="shared" si="74"/>
        <v>3261698.6666666665</v>
      </c>
      <c r="Z1162">
        <f t="shared" si="75"/>
        <v>0</v>
      </c>
      <c r="AA1162">
        <v>0</v>
      </c>
    </row>
    <row r="1163" spans="1:27" x14ac:dyDescent="0.25">
      <c r="A1163" s="1">
        <v>1162</v>
      </c>
      <c r="B1163" t="s">
        <v>1528</v>
      </c>
      <c r="C1163" t="s">
        <v>1136</v>
      </c>
      <c r="D1163" t="s">
        <v>1143</v>
      </c>
      <c r="E1163" t="s">
        <v>1146</v>
      </c>
      <c r="H1163" t="s">
        <v>1148</v>
      </c>
      <c r="I1163" t="s">
        <v>1148</v>
      </c>
      <c r="J1163" t="s">
        <v>1243</v>
      </c>
      <c r="K1163" t="s">
        <v>1212</v>
      </c>
      <c r="M1163" s="3">
        <f t="shared" si="72"/>
        <v>71.285714285714292</v>
      </c>
      <c r="N1163">
        <v>34</v>
      </c>
      <c r="O1163">
        <v>80</v>
      </c>
      <c r="P1163">
        <v>80</v>
      </c>
      <c r="Q1163">
        <v>81</v>
      </c>
      <c r="R1163">
        <v>76</v>
      </c>
      <c r="S1163">
        <v>79</v>
      </c>
      <c r="T1163">
        <v>69</v>
      </c>
      <c r="U1163">
        <v>0</v>
      </c>
      <c r="V1163" s="3">
        <f t="shared" si="73"/>
        <v>3388638</v>
      </c>
      <c r="W1163">
        <v>282386.5</v>
      </c>
      <c r="X1163">
        <v>0</v>
      </c>
      <c r="Y1163">
        <f t="shared" si="74"/>
        <v>282386.5</v>
      </c>
      <c r="Z1163">
        <f t="shared" si="75"/>
        <v>0</v>
      </c>
      <c r="AA1163">
        <v>0</v>
      </c>
    </row>
    <row r="1164" spans="1:27" x14ac:dyDescent="0.25">
      <c r="A1164" s="1">
        <v>1163</v>
      </c>
      <c r="B1164" t="s">
        <v>1522</v>
      </c>
      <c r="C1164" t="s">
        <v>1136</v>
      </c>
      <c r="D1164" t="s">
        <v>1144</v>
      </c>
      <c r="E1164" t="s">
        <v>1143</v>
      </c>
      <c r="H1164" t="s">
        <v>1148</v>
      </c>
      <c r="I1164" t="s">
        <v>1148</v>
      </c>
      <c r="J1164" t="s">
        <v>1243</v>
      </c>
      <c r="K1164" t="s">
        <v>1212</v>
      </c>
      <c r="M1164" s="3">
        <f t="shared" si="72"/>
        <v>74.142857142857139</v>
      </c>
      <c r="N1164">
        <v>39</v>
      </c>
      <c r="O1164">
        <v>80</v>
      </c>
      <c r="P1164">
        <v>84</v>
      </c>
      <c r="Q1164">
        <v>82</v>
      </c>
      <c r="R1164">
        <v>81</v>
      </c>
      <c r="S1164">
        <v>80</v>
      </c>
      <c r="T1164">
        <v>73</v>
      </c>
      <c r="U1164">
        <v>0</v>
      </c>
      <c r="V1164" s="3">
        <f t="shared" si="73"/>
        <v>5019879</v>
      </c>
      <c r="W1164">
        <v>418323.25</v>
      </c>
      <c r="X1164">
        <v>0</v>
      </c>
      <c r="Y1164">
        <f t="shared" si="74"/>
        <v>418323.25</v>
      </c>
      <c r="Z1164">
        <f t="shared" si="75"/>
        <v>0</v>
      </c>
      <c r="AA1164">
        <v>0</v>
      </c>
    </row>
    <row r="1165" spans="1:27" x14ac:dyDescent="0.25">
      <c r="A1165" s="1">
        <v>1164</v>
      </c>
      <c r="B1165" t="s">
        <v>631</v>
      </c>
      <c r="C1165" t="s">
        <v>1136</v>
      </c>
      <c r="D1165" t="s">
        <v>1143</v>
      </c>
      <c r="E1165" t="s">
        <v>1145</v>
      </c>
      <c r="F1165" t="s">
        <v>1147</v>
      </c>
      <c r="G1165" t="s">
        <v>1148</v>
      </c>
      <c r="H1165" t="s">
        <v>1148</v>
      </c>
      <c r="I1165" t="s">
        <v>1148</v>
      </c>
      <c r="J1165" t="s">
        <v>1243</v>
      </c>
      <c r="K1165" t="s">
        <v>1212</v>
      </c>
      <c r="M1165" s="3">
        <f t="shared" si="72"/>
        <v>92.142857142857139</v>
      </c>
      <c r="N1165">
        <v>88</v>
      </c>
      <c r="O1165">
        <v>87</v>
      </c>
      <c r="P1165">
        <v>93</v>
      </c>
      <c r="Q1165">
        <v>99</v>
      </c>
      <c r="R1165">
        <v>92</v>
      </c>
      <c r="S1165">
        <v>90</v>
      </c>
      <c r="T1165">
        <v>96</v>
      </c>
      <c r="U1165">
        <v>17</v>
      </c>
      <c r="V1165" s="3">
        <f t="shared" si="73"/>
        <v>66177142</v>
      </c>
      <c r="W1165">
        <v>5514761.833333333</v>
      </c>
      <c r="X1165">
        <v>0</v>
      </c>
      <c r="Y1165">
        <f t="shared" si="74"/>
        <v>5514761.833333333</v>
      </c>
      <c r="Z1165">
        <f t="shared" si="75"/>
        <v>0</v>
      </c>
      <c r="AA1165">
        <v>0</v>
      </c>
    </row>
    <row r="1166" spans="1:27" x14ac:dyDescent="0.25">
      <c r="A1166" s="1">
        <v>1165</v>
      </c>
      <c r="B1166" t="s">
        <v>629</v>
      </c>
      <c r="C1166" t="s">
        <v>1136</v>
      </c>
      <c r="D1166" t="s">
        <v>1143</v>
      </c>
      <c r="E1166" t="s">
        <v>1145</v>
      </c>
      <c r="G1166" t="s">
        <v>1148</v>
      </c>
      <c r="H1166" t="s">
        <v>1148</v>
      </c>
      <c r="I1166" t="s">
        <v>1148</v>
      </c>
      <c r="J1166" t="s">
        <v>1243</v>
      </c>
      <c r="K1166" t="s">
        <v>1212</v>
      </c>
      <c r="M1166" s="3">
        <f t="shared" si="72"/>
        <v>92.857142857142861</v>
      </c>
      <c r="N1166">
        <v>90</v>
      </c>
      <c r="O1166">
        <v>88</v>
      </c>
      <c r="P1166">
        <v>98</v>
      </c>
      <c r="Q1166">
        <v>97</v>
      </c>
      <c r="R1166">
        <v>91</v>
      </c>
      <c r="S1166">
        <v>89</v>
      </c>
      <c r="T1166">
        <v>97</v>
      </c>
      <c r="U1166">
        <v>21</v>
      </c>
      <c r="V1166" s="3">
        <f t="shared" si="73"/>
        <v>71489857</v>
      </c>
      <c r="W1166">
        <v>5957488.083333333</v>
      </c>
      <c r="X1166">
        <v>0</v>
      </c>
      <c r="Y1166">
        <f t="shared" si="74"/>
        <v>5957488.083333333</v>
      </c>
      <c r="Z1166">
        <f t="shared" si="75"/>
        <v>0</v>
      </c>
      <c r="AA1166">
        <v>0</v>
      </c>
    </row>
    <row r="1167" spans="1:27" x14ac:dyDescent="0.25">
      <c r="A1167" s="1">
        <v>1166</v>
      </c>
      <c r="B1167" t="s">
        <v>1524</v>
      </c>
      <c r="C1167" t="s">
        <v>1136</v>
      </c>
      <c r="D1167" t="s">
        <v>1147</v>
      </c>
      <c r="E1167" t="s">
        <v>1145</v>
      </c>
      <c r="H1167" t="s">
        <v>1148</v>
      </c>
      <c r="I1167" t="s">
        <v>1148</v>
      </c>
      <c r="J1167" t="s">
        <v>1243</v>
      </c>
      <c r="K1167" t="s">
        <v>1212</v>
      </c>
      <c r="M1167" s="3">
        <f t="shared" si="72"/>
        <v>75</v>
      </c>
      <c r="N1167">
        <v>60</v>
      </c>
      <c r="O1167">
        <v>85</v>
      </c>
      <c r="P1167">
        <v>77</v>
      </c>
      <c r="Q1167">
        <v>81</v>
      </c>
      <c r="R1167">
        <v>75</v>
      </c>
      <c r="S1167">
        <v>79</v>
      </c>
      <c r="T1167">
        <v>68</v>
      </c>
      <c r="U1167">
        <v>0</v>
      </c>
      <c r="V1167" s="3">
        <f t="shared" si="73"/>
        <v>5631352</v>
      </c>
      <c r="W1167">
        <v>337656.83333333331</v>
      </c>
      <c r="X1167">
        <v>0</v>
      </c>
      <c r="Y1167">
        <f t="shared" si="74"/>
        <v>469279.33333333331</v>
      </c>
      <c r="Z1167">
        <f t="shared" si="75"/>
        <v>-28.05</v>
      </c>
      <c r="AA1167">
        <v>0</v>
      </c>
    </row>
    <row r="1168" spans="1:27" x14ac:dyDescent="0.25">
      <c r="A1168" s="1">
        <v>1167</v>
      </c>
      <c r="B1168" t="s">
        <v>1525</v>
      </c>
      <c r="C1168" t="s">
        <v>1136</v>
      </c>
      <c r="D1168" t="s">
        <v>1146</v>
      </c>
      <c r="E1168" t="s">
        <v>1143</v>
      </c>
      <c r="H1168" t="s">
        <v>1148</v>
      </c>
      <c r="I1168" t="s">
        <v>1148</v>
      </c>
      <c r="J1168" t="s">
        <v>1243</v>
      </c>
      <c r="K1168" t="s">
        <v>1212</v>
      </c>
      <c r="M1168" s="3">
        <f t="shared" si="72"/>
        <v>71.571428571428569</v>
      </c>
      <c r="N1168">
        <v>37</v>
      </c>
      <c r="O1168">
        <v>81</v>
      </c>
      <c r="P1168">
        <v>78</v>
      </c>
      <c r="Q1168">
        <v>80</v>
      </c>
      <c r="R1168">
        <v>76</v>
      </c>
      <c r="S1168">
        <v>80</v>
      </c>
      <c r="T1168">
        <v>69</v>
      </c>
      <c r="U1168">
        <v>0</v>
      </c>
      <c r="V1168" s="3">
        <f t="shared" si="73"/>
        <v>3526931</v>
      </c>
      <c r="W1168">
        <v>293910.91666666669</v>
      </c>
      <c r="X1168">
        <v>0</v>
      </c>
      <c r="Y1168">
        <f t="shared" si="74"/>
        <v>293910.91666666669</v>
      </c>
      <c r="Z1168">
        <f t="shared" si="75"/>
        <v>0</v>
      </c>
      <c r="AA1168">
        <v>0</v>
      </c>
    </row>
    <row r="1169" spans="1:27" x14ac:dyDescent="0.25">
      <c r="A1169" s="1">
        <v>1168</v>
      </c>
      <c r="B1169" t="s">
        <v>630</v>
      </c>
      <c r="C1169" t="s">
        <v>1136</v>
      </c>
      <c r="D1169" t="s">
        <v>1143</v>
      </c>
      <c r="E1169" t="s">
        <v>1147</v>
      </c>
      <c r="F1169" t="s">
        <v>1144</v>
      </c>
      <c r="G1169" t="s">
        <v>1148</v>
      </c>
      <c r="H1169" t="s">
        <v>1148</v>
      </c>
      <c r="I1169" t="s">
        <v>1148</v>
      </c>
      <c r="J1169" t="s">
        <v>1243</v>
      </c>
      <c r="K1169" t="s">
        <v>1212</v>
      </c>
      <c r="M1169" s="3">
        <f t="shared" si="72"/>
        <v>89.285714285714292</v>
      </c>
      <c r="N1169">
        <v>89</v>
      </c>
      <c r="O1169">
        <v>89</v>
      </c>
      <c r="P1169">
        <v>88</v>
      </c>
      <c r="Q1169">
        <v>97</v>
      </c>
      <c r="R1169">
        <v>88</v>
      </c>
      <c r="S1169">
        <v>85</v>
      </c>
      <c r="T1169">
        <v>89</v>
      </c>
      <c r="U1169">
        <v>22</v>
      </c>
      <c r="V1169" s="3">
        <f t="shared" si="73"/>
        <v>48295986</v>
      </c>
      <c r="W1169">
        <v>4024665.5</v>
      </c>
      <c r="X1169">
        <v>0</v>
      </c>
      <c r="Y1169">
        <f t="shared" si="74"/>
        <v>4024665.5</v>
      </c>
      <c r="Z1169">
        <f t="shared" si="75"/>
        <v>0</v>
      </c>
      <c r="AA1169">
        <v>0</v>
      </c>
    </row>
    <row r="1170" spans="1:27" x14ac:dyDescent="0.25">
      <c r="A1170" s="1">
        <v>1169</v>
      </c>
      <c r="B1170" t="s">
        <v>1526</v>
      </c>
      <c r="C1170" t="s">
        <v>1136</v>
      </c>
      <c r="D1170" t="s">
        <v>1143</v>
      </c>
      <c r="E1170" t="s">
        <v>1147</v>
      </c>
      <c r="H1170" t="s">
        <v>1148</v>
      </c>
      <c r="I1170" t="s">
        <v>1148</v>
      </c>
      <c r="J1170" t="s">
        <v>1243</v>
      </c>
      <c r="K1170" t="s">
        <v>1212</v>
      </c>
      <c r="M1170" s="3">
        <f t="shared" si="72"/>
        <v>73.428571428571431</v>
      </c>
      <c r="N1170">
        <v>41</v>
      </c>
      <c r="O1170">
        <v>79</v>
      </c>
      <c r="P1170">
        <v>83</v>
      </c>
      <c r="Q1170">
        <v>81</v>
      </c>
      <c r="R1170">
        <v>80</v>
      </c>
      <c r="S1170">
        <v>79</v>
      </c>
      <c r="T1170">
        <v>71</v>
      </c>
      <c r="U1170">
        <v>0</v>
      </c>
      <c r="V1170" s="3">
        <f t="shared" si="73"/>
        <v>4556704</v>
      </c>
      <c r="W1170">
        <v>379725.33333333331</v>
      </c>
      <c r="X1170">
        <v>0</v>
      </c>
      <c r="Y1170">
        <f t="shared" si="74"/>
        <v>379725.33333333331</v>
      </c>
      <c r="Z1170">
        <f t="shared" si="75"/>
        <v>0</v>
      </c>
      <c r="AA1170">
        <v>0</v>
      </c>
    </row>
    <row r="1171" spans="1:27" x14ac:dyDescent="0.25">
      <c r="A1171" s="1">
        <v>1170</v>
      </c>
      <c r="B1171" t="s">
        <v>719</v>
      </c>
      <c r="C1171" t="s">
        <v>1136</v>
      </c>
      <c r="D1171" t="s">
        <v>1143</v>
      </c>
      <c r="E1171" t="s">
        <v>1145</v>
      </c>
      <c r="F1171" t="s">
        <v>1146</v>
      </c>
      <c r="G1171" t="s">
        <v>1162</v>
      </c>
      <c r="H1171" t="s">
        <v>1162</v>
      </c>
      <c r="I1171" t="s">
        <v>1162</v>
      </c>
      <c r="J1171" t="s">
        <v>1243</v>
      </c>
      <c r="K1171" t="s">
        <v>1212</v>
      </c>
      <c r="M1171" s="3">
        <f t="shared" si="72"/>
        <v>86.714285714285708</v>
      </c>
      <c r="N1171">
        <v>86</v>
      </c>
      <c r="O1171">
        <v>82</v>
      </c>
      <c r="P1171">
        <v>94</v>
      </c>
      <c r="Q1171">
        <v>90</v>
      </c>
      <c r="R1171">
        <v>83</v>
      </c>
      <c r="S1171">
        <v>85</v>
      </c>
      <c r="T1171">
        <v>87</v>
      </c>
      <c r="U1171">
        <v>1</v>
      </c>
      <c r="V1171" s="3">
        <f t="shared" si="73"/>
        <v>36057680</v>
      </c>
      <c r="W1171">
        <v>3004806.6666666665</v>
      </c>
      <c r="X1171">
        <v>0</v>
      </c>
      <c r="Y1171">
        <f t="shared" si="74"/>
        <v>3004806.6666666665</v>
      </c>
      <c r="Z1171">
        <f t="shared" si="75"/>
        <v>0</v>
      </c>
      <c r="AA1171">
        <v>0</v>
      </c>
    </row>
    <row r="1172" spans="1:27" x14ac:dyDescent="0.25">
      <c r="A1172" s="1">
        <v>1171</v>
      </c>
      <c r="B1172" t="s">
        <v>1523</v>
      </c>
      <c r="C1172" t="s">
        <v>1136</v>
      </c>
      <c r="D1172" t="s">
        <v>1143</v>
      </c>
      <c r="E1172" t="s">
        <v>1145</v>
      </c>
      <c r="H1172" t="s">
        <v>1148</v>
      </c>
      <c r="I1172" t="s">
        <v>1148</v>
      </c>
      <c r="J1172" t="s">
        <v>1243</v>
      </c>
      <c r="K1172" t="s">
        <v>1212</v>
      </c>
      <c r="M1172" s="3">
        <f t="shared" si="72"/>
        <v>71</v>
      </c>
      <c r="N1172">
        <v>33</v>
      </c>
      <c r="O1172">
        <v>82</v>
      </c>
      <c r="P1172">
        <v>78</v>
      </c>
      <c r="Q1172">
        <v>81</v>
      </c>
      <c r="R1172">
        <v>75</v>
      </c>
      <c r="S1172">
        <v>78</v>
      </c>
      <c r="T1172">
        <v>70</v>
      </c>
      <c r="U1172">
        <v>0</v>
      </c>
      <c r="V1172" s="3">
        <f t="shared" si="73"/>
        <v>3255244</v>
      </c>
      <c r="W1172">
        <v>271270.33333333331</v>
      </c>
      <c r="X1172">
        <v>0</v>
      </c>
      <c r="Y1172">
        <f t="shared" si="74"/>
        <v>271270.33333333331</v>
      </c>
      <c r="Z1172">
        <f t="shared" si="75"/>
        <v>0</v>
      </c>
      <c r="AA1172">
        <v>0</v>
      </c>
    </row>
    <row r="1173" spans="1:27" x14ac:dyDescent="0.25">
      <c r="A1173" s="1">
        <v>1172</v>
      </c>
      <c r="B1173" t="s">
        <v>718</v>
      </c>
      <c r="C1173" t="s">
        <v>1136</v>
      </c>
      <c r="D1173" t="s">
        <v>1146</v>
      </c>
      <c r="E1173" t="s">
        <v>1147</v>
      </c>
      <c r="F1173" t="s">
        <v>1144</v>
      </c>
      <c r="G1173" t="s">
        <v>1162</v>
      </c>
      <c r="H1173" t="s">
        <v>1162</v>
      </c>
      <c r="I1173" t="s">
        <v>1162</v>
      </c>
      <c r="J1173" t="s">
        <v>1243</v>
      </c>
      <c r="K1173" t="s">
        <v>1212</v>
      </c>
      <c r="M1173" s="3">
        <f t="shared" si="72"/>
        <v>85.571428571428569</v>
      </c>
      <c r="N1173">
        <v>84</v>
      </c>
      <c r="O1173">
        <v>95</v>
      </c>
      <c r="P1173">
        <v>83</v>
      </c>
      <c r="Q1173">
        <v>88</v>
      </c>
      <c r="R1173">
        <v>84</v>
      </c>
      <c r="S1173">
        <v>80</v>
      </c>
      <c r="T1173">
        <v>85</v>
      </c>
      <c r="U1173">
        <v>23</v>
      </c>
      <c r="V1173" s="3">
        <f t="shared" si="73"/>
        <v>31577598</v>
      </c>
      <c r="W1173">
        <v>2631466.5</v>
      </c>
      <c r="X1173">
        <v>0</v>
      </c>
      <c r="Y1173">
        <f t="shared" si="74"/>
        <v>2631466.5</v>
      </c>
      <c r="Z1173">
        <f t="shared" si="75"/>
        <v>0</v>
      </c>
      <c r="AA1173">
        <v>0</v>
      </c>
    </row>
    <row r="1174" spans="1:27" x14ac:dyDescent="0.25">
      <c r="A1174" s="1">
        <v>1173</v>
      </c>
      <c r="B1174" t="s">
        <v>1529</v>
      </c>
      <c r="C1174" t="s">
        <v>1136</v>
      </c>
      <c r="D1174" t="s">
        <v>1147</v>
      </c>
      <c r="E1174" t="s">
        <v>1144</v>
      </c>
      <c r="H1174" t="s">
        <v>1148</v>
      </c>
      <c r="I1174" t="s">
        <v>1148</v>
      </c>
      <c r="J1174" t="s">
        <v>1243</v>
      </c>
      <c r="K1174" t="s">
        <v>1212</v>
      </c>
      <c r="M1174" s="3">
        <f t="shared" si="72"/>
        <v>71.142857142857139</v>
      </c>
      <c r="N1174">
        <v>40</v>
      </c>
      <c r="O1174">
        <v>79</v>
      </c>
      <c r="P1174">
        <v>78</v>
      </c>
      <c r="Q1174">
        <v>80</v>
      </c>
      <c r="R1174">
        <v>75</v>
      </c>
      <c r="S1174">
        <v>78</v>
      </c>
      <c r="T1174">
        <v>68</v>
      </c>
      <c r="U1174">
        <v>0</v>
      </c>
      <c r="V1174" s="3">
        <f t="shared" si="73"/>
        <v>3321338</v>
      </c>
      <c r="W1174">
        <v>276778.16666666669</v>
      </c>
      <c r="X1174">
        <v>0</v>
      </c>
      <c r="Y1174">
        <f t="shared" si="74"/>
        <v>276778.16666666669</v>
      </c>
      <c r="Z1174">
        <f t="shared" si="75"/>
        <v>0</v>
      </c>
      <c r="AA1174">
        <v>0</v>
      </c>
    </row>
    <row r="1175" spans="1:27" x14ac:dyDescent="0.25">
      <c r="A1175" s="1">
        <v>1174</v>
      </c>
      <c r="B1175" t="s">
        <v>1527</v>
      </c>
      <c r="C1175" t="s">
        <v>1136</v>
      </c>
      <c r="D1175" t="s">
        <v>1144</v>
      </c>
      <c r="E1175" t="s">
        <v>1138</v>
      </c>
      <c r="H1175" t="s">
        <v>1148</v>
      </c>
      <c r="I1175" t="s">
        <v>1148</v>
      </c>
      <c r="J1175" t="s">
        <v>1243</v>
      </c>
      <c r="K1175" t="s">
        <v>1212</v>
      </c>
      <c r="M1175" s="3">
        <f t="shared" si="72"/>
        <v>73</v>
      </c>
      <c r="N1175">
        <v>46</v>
      </c>
      <c r="O1175">
        <v>81</v>
      </c>
      <c r="P1175">
        <v>79</v>
      </c>
      <c r="Q1175">
        <v>80</v>
      </c>
      <c r="R1175">
        <v>77</v>
      </c>
      <c r="S1175">
        <v>78</v>
      </c>
      <c r="T1175">
        <v>70</v>
      </c>
      <c r="U1175">
        <v>0</v>
      </c>
      <c r="V1175" s="3">
        <f t="shared" si="73"/>
        <v>4297626</v>
      </c>
      <c r="W1175">
        <v>358135.5</v>
      </c>
      <c r="X1175">
        <v>0</v>
      </c>
      <c r="Y1175">
        <f t="shared" si="74"/>
        <v>358135.5</v>
      </c>
      <c r="Z1175">
        <f t="shared" si="75"/>
        <v>0</v>
      </c>
      <c r="AA1175">
        <v>0</v>
      </c>
    </row>
    <row r="1176" spans="1:27" x14ac:dyDescent="0.25">
      <c r="A1176" s="1">
        <v>1175</v>
      </c>
      <c r="B1176" t="s">
        <v>1096</v>
      </c>
      <c r="C1176" t="s">
        <v>1137</v>
      </c>
      <c r="D1176" t="s">
        <v>1137</v>
      </c>
      <c r="H1176" t="s">
        <v>1148</v>
      </c>
      <c r="I1176" t="s">
        <v>1148</v>
      </c>
      <c r="J1176" t="s">
        <v>1243</v>
      </c>
      <c r="K1176" t="s">
        <v>1212</v>
      </c>
      <c r="M1176" s="3">
        <f t="shared" si="72"/>
        <v>83.571428571428569</v>
      </c>
      <c r="N1176">
        <v>80</v>
      </c>
      <c r="O1176">
        <v>86</v>
      </c>
      <c r="P1176">
        <v>85</v>
      </c>
      <c r="Q1176">
        <v>86</v>
      </c>
      <c r="R1176">
        <v>83</v>
      </c>
      <c r="S1176">
        <v>80</v>
      </c>
      <c r="T1176">
        <v>85</v>
      </c>
      <c r="U1176">
        <v>0</v>
      </c>
      <c r="V1176" s="3">
        <f t="shared" si="73"/>
        <v>16617982</v>
      </c>
      <c r="W1176">
        <v>1384831.8333333333</v>
      </c>
      <c r="X1176">
        <v>0</v>
      </c>
      <c r="Y1176">
        <f t="shared" si="74"/>
        <v>1384831.8333333333</v>
      </c>
      <c r="Z1176">
        <f t="shared" si="75"/>
        <v>0</v>
      </c>
      <c r="AA1176">
        <v>0</v>
      </c>
    </row>
    <row r="1177" spans="1:27" x14ac:dyDescent="0.25">
      <c r="A1177" s="1">
        <v>1176</v>
      </c>
      <c r="B1177" t="s">
        <v>2550</v>
      </c>
      <c r="C1177" t="s">
        <v>1133</v>
      </c>
      <c r="D1177" t="s">
        <v>1133</v>
      </c>
      <c r="H1177" t="s">
        <v>1204</v>
      </c>
      <c r="I1177" t="s">
        <v>1204</v>
      </c>
      <c r="J1177" t="s">
        <v>1308</v>
      </c>
      <c r="K1177" t="s">
        <v>1212</v>
      </c>
      <c r="M1177" s="3">
        <f t="shared" si="72"/>
        <v>46.714285714285715</v>
      </c>
      <c r="N1177">
        <v>8</v>
      </c>
      <c r="O1177">
        <v>59</v>
      </c>
      <c r="P1177">
        <v>51</v>
      </c>
      <c r="Q1177">
        <v>58</v>
      </c>
      <c r="R1177">
        <v>60</v>
      </c>
      <c r="S1177">
        <v>62</v>
      </c>
      <c r="T1177">
        <v>29</v>
      </c>
      <c r="U1177">
        <v>0</v>
      </c>
      <c r="V1177" s="3">
        <f t="shared" si="73"/>
        <v>49488</v>
      </c>
      <c r="W1177">
        <v>4124</v>
      </c>
      <c r="X1177">
        <v>0</v>
      </c>
      <c r="Y1177">
        <f t="shared" si="74"/>
        <v>4124</v>
      </c>
      <c r="Z1177">
        <f t="shared" si="75"/>
        <v>0</v>
      </c>
      <c r="AA1177">
        <v>0</v>
      </c>
    </row>
    <row r="1178" spans="1:27" x14ac:dyDescent="0.25">
      <c r="A1178" s="1">
        <v>1177</v>
      </c>
      <c r="B1178" t="s">
        <v>2639</v>
      </c>
      <c r="C1178" t="s">
        <v>1133</v>
      </c>
      <c r="D1178" t="s">
        <v>1133</v>
      </c>
      <c r="H1178" t="s">
        <v>1204</v>
      </c>
      <c r="I1178" t="s">
        <v>1204</v>
      </c>
      <c r="J1178" t="s">
        <v>1308</v>
      </c>
      <c r="K1178" t="s">
        <v>1212</v>
      </c>
      <c r="M1178" s="3">
        <f t="shared" si="72"/>
        <v>49.142857142857146</v>
      </c>
      <c r="N1178">
        <v>10</v>
      </c>
      <c r="O1178">
        <v>62</v>
      </c>
      <c r="P1178">
        <v>54</v>
      </c>
      <c r="Q1178">
        <v>60</v>
      </c>
      <c r="R1178">
        <v>62</v>
      </c>
      <c r="S1178">
        <v>64</v>
      </c>
      <c r="T1178">
        <v>32</v>
      </c>
      <c r="U1178">
        <v>0</v>
      </c>
      <c r="V1178" s="3">
        <f t="shared" si="73"/>
        <v>82150</v>
      </c>
      <c r="W1178">
        <v>6845.833333333333</v>
      </c>
      <c r="X1178">
        <v>0</v>
      </c>
      <c r="Y1178">
        <f t="shared" si="74"/>
        <v>6845.833333333333</v>
      </c>
      <c r="Z1178">
        <f t="shared" si="75"/>
        <v>0</v>
      </c>
      <c r="AA1178">
        <v>0</v>
      </c>
    </row>
    <row r="1179" spans="1:27" x14ac:dyDescent="0.25">
      <c r="A1179" s="1">
        <v>1178</v>
      </c>
      <c r="B1179" t="s">
        <v>2323</v>
      </c>
      <c r="C1179" t="s">
        <v>1133</v>
      </c>
      <c r="D1179" t="s">
        <v>1133</v>
      </c>
      <c r="H1179" t="s">
        <v>1204</v>
      </c>
      <c r="I1179" t="s">
        <v>1204</v>
      </c>
      <c r="J1179" t="s">
        <v>1308</v>
      </c>
      <c r="K1179" t="s">
        <v>1212</v>
      </c>
      <c r="M1179" s="3">
        <f t="shared" si="72"/>
        <v>47.285714285714285</v>
      </c>
      <c r="N1179">
        <v>8</v>
      </c>
      <c r="O1179">
        <v>60</v>
      </c>
      <c r="P1179">
        <v>53</v>
      </c>
      <c r="Q1179">
        <v>58</v>
      </c>
      <c r="R1179">
        <v>60</v>
      </c>
      <c r="S1179">
        <v>62</v>
      </c>
      <c r="T1179">
        <v>30</v>
      </c>
      <c r="U1179">
        <v>0</v>
      </c>
      <c r="V1179" s="3">
        <f t="shared" si="73"/>
        <v>55886</v>
      </c>
      <c r="W1179">
        <v>4657.166666666667</v>
      </c>
      <c r="X1179">
        <v>0</v>
      </c>
      <c r="Y1179">
        <f t="shared" si="74"/>
        <v>4657.166666666667</v>
      </c>
      <c r="Z1179">
        <f t="shared" si="75"/>
        <v>0</v>
      </c>
      <c r="AA1179">
        <v>0</v>
      </c>
    </row>
    <row r="1180" spans="1:27" x14ac:dyDescent="0.25">
      <c r="A1180" s="1">
        <v>1179</v>
      </c>
      <c r="B1180" t="s">
        <v>1309</v>
      </c>
      <c r="C1180" t="s">
        <v>1134</v>
      </c>
      <c r="D1180" t="s">
        <v>1138</v>
      </c>
      <c r="G1180" t="s">
        <v>1204</v>
      </c>
      <c r="H1180" t="s">
        <v>1204</v>
      </c>
      <c r="I1180" t="s">
        <v>1204</v>
      </c>
      <c r="J1180" t="s">
        <v>1308</v>
      </c>
      <c r="K1180" t="s">
        <v>1212</v>
      </c>
      <c r="M1180" s="3">
        <f t="shared" si="72"/>
        <v>37.714285714285715</v>
      </c>
      <c r="N1180">
        <v>20</v>
      </c>
      <c r="O1180">
        <v>30</v>
      </c>
      <c r="P1180">
        <v>40</v>
      </c>
      <c r="Q1180">
        <v>42</v>
      </c>
      <c r="R1180">
        <v>55</v>
      </c>
      <c r="S1180">
        <v>56</v>
      </c>
      <c r="T1180">
        <v>21</v>
      </c>
      <c r="U1180">
        <v>0</v>
      </c>
      <c r="V1180" s="3">
        <f t="shared" si="73"/>
        <v>5822</v>
      </c>
      <c r="W1180">
        <v>485.16666666666669</v>
      </c>
      <c r="X1180">
        <v>0</v>
      </c>
      <c r="Y1180">
        <f t="shared" si="74"/>
        <v>485.16666666666669</v>
      </c>
      <c r="Z1180">
        <f t="shared" si="75"/>
        <v>0</v>
      </c>
      <c r="AA1180">
        <v>0</v>
      </c>
    </row>
    <row r="1181" spans="1:27" x14ac:dyDescent="0.25">
      <c r="A1181" s="1">
        <v>1180</v>
      </c>
      <c r="B1181" t="s">
        <v>2312</v>
      </c>
      <c r="C1181" t="s">
        <v>1134</v>
      </c>
      <c r="D1181" t="s">
        <v>1140</v>
      </c>
      <c r="E1181" t="s">
        <v>1139</v>
      </c>
      <c r="H1181" t="s">
        <v>1204</v>
      </c>
      <c r="I1181" t="s">
        <v>1204</v>
      </c>
      <c r="J1181" t="s">
        <v>1308</v>
      </c>
      <c r="K1181" t="s">
        <v>1212</v>
      </c>
      <c r="M1181" s="3">
        <f t="shared" si="72"/>
        <v>46.857142857142854</v>
      </c>
      <c r="N1181">
        <v>7</v>
      </c>
      <c r="O1181">
        <v>60</v>
      </c>
      <c r="P1181">
        <v>53</v>
      </c>
      <c r="Q1181">
        <v>58</v>
      </c>
      <c r="R1181">
        <v>60</v>
      </c>
      <c r="S1181">
        <v>62</v>
      </c>
      <c r="T1181">
        <v>28</v>
      </c>
      <c r="U1181">
        <v>0</v>
      </c>
      <c r="V1181" s="3">
        <f t="shared" si="73"/>
        <v>51023</v>
      </c>
      <c r="W1181">
        <v>4251.916666666667</v>
      </c>
      <c r="X1181">
        <v>0</v>
      </c>
      <c r="Y1181">
        <f t="shared" si="74"/>
        <v>4251.916666666667</v>
      </c>
      <c r="Z1181">
        <f t="shared" si="75"/>
        <v>0</v>
      </c>
      <c r="AA1181">
        <v>0</v>
      </c>
    </row>
    <row r="1182" spans="1:27" x14ac:dyDescent="0.25">
      <c r="A1182" s="1">
        <v>1181</v>
      </c>
      <c r="B1182" t="s">
        <v>2310</v>
      </c>
      <c r="C1182" t="s">
        <v>1134</v>
      </c>
      <c r="D1182" t="s">
        <v>1138</v>
      </c>
      <c r="E1182" t="s">
        <v>1139</v>
      </c>
      <c r="H1182" t="s">
        <v>1204</v>
      </c>
      <c r="I1182" t="s">
        <v>1204</v>
      </c>
      <c r="J1182" t="s">
        <v>1308</v>
      </c>
      <c r="K1182" t="s">
        <v>1212</v>
      </c>
      <c r="M1182" s="3">
        <f t="shared" si="72"/>
        <v>51.857142857142854</v>
      </c>
      <c r="N1182">
        <v>12</v>
      </c>
      <c r="O1182">
        <v>66</v>
      </c>
      <c r="P1182">
        <v>58</v>
      </c>
      <c r="Q1182">
        <v>62</v>
      </c>
      <c r="R1182">
        <v>64</v>
      </c>
      <c r="S1182">
        <v>66</v>
      </c>
      <c r="T1182">
        <v>35</v>
      </c>
      <c r="U1182">
        <v>0</v>
      </c>
      <c r="V1182" s="3">
        <f t="shared" si="73"/>
        <v>140633</v>
      </c>
      <c r="W1182">
        <v>11719.416666666666</v>
      </c>
      <c r="X1182">
        <v>0</v>
      </c>
      <c r="Y1182">
        <f t="shared" si="74"/>
        <v>11719.416666666666</v>
      </c>
      <c r="Z1182">
        <f t="shared" si="75"/>
        <v>0</v>
      </c>
      <c r="AA1182">
        <v>0</v>
      </c>
    </row>
    <row r="1183" spans="1:27" x14ac:dyDescent="0.25">
      <c r="A1183" s="1">
        <v>1182</v>
      </c>
      <c r="B1183" t="s">
        <v>2313</v>
      </c>
      <c r="C1183" t="s">
        <v>1134</v>
      </c>
      <c r="D1183" t="s">
        <v>1139</v>
      </c>
      <c r="E1183" t="s">
        <v>1138</v>
      </c>
      <c r="H1183" t="s">
        <v>1204</v>
      </c>
      <c r="I1183" t="s">
        <v>1204</v>
      </c>
      <c r="J1183" t="s">
        <v>1308</v>
      </c>
      <c r="K1183" t="s">
        <v>1212</v>
      </c>
      <c r="M1183" s="3">
        <f t="shared" si="72"/>
        <v>50.857142857142854</v>
      </c>
      <c r="N1183">
        <v>11</v>
      </c>
      <c r="O1183">
        <v>65</v>
      </c>
      <c r="P1183">
        <v>57</v>
      </c>
      <c r="Q1183">
        <v>61</v>
      </c>
      <c r="R1183">
        <v>63</v>
      </c>
      <c r="S1183">
        <v>65</v>
      </c>
      <c r="T1183">
        <v>34</v>
      </c>
      <c r="U1183">
        <v>0</v>
      </c>
      <c r="V1183" s="3">
        <f t="shared" si="73"/>
        <v>115750</v>
      </c>
      <c r="W1183">
        <v>9645.8333333333339</v>
      </c>
      <c r="X1183">
        <v>0</v>
      </c>
      <c r="Y1183">
        <f t="shared" si="74"/>
        <v>9645.8333333333339</v>
      </c>
      <c r="Z1183">
        <f t="shared" si="75"/>
        <v>0</v>
      </c>
      <c r="AA1183">
        <v>0</v>
      </c>
    </row>
    <row r="1184" spans="1:27" x14ac:dyDescent="0.25">
      <c r="A1184" s="1">
        <v>1183</v>
      </c>
      <c r="B1184" t="s">
        <v>2309</v>
      </c>
      <c r="C1184" t="s">
        <v>1134</v>
      </c>
      <c r="D1184" t="s">
        <v>1138</v>
      </c>
      <c r="E1184" t="s">
        <v>1144</v>
      </c>
      <c r="H1184" t="s">
        <v>1204</v>
      </c>
      <c r="I1184" t="s">
        <v>1204</v>
      </c>
      <c r="J1184" t="s">
        <v>1308</v>
      </c>
      <c r="K1184" t="s">
        <v>1212</v>
      </c>
      <c r="M1184" s="3">
        <f t="shared" si="72"/>
        <v>43.857142857142854</v>
      </c>
      <c r="N1184">
        <v>6</v>
      </c>
      <c r="O1184">
        <v>56</v>
      </c>
      <c r="P1184">
        <v>49</v>
      </c>
      <c r="Q1184">
        <v>55</v>
      </c>
      <c r="R1184">
        <v>57</v>
      </c>
      <c r="S1184">
        <v>59</v>
      </c>
      <c r="T1184">
        <v>25</v>
      </c>
      <c r="U1184">
        <v>0</v>
      </c>
      <c r="V1184" s="3">
        <f t="shared" si="73"/>
        <v>26328</v>
      </c>
      <c r="W1184">
        <v>2194</v>
      </c>
      <c r="X1184">
        <v>0</v>
      </c>
      <c r="Y1184">
        <f t="shared" si="74"/>
        <v>2194</v>
      </c>
      <c r="Z1184">
        <f t="shared" si="75"/>
        <v>0</v>
      </c>
      <c r="AA1184">
        <v>0</v>
      </c>
    </row>
    <row r="1185" spans="1:27" x14ac:dyDescent="0.25">
      <c r="A1185" s="1">
        <v>1184</v>
      </c>
      <c r="B1185" t="s">
        <v>2311</v>
      </c>
      <c r="C1185" t="s">
        <v>1134</v>
      </c>
      <c r="D1185" t="s">
        <v>1140</v>
      </c>
      <c r="E1185" t="s">
        <v>1138</v>
      </c>
      <c r="H1185" t="s">
        <v>1204</v>
      </c>
      <c r="I1185" t="s">
        <v>1204</v>
      </c>
      <c r="J1185" t="s">
        <v>1308</v>
      </c>
      <c r="K1185" t="s">
        <v>1212</v>
      </c>
      <c r="M1185" s="3">
        <f t="shared" si="72"/>
        <v>49.285714285714285</v>
      </c>
      <c r="N1185">
        <v>9</v>
      </c>
      <c r="O1185">
        <v>64</v>
      </c>
      <c r="P1185">
        <v>55</v>
      </c>
      <c r="Q1185">
        <v>60</v>
      </c>
      <c r="R1185">
        <v>62</v>
      </c>
      <c r="S1185">
        <v>64</v>
      </c>
      <c r="T1185">
        <v>31</v>
      </c>
      <c r="U1185">
        <v>0</v>
      </c>
      <c r="V1185" s="3">
        <f t="shared" si="73"/>
        <v>84569</v>
      </c>
      <c r="W1185">
        <v>7047.416666666667</v>
      </c>
      <c r="X1185">
        <v>0</v>
      </c>
      <c r="Y1185">
        <f t="shared" si="74"/>
        <v>7047.416666666667</v>
      </c>
      <c r="Z1185">
        <f t="shared" si="75"/>
        <v>0</v>
      </c>
      <c r="AA1185">
        <v>0</v>
      </c>
    </row>
    <row r="1186" spans="1:27" x14ac:dyDescent="0.25">
      <c r="A1186" s="1">
        <v>1185</v>
      </c>
      <c r="B1186" t="s">
        <v>2320</v>
      </c>
      <c r="C1186" t="s">
        <v>1135</v>
      </c>
      <c r="D1186" t="s">
        <v>1142</v>
      </c>
      <c r="E1186" t="s">
        <v>1141</v>
      </c>
      <c r="H1186" t="s">
        <v>1204</v>
      </c>
      <c r="I1186" t="s">
        <v>1204</v>
      </c>
      <c r="J1186" t="s">
        <v>1308</v>
      </c>
      <c r="K1186" t="s">
        <v>1212</v>
      </c>
      <c r="M1186" s="3">
        <f t="shared" si="72"/>
        <v>56.428571428571431</v>
      </c>
      <c r="N1186">
        <v>14</v>
      </c>
      <c r="O1186">
        <v>70</v>
      </c>
      <c r="P1186">
        <v>63</v>
      </c>
      <c r="Q1186">
        <v>68</v>
      </c>
      <c r="R1186">
        <v>70</v>
      </c>
      <c r="S1186">
        <v>72</v>
      </c>
      <c r="T1186">
        <v>38</v>
      </c>
      <c r="U1186">
        <v>0</v>
      </c>
      <c r="V1186" s="3">
        <f t="shared" si="73"/>
        <v>327334</v>
      </c>
      <c r="W1186">
        <v>27277.833333333332</v>
      </c>
      <c r="X1186">
        <v>0</v>
      </c>
      <c r="Y1186">
        <f t="shared" si="74"/>
        <v>27277.833333333332</v>
      </c>
      <c r="Z1186">
        <f t="shared" si="75"/>
        <v>0</v>
      </c>
      <c r="AA1186">
        <v>0</v>
      </c>
    </row>
    <row r="1187" spans="1:27" x14ac:dyDescent="0.25">
      <c r="A1187" s="1">
        <v>1186</v>
      </c>
      <c r="B1187" t="s">
        <v>2321</v>
      </c>
      <c r="C1187" t="s">
        <v>1135</v>
      </c>
      <c r="D1187" t="s">
        <v>1142</v>
      </c>
      <c r="E1187" t="s">
        <v>1141</v>
      </c>
      <c r="H1187" t="s">
        <v>1204</v>
      </c>
      <c r="I1187" t="s">
        <v>1204</v>
      </c>
      <c r="J1187" t="s">
        <v>1308</v>
      </c>
      <c r="K1187" t="s">
        <v>1212</v>
      </c>
      <c r="M1187" s="3">
        <f t="shared" si="72"/>
        <v>51.428571428571431</v>
      </c>
      <c r="N1187">
        <v>10</v>
      </c>
      <c r="O1187">
        <v>65</v>
      </c>
      <c r="P1187">
        <v>58</v>
      </c>
      <c r="Q1187">
        <v>63</v>
      </c>
      <c r="R1187">
        <v>65</v>
      </c>
      <c r="S1187">
        <v>67</v>
      </c>
      <c r="T1187">
        <v>32</v>
      </c>
      <c r="U1187">
        <v>0</v>
      </c>
      <c r="V1187" s="3">
        <f t="shared" si="73"/>
        <v>129433</v>
      </c>
      <c r="W1187">
        <v>10786.083333333334</v>
      </c>
      <c r="X1187">
        <v>0</v>
      </c>
      <c r="Y1187">
        <f t="shared" si="74"/>
        <v>10786.083333333334</v>
      </c>
      <c r="Z1187">
        <f t="shared" si="75"/>
        <v>0</v>
      </c>
      <c r="AA1187">
        <v>0</v>
      </c>
    </row>
    <row r="1188" spans="1:27" x14ac:dyDescent="0.25">
      <c r="A1188" s="1">
        <v>1187</v>
      </c>
      <c r="B1188" t="s">
        <v>2597</v>
      </c>
      <c r="C1188" t="s">
        <v>1135</v>
      </c>
      <c r="D1188" t="s">
        <v>1141</v>
      </c>
      <c r="E1188" t="s">
        <v>1142</v>
      </c>
      <c r="G1188" t="s">
        <v>1204</v>
      </c>
      <c r="H1188" t="s">
        <v>1204</v>
      </c>
      <c r="I1188" t="s">
        <v>1204</v>
      </c>
      <c r="J1188" t="s">
        <v>1308</v>
      </c>
      <c r="K1188" t="s">
        <v>1212</v>
      </c>
      <c r="M1188" s="3">
        <f t="shared" si="72"/>
        <v>60.285714285714285</v>
      </c>
      <c r="N1188">
        <v>15</v>
      </c>
      <c r="O1188">
        <v>70</v>
      </c>
      <c r="P1188">
        <v>75</v>
      </c>
      <c r="Q1188">
        <v>70</v>
      </c>
      <c r="R1188">
        <v>72</v>
      </c>
      <c r="S1188">
        <v>75</v>
      </c>
      <c r="T1188">
        <v>45</v>
      </c>
      <c r="U1188">
        <v>0</v>
      </c>
      <c r="V1188" s="3">
        <f t="shared" si="73"/>
        <v>634081</v>
      </c>
      <c r="W1188">
        <v>52840.083333333336</v>
      </c>
      <c r="X1188">
        <v>0</v>
      </c>
      <c r="Y1188">
        <f t="shared" si="74"/>
        <v>52840.083333333336</v>
      </c>
      <c r="Z1188">
        <f t="shared" si="75"/>
        <v>0</v>
      </c>
      <c r="AA1188">
        <v>0</v>
      </c>
    </row>
    <row r="1189" spans="1:27" x14ac:dyDescent="0.25">
      <c r="A1189" s="1">
        <v>1188</v>
      </c>
      <c r="B1189" t="s">
        <v>2315</v>
      </c>
      <c r="C1189" t="s">
        <v>1136</v>
      </c>
      <c r="D1189" t="s">
        <v>1143</v>
      </c>
      <c r="E1189" t="s">
        <v>1144</v>
      </c>
      <c r="H1189" t="s">
        <v>1204</v>
      </c>
      <c r="I1189" t="s">
        <v>1204</v>
      </c>
      <c r="J1189" t="s">
        <v>1308</v>
      </c>
      <c r="K1189" t="s">
        <v>1212</v>
      </c>
      <c r="M1189" s="3">
        <f t="shared" si="72"/>
        <v>54.714285714285715</v>
      </c>
      <c r="N1189">
        <v>13</v>
      </c>
      <c r="O1189">
        <v>68</v>
      </c>
      <c r="P1189">
        <v>61</v>
      </c>
      <c r="Q1189">
        <v>66</v>
      </c>
      <c r="R1189">
        <v>68</v>
      </c>
      <c r="S1189">
        <v>70</v>
      </c>
      <c r="T1189">
        <v>37</v>
      </c>
      <c r="U1189">
        <v>0</v>
      </c>
      <c r="V1189" s="3">
        <f t="shared" si="73"/>
        <v>240441</v>
      </c>
      <c r="W1189">
        <v>20036.75</v>
      </c>
      <c r="X1189">
        <v>0</v>
      </c>
      <c r="Y1189">
        <f t="shared" si="74"/>
        <v>20036.75</v>
      </c>
      <c r="Z1189">
        <f t="shared" si="75"/>
        <v>0</v>
      </c>
      <c r="AA1189">
        <v>0</v>
      </c>
    </row>
    <row r="1190" spans="1:27" x14ac:dyDescent="0.25">
      <c r="A1190" s="1">
        <v>1189</v>
      </c>
      <c r="B1190" t="s">
        <v>2319</v>
      </c>
      <c r="C1190" t="s">
        <v>1136</v>
      </c>
      <c r="D1190" t="s">
        <v>1147</v>
      </c>
      <c r="E1190" t="s">
        <v>1146</v>
      </c>
      <c r="H1190" t="s">
        <v>1204</v>
      </c>
      <c r="I1190" t="s">
        <v>1204</v>
      </c>
      <c r="J1190" t="s">
        <v>1308</v>
      </c>
      <c r="K1190" t="s">
        <v>1212</v>
      </c>
      <c r="M1190" s="3">
        <f t="shared" si="72"/>
        <v>52.571428571428569</v>
      </c>
      <c r="N1190">
        <v>11</v>
      </c>
      <c r="O1190">
        <v>66</v>
      </c>
      <c r="P1190">
        <v>59</v>
      </c>
      <c r="Q1190">
        <v>64</v>
      </c>
      <c r="R1190">
        <v>66</v>
      </c>
      <c r="S1190">
        <v>68</v>
      </c>
      <c r="T1190">
        <v>34</v>
      </c>
      <c r="U1190">
        <v>0</v>
      </c>
      <c r="V1190" s="3">
        <f t="shared" si="73"/>
        <v>161250</v>
      </c>
      <c r="W1190">
        <v>13437.5</v>
      </c>
      <c r="X1190">
        <v>0</v>
      </c>
      <c r="Y1190">
        <f t="shared" si="74"/>
        <v>13437.5</v>
      </c>
      <c r="Z1190">
        <f t="shared" si="75"/>
        <v>0</v>
      </c>
      <c r="AA1190">
        <v>0</v>
      </c>
    </row>
    <row r="1191" spans="1:27" x14ac:dyDescent="0.25">
      <c r="A1191" s="1">
        <v>1190</v>
      </c>
      <c r="B1191" t="s">
        <v>2322</v>
      </c>
      <c r="C1191" t="s">
        <v>1136</v>
      </c>
      <c r="D1191" t="s">
        <v>1147</v>
      </c>
      <c r="E1191" t="s">
        <v>1145</v>
      </c>
      <c r="G1191" t="s">
        <v>1204</v>
      </c>
      <c r="H1191" t="s">
        <v>1204</v>
      </c>
      <c r="I1191" t="s">
        <v>1204</v>
      </c>
      <c r="J1191" t="s">
        <v>1308</v>
      </c>
      <c r="K1191" t="s">
        <v>1212</v>
      </c>
      <c r="M1191" s="3">
        <f t="shared" si="72"/>
        <v>59</v>
      </c>
      <c r="N1191">
        <v>14</v>
      </c>
      <c r="O1191">
        <v>68</v>
      </c>
      <c r="P1191">
        <v>72</v>
      </c>
      <c r="Q1191">
        <v>70</v>
      </c>
      <c r="R1191">
        <v>72</v>
      </c>
      <c r="S1191">
        <v>74</v>
      </c>
      <c r="T1191">
        <v>43</v>
      </c>
      <c r="U1191">
        <v>0</v>
      </c>
      <c r="V1191" s="3">
        <f t="shared" si="73"/>
        <v>511117</v>
      </c>
      <c r="W1191">
        <v>42593.083333333336</v>
      </c>
      <c r="X1191">
        <v>0</v>
      </c>
      <c r="Y1191">
        <f t="shared" si="74"/>
        <v>42593.083333333336</v>
      </c>
      <c r="Z1191">
        <f t="shared" si="75"/>
        <v>0</v>
      </c>
      <c r="AA1191">
        <v>0</v>
      </c>
    </row>
    <row r="1192" spans="1:27" x14ac:dyDescent="0.25">
      <c r="A1192" s="1">
        <v>1191</v>
      </c>
      <c r="B1192" t="s">
        <v>2314</v>
      </c>
      <c r="C1192" t="s">
        <v>1136</v>
      </c>
      <c r="D1192" t="s">
        <v>1144</v>
      </c>
      <c r="E1192" t="s">
        <v>1143</v>
      </c>
      <c r="H1192" t="s">
        <v>1204</v>
      </c>
      <c r="I1192" t="s">
        <v>1204</v>
      </c>
      <c r="J1192" t="s">
        <v>1308</v>
      </c>
      <c r="K1192" t="s">
        <v>1212</v>
      </c>
      <c r="M1192" s="3">
        <f t="shared" si="72"/>
        <v>49.857142857142854</v>
      </c>
      <c r="N1192">
        <v>9</v>
      </c>
      <c r="O1192">
        <v>63</v>
      </c>
      <c r="P1192">
        <v>55</v>
      </c>
      <c r="Q1192">
        <v>62</v>
      </c>
      <c r="R1192">
        <v>64</v>
      </c>
      <c r="S1192">
        <v>66</v>
      </c>
      <c r="T1192">
        <v>30</v>
      </c>
      <c r="U1192">
        <v>0</v>
      </c>
      <c r="V1192" s="3">
        <f t="shared" si="73"/>
        <v>94902</v>
      </c>
      <c r="W1192">
        <v>7908.5</v>
      </c>
      <c r="X1192">
        <v>0</v>
      </c>
      <c r="Y1192">
        <f t="shared" si="74"/>
        <v>7908.5</v>
      </c>
      <c r="Z1192">
        <f t="shared" si="75"/>
        <v>0</v>
      </c>
      <c r="AA1192">
        <v>0</v>
      </c>
    </row>
    <row r="1193" spans="1:27" x14ac:dyDescent="0.25">
      <c r="A1193" s="1">
        <v>1192</v>
      </c>
      <c r="B1193" t="s">
        <v>2318</v>
      </c>
      <c r="C1193" t="s">
        <v>1136</v>
      </c>
      <c r="D1193" t="s">
        <v>1147</v>
      </c>
      <c r="E1193" t="s">
        <v>1145</v>
      </c>
      <c r="H1193" t="s">
        <v>1204</v>
      </c>
      <c r="I1193" t="s">
        <v>1204</v>
      </c>
      <c r="J1193" t="s">
        <v>1308</v>
      </c>
      <c r="K1193" t="s">
        <v>1212</v>
      </c>
      <c r="M1193" s="3">
        <f t="shared" si="72"/>
        <v>46.285714285714285</v>
      </c>
      <c r="N1193">
        <v>7</v>
      </c>
      <c r="O1193">
        <v>59</v>
      </c>
      <c r="P1193">
        <v>52</v>
      </c>
      <c r="Q1193">
        <v>58</v>
      </c>
      <c r="R1193">
        <v>60</v>
      </c>
      <c r="S1193">
        <v>62</v>
      </c>
      <c r="T1193">
        <v>26</v>
      </c>
      <c r="U1193">
        <v>0</v>
      </c>
      <c r="V1193" s="3">
        <f t="shared" si="73"/>
        <v>45131</v>
      </c>
      <c r="W1193">
        <v>3760.9166666666665</v>
      </c>
      <c r="X1193">
        <v>0</v>
      </c>
      <c r="Y1193">
        <f t="shared" si="74"/>
        <v>3760.9166666666665</v>
      </c>
      <c r="Z1193">
        <f t="shared" si="75"/>
        <v>0</v>
      </c>
      <c r="AA1193">
        <v>0</v>
      </c>
    </row>
    <row r="1194" spans="1:27" x14ac:dyDescent="0.25">
      <c r="A1194" s="1">
        <v>1193</v>
      </c>
      <c r="B1194" t="s">
        <v>2316</v>
      </c>
      <c r="C1194" t="s">
        <v>1136</v>
      </c>
      <c r="D1194" t="s">
        <v>1145</v>
      </c>
      <c r="E1194" t="s">
        <v>1143</v>
      </c>
      <c r="H1194" t="s">
        <v>1204</v>
      </c>
      <c r="I1194" t="s">
        <v>1204</v>
      </c>
      <c r="J1194" t="s">
        <v>1308</v>
      </c>
      <c r="K1194" t="s">
        <v>1212</v>
      </c>
      <c r="M1194" s="3">
        <f t="shared" si="72"/>
        <v>44.428571428571431</v>
      </c>
      <c r="N1194">
        <v>6</v>
      </c>
      <c r="O1194">
        <v>55</v>
      </c>
      <c r="P1194">
        <v>49</v>
      </c>
      <c r="Q1194">
        <v>57</v>
      </c>
      <c r="R1194">
        <v>59</v>
      </c>
      <c r="S1194">
        <v>61</v>
      </c>
      <c r="T1194">
        <v>24</v>
      </c>
      <c r="U1194">
        <v>0</v>
      </c>
      <c r="V1194" s="3">
        <f t="shared" si="73"/>
        <v>29966</v>
      </c>
      <c r="W1194">
        <v>2497.1666666666665</v>
      </c>
      <c r="X1194">
        <v>0</v>
      </c>
      <c r="Y1194">
        <f t="shared" si="74"/>
        <v>2497.1666666666665</v>
      </c>
      <c r="Z1194">
        <f t="shared" si="75"/>
        <v>0</v>
      </c>
      <c r="AA1194">
        <v>0</v>
      </c>
    </row>
    <row r="1195" spans="1:27" x14ac:dyDescent="0.25">
      <c r="A1195" s="1">
        <v>1194</v>
      </c>
      <c r="B1195" t="s">
        <v>2317</v>
      </c>
      <c r="C1195" t="s">
        <v>1136</v>
      </c>
      <c r="D1195" t="s">
        <v>1146</v>
      </c>
      <c r="E1195" t="s">
        <v>1144</v>
      </c>
      <c r="H1195" t="s">
        <v>1204</v>
      </c>
      <c r="I1195" t="s">
        <v>1204</v>
      </c>
      <c r="J1195" t="s">
        <v>1308</v>
      </c>
      <c r="K1195" t="s">
        <v>1212</v>
      </c>
      <c r="M1195" s="3">
        <f t="shared" si="72"/>
        <v>50.857142857142854</v>
      </c>
      <c r="N1195">
        <v>10</v>
      </c>
      <c r="O1195">
        <v>64</v>
      </c>
      <c r="P1195">
        <v>57</v>
      </c>
      <c r="Q1195">
        <v>62</v>
      </c>
      <c r="R1195">
        <v>64</v>
      </c>
      <c r="S1195">
        <v>66</v>
      </c>
      <c r="T1195">
        <v>33</v>
      </c>
      <c r="U1195">
        <v>0</v>
      </c>
      <c r="V1195" s="3">
        <f t="shared" si="73"/>
        <v>115750</v>
      </c>
      <c r="W1195">
        <v>9645.8333333333339</v>
      </c>
      <c r="X1195">
        <v>0</v>
      </c>
      <c r="Y1195">
        <f t="shared" si="74"/>
        <v>9645.8333333333339</v>
      </c>
      <c r="Z1195">
        <f t="shared" si="75"/>
        <v>0</v>
      </c>
      <c r="AA1195">
        <v>0</v>
      </c>
    </row>
    <row r="1196" spans="1:27" x14ac:dyDescent="0.25">
      <c r="A1196" s="1">
        <v>1195</v>
      </c>
      <c r="B1196" t="s">
        <v>2308</v>
      </c>
      <c r="C1196" t="s">
        <v>1137</v>
      </c>
      <c r="D1196" t="s">
        <v>1137</v>
      </c>
      <c r="H1196" t="s">
        <v>1204</v>
      </c>
      <c r="I1196" t="s">
        <v>1204</v>
      </c>
      <c r="J1196" t="s">
        <v>1308</v>
      </c>
      <c r="K1196" t="s">
        <v>1212</v>
      </c>
      <c r="M1196" s="3">
        <f t="shared" si="72"/>
        <v>47.714285714285715</v>
      </c>
      <c r="N1196">
        <v>9</v>
      </c>
      <c r="O1196">
        <v>60</v>
      </c>
      <c r="P1196">
        <v>52</v>
      </c>
      <c r="Q1196">
        <v>59</v>
      </c>
      <c r="R1196">
        <v>61</v>
      </c>
      <c r="S1196">
        <v>63</v>
      </c>
      <c r="T1196">
        <v>30</v>
      </c>
      <c r="U1196">
        <v>0</v>
      </c>
      <c r="V1196" s="3">
        <f t="shared" si="73"/>
        <v>61163</v>
      </c>
      <c r="W1196">
        <v>5096.916666666667</v>
      </c>
      <c r="X1196">
        <v>0</v>
      </c>
      <c r="Y1196">
        <f t="shared" si="74"/>
        <v>5096.916666666667</v>
      </c>
      <c r="Z1196">
        <f t="shared" si="75"/>
        <v>0</v>
      </c>
      <c r="AA1196">
        <v>0</v>
      </c>
    </row>
    <row r="1197" spans="1:27" x14ac:dyDescent="0.25">
      <c r="A1197" s="1">
        <v>1196</v>
      </c>
      <c r="B1197" t="s">
        <v>76</v>
      </c>
      <c r="C1197" t="s">
        <v>1133</v>
      </c>
      <c r="D1197" t="s">
        <v>1133</v>
      </c>
      <c r="G1197" t="s">
        <v>1188</v>
      </c>
      <c r="H1197" t="s">
        <v>1188</v>
      </c>
      <c r="I1197" t="s">
        <v>1188</v>
      </c>
      <c r="J1197" t="s">
        <v>1256</v>
      </c>
      <c r="K1197" t="s">
        <v>1212</v>
      </c>
      <c r="M1197" s="3">
        <f t="shared" si="72"/>
        <v>82.571428571428569</v>
      </c>
      <c r="N1197">
        <v>72</v>
      </c>
      <c r="O1197">
        <v>70</v>
      </c>
      <c r="P1197">
        <v>80</v>
      </c>
      <c r="Q1197">
        <v>100</v>
      </c>
      <c r="R1197">
        <v>81</v>
      </c>
      <c r="S1197">
        <v>80</v>
      </c>
      <c r="T1197">
        <v>95</v>
      </c>
      <c r="U1197">
        <v>31</v>
      </c>
      <c r="V1197" s="3">
        <f t="shared" si="73"/>
        <v>22099846</v>
      </c>
      <c r="W1197">
        <v>1841653.8333333333</v>
      </c>
      <c r="X1197">
        <v>0</v>
      </c>
      <c r="Y1197">
        <f t="shared" si="74"/>
        <v>1841653.8333333333</v>
      </c>
      <c r="Z1197">
        <f t="shared" si="75"/>
        <v>0</v>
      </c>
      <c r="AA1197">
        <v>0</v>
      </c>
    </row>
    <row r="1198" spans="1:27" x14ac:dyDescent="0.25">
      <c r="A1198" s="1">
        <v>1197</v>
      </c>
      <c r="B1198" t="s">
        <v>1493</v>
      </c>
      <c r="C1198" t="s">
        <v>1133</v>
      </c>
      <c r="D1198" t="s">
        <v>1133</v>
      </c>
      <c r="H1198" t="s">
        <v>1188</v>
      </c>
      <c r="I1198" t="s">
        <v>1188</v>
      </c>
      <c r="J1198" t="s">
        <v>1256</v>
      </c>
      <c r="K1198" t="s">
        <v>1212</v>
      </c>
      <c r="M1198" s="3">
        <f t="shared" si="72"/>
        <v>72.571428571428569</v>
      </c>
      <c r="N1198">
        <v>42</v>
      </c>
      <c r="O1198">
        <v>76</v>
      </c>
      <c r="P1198">
        <v>81</v>
      </c>
      <c r="Q1198">
        <v>79</v>
      </c>
      <c r="R1198">
        <v>77</v>
      </c>
      <c r="S1198">
        <v>80</v>
      </c>
      <c r="T1198">
        <v>73</v>
      </c>
      <c r="U1198">
        <v>0</v>
      </c>
      <c r="V1198" s="3">
        <f t="shared" si="73"/>
        <v>4051882</v>
      </c>
      <c r="W1198">
        <v>337656.83333333331</v>
      </c>
      <c r="X1198">
        <v>0</v>
      </c>
      <c r="Y1198">
        <f t="shared" si="74"/>
        <v>337656.83333333331</v>
      </c>
      <c r="Z1198">
        <f t="shared" si="75"/>
        <v>0</v>
      </c>
      <c r="AA1198">
        <v>0</v>
      </c>
    </row>
    <row r="1199" spans="1:27" x14ac:dyDescent="0.25">
      <c r="A1199" s="1">
        <v>1198</v>
      </c>
      <c r="B1199" t="s">
        <v>71</v>
      </c>
      <c r="C1199" t="s">
        <v>1133</v>
      </c>
      <c r="D1199" t="s">
        <v>1133</v>
      </c>
      <c r="G1199" t="s">
        <v>1183</v>
      </c>
      <c r="H1199" t="s">
        <v>1183</v>
      </c>
      <c r="I1199" t="s">
        <v>1183</v>
      </c>
      <c r="J1199" t="s">
        <v>1256</v>
      </c>
      <c r="K1199" t="s">
        <v>1212</v>
      </c>
      <c r="M1199" s="3">
        <f t="shared" si="72"/>
        <v>86.285714285714292</v>
      </c>
      <c r="N1199">
        <v>80</v>
      </c>
      <c r="O1199">
        <v>80</v>
      </c>
      <c r="P1199">
        <v>84</v>
      </c>
      <c r="Q1199">
        <v>87</v>
      </c>
      <c r="R1199">
        <v>87</v>
      </c>
      <c r="S1199">
        <v>96</v>
      </c>
      <c r="T1199">
        <v>90</v>
      </c>
      <c r="U1199">
        <v>30</v>
      </c>
      <c r="V1199" s="3">
        <f t="shared" si="73"/>
        <v>34314704</v>
      </c>
      <c r="W1199">
        <v>2859558.6666666665</v>
      </c>
      <c r="X1199">
        <v>0</v>
      </c>
      <c r="Y1199">
        <f t="shared" si="74"/>
        <v>2859558.6666666665</v>
      </c>
      <c r="Z1199">
        <f t="shared" si="75"/>
        <v>0</v>
      </c>
      <c r="AA1199">
        <v>0</v>
      </c>
    </row>
    <row r="1200" spans="1:27" x14ac:dyDescent="0.25">
      <c r="A1200" s="1">
        <v>1199</v>
      </c>
      <c r="B1200" t="s">
        <v>317</v>
      </c>
      <c r="C1200" t="s">
        <v>1134</v>
      </c>
      <c r="D1200" t="s">
        <v>1140</v>
      </c>
      <c r="E1200" t="s">
        <v>1139</v>
      </c>
      <c r="G1200" t="s">
        <v>1188</v>
      </c>
      <c r="H1200" t="s">
        <v>1188</v>
      </c>
      <c r="I1200" t="s">
        <v>1188</v>
      </c>
      <c r="J1200" t="s">
        <v>1256</v>
      </c>
      <c r="K1200" t="s">
        <v>1212</v>
      </c>
      <c r="M1200" s="3">
        <f t="shared" si="72"/>
        <v>84.142857142857139</v>
      </c>
      <c r="N1200">
        <v>75</v>
      </c>
      <c r="O1200">
        <v>90</v>
      </c>
      <c r="P1200">
        <v>83</v>
      </c>
      <c r="Q1200">
        <v>91</v>
      </c>
      <c r="R1200">
        <v>83</v>
      </c>
      <c r="S1200">
        <v>83</v>
      </c>
      <c r="T1200">
        <v>84</v>
      </c>
      <c r="U1200">
        <v>26</v>
      </c>
      <c r="V1200" s="3">
        <f t="shared" si="73"/>
        <v>26684792</v>
      </c>
      <c r="W1200">
        <v>2223732.6666666665</v>
      </c>
      <c r="X1200">
        <v>0</v>
      </c>
      <c r="Y1200">
        <f t="shared" si="74"/>
        <v>2223732.6666666665</v>
      </c>
      <c r="Z1200">
        <f t="shared" si="75"/>
        <v>0</v>
      </c>
      <c r="AA1200">
        <v>0</v>
      </c>
    </row>
    <row r="1201" spans="1:27" x14ac:dyDescent="0.25">
      <c r="A1201" s="1">
        <v>1200</v>
      </c>
      <c r="B1201" t="s">
        <v>1497</v>
      </c>
      <c r="C1201" t="s">
        <v>1134</v>
      </c>
      <c r="D1201" t="s">
        <v>1140</v>
      </c>
      <c r="E1201" t="s">
        <v>1139</v>
      </c>
      <c r="H1201" t="s">
        <v>1188</v>
      </c>
      <c r="I1201" t="s">
        <v>1188</v>
      </c>
      <c r="J1201" t="s">
        <v>1256</v>
      </c>
      <c r="K1201" t="s">
        <v>1212</v>
      </c>
      <c r="M1201" s="3">
        <f t="shared" si="72"/>
        <v>70.714285714285708</v>
      </c>
      <c r="N1201">
        <v>31</v>
      </c>
      <c r="O1201">
        <v>77</v>
      </c>
      <c r="P1201">
        <v>80</v>
      </c>
      <c r="Q1201">
        <v>79</v>
      </c>
      <c r="R1201">
        <v>77</v>
      </c>
      <c r="S1201">
        <v>81</v>
      </c>
      <c r="T1201">
        <v>70</v>
      </c>
      <c r="U1201">
        <v>0</v>
      </c>
      <c r="V1201" s="3">
        <f t="shared" si="73"/>
        <v>3126595</v>
      </c>
      <c r="W1201">
        <v>260549.58333333334</v>
      </c>
      <c r="X1201">
        <v>0</v>
      </c>
      <c r="Y1201">
        <f t="shared" si="74"/>
        <v>260549.58333333334</v>
      </c>
      <c r="Z1201">
        <f t="shared" si="75"/>
        <v>0</v>
      </c>
      <c r="AA1201">
        <v>0</v>
      </c>
    </row>
    <row r="1202" spans="1:27" x14ac:dyDescent="0.25">
      <c r="A1202" s="1">
        <v>1201</v>
      </c>
      <c r="B1202" t="s">
        <v>321</v>
      </c>
      <c r="C1202" t="s">
        <v>1134</v>
      </c>
      <c r="D1202" t="s">
        <v>1139</v>
      </c>
      <c r="E1202" t="s">
        <v>1140</v>
      </c>
      <c r="G1202" t="s">
        <v>1188</v>
      </c>
      <c r="H1202" t="s">
        <v>1215</v>
      </c>
      <c r="I1202" t="s">
        <v>1215</v>
      </c>
      <c r="J1202" t="s">
        <v>1256</v>
      </c>
      <c r="K1202" t="s">
        <v>1212</v>
      </c>
      <c r="M1202" s="3">
        <f t="shared" si="72"/>
        <v>90.428571428571431</v>
      </c>
      <c r="N1202">
        <v>90</v>
      </c>
      <c r="O1202">
        <v>91</v>
      </c>
      <c r="P1202">
        <v>86</v>
      </c>
      <c r="Q1202">
        <v>90</v>
      </c>
      <c r="R1202">
        <v>96</v>
      </c>
      <c r="S1202">
        <v>87</v>
      </c>
      <c r="T1202">
        <v>93</v>
      </c>
      <c r="U1202">
        <v>26</v>
      </c>
      <c r="V1202" s="3">
        <f t="shared" si="73"/>
        <v>54846379</v>
      </c>
      <c r="W1202">
        <v>4570531.583333333</v>
      </c>
      <c r="X1202">
        <v>0</v>
      </c>
      <c r="Y1202">
        <f t="shared" si="74"/>
        <v>4570531.583333333</v>
      </c>
      <c r="Z1202">
        <f t="shared" si="75"/>
        <v>0</v>
      </c>
      <c r="AA1202">
        <v>0</v>
      </c>
    </row>
    <row r="1203" spans="1:27" x14ac:dyDescent="0.25">
      <c r="A1203" s="1">
        <v>1202</v>
      </c>
      <c r="B1203" t="s">
        <v>320</v>
      </c>
      <c r="C1203" t="s">
        <v>1134</v>
      </c>
      <c r="D1203" t="s">
        <v>1140</v>
      </c>
      <c r="E1203" t="s">
        <v>1139</v>
      </c>
      <c r="F1203" t="s">
        <v>1138</v>
      </c>
      <c r="G1203" t="s">
        <v>1188</v>
      </c>
      <c r="H1203" t="s">
        <v>1188</v>
      </c>
      <c r="I1203" t="s">
        <v>1188</v>
      </c>
      <c r="J1203" t="s">
        <v>1256</v>
      </c>
      <c r="K1203" t="s">
        <v>1212</v>
      </c>
      <c r="M1203" s="3">
        <f t="shared" si="72"/>
        <v>89</v>
      </c>
      <c r="N1203">
        <v>81</v>
      </c>
      <c r="O1203">
        <v>88</v>
      </c>
      <c r="P1203">
        <v>81</v>
      </c>
      <c r="Q1203">
        <v>100</v>
      </c>
      <c r="R1203">
        <v>90</v>
      </c>
      <c r="S1203">
        <v>86</v>
      </c>
      <c r="T1203">
        <v>97</v>
      </c>
      <c r="U1203">
        <v>27</v>
      </c>
      <c r="V1203" s="3">
        <f t="shared" si="73"/>
        <v>46772580</v>
      </c>
      <c r="W1203">
        <v>3897715</v>
      </c>
      <c r="X1203">
        <v>0</v>
      </c>
      <c r="Y1203">
        <f t="shared" si="74"/>
        <v>3897715</v>
      </c>
      <c r="Z1203">
        <f t="shared" si="75"/>
        <v>0</v>
      </c>
      <c r="AA1203">
        <v>0</v>
      </c>
    </row>
    <row r="1204" spans="1:27" x14ac:dyDescent="0.25">
      <c r="A1204" s="1">
        <v>1203</v>
      </c>
      <c r="B1204" t="s">
        <v>1496</v>
      </c>
      <c r="C1204" t="s">
        <v>1134</v>
      </c>
      <c r="D1204" t="s">
        <v>1138</v>
      </c>
      <c r="E1204" t="s">
        <v>1144</v>
      </c>
      <c r="H1204" t="s">
        <v>1188</v>
      </c>
      <c r="I1204" t="s">
        <v>1188</v>
      </c>
      <c r="J1204" t="s">
        <v>1256</v>
      </c>
      <c r="K1204" t="s">
        <v>1212</v>
      </c>
      <c r="M1204" s="3">
        <f t="shared" si="72"/>
        <v>73</v>
      </c>
      <c r="N1204">
        <v>47</v>
      </c>
      <c r="O1204">
        <v>74</v>
      </c>
      <c r="P1204">
        <v>80</v>
      </c>
      <c r="Q1204">
        <v>78</v>
      </c>
      <c r="R1204">
        <v>81</v>
      </c>
      <c r="S1204">
        <v>79</v>
      </c>
      <c r="T1204">
        <v>72</v>
      </c>
      <c r="U1204">
        <v>0</v>
      </c>
      <c r="V1204" s="3">
        <f t="shared" si="73"/>
        <v>4297626</v>
      </c>
      <c r="W1204">
        <v>358135.5</v>
      </c>
      <c r="X1204">
        <v>0</v>
      </c>
      <c r="Y1204">
        <f t="shared" si="74"/>
        <v>358135.5</v>
      </c>
      <c r="Z1204">
        <f t="shared" si="75"/>
        <v>0</v>
      </c>
      <c r="AA1204">
        <v>0</v>
      </c>
    </row>
    <row r="1205" spans="1:27" x14ac:dyDescent="0.25">
      <c r="A1205" s="1">
        <v>1204</v>
      </c>
      <c r="B1205" t="s">
        <v>318</v>
      </c>
      <c r="C1205" t="s">
        <v>1134</v>
      </c>
      <c r="D1205" t="s">
        <v>1138</v>
      </c>
      <c r="E1205" t="s">
        <v>1140</v>
      </c>
      <c r="G1205" t="s">
        <v>1188</v>
      </c>
      <c r="H1205" t="s">
        <v>1188</v>
      </c>
      <c r="I1205" t="s">
        <v>1188</v>
      </c>
      <c r="J1205" t="s">
        <v>1256</v>
      </c>
      <c r="K1205" t="s">
        <v>1212</v>
      </c>
      <c r="M1205" s="3">
        <f t="shared" si="72"/>
        <v>85.714285714285708</v>
      </c>
      <c r="N1205">
        <v>77</v>
      </c>
      <c r="O1205">
        <v>85</v>
      </c>
      <c r="P1205">
        <v>85</v>
      </c>
      <c r="Q1205">
        <v>95</v>
      </c>
      <c r="R1205">
        <v>81</v>
      </c>
      <c r="S1205">
        <v>91</v>
      </c>
      <c r="T1205">
        <v>86</v>
      </c>
      <c r="U1205">
        <v>26</v>
      </c>
      <c r="V1205" s="3">
        <f t="shared" si="73"/>
        <v>32108748</v>
      </c>
      <c r="W1205">
        <v>2675729</v>
      </c>
      <c r="X1205">
        <v>0</v>
      </c>
      <c r="Y1205">
        <f t="shared" si="74"/>
        <v>2675729</v>
      </c>
      <c r="Z1205">
        <f t="shared" si="75"/>
        <v>0</v>
      </c>
      <c r="AA1205">
        <v>0</v>
      </c>
    </row>
    <row r="1206" spans="1:27" x14ac:dyDescent="0.25">
      <c r="A1206" s="1">
        <v>1205</v>
      </c>
      <c r="B1206" t="s">
        <v>1494</v>
      </c>
      <c r="C1206" t="s">
        <v>1134</v>
      </c>
      <c r="D1206" t="s">
        <v>1140</v>
      </c>
      <c r="E1206" t="s">
        <v>1138</v>
      </c>
      <c r="H1206" t="s">
        <v>1188</v>
      </c>
      <c r="I1206" t="s">
        <v>1188</v>
      </c>
      <c r="J1206" t="s">
        <v>1256</v>
      </c>
      <c r="K1206" t="s">
        <v>1212</v>
      </c>
      <c r="M1206" s="3">
        <f t="shared" si="72"/>
        <v>72.571428571428569</v>
      </c>
      <c r="N1206">
        <v>42</v>
      </c>
      <c r="O1206">
        <v>76</v>
      </c>
      <c r="P1206">
        <v>81</v>
      </c>
      <c r="Q1206">
        <v>79</v>
      </c>
      <c r="R1206">
        <v>77</v>
      </c>
      <c r="S1206">
        <v>80</v>
      </c>
      <c r="T1206">
        <v>73</v>
      </c>
      <c r="U1206">
        <v>0</v>
      </c>
      <c r="V1206" s="3">
        <f t="shared" si="73"/>
        <v>4051882</v>
      </c>
      <c r="W1206">
        <v>337656.83333333331</v>
      </c>
      <c r="X1206">
        <v>0</v>
      </c>
      <c r="Y1206">
        <f t="shared" si="74"/>
        <v>337656.83333333331</v>
      </c>
      <c r="Z1206">
        <f t="shared" si="75"/>
        <v>0</v>
      </c>
      <c r="AA1206">
        <v>0</v>
      </c>
    </row>
    <row r="1207" spans="1:27" x14ac:dyDescent="0.25">
      <c r="A1207" s="1">
        <v>1206</v>
      </c>
      <c r="B1207" t="s">
        <v>1495</v>
      </c>
      <c r="C1207" t="s">
        <v>1134</v>
      </c>
      <c r="D1207" t="s">
        <v>1139</v>
      </c>
      <c r="E1207" t="s">
        <v>1138</v>
      </c>
      <c r="H1207" t="s">
        <v>1188</v>
      </c>
      <c r="I1207" t="s">
        <v>1188</v>
      </c>
      <c r="J1207" t="s">
        <v>1256</v>
      </c>
      <c r="K1207" t="s">
        <v>1212</v>
      </c>
      <c r="M1207" s="3">
        <f t="shared" si="72"/>
        <v>71.428571428571431</v>
      </c>
      <c r="N1207">
        <v>35</v>
      </c>
      <c r="O1207">
        <v>78</v>
      </c>
      <c r="P1207">
        <v>79</v>
      </c>
      <c r="Q1207">
        <v>81</v>
      </c>
      <c r="R1207">
        <v>76</v>
      </c>
      <c r="S1207">
        <v>82</v>
      </c>
      <c r="T1207">
        <v>69</v>
      </c>
      <c r="U1207">
        <v>0</v>
      </c>
      <c r="V1207" s="3">
        <f t="shared" si="73"/>
        <v>3457162</v>
      </c>
      <c r="W1207">
        <v>288096.83333333331</v>
      </c>
      <c r="X1207">
        <v>0</v>
      </c>
      <c r="Y1207">
        <f t="shared" si="74"/>
        <v>288096.83333333331</v>
      </c>
      <c r="Z1207">
        <f t="shared" si="75"/>
        <v>0</v>
      </c>
      <c r="AA1207">
        <v>0</v>
      </c>
    </row>
    <row r="1208" spans="1:27" x14ac:dyDescent="0.25">
      <c r="A1208" s="1">
        <v>1207</v>
      </c>
      <c r="B1208" t="s">
        <v>319</v>
      </c>
      <c r="C1208" t="s">
        <v>1134</v>
      </c>
      <c r="D1208" t="s">
        <v>1138</v>
      </c>
      <c r="E1208" t="s">
        <v>1139</v>
      </c>
      <c r="F1208" t="s">
        <v>1140</v>
      </c>
      <c r="G1208" t="s">
        <v>1188</v>
      </c>
      <c r="H1208" t="s">
        <v>1188</v>
      </c>
      <c r="I1208" t="s">
        <v>1188</v>
      </c>
      <c r="J1208" t="s">
        <v>1256</v>
      </c>
      <c r="K1208" t="s">
        <v>1212</v>
      </c>
      <c r="M1208" s="3">
        <f t="shared" si="72"/>
        <v>82.142857142857139</v>
      </c>
      <c r="N1208">
        <v>71</v>
      </c>
      <c r="O1208">
        <v>80</v>
      </c>
      <c r="P1208">
        <v>80</v>
      </c>
      <c r="Q1208">
        <v>93</v>
      </c>
      <c r="R1208">
        <v>80</v>
      </c>
      <c r="S1208">
        <v>90</v>
      </c>
      <c r="T1208">
        <v>81</v>
      </c>
      <c r="U1208">
        <v>28</v>
      </c>
      <c r="V1208" s="3">
        <f t="shared" si="73"/>
        <v>20979219</v>
      </c>
      <c r="W1208">
        <v>1748268.25</v>
      </c>
      <c r="X1208">
        <v>0</v>
      </c>
      <c r="Y1208">
        <f t="shared" si="74"/>
        <v>1748268.25</v>
      </c>
      <c r="Z1208">
        <f t="shared" si="75"/>
        <v>0</v>
      </c>
      <c r="AA1208">
        <v>0</v>
      </c>
    </row>
    <row r="1209" spans="1:27" x14ac:dyDescent="0.25">
      <c r="A1209" s="1">
        <v>1208</v>
      </c>
      <c r="B1209" t="s">
        <v>559</v>
      </c>
      <c r="C1209" t="s">
        <v>1135</v>
      </c>
      <c r="D1209" t="s">
        <v>1142</v>
      </c>
      <c r="E1209" t="s">
        <v>1147</v>
      </c>
      <c r="G1209" t="s">
        <v>1188</v>
      </c>
      <c r="H1209" t="s">
        <v>1214</v>
      </c>
      <c r="I1209" t="s">
        <v>1214</v>
      </c>
      <c r="J1209" t="s">
        <v>1256</v>
      </c>
      <c r="K1209" t="s">
        <v>1212</v>
      </c>
      <c r="M1209" s="3">
        <f t="shared" si="72"/>
        <v>85</v>
      </c>
      <c r="N1209">
        <v>83</v>
      </c>
      <c r="O1209">
        <v>92</v>
      </c>
      <c r="P1209">
        <v>83</v>
      </c>
      <c r="Q1209">
        <v>84</v>
      </c>
      <c r="R1209">
        <v>84</v>
      </c>
      <c r="S1209">
        <v>78</v>
      </c>
      <c r="T1209">
        <v>91</v>
      </c>
      <c r="U1209">
        <v>3</v>
      </c>
      <c r="V1209" s="3">
        <f t="shared" si="73"/>
        <v>29531161</v>
      </c>
      <c r="W1209">
        <v>2460930.0833333335</v>
      </c>
      <c r="X1209">
        <v>0</v>
      </c>
      <c r="Y1209">
        <f t="shared" si="74"/>
        <v>2460930.0833333335</v>
      </c>
      <c r="Z1209">
        <f t="shared" si="75"/>
        <v>0</v>
      </c>
      <c r="AA1209">
        <v>0</v>
      </c>
    </row>
    <row r="1210" spans="1:27" x14ac:dyDescent="0.25">
      <c r="A1210" s="1">
        <v>1209</v>
      </c>
      <c r="B1210" t="s">
        <v>1504</v>
      </c>
      <c r="C1210" t="s">
        <v>1135</v>
      </c>
      <c r="D1210" t="s">
        <v>1141</v>
      </c>
      <c r="E1210" t="s">
        <v>1142</v>
      </c>
      <c r="H1210" t="s">
        <v>1188</v>
      </c>
      <c r="I1210" t="s">
        <v>1188</v>
      </c>
      <c r="J1210" t="s">
        <v>1256</v>
      </c>
      <c r="K1210" t="s">
        <v>1212</v>
      </c>
      <c r="M1210" s="3">
        <f t="shared" si="72"/>
        <v>73.285714285714292</v>
      </c>
      <c r="N1210">
        <v>46</v>
      </c>
      <c r="O1210">
        <v>74</v>
      </c>
      <c r="P1210">
        <v>82</v>
      </c>
      <c r="Q1210">
        <v>80</v>
      </c>
      <c r="R1210">
        <v>84</v>
      </c>
      <c r="S1210">
        <v>76</v>
      </c>
      <c r="T1210">
        <v>71</v>
      </c>
      <c r="U1210">
        <v>0</v>
      </c>
      <c r="V1210" s="3">
        <f t="shared" si="73"/>
        <v>4468825</v>
      </c>
      <c r="W1210">
        <v>372402.08333333331</v>
      </c>
      <c r="X1210">
        <v>0</v>
      </c>
      <c r="Y1210">
        <f t="shared" si="74"/>
        <v>372402.08333333331</v>
      </c>
      <c r="Z1210">
        <f t="shared" si="75"/>
        <v>0</v>
      </c>
      <c r="AA1210">
        <v>0</v>
      </c>
    </row>
    <row r="1211" spans="1:27" x14ac:dyDescent="0.25">
      <c r="A1211" s="1">
        <v>1210</v>
      </c>
      <c r="B1211" t="s">
        <v>560</v>
      </c>
      <c r="C1211" t="s">
        <v>1135</v>
      </c>
      <c r="D1211" t="s">
        <v>1141</v>
      </c>
      <c r="E1211" t="s">
        <v>1142</v>
      </c>
      <c r="G1211" t="s">
        <v>1188</v>
      </c>
      <c r="H1211" t="s">
        <v>1188</v>
      </c>
      <c r="I1211" t="s">
        <v>1188</v>
      </c>
      <c r="J1211" t="s">
        <v>1256</v>
      </c>
      <c r="K1211" t="s">
        <v>1212</v>
      </c>
      <c r="M1211" s="3">
        <f t="shared" si="72"/>
        <v>94.142857142857139</v>
      </c>
      <c r="N1211">
        <v>95</v>
      </c>
      <c r="O1211">
        <v>91</v>
      </c>
      <c r="P1211">
        <v>99</v>
      </c>
      <c r="Q1211">
        <v>98</v>
      </c>
      <c r="R1211">
        <v>89</v>
      </c>
      <c r="S1211">
        <v>94</v>
      </c>
      <c r="T1211">
        <v>93</v>
      </c>
      <c r="U1211">
        <v>7</v>
      </c>
      <c r="V1211" s="3">
        <f t="shared" si="73"/>
        <v>82028545</v>
      </c>
      <c r="W1211">
        <v>6835712.083333333</v>
      </c>
      <c r="X1211">
        <v>0</v>
      </c>
      <c r="Y1211">
        <f t="shared" si="74"/>
        <v>6835712.083333333</v>
      </c>
      <c r="Z1211">
        <f t="shared" si="75"/>
        <v>0</v>
      </c>
      <c r="AA1211">
        <v>0</v>
      </c>
    </row>
    <row r="1212" spans="1:27" x14ac:dyDescent="0.25">
      <c r="A1212" s="1">
        <v>1211</v>
      </c>
      <c r="B1212" t="s">
        <v>627</v>
      </c>
      <c r="C1212" t="s">
        <v>1135</v>
      </c>
      <c r="D1212" t="s">
        <v>1142</v>
      </c>
      <c r="E1212" t="s">
        <v>1145</v>
      </c>
      <c r="G1212" t="s">
        <v>1211</v>
      </c>
      <c r="H1212" t="s">
        <v>1211</v>
      </c>
      <c r="I1212" t="s">
        <v>1211</v>
      </c>
      <c r="J1212" t="s">
        <v>1256</v>
      </c>
      <c r="K1212" t="s">
        <v>1212</v>
      </c>
      <c r="M1212" s="3">
        <f t="shared" si="72"/>
        <v>91.571428571428569</v>
      </c>
      <c r="N1212">
        <v>91</v>
      </c>
      <c r="O1212">
        <v>93</v>
      </c>
      <c r="P1212">
        <v>90</v>
      </c>
      <c r="Q1212">
        <v>91</v>
      </c>
      <c r="R1212">
        <v>97</v>
      </c>
      <c r="S1212">
        <v>86</v>
      </c>
      <c r="T1212">
        <v>93</v>
      </c>
      <c r="U1212">
        <v>11</v>
      </c>
      <c r="V1212" s="3">
        <f t="shared" si="73"/>
        <v>62185790</v>
      </c>
      <c r="W1212">
        <v>5182149.166666667</v>
      </c>
      <c r="X1212">
        <v>0</v>
      </c>
      <c r="Y1212">
        <f t="shared" si="74"/>
        <v>5182149.166666667</v>
      </c>
      <c r="Z1212">
        <f t="shared" si="75"/>
        <v>0</v>
      </c>
      <c r="AA1212">
        <v>0</v>
      </c>
    </row>
    <row r="1213" spans="1:27" x14ac:dyDescent="0.25">
      <c r="A1213" s="1">
        <v>1212</v>
      </c>
      <c r="B1213" t="s">
        <v>875</v>
      </c>
      <c r="C1213" t="s">
        <v>1136</v>
      </c>
      <c r="D1213" t="s">
        <v>1143</v>
      </c>
      <c r="E1213" t="s">
        <v>1147</v>
      </c>
      <c r="G1213" t="s">
        <v>1188</v>
      </c>
      <c r="H1213" t="s">
        <v>1188</v>
      </c>
      <c r="I1213" t="s">
        <v>1188</v>
      </c>
      <c r="J1213" t="s">
        <v>1256</v>
      </c>
      <c r="K1213" t="s">
        <v>1212</v>
      </c>
      <c r="M1213" s="3">
        <f t="shared" si="72"/>
        <v>90.571428571428569</v>
      </c>
      <c r="N1213">
        <v>89</v>
      </c>
      <c r="O1213">
        <v>88</v>
      </c>
      <c r="P1213">
        <v>90</v>
      </c>
      <c r="Q1213">
        <v>96</v>
      </c>
      <c r="R1213">
        <v>85</v>
      </c>
      <c r="S1213">
        <v>92</v>
      </c>
      <c r="T1213">
        <v>94</v>
      </c>
      <c r="U1213">
        <v>24</v>
      </c>
      <c r="V1213" s="3">
        <f t="shared" si="73"/>
        <v>55719016</v>
      </c>
      <c r="W1213">
        <v>4643251.333333333</v>
      </c>
      <c r="X1213">
        <v>0</v>
      </c>
      <c r="Y1213">
        <f t="shared" si="74"/>
        <v>4643251.333333333</v>
      </c>
      <c r="Z1213">
        <f t="shared" si="75"/>
        <v>0</v>
      </c>
      <c r="AA1213">
        <v>0</v>
      </c>
    </row>
    <row r="1214" spans="1:27" x14ac:dyDescent="0.25">
      <c r="A1214" s="1">
        <v>1213</v>
      </c>
      <c r="B1214" t="s">
        <v>1501</v>
      </c>
      <c r="C1214" t="s">
        <v>1136</v>
      </c>
      <c r="D1214" t="s">
        <v>1146</v>
      </c>
      <c r="E1214" t="s">
        <v>1143</v>
      </c>
      <c r="H1214" t="s">
        <v>1188</v>
      </c>
      <c r="I1214" t="s">
        <v>1188</v>
      </c>
      <c r="J1214" t="s">
        <v>1256</v>
      </c>
      <c r="K1214" t="s">
        <v>1212</v>
      </c>
      <c r="M1214" s="3">
        <f t="shared" si="72"/>
        <v>73.142857142857139</v>
      </c>
      <c r="N1214">
        <v>48</v>
      </c>
      <c r="O1214">
        <v>81</v>
      </c>
      <c r="P1214">
        <v>78</v>
      </c>
      <c r="Q1214">
        <v>80</v>
      </c>
      <c r="R1214">
        <v>76</v>
      </c>
      <c r="S1214">
        <v>80</v>
      </c>
      <c r="T1214">
        <v>69</v>
      </c>
      <c r="U1214">
        <v>0</v>
      </c>
      <c r="V1214" s="3">
        <f t="shared" si="73"/>
        <v>4382473</v>
      </c>
      <c r="W1214">
        <v>365206.08333333331</v>
      </c>
      <c r="X1214">
        <v>0</v>
      </c>
      <c r="Y1214">
        <f t="shared" si="74"/>
        <v>365206.08333333331</v>
      </c>
      <c r="Z1214">
        <f t="shared" si="75"/>
        <v>0</v>
      </c>
      <c r="AA1214">
        <v>0</v>
      </c>
    </row>
    <row r="1215" spans="1:27" x14ac:dyDescent="0.25">
      <c r="A1215" s="1">
        <v>1214</v>
      </c>
      <c r="B1215" t="s">
        <v>1499</v>
      </c>
      <c r="C1215" t="s">
        <v>1136</v>
      </c>
      <c r="D1215" t="s">
        <v>1143</v>
      </c>
      <c r="E1215" t="s">
        <v>1145</v>
      </c>
      <c r="H1215" t="s">
        <v>1188</v>
      </c>
      <c r="I1215" t="s">
        <v>1188</v>
      </c>
      <c r="J1215" t="s">
        <v>1256</v>
      </c>
      <c r="K1215" t="s">
        <v>1212</v>
      </c>
      <c r="M1215" s="3">
        <f t="shared" si="72"/>
        <v>71.857142857142861</v>
      </c>
      <c r="N1215">
        <v>39</v>
      </c>
      <c r="O1215">
        <v>82</v>
      </c>
      <c r="P1215">
        <v>78</v>
      </c>
      <c r="Q1215">
        <v>81</v>
      </c>
      <c r="R1215">
        <v>75</v>
      </c>
      <c r="S1215">
        <v>78</v>
      </c>
      <c r="T1215">
        <v>70</v>
      </c>
      <c r="U1215">
        <v>0</v>
      </c>
      <c r="V1215" s="3">
        <f t="shared" si="73"/>
        <v>3670283</v>
      </c>
      <c r="W1215">
        <v>305856.91666666669</v>
      </c>
      <c r="X1215">
        <v>0</v>
      </c>
      <c r="Y1215">
        <f t="shared" si="74"/>
        <v>305856.91666666669</v>
      </c>
      <c r="Z1215">
        <f t="shared" si="75"/>
        <v>0</v>
      </c>
      <c r="AA1215">
        <v>0</v>
      </c>
    </row>
    <row r="1216" spans="1:27" x14ac:dyDescent="0.25">
      <c r="A1216" s="1">
        <v>1215</v>
      </c>
      <c r="B1216" t="s">
        <v>879</v>
      </c>
      <c r="C1216" t="s">
        <v>1136</v>
      </c>
      <c r="D1216" t="s">
        <v>1144</v>
      </c>
      <c r="E1216" t="s">
        <v>1143</v>
      </c>
      <c r="F1216" t="s">
        <v>1138</v>
      </c>
      <c r="G1216" t="s">
        <v>1188</v>
      </c>
      <c r="H1216" t="s">
        <v>1188</v>
      </c>
      <c r="I1216" t="s">
        <v>1188</v>
      </c>
      <c r="J1216" t="s">
        <v>1256</v>
      </c>
      <c r="K1216" t="s">
        <v>1212</v>
      </c>
      <c r="M1216" s="3">
        <f t="shared" si="72"/>
        <v>85.142857142857139</v>
      </c>
      <c r="N1216">
        <v>73</v>
      </c>
      <c r="O1216">
        <v>84</v>
      </c>
      <c r="P1216">
        <v>84</v>
      </c>
      <c r="Q1216">
        <v>88</v>
      </c>
      <c r="R1216">
        <v>90</v>
      </c>
      <c r="S1216">
        <v>97</v>
      </c>
      <c r="T1216">
        <v>80</v>
      </c>
      <c r="U1216">
        <v>18</v>
      </c>
      <c r="V1216" s="3">
        <f t="shared" si="73"/>
        <v>30031254</v>
      </c>
      <c r="W1216">
        <v>2502604.5</v>
      </c>
      <c r="X1216">
        <v>0</v>
      </c>
      <c r="Y1216">
        <f t="shared" si="74"/>
        <v>2502604.5</v>
      </c>
      <c r="Z1216">
        <f t="shared" si="75"/>
        <v>0</v>
      </c>
      <c r="AA1216">
        <v>0</v>
      </c>
    </row>
    <row r="1217" spans="1:27" x14ac:dyDescent="0.25">
      <c r="A1217" s="1">
        <v>1216</v>
      </c>
      <c r="B1217" t="s">
        <v>1498</v>
      </c>
      <c r="C1217" t="s">
        <v>1136</v>
      </c>
      <c r="D1217" t="s">
        <v>1144</v>
      </c>
      <c r="E1217" t="s">
        <v>1143</v>
      </c>
      <c r="H1217" t="s">
        <v>1188</v>
      </c>
      <c r="I1217" t="s">
        <v>1188</v>
      </c>
      <c r="J1217" t="s">
        <v>1256</v>
      </c>
      <c r="K1217" t="s">
        <v>1212</v>
      </c>
      <c r="M1217" s="3">
        <f t="shared" si="72"/>
        <v>74.857142857142861</v>
      </c>
      <c r="N1217">
        <v>44</v>
      </c>
      <c r="O1217">
        <v>80</v>
      </c>
      <c r="P1217">
        <v>84</v>
      </c>
      <c r="Q1217">
        <v>82</v>
      </c>
      <c r="R1217">
        <v>81</v>
      </c>
      <c r="S1217">
        <v>80</v>
      </c>
      <c r="T1217">
        <v>73</v>
      </c>
      <c r="U1217">
        <v>0</v>
      </c>
      <c r="V1217" s="3">
        <f t="shared" si="73"/>
        <v>5525003</v>
      </c>
      <c r="W1217">
        <v>460416.91666666669</v>
      </c>
      <c r="X1217">
        <v>0</v>
      </c>
      <c r="Y1217">
        <f t="shared" si="74"/>
        <v>460416.91666666669</v>
      </c>
      <c r="Z1217">
        <f t="shared" si="75"/>
        <v>0</v>
      </c>
      <c r="AA1217">
        <v>0</v>
      </c>
    </row>
    <row r="1218" spans="1:27" x14ac:dyDescent="0.25">
      <c r="A1218" s="1">
        <v>1217</v>
      </c>
      <c r="B1218" t="s">
        <v>1502</v>
      </c>
      <c r="C1218" t="s">
        <v>1136</v>
      </c>
      <c r="D1218" t="s">
        <v>1144</v>
      </c>
      <c r="E1218" t="s">
        <v>1138</v>
      </c>
      <c r="H1218" t="s">
        <v>1188</v>
      </c>
      <c r="I1218" t="s">
        <v>1188</v>
      </c>
      <c r="J1218" t="s">
        <v>1256</v>
      </c>
      <c r="K1218" t="s">
        <v>1212</v>
      </c>
      <c r="M1218" s="3">
        <f t="shared" ref="M1218:M1281" si="76">AVERAGE(N1218:T1218)</f>
        <v>72.857142857142861</v>
      </c>
      <c r="N1218">
        <v>37</v>
      </c>
      <c r="O1218">
        <v>79</v>
      </c>
      <c r="P1218">
        <v>83</v>
      </c>
      <c r="Q1218">
        <v>81</v>
      </c>
      <c r="R1218">
        <v>80</v>
      </c>
      <c r="S1218">
        <v>79</v>
      </c>
      <c r="T1218">
        <v>71</v>
      </c>
      <c r="U1218">
        <v>0</v>
      </c>
      <c r="V1218" s="3">
        <f t="shared" ref="V1218:V1281" si="77">ROUNDUP(M1218^10/1000000000000 * IF(U1218&gt;0,1.5,1),0)</f>
        <v>4214261</v>
      </c>
      <c r="W1218">
        <v>351188.41666666669</v>
      </c>
      <c r="X1218">
        <v>0</v>
      </c>
      <c r="Y1218">
        <f t="shared" ref="Y1218:Y1281" si="78">V1218/12</f>
        <v>351188.41666666669</v>
      </c>
      <c r="Z1218">
        <f t="shared" ref="Z1218:Z1281" si="79">ROUND(((W1218-Y1218)/Y1218)*100,2)</f>
        <v>0</v>
      </c>
      <c r="AA1218">
        <v>0</v>
      </c>
    </row>
    <row r="1219" spans="1:27" x14ac:dyDescent="0.25">
      <c r="A1219" s="1">
        <v>1218</v>
      </c>
      <c r="B1219" t="s">
        <v>877</v>
      </c>
      <c r="C1219" t="s">
        <v>1136</v>
      </c>
      <c r="D1219" t="s">
        <v>1143</v>
      </c>
      <c r="E1219" t="s">
        <v>1146</v>
      </c>
      <c r="G1219" t="s">
        <v>1188</v>
      </c>
      <c r="H1219" t="s">
        <v>1188</v>
      </c>
      <c r="I1219" t="s">
        <v>1188</v>
      </c>
      <c r="J1219" t="s">
        <v>1256</v>
      </c>
      <c r="K1219" t="s">
        <v>1212</v>
      </c>
      <c r="M1219" s="3">
        <f t="shared" si="76"/>
        <v>91.285714285714292</v>
      </c>
      <c r="N1219">
        <v>90</v>
      </c>
      <c r="O1219">
        <v>92</v>
      </c>
      <c r="P1219">
        <v>90</v>
      </c>
      <c r="Q1219">
        <v>99</v>
      </c>
      <c r="R1219">
        <v>83</v>
      </c>
      <c r="S1219">
        <v>88</v>
      </c>
      <c r="T1219">
        <v>97</v>
      </c>
      <c r="U1219">
        <v>24</v>
      </c>
      <c r="V1219" s="3">
        <f t="shared" si="77"/>
        <v>60272533</v>
      </c>
      <c r="W1219">
        <v>5022711.083333333</v>
      </c>
      <c r="X1219">
        <v>0</v>
      </c>
      <c r="Y1219">
        <f t="shared" si="78"/>
        <v>5022711.083333333</v>
      </c>
      <c r="Z1219">
        <f t="shared" si="79"/>
        <v>0</v>
      </c>
      <c r="AA1219">
        <v>0</v>
      </c>
    </row>
    <row r="1220" spans="1:27" x14ac:dyDescent="0.25">
      <c r="A1220" s="1">
        <v>1219</v>
      </c>
      <c r="B1220" t="s">
        <v>1503</v>
      </c>
      <c r="C1220" t="s">
        <v>1136</v>
      </c>
      <c r="D1220" t="s">
        <v>1143</v>
      </c>
      <c r="E1220" t="s">
        <v>1147</v>
      </c>
      <c r="H1220" t="s">
        <v>1188</v>
      </c>
      <c r="I1220" t="s">
        <v>1188</v>
      </c>
      <c r="J1220" t="s">
        <v>1256</v>
      </c>
      <c r="K1220" t="s">
        <v>1212</v>
      </c>
      <c r="M1220" s="3">
        <f t="shared" si="76"/>
        <v>72.285714285714292</v>
      </c>
      <c r="N1220">
        <v>41</v>
      </c>
      <c r="O1220">
        <v>81</v>
      </c>
      <c r="P1220">
        <v>79</v>
      </c>
      <c r="Q1220">
        <v>80</v>
      </c>
      <c r="R1220">
        <v>77</v>
      </c>
      <c r="S1220">
        <v>78</v>
      </c>
      <c r="T1220">
        <v>70</v>
      </c>
      <c r="U1220">
        <v>0</v>
      </c>
      <c r="V1220" s="3">
        <f t="shared" si="77"/>
        <v>3895156</v>
      </c>
      <c r="W1220">
        <v>324596.33333333331</v>
      </c>
      <c r="X1220">
        <v>0</v>
      </c>
      <c r="Y1220">
        <f t="shared" si="78"/>
        <v>324596.33333333331</v>
      </c>
      <c r="Z1220">
        <f t="shared" si="79"/>
        <v>0</v>
      </c>
      <c r="AA1220">
        <v>0</v>
      </c>
    </row>
    <row r="1221" spans="1:27" x14ac:dyDescent="0.25">
      <c r="A1221" s="1">
        <v>1220</v>
      </c>
      <c r="B1221" t="s">
        <v>876</v>
      </c>
      <c r="C1221" t="s">
        <v>1136</v>
      </c>
      <c r="D1221" t="s">
        <v>1143</v>
      </c>
      <c r="E1221" t="s">
        <v>1144</v>
      </c>
      <c r="F1221" t="s">
        <v>1147</v>
      </c>
      <c r="G1221" t="s">
        <v>1188</v>
      </c>
      <c r="H1221" t="s">
        <v>1188</v>
      </c>
      <c r="I1221" t="s">
        <v>1188</v>
      </c>
      <c r="J1221" t="s">
        <v>1256</v>
      </c>
      <c r="K1221" t="s">
        <v>1212</v>
      </c>
      <c r="M1221" s="3">
        <f t="shared" si="76"/>
        <v>92.142857142857139</v>
      </c>
      <c r="N1221">
        <v>93</v>
      </c>
      <c r="O1221">
        <v>94</v>
      </c>
      <c r="P1221">
        <v>95</v>
      </c>
      <c r="Q1221">
        <v>100</v>
      </c>
      <c r="R1221">
        <v>80</v>
      </c>
      <c r="S1221">
        <v>84</v>
      </c>
      <c r="T1221">
        <v>99</v>
      </c>
      <c r="U1221">
        <v>24</v>
      </c>
      <c r="V1221" s="3">
        <f t="shared" si="77"/>
        <v>66177142</v>
      </c>
      <c r="W1221">
        <v>5514761.833333333</v>
      </c>
      <c r="X1221">
        <v>0</v>
      </c>
      <c r="Y1221">
        <f t="shared" si="78"/>
        <v>5514761.833333333</v>
      </c>
      <c r="Z1221">
        <f t="shared" si="79"/>
        <v>0</v>
      </c>
      <c r="AA1221">
        <v>0</v>
      </c>
    </row>
    <row r="1222" spans="1:27" x14ac:dyDescent="0.25">
      <c r="A1222" s="1">
        <v>1221</v>
      </c>
      <c r="B1222" t="s">
        <v>1500</v>
      </c>
      <c r="C1222" t="s">
        <v>1136</v>
      </c>
      <c r="D1222" t="s">
        <v>1147</v>
      </c>
      <c r="E1222" t="s">
        <v>1145</v>
      </c>
      <c r="H1222" t="s">
        <v>1188</v>
      </c>
      <c r="I1222" t="s">
        <v>1188</v>
      </c>
      <c r="J1222" t="s">
        <v>1256</v>
      </c>
      <c r="K1222" t="s">
        <v>1212</v>
      </c>
      <c r="M1222" s="3">
        <f t="shared" si="76"/>
        <v>70.428571428571431</v>
      </c>
      <c r="N1222">
        <v>33</v>
      </c>
      <c r="O1222">
        <v>80</v>
      </c>
      <c r="P1222">
        <v>77</v>
      </c>
      <c r="Q1222">
        <v>81</v>
      </c>
      <c r="R1222">
        <v>75</v>
      </c>
      <c r="S1222">
        <v>79</v>
      </c>
      <c r="T1222">
        <v>68</v>
      </c>
      <c r="U1222">
        <v>0</v>
      </c>
      <c r="V1222" s="3">
        <f t="shared" si="77"/>
        <v>3002540</v>
      </c>
      <c r="W1222">
        <v>250211.66666666666</v>
      </c>
      <c r="X1222">
        <v>0</v>
      </c>
      <c r="Y1222">
        <f t="shared" si="78"/>
        <v>250211.66666666666</v>
      </c>
      <c r="Z1222">
        <f t="shared" si="79"/>
        <v>0</v>
      </c>
      <c r="AA1222">
        <v>0</v>
      </c>
    </row>
    <row r="1223" spans="1:27" x14ac:dyDescent="0.25">
      <c r="A1223" s="1">
        <v>1222</v>
      </c>
      <c r="B1223" t="s">
        <v>878</v>
      </c>
      <c r="C1223" t="s">
        <v>1136</v>
      </c>
      <c r="D1223" t="s">
        <v>1143</v>
      </c>
      <c r="E1223" t="s">
        <v>1145</v>
      </c>
      <c r="F1223" t="s">
        <v>1146</v>
      </c>
      <c r="G1223" t="s">
        <v>1188</v>
      </c>
      <c r="H1223" t="s">
        <v>1188</v>
      </c>
      <c r="I1223" t="s">
        <v>1188</v>
      </c>
      <c r="J1223" t="s">
        <v>1256</v>
      </c>
      <c r="K1223" t="s">
        <v>1212</v>
      </c>
      <c r="M1223" s="3">
        <f t="shared" si="76"/>
        <v>91.142857142857139</v>
      </c>
      <c r="N1223">
        <v>91</v>
      </c>
      <c r="O1223">
        <v>93</v>
      </c>
      <c r="P1223">
        <v>91</v>
      </c>
      <c r="Q1223">
        <v>99</v>
      </c>
      <c r="R1223">
        <v>79</v>
      </c>
      <c r="S1223">
        <v>88</v>
      </c>
      <c r="T1223">
        <v>97</v>
      </c>
      <c r="U1223">
        <v>24</v>
      </c>
      <c r="V1223" s="3">
        <f t="shared" si="77"/>
        <v>59335916</v>
      </c>
      <c r="W1223">
        <v>4944659.666666667</v>
      </c>
      <c r="X1223">
        <v>0</v>
      </c>
      <c r="Y1223">
        <f t="shared" si="78"/>
        <v>4944659.666666667</v>
      </c>
      <c r="Z1223">
        <f t="shared" si="79"/>
        <v>0</v>
      </c>
      <c r="AA1223">
        <v>0</v>
      </c>
    </row>
    <row r="1224" spans="1:27" x14ac:dyDescent="0.25">
      <c r="A1224" s="1">
        <v>1223</v>
      </c>
      <c r="B1224" t="s">
        <v>1482</v>
      </c>
      <c r="C1224" t="s">
        <v>1133</v>
      </c>
      <c r="D1224" t="s">
        <v>1133</v>
      </c>
      <c r="H1224" t="s">
        <v>1151</v>
      </c>
      <c r="I1224" t="s">
        <v>1151</v>
      </c>
      <c r="J1224" t="s">
        <v>2675</v>
      </c>
      <c r="K1224" t="s">
        <v>1212</v>
      </c>
      <c r="M1224" s="3">
        <f t="shared" si="76"/>
        <v>75</v>
      </c>
      <c r="N1224">
        <v>68</v>
      </c>
      <c r="O1224">
        <v>73</v>
      </c>
      <c r="P1224">
        <v>74</v>
      </c>
      <c r="Q1224">
        <v>78</v>
      </c>
      <c r="R1224">
        <v>82</v>
      </c>
      <c r="S1224">
        <v>79</v>
      </c>
      <c r="T1224">
        <v>71</v>
      </c>
      <c r="U1224">
        <v>0</v>
      </c>
      <c r="V1224" s="3">
        <f t="shared" si="77"/>
        <v>5631352</v>
      </c>
      <c r="W1224">
        <v>469279.33333333331</v>
      </c>
      <c r="X1224">
        <v>0</v>
      </c>
      <c r="Y1224">
        <f t="shared" si="78"/>
        <v>469279.33333333331</v>
      </c>
      <c r="Z1224">
        <f t="shared" si="79"/>
        <v>0</v>
      </c>
      <c r="AA1224">
        <v>0</v>
      </c>
    </row>
    <row r="1225" spans="1:27" x14ac:dyDescent="0.25">
      <c r="A1225" s="1">
        <v>1224</v>
      </c>
      <c r="B1225" t="s">
        <v>33</v>
      </c>
      <c r="C1225" t="s">
        <v>1133</v>
      </c>
      <c r="D1225" t="s">
        <v>1133</v>
      </c>
      <c r="G1225" t="s">
        <v>1157</v>
      </c>
      <c r="H1225" t="s">
        <v>1157</v>
      </c>
      <c r="I1225" t="s">
        <v>1157</v>
      </c>
      <c r="J1225" t="s">
        <v>2675</v>
      </c>
      <c r="K1225" t="s">
        <v>1212</v>
      </c>
      <c r="M1225" s="3">
        <f t="shared" si="76"/>
        <v>86.857142857142861</v>
      </c>
      <c r="N1225">
        <v>80</v>
      </c>
      <c r="O1225">
        <v>86</v>
      </c>
      <c r="P1225">
        <v>85</v>
      </c>
      <c r="Q1225">
        <v>88</v>
      </c>
      <c r="R1225">
        <v>92</v>
      </c>
      <c r="S1225">
        <v>92</v>
      </c>
      <c r="T1225">
        <v>85</v>
      </c>
      <c r="U1225">
        <v>29</v>
      </c>
      <c r="V1225" s="3">
        <f t="shared" si="77"/>
        <v>36656134</v>
      </c>
      <c r="W1225">
        <v>3054677.8333333335</v>
      </c>
      <c r="X1225">
        <v>0</v>
      </c>
      <c r="Y1225">
        <f t="shared" si="78"/>
        <v>3054677.8333333335</v>
      </c>
      <c r="Z1225">
        <f t="shared" si="79"/>
        <v>0</v>
      </c>
      <c r="AA1225">
        <v>0</v>
      </c>
    </row>
    <row r="1226" spans="1:27" x14ac:dyDescent="0.25">
      <c r="A1226" s="1">
        <v>1225</v>
      </c>
      <c r="B1226" t="s">
        <v>1486</v>
      </c>
      <c r="C1226" t="s">
        <v>1134</v>
      </c>
      <c r="D1226" t="s">
        <v>1140</v>
      </c>
      <c r="E1226" t="s">
        <v>1139</v>
      </c>
      <c r="H1226" t="s">
        <v>1151</v>
      </c>
      <c r="I1226" t="s">
        <v>1151</v>
      </c>
      <c r="J1226" t="s">
        <v>2675</v>
      </c>
      <c r="K1226" t="s">
        <v>1212</v>
      </c>
      <c r="M1226" s="3">
        <f t="shared" si="76"/>
        <v>76.142857142857139</v>
      </c>
      <c r="N1226">
        <v>69</v>
      </c>
      <c r="O1226">
        <v>77</v>
      </c>
      <c r="P1226">
        <v>80</v>
      </c>
      <c r="Q1226">
        <v>79</v>
      </c>
      <c r="R1226">
        <v>77</v>
      </c>
      <c r="S1226">
        <v>81</v>
      </c>
      <c r="T1226">
        <v>70</v>
      </c>
      <c r="U1226">
        <v>0</v>
      </c>
      <c r="V1226" s="3">
        <f t="shared" si="77"/>
        <v>6550761</v>
      </c>
      <c r="W1226">
        <v>545896.75</v>
      </c>
      <c r="X1226">
        <v>0</v>
      </c>
      <c r="Y1226">
        <f t="shared" si="78"/>
        <v>545896.75</v>
      </c>
      <c r="Z1226">
        <f t="shared" si="79"/>
        <v>0</v>
      </c>
      <c r="AA1226">
        <v>0</v>
      </c>
    </row>
    <row r="1227" spans="1:27" x14ac:dyDescent="0.25">
      <c r="A1227" s="1">
        <v>1226</v>
      </c>
      <c r="B1227" t="s">
        <v>1484</v>
      </c>
      <c r="C1227" t="s">
        <v>1134</v>
      </c>
      <c r="D1227" t="s">
        <v>1139</v>
      </c>
      <c r="E1227" t="s">
        <v>1138</v>
      </c>
      <c r="H1227" t="s">
        <v>1151</v>
      </c>
      <c r="I1227" t="s">
        <v>1151</v>
      </c>
      <c r="J1227" t="s">
        <v>2675</v>
      </c>
      <c r="K1227" t="s">
        <v>1212</v>
      </c>
      <c r="M1227" s="3">
        <f t="shared" si="76"/>
        <v>76.285714285714292</v>
      </c>
      <c r="N1227">
        <v>69</v>
      </c>
      <c r="O1227">
        <v>78</v>
      </c>
      <c r="P1227">
        <v>79</v>
      </c>
      <c r="Q1227">
        <v>81</v>
      </c>
      <c r="R1227">
        <v>76</v>
      </c>
      <c r="S1227">
        <v>82</v>
      </c>
      <c r="T1227">
        <v>69</v>
      </c>
      <c r="U1227">
        <v>0</v>
      </c>
      <c r="V1227" s="3">
        <f t="shared" si="77"/>
        <v>6674707</v>
      </c>
      <c r="W1227">
        <v>556225.58333333337</v>
      </c>
      <c r="X1227">
        <v>0</v>
      </c>
      <c r="Y1227">
        <f t="shared" si="78"/>
        <v>556225.58333333337</v>
      </c>
      <c r="Z1227">
        <f t="shared" si="79"/>
        <v>0</v>
      </c>
      <c r="AA1227">
        <v>0</v>
      </c>
    </row>
    <row r="1228" spans="1:27" x14ac:dyDescent="0.25">
      <c r="A1228" s="1">
        <v>1227</v>
      </c>
      <c r="B1228" t="s">
        <v>1483</v>
      </c>
      <c r="C1228" t="s">
        <v>1134</v>
      </c>
      <c r="D1228" t="s">
        <v>1140</v>
      </c>
      <c r="E1228" t="s">
        <v>1138</v>
      </c>
      <c r="H1228" t="s">
        <v>1151</v>
      </c>
      <c r="I1228" t="s">
        <v>1151</v>
      </c>
      <c r="J1228" t="s">
        <v>2675</v>
      </c>
      <c r="K1228" t="s">
        <v>1212</v>
      </c>
      <c r="M1228" s="3">
        <f t="shared" si="76"/>
        <v>76.857142857142861</v>
      </c>
      <c r="N1228">
        <v>72</v>
      </c>
      <c r="O1228">
        <v>76</v>
      </c>
      <c r="P1228">
        <v>81</v>
      </c>
      <c r="Q1228">
        <v>79</v>
      </c>
      <c r="R1228">
        <v>77</v>
      </c>
      <c r="S1228">
        <v>80</v>
      </c>
      <c r="T1228">
        <v>73</v>
      </c>
      <c r="U1228">
        <v>0</v>
      </c>
      <c r="V1228" s="3">
        <f t="shared" si="77"/>
        <v>7191879</v>
      </c>
      <c r="W1228">
        <v>599323.25</v>
      </c>
      <c r="X1228">
        <v>0</v>
      </c>
      <c r="Y1228">
        <f t="shared" si="78"/>
        <v>599323.25</v>
      </c>
      <c r="Z1228">
        <f t="shared" si="79"/>
        <v>0</v>
      </c>
      <c r="AA1228">
        <v>0</v>
      </c>
    </row>
    <row r="1229" spans="1:27" x14ac:dyDescent="0.25">
      <c r="A1229" s="1">
        <v>1228</v>
      </c>
      <c r="B1229" t="s">
        <v>133</v>
      </c>
      <c r="C1229" t="s">
        <v>1134</v>
      </c>
      <c r="D1229" t="s">
        <v>1138</v>
      </c>
      <c r="E1229" t="s">
        <v>1139</v>
      </c>
      <c r="G1229" t="s">
        <v>1151</v>
      </c>
      <c r="H1229" t="s">
        <v>1151</v>
      </c>
      <c r="I1229" t="s">
        <v>1151</v>
      </c>
      <c r="J1229" t="s">
        <v>2675</v>
      </c>
      <c r="K1229" t="s">
        <v>1212</v>
      </c>
      <c r="M1229" s="3">
        <f t="shared" si="76"/>
        <v>89.857142857142861</v>
      </c>
      <c r="N1229">
        <v>83</v>
      </c>
      <c r="O1229">
        <v>80</v>
      </c>
      <c r="P1229">
        <v>90</v>
      </c>
      <c r="Q1229">
        <v>92</v>
      </c>
      <c r="R1229">
        <v>95</v>
      </c>
      <c r="S1229">
        <v>98</v>
      </c>
      <c r="T1229">
        <v>91</v>
      </c>
      <c r="U1229">
        <v>28</v>
      </c>
      <c r="V1229" s="3">
        <f t="shared" si="77"/>
        <v>51477485</v>
      </c>
      <c r="W1229">
        <v>4289790.416666667</v>
      </c>
      <c r="X1229">
        <v>0</v>
      </c>
      <c r="Y1229">
        <f t="shared" si="78"/>
        <v>4289790.416666667</v>
      </c>
      <c r="Z1229">
        <f t="shared" si="79"/>
        <v>0</v>
      </c>
      <c r="AA1229">
        <v>0</v>
      </c>
    </row>
    <row r="1230" spans="1:27" x14ac:dyDescent="0.25">
      <c r="A1230" s="1">
        <v>1229</v>
      </c>
      <c r="B1230" t="s">
        <v>1485</v>
      </c>
      <c r="C1230" t="s">
        <v>1134</v>
      </c>
      <c r="D1230" t="s">
        <v>1138</v>
      </c>
      <c r="E1230" t="s">
        <v>1144</v>
      </c>
      <c r="H1230" t="s">
        <v>1151</v>
      </c>
      <c r="I1230" t="s">
        <v>1151</v>
      </c>
      <c r="J1230" t="s">
        <v>2675</v>
      </c>
      <c r="K1230" t="s">
        <v>1212</v>
      </c>
      <c r="M1230" s="3">
        <f t="shared" si="76"/>
        <v>76.285714285714292</v>
      </c>
      <c r="N1230">
        <v>70</v>
      </c>
      <c r="O1230">
        <v>74</v>
      </c>
      <c r="P1230">
        <v>80</v>
      </c>
      <c r="Q1230">
        <v>78</v>
      </c>
      <c r="R1230">
        <v>81</v>
      </c>
      <c r="S1230">
        <v>79</v>
      </c>
      <c r="T1230">
        <v>72</v>
      </c>
      <c r="U1230">
        <v>0</v>
      </c>
      <c r="V1230" s="3">
        <f t="shared" si="77"/>
        <v>6674707</v>
      </c>
      <c r="W1230">
        <v>556225.58333333337</v>
      </c>
      <c r="X1230">
        <v>0</v>
      </c>
      <c r="Y1230">
        <f t="shared" si="78"/>
        <v>556225.58333333337</v>
      </c>
      <c r="Z1230">
        <f t="shared" si="79"/>
        <v>0</v>
      </c>
      <c r="AA1230">
        <v>0</v>
      </c>
    </row>
    <row r="1231" spans="1:27" x14ac:dyDescent="0.25">
      <c r="A1231" s="1">
        <v>1230</v>
      </c>
      <c r="B1231" t="s">
        <v>354</v>
      </c>
      <c r="C1231" t="s">
        <v>1134</v>
      </c>
      <c r="D1231" t="s">
        <v>1138</v>
      </c>
      <c r="E1231" t="s">
        <v>1140</v>
      </c>
      <c r="G1231" t="s">
        <v>1196</v>
      </c>
      <c r="H1231" t="s">
        <v>1196</v>
      </c>
      <c r="I1231" t="s">
        <v>1196</v>
      </c>
      <c r="J1231" t="s">
        <v>2675</v>
      </c>
      <c r="K1231" t="s">
        <v>1212</v>
      </c>
      <c r="M1231" s="3">
        <f t="shared" si="76"/>
        <v>84.857142857142861</v>
      </c>
      <c r="N1231">
        <v>80</v>
      </c>
      <c r="O1231">
        <v>80</v>
      </c>
      <c r="P1231">
        <v>86</v>
      </c>
      <c r="Q1231">
        <v>87</v>
      </c>
      <c r="R1231">
        <v>88</v>
      </c>
      <c r="S1231">
        <v>89</v>
      </c>
      <c r="T1231">
        <v>84</v>
      </c>
      <c r="U1231">
        <v>28</v>
      </c>
      <c r="V1231" s="3">
        <f t="shared" si="77"/>
        <v>29038576</v>
      </c>
      <c r="W1231">
        <v>2419881.3333333335</v>
      </c>
      <c r="X1231">
        <v>0</v>
      </c>
      <c r="Y1231">
        <f t="shared" si="78"/>
        <v>2419881.3333333335</v>
      </c>
      <c r="Z1231">
        <f t="shared" si="79"/>
        <v>0</v>
      </c>
      <c r="AA1231">
        <v>0</v>
      </c>
    </row>
    <row r="1232" spans="1:27" x14ac:dyDescent="0.25">
      <c r="A1232" s="1">
        <v>1231</v>
      </c>
      <c r="B1232" t="s">
        <v>253</v>
      </c>
      <c r="C1232" t="s">
        <v>1134</v>
      </c>
      <c r="D1232" t="s">
        <v>1140</v>
      </c>
      <c r="E1232" t="s">
        <v>1144</v>
      </c>
      <c r="F1232" t="s">
        <v>1139</v>
      </c>
      <c r="G1232" t="s">
        <v>1175</v>
      </c>
      <c r="H1232" t="s">
        <v>1214</v>
      </c>
      <c r="I1232" t="s">
        <v>1214</v>
      </c>
      <c r="J1232" t="s">
        <v>2675</v>
      </c>
      <c r="K1232" t="s">
        <v>1212</v>
      </c>
      <c r="M1232" s="3">
        <f t="shared" si="76"/>
        <v>87.571428571428569</v>
      </c>
      <c r="N1232">
        <v>84</v>
      </c>
      <c r="O1232">
        <v>90</v>
      </c>
      <c r="P1232">
        <v>85</v>
      </c>
      <c r="Q1232">
        <v>87</v>
      </c>
      <c r="R1232">
        <v>89</v>
      </c>
      <c r="S1232">
        <v>88</v>
      </c>
      <c r="T1232">
        <v>90</v>
      </c>
      <c r="U1232">
        <v>27</v>
      </c>
      <c r="V1232" s="3">
        <f t="shared" si="77"/>
        <v>39784656</v>
      </c>
      <c r="W1232">
        <v>3315388</v>
      </c>
      <c r="X1232">
        <v>0</v>
      </c>
      <c r="Y1232">
        <f t="shared" si="78"/>
        <v>3315388</v>
      </c>
      <c r="Z1232">
        <f t="shared" si="79"/>
        <v>0</v>
      </c>
      <c r="AA1232">
        <v>0</v>
      </c>
    </row>
    <row r="1233" spans="1:27" x14ac:dyDescent="0.25">
      <c r="A1233" s="1">
        <v>1232</v>
      </c>
      <c r="B1233" t="s">
        <v>134</v>
      </c>
      <c r="C1233" t="s">
        <v>1134</v>
      </c>
      <c r="D1233" t="s">
        <v>1138</v>
      </c>
      <c r="E1233" t="s">
        <v>1140</v>
      </c>
      <c r="G1233" t="s">
        <v>1151</v>
      </c>
      <c r="H1233" t="s">
        <v>1151</v>
      </c>
      <c r="I1233" t="s">
        <v>1151</v>
      </c>
      <c r="J1233" t="s">
        <v>2675</v>
      </c>
      <c r="K1233" t="s">
        <v>1212</v>
      </c>
      <c r="M1233" s="3">
        <f t="shared" si="76"/>
        <v>85.142857142857139</v>
      </c>
      <c r="N1233">
        <v>73</v>
      </c>
      <c r="O1233">
        <v>77</v>
      </c>
      <c r="P1233">
        <v>83</v>
      </c>
      <c r="Q1233">
        <v>84</v>
      </c>
      <c r="R1233">
        <v>94</v>
      </c>
      <c r="S1233">
        <v>92</v>
      </c>
      <c r="T1233">
        <v>93</v>
      </c>
      <c r="U1233">
        <v>27</v>
      </c>
      <c r="V1233" s="3">
        <f t="shared" si="77"/>
        <v>30031254</v>
      </c>
      <c r="W1233">
        <v>2502604.5</v>
      </c>
      <c r="X1233">
        <v>0</v>
      </c>
      <c r="Y1233">
        <f t="shared" si="78"/>
        <v>2502604.5</v>
      </c>
      <c r="Z1233">
        <f t="shared" si="79"/>
        <v>0</v>
      </c>
      <c r="AA1233">
        <v>0</v>
      </c>
    </row>
    <row r="1234" spans="1:27" x14ac:dyDescent="0.25">
      <c r="A1234" s="1">
        <v>1233</v>
      </c>
      <c r="B1234" t="s">
        <v>1492</v>
      </c>
      <c r="C1234" t="s">
        <v>1135</v>
      </c>
      <c r="D1234" t="s">
        <v>1141</v>
      </c>
      <c r="H1234" t="s">
        <v>1151</v>
      </c>
      <c r="I1234" t="s">
        <v>1151</v>
      </c>
      <c r="J1234" t="s">
        <v>2675</v>
      </c>
      <c r="K1234" t="s">
        <v>1212</v>
      </c>
      <c r="M1234" s="3">
        <f t="shared" si="76"/>
        <v>77.142857142857139</v>
      </c>
      <c r="N1234">
        <v>75</v>
      </c>
      <c r="O1234">
        <v>73</v>
      </c>
      <c r="P1234">
        <v>82</v>
      </c>
      <c r="Q1234">
        <v>80</v>
      </c>
      <c r="R1234">
        <v>84</v>
      </c>
      <c r="S1234">
        <v>75</v>
      </c>
      <c r="T1234">
        <v>71</v>
      </c>
      <c r="U1234">
        <v>0</v>
      </c>
      <c r="V1234" s="3">
        <f t="shared" si="77"/>
        <v>7463752</v>
      </c>
      <c r="W1234">
        <v>621979.33333333337</v>
      </c>
      <c r="X1234">
        <v>0</v>
      </c>
      <c r="Y1234">
        <f t="shared" si="78"/>
        <v>621979.33333333337</v>
      </c>
      <c r="Z1234">
        <f t="shared" si="79"/>
        <v>0</v>
      </c>
      <c r="AA1234">
        <v>0</v>
      </c>
    </row>
    <row r="1235" spans="1:27" x14ac:dyDescent="0.25">
      <c r="A1235" s="1">
        <v>1234</v>
      </c>
      <c r="B1235" t="s">
        <v>1491</v>
      </c>
      <c r="C1235" t="s">
        <v>1135</v>
      </c>
      <c r="D1235" t="s">
        <v>1141</v>
      </c>
      <c r="E1235" t="s">
        <v>1142</v>
      </c>
      <c r="H1235" t="s">
        <v>1151</v>
      </c>
      <c r="I1235" t="s">
        <v>1151</v>
      </c>
      <c r="J1235" t="s">
        <v>2675</v>
      </c>
      <c r="K1235" t="s">
        <v>1212</v>
      </c>
      <c r="M1235" s="3">
        <f t="shared" si="76"/>
        <v>76.714285714285708</v>
      </c>
      <c r="N1235">
        <v>73</v>
      </c>
      <c r="O1235">
        <v>75</v>
      </c>
      <c r="P1235">
        <v>81</v>
      </c>
      <c r="Q1235">
        <v>79</v>
      </c>
      <c r="R1235">
        <v>83</v>
      </c>
      <c r="S1235">
        <v>76</v>
      </c>
      <c r="T1235">
        <v>70</v>
      </c>
      <c r="U1235">
        <v>0</v>
      </c>
      <c r="V1235" s="3">
        <f t="shared" si="77"/>
        <v>7059314</v>
      </c>
      <c r="W1235">
        <v>588276.16666666663</v>
      </c>
      <c r="X1235">
        <v>0</v>
      </c>
      <c r="Y1235">
        <f t="shared" si="78"/>
        <v>588276.16666666663</v>
      </c>
      <c r="Z1235">
        <f t="shared" si="79"/>
        <v>0</v>
      </c>
      <c r="AA1235">
        <v>0</v>
      </c>
    </row>
    <row r="1236" spans="1:27" x14ac:dyDescent="0.25">
      <c r="A1236" s="1">
        <v>1235</v>
      </c>
      <c r="B1236" t="s">
        <v>596</v>
      </c>
      <c r="C1236" t="s">
        <v>1135</v>
      </c>
      <c r="D1236" t="s">
        <v>1141</v>
      </c>
      <c r="G1236" t="s">
        <v>1200</v>
      </c>
      <c r="H1236" t="s">
        <v>1200</v>
      </c>
      <c r="I1236" t="s">
        <v>1200</v>
      </c>
      <c r="J1236" t="s">
        <v>2675</v>
      </c>
      <c r="K1236" t="s">
        <v>1212</v>
      </c>
      <c r="M1236" s="3">
        <f t="shared" si="76"/>
        <v>94.428571428571431</v>
      </c>
      <c r="N1236">
        <v>93</v>
      </c>
      <c r="O1236">
        <v>90</v>
      </c>
      <c r="P1236">
        <v>98</v>
      </c>
      <c r="Q1236">
        <v>90</v>
      </c>
      <c r="R1236">
        <v>99</v>
      </c>
      <c r="S1236">
        <v>100</v>
      </c>
      <c r="T1236">
        <v>91</v>
      </c>
      <c r="U1236">
        <v>6</v>
      </c>
      <c r="V1236" s="3">
        <f t="shared" si="77"/>
        <v>84552306</v>
      </c>
      <c r="W1236">
        <v>7046025.5</v>
      </c>
      <c r="X1236">
        <v>0</v>
      </c>
      <c r="Y1236">
        <f t="shared" si="78"/>
        <v>7046025.5</v>
      </c>
      <c r="Z1236">
        <f t="shared" si="79"/>
        <v>0</v>
      </c>
      <c r="AA1236">
        <v>0</v>
      </c>
    </row>
    <row r="1237" spans="1:27" x14ac:dyDescent="0.25">
      <c r="A1237" s="1">
        <v>1236</v>
      </c>
      <c r="B1237" t="s">
        <v>453</v>
      </c>
      <c r="C1237" t="s">
        <v>1135</v>
      </c>
      <c r="D1237" t="s">
        <v>1141</v>
      </c>
      <c r="G1237" t="s">
        <v>1154</v>
      </c>
      <c r="H1237" t="s">
        <v>1154</v>
      </c>
      <c r="I1237" t="s">
        <v>1154</v>
      </c>
      <c r="J1237" t="s">
        <v>2675</v>
      </c>
      <c r="K1237" t="s">
        <v>1212</v>
      </c>
      <c r="M1237" s="3">
        <f t="shared" si="76"/>
        <v>89.142857142857139</v>
      </c>
      <c r="N1237">
        <v>89</v>
      </c>
      <c r="O1237">
        <v>93</v>
      </c>
      <c r="P1237">
        <v>93</v>
      </c>
      <c r="Q1237">
        <v>89</v>
      </c>
      <c r="R1237">
        <v>84</v>
      </c>
      <c r="S1237">
        <v>86</v>
      </c>
      <c r="T1237">
        <v>90</v>
      </c>
      <c r="U1237">
        <v>5</v>
      </c>
      <c r="V1237" s="3">
        <f t="shared" si="77"/>
        <v>47528790</v>
      </c>
      <c r="W1237">
        <v>3960732.5</v>
      </c>
      <c r="X1237">
        <v>0</v>
      </c>
      <c r="Y1237">
        <f t="shared" si="78"/>
        <v>3960732.5</v>
      </c>
      <c r="Z1237">
        <f t="shared" si="79"/>
        <v>0</v>
      </c>
      <c r="AA1237">
        <v>0</v>
      </c>
    </row>
    <row r="1238" spans="1:27" x14ac:dyDescent="0.25">
      <c r="A1238" s="1">
        <v>1237</v>
      </c>
      <c r="B1238" t="s">
        <v>953</v>
      </c>
      <c r="C1238" t="s">
        <v>1136</v>
      </c>
      <c r="D1238" t="s">
        <v>1143</v>
      </c>
      <c r="E1238" t="s">
        <v>1147</v>
      </c>
      <c r="G1238" t="s">
        <v>1200</v>
      </c>
      <c r="H1238" t="s">
        <v>1200</v>
      </c>
      <c r="I1238" t="s">
        <v>1200</v>
      </c>
      <c r="J1238" t="s">
        <v>2675</v>
      </c>
      <c r="K1238" t="s">
        <v>1212</v>
      </c>
      <c r="M1238" s="3">
        <f t="shared" si="76"/>
        <v>92.857142857142861</v>
      </c>
      <c r="N1238">
        <v>89</v>
      </c>
      <c r="O1238">
        <v>89</v>
      </c>
      <c r="P1238">
        <v>96</v>
      </c>
      <c r="Q1238">
        <v>98</v>
      </c>
      <c r="R1238">
        <v>90</v>
      </c>
      <c r="S1238">
        <v>92</v>
      </c>
      <c r="T1238">
        <v>96</v>
      </c>
      <c r="U1238">
        <v>17</v>
      </c>
      <c r="V1238" s="3">
        <f t="shared" si="77"/>
        <v>71489857</v>
      </c>
      <c r="W1238">
        <v>5957488.083333333</v>
      </c>
      <c r="X1238">
        <v>0</v>
      </c>
      <c r="Y1238">
        <f t="shared" si="78"/>
        <v>5957488.083333333</v>
      </c>
      <c r="Z1238">
        <f t="shared" si="79"/>
        <v>0</v>
      </c>
      <c r="AA1238">
        <v>0</v>
      </c>
    </row>
    <row r="1239" spans="1:27" x14ac:dyDescent="0.25">
      <c r="A1239" s="1">
        <v>1238</v>
      </c>
      <c r="B1239" t="s">
        <v>1490</v>
      </c>
      <c r="C1239" t="s">
        <v>1136</v>
      </c>
      <c r="D1239" t="s">
        <v>1144</v>
      </c>
      <c r="E1239" t="s">
        <v>1138</v>
      </c>
      <c r="H1239" t="s">
        <v>1151</v>
      </c>
      <c r="I1239" t="s">
        <v>1151</v>
      </c>
      <c r="J1239" t="s">
        <v>2675</v>
      </c>
      <c r="K1239" t="s">
        <v>1212</v>
      </c>
      <c r="M1239" s="3">
        <f t="shared" si="76"/>
        <v>78</v>
      </c>
      <c r="N1239">
        <v>73</v>
      </c>
      <c r="O1239">
        <v>79</v>
      </c>
      <c r="P1239">
        <v>83</v>
      </c>
      <c r="Q1239">
        <v>81</v>
      </c>
      <c r="R1239">
        <v>80</v>
      </c>
      <c r="S1239">
        <v>79</v>
      </c>
      <c r="T1239">
        <v>71</v>
      </c>
      <c r="U1239">
        <v>0</v>
      </c>
      <c r="V1239" s="3">
        <f t="shared" si="77"/>
        <v>8335776</v>
      </c>
      <c r="W1239">
        <v>694648</v>
      </c>
      <c r="X1239">
        <v>0</v>
      </c>
      <c r="Y1239">
        <f t="shared" si="78"/>
        <v>694648</v>
      </c>
      <c r="Z1239">
        <f t="shared" si="79"/>
        <v>0</v>
      </c>
      <c r="AA1239">
        <v>0</v>
      </c>
    </row>
    <row r="1240" spans="1:27" x14ac:dyDescent="0.25">
      <c r="A1240" s="1">
        <v>1239</v>
      </c>
      <c r="B1240" t="s">
        <v>2570</v>
      </c>
      <c r="C1240" t="s">
        <v>1136</v>
      </c>
      <c r="D1240" t="s">
        <v>1143</v>
      </c>
      <c r="E1240" t="s">
        <v>1145</v>
      </c>
      <c r="H1240" t="s">
        <v>1151</v>
      </c>
      <c r="I1240" t="s">
        <v>1151</v>
      </c>
      <c r="J1240" t="s">
        <v>2675</v>
      </c>
      <c r="K1240" t="s">
        <v>1212</v>
      </c>
      <c r="M1240" s="3">
        <f t="shared" si="76"/>
        <v>76.714285714285708</v>
      </c>
      <c r="N1240">
        <v>73</v>
      </c>
      <c r="O1240">
        <v>82</v>
      </c>
      <c r="P1240">
        <v>78</v>
      </c>
      <c r="Q1240">
        <v>81</v>
      </c>
      <c r="R1240">
        <v>75</v>
      </c>
      <c r="S1240">
        <v>78</v>
      </c>
      <c r="T1240">
        <v>70</v>
      </c>
      <c r="U1240">
        <v>0</v>
      </c>
      <c r="V1240" s="3">
        <f t="shared" si="77"/>
        <v>7059314</v>
      </c>
      <c r="W1240">
        <v>588276.16666666663</v>
      </c>
      <c r="X1240">
        <v>0</v>
      </c>
      <c r="Y1240">
        <f t="shared" si="78"/>
        <v>588276.16666666663</v>
      </c>
      <c r="Z1240">
        <f t="shared" si="79"/>
        <v>0</v>
      </c>
      <c r="AA1240">
        <v>0</v>
      </c>
    </row>
    <row r="1241" spans="1:27" x14ac:dyDescent="0.25">
      <c r="A1241" s="1">
        <v>1240</v>
      </c>
      <c r="B1241" t="s">
        <v>1488</v>
      </c>
      <c r="C1241" t="s">
        <v>1136</v>
      </c>
      <c r="D1241" t="s">
        <v>1147</v>
      </c>
      <c r="E1241" t="s">
        <v>1145</v>
      </c>
      <c r="H1241" t="s">
        <v>1151</v>
      </c>
      <c r="I1241" t="s">
        <v>1151</v>
      </c>
      <c r="J1241" t="s">
        <v>2675</v>
      </c>
      <c r="K1241" t="s">
        <v>1212</v>
      </c>
      <c r="M1241" s="3">
        <f t="shared" si="76"/>
        <v>75.571428571428569</v>
      </c>
      <c r="N1241">
        <v>69</v>
      </c>
      <c r="O1241">
        <v>80</v>
      </c>
      <c r="P1241">
        <v>77</v>
      </c>
      <c r="Q1241">
        <v>81</v>
      </c>
      <c r="R1241">
        <v>75</v>
      </c>
      <c r="S1241">
        <v>79</v>
      </c>
      <c r="T1241">
        <v>68</v>
      </c>
      <c r="U1241">
        <v>0</v>
      </c>
      <c r="V1241" s="3">
        <f t="shared" si="77"/>
        <v>6075421</v>
      </c>
      <c r="W1241">
        <v>506285.08333333331</v>
      </c>
      <c r="X1241">
        <v>0</v>
      </c>
      <c r="Y1241">
        <f t="shared" si="78"/>
        <v>506285.08333333331</v>
      </c>
      <c r="Z1241">
        <f t="shared" si="79"/>
        <v>0</v>
      </c>
      <c r="AA1241">
        <v>0</v>
      </c>
    </row>
    <row r="1242" spans="1:27" x14ac:dyDescent="0.25">
      <c r="A1242" s="1">
        <v>1241</v>
      </c>
      <c r="B1242" t="s">
        <v>919</v>
      </c>
      <c r="C1242" t="s">
        <v>1136</v>
      </c>
      <c r="D1242" t="s">
        <v>1143</v>
      </c>
      <c r="E1242" t="s">
        <v>1146</v>
      </c>
      <c r="F1242" t="s">
        <v>1145</v>
      </c>
      <c r="G1242" t="s">
        <v>1195</v>
      </c>
      <c r="H1242" t="s">
        <v>1195</v>
      </c>
      <c r="I1242" t="s">
        <v>1195</v>
      </c>
      <c r="J1242" t="s">
        <v>2675</v>
      </c>
      <c r="K1242" t="s">
        <v>1212</v>
      </c>
      <c r="M1242" s="3">
        <f t="shared" si="76"/>
        <v>91.714285714285708</v>
      </c>
      <c r="N1242">
        <v>93</v>
      </c>
      <c r="O1242">
        <v>93</v>
      </c>
      <c r="P1242">
        <v>90</v>
      </c>
      <c r="Q1242">
        <v>96</v>
      </c>
      <c r="R1242">
        <v>88</v>
      </c>
      <c r="S1242">
        <v>90</v>
      </c>
      <c r="T1242">
        <v>92</v>
      </c>
      <c r="U1242">
        <v>10</v>
      </c>
      <c r="V1242" s="3">
        <f t="shared" si="77"/>
        <v>63162766</v>
      </c>
      <c r="W1242">
        <v>5263563.833333333</v>
      </c>
      <c r="X1242">
        <v>0</v>
      </c>
      <c r="Y1242">
        <f t="shared" si="78"/>
        <v>5263563.833333333</v>
      </c>
      <c r="Z1242">
        <f t="shared" si="79"/>
        <v>0</v>
      </c>
      <c r="AA1242">
        <v>0</v>
      </c>
    </row>
    <row r="1243" spans="1:27" x14ac:dyDescent="0.25">
      <c r="A1243" s="1">
        <v>1242</v>
      </c>
      <c r="B1243" t="s">
        <v>651</v>
      </c>
      <c r="C1243" t="s">
        <v>1136</v>
      </c>
      <c r="D1243" t="s">
        <v>1143</v>
      </c>
      <c r="E1243" t="s">
        <v>1145</v>
      </c>
      <c r="G1243" t="s">
        <v>1151</v>
      </c>
      <c r="H1243" t="s">
        <v>1151</v>
      </c>
      <c r="I1243" t="s">
        <v>1151</v>
      </c>
      <c r="J1243" t="s">
        <v>2675</v>
      </c>
      <c r="K1243" t="s">
        <v>1212</v>
      </c>
      <c r="M1243" s="3">
        <f t="shared" si="76"/>
        <v>88.571428571428569</v>
      </c>
      <c r="N1243">
        <v>88</v>
      </c>
      <c r="O1243">
        <v>89</v>
      </c>
      <c r="P1243">
        <v>90</v>
      </c>
      <c r="Q1243">
        <v>88</v>
      </c>
      <c r="R1243">
        <v>88</v>
      </c>
      <c r="S1243">
        <v>91</v>
      </c>
      <c r="T1243">
        <v>86</v>
      </c>
      <c r="U1243">
        <v>24</v>
      </c>
      <c r="V1243" s="3">
        <f t="shared" si="77"/>
        <v>44568473</v>
      </c>
      <c r="W1243">
        <v>3714039.4166666665</v>
      </c>
      <c r="X1243">
        <v>0</v>
      </c>
      <c r="Y1243">
        <f t="shared" si="78"/>
        <v>3714039.4166666665</v>
      </c>
      <c r="Z1243">
        <f t="shared" si="79"/>
        <v>0</v>
      </c>
      <c r="AA1243">
        <v>0</v>
      </c>
    </row>
    <row r="1244" spans="1:27" x14ac:dyDescent="0.25">
      <c r="A1244" s="1">
        <v>1243</v>
      </c>
      <c r="B1244" t="s">
        <v>1487</v>
      </c>
      <c r="C1244" t="s">
        <v>1136</v>
      </c>
      <c r="D1244" t="s">
        <v>1144</v>
      </c>
      <c r="E1244" t="s">
        <v>1143</v>
      </c>
      <c r="H1244" t="s">
        <v>1151</v>
      </c>
      <c r="I1244" t="s">
        <v>1151</v>
      </c>
      <c r="J1244" t="s">
        <v>2675</v>
      </c>
      <c r="K1244" t="s">
        <v>1212</v>
      </c>
      <c r="M1244" s="3">
        <f t="shared" si="76"/>
        <v>79.142857142857139</v>
      </c>
      <c r="N1244">
        <v>74</v>
      </c>
      <c r="O1244">
        <v>80</v>
      </c>
      <c r="P1244">
        <v>84</v>
      </c>
      <c r="Q1244">
        <v>82</v>
      </c>
      <c r="R1244">
        <v>81</v>
      </c>
      <c r="S1244">
        <v>80</v>
      </c>
      <c r="T1244">
        <v>73</v>
      </c>
      <c r="U1244">
        <v>0</v>
      </c>
      <c r="V1244" s="3">
        <f t="shared" si="77"/>
        <v>9640893</v>
      </c>
      <c r="W1244">
        <v>803407.75</v>
      </c>
      <c r="X1244">
        <v>0</v>
      </c>
      <c r="Y1244">
        <f t="shared" si="78"/>
        <v>803407.75</v>
      </c>
      <c r="Z1244">
        <f t="shared" si="79"/>
        <v>0</v>
      </c>
      <c r="AA1244">
        <v>0</v>
      </c>
    </row>
    <row r="1245" spans="1:27" x14ac:dyDescent="0.25">
      <c r="A1245" s="1">
        <v>1244</v>
      </c>
      <c r="B1245" t="s">
        <v>1489</v>
      </c>
      <c r="C1245" t="s">
        <v>1136</v>
      </c>
      <c r="D1245" t="s">
        <v>1146</v>
      </c>
      <c r="E1245" t="s">
        <v>1143</v>
      </c>
      <c r="H1245" t="s">
        <v>1151</v>
      </c>
      <c r="I1245" t="s">
        <v>1151</v>
      </c>
      <c r="J1245" t="s">
        <v>2675</v>
      </c>
      <c r="K1245" t="s">
        <v>1212</v>
      </c>
      <c r="M1245" s="3">
        <f t="shared" si="76"/>
        <v>76.571428571428569</v>
      </c>
      <c r="N1245">
        <v>72</v>
      </c>
      <c r="O1245">
        <v>81</v>
      </c>
      <c r="P1245">
        <v>78</v>
      </c>
      <c r="Q1245">
        <v>80</v>
      </c>
      <c r="R1245">
        <v>76</v>
      </c>
      <c r="S1245">
        <v>80</v>
      </c>
      <c r="T1245">
        <v>69</v>
      </c>
      <c r="U1245">
        <v>0</v>
      </c>
      <c r="V1245" s="3">
        <f t="shared" si="77"/>
        <v>6928952</v>
      </c>
      <c r="W1245">
        <v>577412.66666666663</v>
      </c>
      <c r="X1245">
        <v>0</v>
      </c>
      <c r="Y1245">
        <f t="shared" si="78"/>
        <v>577412.66666666663</v>
      </c>
      <c r="Z1245">
        <f t="shared" si="79"/>
        <v>0</v>
      </c>
      <c r="AA1245">
        <v>0</v>
      </c>
    </row>
    <row r="1246" spans="1:27" x14ac:dyDescent="0.25">
      <c r="A1246" s="1">
        <v>1245</v>
      </c>
      <c r="B1246" t="s">
        <v>652</v>
      </c>
      <c r="C1246" t="s">
        <v>1136</v>
      </c>
      <c r="D1246" t="s">
        <v>1143</v>
      </c>
      <c r="E1246" t="s">
        <v>1144</v>
      </c>
      <c r="F1246" t="s">
        <v>1147</v>
      </c>
      <c r="G1246" t="s">
        <v>1151</v>
      </c>
      <c r="H1246" t="s">
        <v>1151</v>
      </c>
      <c r="I1246" t="s">
        <v>1151</v>
      </c>
      <c r="J1246" t="s">
        <v>2675</v>
      </c>
      <c r="K1246" t="s">
        <v>1212</v>
      </c>
      <c r="M1246" s="3">
        <f t="shared" si="76"/>
        <v>96.285714285714292</v>
      </c>
      <c r="N1246">
        <v>95</v>
      </c>
      <c r="O1246">
        <v>94</v>
      </c>
      <c r="P1246">
        <v>100</v>
      </c>
      <c r="Q1246">
        <v>99</v>
      </c>
      <c r="R1246">
        <v>95</v>
      </c>
      <c r="S1246">
        <v>94</v>
      </c>
      <c r="T1246">
        <v>97</v>
      </c>
      <c r="U1246">
        <v>10</v>
      </c>
      <c r="V1246" s="3">
        <f t="shared" si="77"/>
        <v>102732966</v>
      </c>
      <c r="W1246">
        <v>8561080.5</v>
      </c>
      <c r="X1246">
        <v>0</v>
      </c>
      <c r="Y1246">
        <f t="shared" si="78"/>
        <v>8561080.5</v>
      </c>
      <c r="Z1246">
        <f t="shared" si="79"/>
        <v>0</v>
      </c>
      <c r="AA1246">
        <v>0</v>
      </c>
    </row>
    <row r="1247" spans="1:27" x14ac:dyDescent="0.25">
      <c r="A1247" s="1">
        <v>1246</v>
      </c>
      <c r="B1247" t="s">
        <v>670</v>
      </c>
      <c r="C1247" t="s">
        <v>1136</v>
      </c>
      <c r="D1247" t="s">
        <v>1145</v>
      </c>
      <c r="E1247" t="s">
        <v>1143</v>
      </c>
      <c r="G1247" t="s">
        <v>1154</v>
      </c>
      <c r="H1247" t="s">
        <v>1154</v>
      </c>
      <c r="I1247" t="s">
        <v>1154</v>
      </c>
      <c r="J1247" t="s">
        <v>2675</v>
      </c>
      <c r="K1247" t="s">
        <v>1212</v>
      </c>
      <c r="M1247" s="3">
        <f t="shared" si="76"/>
        <v>88.428571428571431</v>
      </c>
      <c r="N1247">
        <v>90</v>
      </c>
      <c r="O1247">
        <v>98</v>
      </c>
      <c r="P1247">
        <v>99</v>
      </c>
      <c r="Q1247">
        <v>84</v>
      </c>
      <c r="R1247">
        <v>85</v>
      </c>
      <c r="S1247">
        <v>81</v>
      </c>
      <c r="T1247">
        <v>82</v>
      </c>
      <c r="U1247">
        <v>1</v>
      </c>
      <c r="V1247" s="3">
        <f t="shared" si="77"/>
        <v>43854822</v>
      </c>
      <c r="W1247">
        <v>3654568.5</v>
      </c>
      <c r="X1247">
        <v>0</v>
      </c>
      <c r="Y1247">
        <f t="shared" si="78"/>
        <v>3654568.5</v>
      </c>
      <c r="Z1247">
        <f t="shared" si="79"/>
        <v>0</v>
      </c>
      <c r="AA1247">
        <v>0</v>
      </c>
    </row>
    <row r="1248" spans="1:27" x14ac:dyDescent="0.25">
      <c r="A1248" s="1">
        <v>1247</v>
      </c>
      <c r="B1248" t="s">
        <v>868</v>
      </c>
      <c r="C1248" t="s">
        <v>1136</v>
      </c>
      <c r="D1248" t="s">
        <v>1143</v>
      </c>
      <c r="E1248" t="s">
        <v>1144</v>
      </c>
      <c r="F1248" t="s">
        <v>1145</v>
      </c>
      <c r="G1248" t="s">
        <v>1187</v>
      </c>
      <c r="H1248" t="s">
        <v>1187</v>
      </c>
      <c r="I1248" t="s">
        <v>1187</v>
      </c>
      <c r="J1248" t="s">
        <v>2675</v>
      </c>
      <c r="K1248" t="s">
        <v>1212</v>
      </c>
      <c r="M1248" s="3">
        <f t="shared" si="76"/>
        <v>88.571428571428569</v>
      </c>
      <c r="N1248">
        <v>85</v>
      </c>
      <c r="O1248">
        <v>86</v>
      </c>
      <c r="P1248">
        <v>90</v>
      </c>
      <c r="Q1248">
        <v>96</v>
      </c>
      <c r="R1248">
        <v>90</v>
      </c>
      <c r="S1248">
        <v>80</v>
      </c>
      <c r="T1248">
        <v>93</v>
      </c>
      <c r="U1248">
        <v>24</v>
      </c>
      <c r="V1248" s="3">
        <f t="shared" si="77"/>
        <v>44568473</v>
      </c>
      <c r="W1248">
        <v>3714039.4166666665</v>
      </c>
      <c r="X1248">
        <v>0</v>
      </c>
      <c r="Y1248">
        <f t="shared" si="78"/>
        <v>3714039.4166666665</v>
      </c>
      <c r="Z1248">
        <f t="shared" si="79"/>
        <v>0</v>
      </c>
      <c r="AA1248">
        <v>0</v>
      </c>
    </row>
    <row r="1249" spans="1:27" x14ac:dyDescent="0.25">
      <c r="A1249" s="1">
        <v>1248</v>
      </c>
      <c r="B1249" t="s">
        <v>867</v>
      </c>
      <c r="C1249" t="s">
        <v>1136</v>
      </c>
      <c r="D1249" t="s">
        <v>1145</v>
      </c>
      <c r="E1249" t="s">
        <v>1147</v>
      </c>
      <c r="F1249" t="s">
        <v>1146</v>
      </c>
      <c r="G1249" t="s">
        <v>1187</v>
      </c>
      <c r="H1249" t="s">
        <v>1187</v>
      </c>
      <c r="I1249" t="s">
        <v>1187</v>
      </c>
      <c r="J1249" t="s">
        <v>2675</v>
      </c>
      <c r="K1249" t="s">
        <v>1212</v>
      </c>
      <c r="M1249" s="3">
        <f t="shared" si="76"/>
        <v>89.142857142857139</v>
      </c>
      <c r="N1249">
        <v>86</v>
      </c>
      <c r="O1249">
        <v>84</v>
      </c>
      <c r="P1249">
        <v>95</v>
      </c>
      <c r="Q1249">
        <v>89</v>
      </c>
      <c r="R1249">
        <v>94</v>
      </c>
      <c r="S1249">
        <v>91</v>
      </c>
      <c r="T1249">
        <v>85</v>
      </c>
      <c r="U1249">
        <v>1</v>
      </c>
      <c r="V1249" s="3">
        <f t="shared" si="77"/>
        <v>47528790</v>
      </c>
      <c r="W1249">
        <v>3960732.5</v>
      </c>
      <c r="X1249">
        <v>0</v>
      </c>
      <c r="Y1249">
        <f t="shared" si="78"/>
        <v>3960732.5</v>
      </c>
      <c r="Z1249">
        <f t="shared" si="79"/>
        <v>0</v>
      </c>
      <c r="AA1249">
        <v>0</v>
      </c>
    </row>
    <row r="1250" spans="1:27" x14ac:dyDescent="0.25">
      <c r="A1250" s="1">
        <v>1249</v>
      </c>
      <c r="B1250" t="s">
        <v>1092</v>
      </c>
      <c r="C1250" t="s">
        <v>1137</v>
      </c>
      <c r="D1250" t="s">
        <v>1137</v>
      </c>
      <c r="H1250" t="s">
        <v>1151</v>
      </c>
      <c r="I1250" t="s">
        <v>1151</v>
      </c>
      <c r="J1250" t="s">
        <v>2675</v>
      </c>
      <c r="K1250" t="s">
        <v>1212</v>
      </c>
      <c r="M1250" s="3">
        <f t="shared" si="76"/>
        <v>84</v>
      </c>
      <c r="N1250">
        <v>74</v>
      </c>
      <c r="O1250">
        <v>85</v>
      </c>
      <c r="P1250">
        <v>85</v>
      </c>
      <c r="Q1250">
        <v>88</v>
      </c>
      <c r="R1250">
        <v>85</v>
      </c>
      <c r="S1250">
        <v>88</v>
      </c>
      <c r="T1250">
        <v>83</v>
      </c>
      <c r="U1250">
        <v>0</v>
      </c>
      <c r="V1250" s="3">
        <f t="shared" si="77"/>
        <v>17490123</v>
      </c>
      <c r="W1250">
        <v>1457510.25</v>
      </c>
      <c r="X1250">
        <v>0</v>
      </c>
      <c r="Y1250">
        <f t="shared" si="78"/>
        <v>1457510.25</v>
      </c>
      <c r="Z1250">
        <f t="shared" si="79"/>
        <v>0</v>
      </c>
      <c r="AA1250">
        <v>0</v>
      </c>
    </row>
    <row r="1251" spans="1:27" x14ac:dyDescent="0.25">
      <c r="A1251" s="1">
        <v>1250</v>
      </c>
      <c r="B1251" t="s">
        <v>1690</v>
      </c>
      <c r="C1251" t="s">
        <v>1133</v>
      </c>
      <c r="D1251" t="s">
        <v>1133</v>
      </c>
      <c r="H1251" t="s">
        <v>1153</v>
      </c>
      <c r="I1251" t="s">
        <v>1153</v>
      </c>
      <c r="J1251" t="s">
        <v>1333</v>
      </c>
      <c r="K1251" t="s">
        <v>1212</v>
      </c>
      <c r="M1251" s="3">
        <f t="shared" si="76"/>
        <v>72.857142857142861</v>
      </c>
      <c r="N1251">
        <v>29</v>
      </c>
      <c r="O1251">
        <v>78</v>
      </c>
      <c r="P1251">
        <v>82</v>
      </c>
      <c r="Q1251">
        <v>86</v>
      </c>
      <c r="R1251">
        <v>88</v>
      </c>
      <c r="S1251">
        <v>92</v>
      </c>
      <c r="T1251">
        <v>55</v>
      </c>
      <c r="U1251">
        <v>0</v>
      </c>
      <c r="V1251" s="3">
        <f t="shared" si="77"/>
        <v>4214261</v>
      </c>
      <c r="W1251">
        <v>351188.41666666669</v>
      </c>
      <c r="X1251">
        <v>0</v>
      </c>
      <c r="Y1251">
        <f t="shared" si="78"/>
        <v>351188.41666666669</v>
      </c>
      <c r="Z1251">
        <f t="shared" si="79"/>
        <v>0</v>
      </c>
      <c r="AA1251">
        <v>0</v>
      </c>
    </row>
    <row r="1252" spans="1:27" x14ac:dyDescent="0.25">
      <c r="A1252" s="1">
        <v>1251</v>
      </c>
      <c r="B1252" t="s">
        <v>109</v>
      </c>
      <c r="C1252" t="s">
        <v>1133</v>
      </c>
      <c r="D1252" t="s">
        <v>1133</v>
      </c>
      <c r="G1252" t="s">
        <v>1208</v>
      </c>
      <c r="H1252" t="s">
        <v>1208</v>
      </c>
      <c r="I1252" t="s">
        <v>1208</v>
      </c>
      <c r="J1252" t="s">
        <v>1333</v>
      </c>
      <c r="K1252" t="s">
        <v>1212</v>
      </c>
      <c r="M1252" s="3">
        <f t="shared" si="76"/>
        <v>68.714285714285708</v>
      </c>
      <c r="N1252">
        <v>50</v>
      </c>
      <c r="O1252">
        <v>70</v>
      </c>
      <c r="P1252">
        <v>70</v>
      </c>
      <c r="Q1252">
        <v>69</v>
      </c>
      <c r="R1252">
        <v>72</v>
      </c>
      <c r="S1252">
        <v>90</v>
      </c>
      <c r="T1252">
        <v>60</v>
      </c>
      <c r="U1252">
        <v>0</v>
      </c>
      <c r="V1252" s="3">
        <f t="shared" si="77"/>
        <v>2346770</v>
      </c>
      <c r="W1252">
        <v>96076.833333333328</v>
      </c>
      <c r="X1252">
        <v>0</v>
      </c>
      <c r="Y1252">
        <f t="shared" si="78"/>
        <v>195564.16666666666</v>
      </c>
      <c r="Z1252">
        <f t="shared" si="79"/>
        <v>-50.87</v>
      </c>
      <c r="AA1252">
        <v>0</v>
      </c>
    </row>
    <row r="1253" spans="1:27" x14ac:dyDescent="0.25">
      <c r="A1253" s="1">
        <v>1252</v>
      </c>
      <c r="B1253" t="s">
        <v>298</v>
      </c>
      <c r="C1253" t="s">
        <v>1134</v>
      </c>
      <c r="D1253" t="s">
        <v>1138</v>
      </c>
      <c r="E1253" t="s">
        <v>1140</v>
      </c>
      <c r="G1253" t="s">
        <v>1184</v>
      </c>
      <c r="H1253" t="s">
        <v>1184</v>
      </c>
      <c r="I1253" t="s">
        <v>1184</v>
      </c>
      <c r="J1253" t="s">
        <v>1333</v>
      </c>
      <c r="K1253" t="s">
        <v>1212</v>
      </c>
      <c r="M1253" s="3">
        <f t="shared" si="76"/>
        <v>72.142857142857139</v>
      </c>
      <c r="N1253">
        <v>40</v>
      </c>
      <c r="O1253">
        <v>70</v>
      </c>
      <c r="P1253">
        <v>84</v>
      </c>
      <c r="Q1253">
        <v>70</v>
      </c>
      <c r="R1253">
        <v>78</v>
      </c>
      <c r="S1253">
        <v>93</v>
      </c>
      <c r="T1253">
        <v>70</v>
      </c>
      <c r="U1253">
        <v>0</v>
      </c>
      <c r="V1253" s="3">
        <f t="shared" si="77"/>
        <v>3818857</v>
      </c>
      <c r="W1253">
        <v>318238.08333333331</v>
      </c>
      <c r="X1253">
        <v>0</v>
      </c>
      <c r="Y1253">
        <f t="shared" si="78"/>
        <v>318238.08333333331</v>
      </c>
      <c r="Z1253">
        <f t="shared" si="79"/>
        <v>0</v>
      </c>
      <c r="AA1253">
        <v>0</v>
      </c>
    </row>
    <row r="1254" spans="1:27" x14ac:dyDescent="0.25">
      <c r="A1254" s="1">
        <v>1253</v>
      </c>
      <c r="B1254" t="s">
        <v>1691</v>
      </c>
      <c r="C1254" t="s">
        <v>1134</v>
      </c>
      <c r="D1254" t="s">
        <v>1138</v>
      </c>
      <c r="E1254" t="s">
        <v>1140</v>
      </c>
      <c r="H1254" t="s">
        <v>1153</v>
      </c>
      <c r="I1254" t="s">
        <v>1153</v>
      </c>
      <c r="J1254" t="s">
        <v>1333</v>
      </c>
      <c r="K1254" t="s">
        <v>1212</v>
      </c>
      <c r="M1254" s="3">
        <f t="shared" si="76"/>
        <v>66.571428571428569</v>
      </c>
      <c r="N1254">
        <v>23</v>
      </c>
      <c r="O1254">
        <v>75</v>
      </c>
      <c r="P1254">
        <v>68</v>
      </c>
      <c r="Q1254">
        <v>82</v>
      </c>
      <c r="R1254">
        <v>83</v>
      </c>
      <c r="S1254">
        <v>87</v>
      </c>
      <c r="T1254">
        <v>48</v>
      </c>
      <c r="U1254">
        <v>0</v>
      </c>
      <c r="V1254" s="3">
        <f t="shared" si="77"/>
        <v>1709539</v>
      </c>
      <c r="W1254">
        <v>142461.58333333334</v>
      </c>
      <c r="X1254">
        <v>0</v>
      </c>
      <c r="Y1254">
        <f t="shared" si="78"/>
        <v>142461.58333333334</v>
      </c>
      <c r="Z1254">
        <f t="shared" si="79"/>
        <v>0</v>
      </c>
      <c r="AA1254">
        <v>0</v>
      </c>
    </row>
    <row r="1255" spans="1:27" x14ac:dyDescent="0.25">
      <c r="A1255" s="1">
        <v>1254</v>
      </c>
      <c r="B1255" t="s">
        <v>420</v>
      </c>
      <c r="C1255" t="s">
        <v>1134</v>
      </c>
      <c r="D1255" t="s">
        <v>1138</v>
      </c>
      <c r="G1255" t="s">
        <v>1209</v>
      </c>
      <c r="H1255" t="s">
        <v>1209</v>
      </c>
      <c r="I1255" t="s">
        <v>1209</v>
      </c>
      <c r="J1255" t="s">
        <v>1333</v>
      </c>
      <c r="K1255" t="s">
        <v>1212</v>
      </c>
      <c r="M1255" s="3">
        <f t="shared" si="76"/>
        <v>79.142857142857139</v>
      </c>
      <c r="N1255">
        <v>70</v>
      </c>
      <c r="O1255">
        <v>70</v>
      </c>
      <c r="P1255">
        <v>84</v>
      </c>
      <c r="Q1255">
        <v>82</v>
      </c>
      <c r="R1255">
        <v>82</v>
      </c>
      <c r="S1255">
        <v>96</v>
      </c>
      <c r="T1255">
        <v>70</v>
      </c>
      <c r="U1255">
        <v>0</v>
      </c>
      <c r="V1255" s="3">
        <f t="shared" si="77"/>
        <v>9640893</v>
      </c>
      <c r="W1255">
        <v>803407.75</v>
      </c>
      <c r="X1255">
        <v>0</v>
      </c>
      <c r="Y1255">
        <f t="shared" si="78"/>
        <v>803407.75</v>
      </c>
      <c r="Z1255">
        <f t="shared" si="79"/>
        <v>0</v>
      </c>
      <c r="AA1255">
        <v>0</v>
      </c>
    </row>
    <row r="1256" spans="1:27" x14ac:dyDescent="0.25">
      <c r="A1256" s="1">
        <v>1255</v>
      </c>
      <c r="B1256" t="s">
        <v>1577</v>
      </c>
      <c r="C1256" t="s">
        <v>1134</v>
      </c>
      <c r="D1256" t="s">
        <v>1138</v>
      </c>
      <c r="E1256" t="s">
        <v>1144</v>
      </c>
      <c r="H1256" t="s">
        <v>1153</v>
      </c>
      <c r="I1256" t="s">
        <v>1153</v>
      </c>
      <c r="J1256" t="s">
        <v>1333</v>
      </c>
      <c r="K1256" t="s">
        <v>1212</v>
      </c>
      <c r="M1256" s="3">
        <f t="shared" si="76"/>
        <v>71.285714285714292</v>
      </c>
      <c r="N1256">
        <v>34</v>
      </c>
      <c r="O1256">
        <v>80</v>
      </c>
      <c r="P1256">
        <v>74</v>
      </c>
      <c r="Q1256">
        <v>84</v>
      </c>
      <c r="R1256">
        <v>86</v>
      </c>
      <c r="S1256">
        <v>90</v>
      </c>
      <c r="T1256">
        <v>51</v>
      </c>
      <c r="U1256">
        <v>0</v>
      </c>
      <c r="V1256" s="3">
        <f t="shared" si="77"/>
        <v>3388638</v>
      </c>
      <c r="W1256">
        <v>282386.5</v>
      </c>
      <c r="X1256">
        <v>0</v>
      </c>
      <c r="Y1256">
        <f t="shared" si="78"/>
        <v>282386.5</v>
      </c>
      <c r="Z1256">
        <f t="shared" si="79"/>
        <v>0</v>
      </c>
      <c r="AA1256">
        <v>0</v>
      </c>
    </row>
    <row r="1257" spans="1:27" x14ac:dyDescent="0.25">
      <c r="A1257" s="1">
        <v>1256</v>
      </c>
      <c r="B1257" t="s">
        <v>2643</v>
      </c>
      <c r="C1257" t="s">
        <v>1134</v>
      </c>
      <c r="D1257" t="s">
        <v>1138</v>
      </c>
      <c r="H1257" t="s">
        <v>1153</v>
      </c>
      <c r="I1257" t="s">
        <v>1153</v>
      </c>
      <c r="J1257" t="s">
        <v>1333</v>
      </c>
      <c r="K1257" t="s">
        <v>1212</v>
      </c>
      <c r="M1257" s="3">
        <f t="shared" si="76"/>
        <v>68.142857142857139</v>
      </c>
      <c r="N1257">
        <v>26</v>
      </c>
      <c r="O1257">
        <v>78</v>
      </c>
      <c r="P1257">
        <v>70</v>
      </c>
      <c r="Q1257">
        <v>80</v>
      </c>
      <c r="R1257">
        <v>85</v>
      </c>
      <c r="S1257">
        <v>88</v>
      </c>
      <c r="T1257">
        <v>50</v>
      </c>
      <c r="U1257">
        <v>0</v>
      </c>
      <c r="V1257" s="3">
        <f t="shared" si="77"/>
        <v>2158756</v>
      </c>
      <c r="W1257">
        <v>179896.33333333334</v>
      </c>
      <c r="X1257">
        <v>0</v>
      </c>
      <c r="Y1257">
        <f t="shared" si="78"/>
        <v>179896.33333333334</v>
      </c>
      <c r="Z1257">
        <f t="shared" si="79"/>
        <v>0</v>
      </c>
      <c r="AA1257">
        <v>0</v>
      </c>
    </row>
    <row r="1258" spans="1:27" x14ac:dyDescent="0.25">
      <c r="A1258" s="1">
        <v>1257</v>
      </c>
      <c r="B1258" t="s">
        <v>392</v>
      </c>
      <c r="C1258" t="s">
        <v>1134</v>
      </c>
      <c r="D1258" t="s">
        <v>1138</v>
      </c>
      <c r="G1258" t="s">
        <v>1204</v>
      </c>
      <c r="H1258" t="s">
        <v>1153</v>
      </c>
      <c r="I1258" t="s">
        <v>1153</v>
      </c>
      <c r="J1258" t="s">
        <v>1333</v>
      </c>
      <c r="K1258" t="s">
        <v>1212</v>
      </c>
      <c r="M1258" s="3">
        <f t="shared" si="76"/>
        <v>76.857142857142861</v>
      </c>
      <c r="N1258">
        <v>65</v>
      </c>
      <c r="O1258">
        <v>70</v>
      </c>
      <c r="P1258">
        <v>78</v>
      </c>
      <c r="Q1258">
        <v>80</v>
      </c>
      <c r="R1258">
        <v>81</v>
      </c>
      <c r="S1258">
        <v>91</v>
      </c>
      <c r="T1258">
        <v>73</v>
      </c>
      <c r="U1258">
        <v>0</v>
      </c>
      <c r="V1258" s="3">
        <f t="shared" si="77"/>
        <v>7191879</v>
      </c>
      <c r="W1258">
        <v>599323.25</v>
      </c>
      <c r="X1258">
        <v>0</v>
      </c>
      <c r="Y1258">
        <f t="shared" si="78"/>
        <v>599323.25</v>
      </c>
      <c r="Z1258">
        <f t="shared" si="79"/>
        <v>0</v>
      </c>
      <c r="AA1258">
        <v>0</v>
      </c>
    </row>
    <row r="1259" spans="1:27" x14ac:dyDescent="0.25">
      <c r="A1259" s="1">
        <v>1258</v>
      </c>
      <c r="B1259" t="s">
        <v>143</v>
      </c>
      <c r="C1259" t="s">
        <v>1134</v>
      </c>
      <c r="D1259" t="s">
        <v>1138</v>
      </c>
      <c r="G1259" t="s">
        <v>1153</v>
      </c>
      <c r="H1259" t="s">
        <v>1153</v>
      </c>
      <c r="I1259" t="s">
        <v>1153</v>
      </c>
      <c r="J1259" t="s">
        <v>1333</v>
      </c>
      <c r="K1259" t="s">
        <v>1212</v>
      </c>
      <c r="M1259" s="3">
        <f t="shared" si="76"/>
        <v>79.857142857142861</v>
      </c>
      <c r="N1259">
        <v>70</v>
      </c>
      <c r="O1259">
        <v>70</v>
      </c>
      <c r="P1259">
        <v>92</v>
      </c>
      <c r="Q1259">
        <v>72</v>
      </c>
      <c r="R1259">
        <v>85</v>
      </c>
      <c r="S1259">
        <v>90</v>
      </c>
      <c r="T1259">
        <v>80</v>
      </c>
      <c r="U1259">
        <v>26</v>
      </c>
      <c r="V1259" s="3">
        <f t="shared" si="77"/>
        <v>15820819</v>
      </c>
      <c r="W1259">
        <v>1318401.5833333333</v>
      </c>
      <c r="X1259">
        <v>0</v>
      </c>
      <c r="Y1259">
        <f t="shared" si="78"/>
        <v>1318401.5833333333</v>
      </c>
      <c r="Z1259">
        <f t="shared" si="79"/>
        <v>0</v>
      </c>
      <c r="AA1259">
        <v>0</v>
      </c>
    </row>
    <row r="1260" spans="1:27" x14ac:dyDescent="0.25">
      <c r="A1260" s="1">
        <v>1259</v>
      </c>
      <c r="B1260" t="s">
        <v>1692</v>
      </c>
      <c r="C1260" t="s">
        <v>1134</v>
      </c>
      <c r="D1260" t="s">
        <v>1138</v>
      </c>
      <c r="E1260" t="s">
        <v>1144</v>
      </c>
      <c r="H1260" t="s">
        <v>1153</v>
      </c>
      <c r="I1260" t="s">
        <v>1153</v>
      </c>
      <c r="J1260" t="s">
        <v>1333</v>
      </c>
      <c r="K1260" t="s">
        <v>1212</v>
      </c>
      <c r="M1260" s="3">
        <f t="shared" si="76"/>
        <v>68.142857142857139</v>
      </c>
      <c r="N1260">
        <v>26</v>
      </c>
      <c r="O1260">
        <v>78</v>
      </c>
      <c r="P1260">
        <v>70</v>
      </c>
      <c r="Q1260">
        <v>80</v>
      </c>
      <c r="R1260">
        <v>85</v>
      </c>
      <c r="S1260">
        <v>88</v>
      </c>
      <c r="T1260">
        <v>50</v>
      </c>
      <c r="U1260">
        <v>0</v>
      </c>
      <c r="V1260" s="3">
        <f t="shared" si="77"/>
        <v>2158756</v>
      </c>
      <c r="W1260">
        <v>179896.33333333334</v>
      </c>
      <c r="X1260">
        <v>0</v>
      </c>
      <c r="Y1260">
        <f t="shared" si="78"/>
        <v>179896.33333333334</v>
      </c>
      <c r="Z1260">
        <f t="shared" si="79"/>
        <v>0</v>
      </c>
      <c r="AA1260">
        <v>0</v>
      </c>
    </row>
    <row r="1261" spans="1:27" x14ac:dyDescent="0.25">
      <c r="A1261" s="1">
        <v>1260</v>
      </c>
      <c r="B1261" t="s">
        <v>1694</v>
      </c>
      <c r="C1261" t="s">
        <v>1135</v>
      </c>
      <c r="D1261" t="s">
        <v>1141</v>
      </c>
      <c r="E1261" t="s">
        <v>1145</v>
      </c>
      <c r="H1261" t="s">
        <v>1153</v>
      </c>
      <c r="I1261" t="s">
        <v>1153</v>
      </c>
      <c r="J1261" t="s">
        <v>1333</v>
      </c>
      <c r="K1261" t="s">
        <v>1212</v>
      </c>
      <c r="M1261" s="3">
        <f t="shared" si="76"/>
        <v>70.142857142857139</v>
      </c>
      <c r="N1261">
        <v>25</v>
      </c>
      <c r="O1261">
        <v>79</v>
      </c>
      <c r="P1261">
        <v>80</v>
      </c>
      <c r="Q1261">
        <v>81</v>
      </c>
      <c r="R1261">
        <v>86</v>
      </c>
      <c r="S1261">
        <v>88</v>
      </c>
      <c r="T1261">
        <v>52</v>
      </c>
      <c r="U1261">
        <v>0</v>
      </c>
      <c r="V1261" s="3">
        <f t="shared" si="77"/>
        <v>2882933</v>
      </c>
      <c r="W1261">
        <v>240244.41666666666</v>
      </c>
      <c r="X1261">
        <v>0</v>
      </c>
      <c r="Y1261">
        <f t="shared" si="78"/>
        <v>240244.41666666666</v>
      </c>
      <c r="Z1261">
        <f t="shared" si="79"/>
        <v>0</v>
      </c>
      <c r="AA1261">
        <v>0</v>
      </c>
    </row>
    <row r="1262" spans="1:27" x14ac:dyDescent="0.25">
      <c r="A1262" s="1">
        <v>1261</v>
      </c>
      <c r="B1262" t="s">
        <v>556</v>
      </c>
      <c r="C1262" t="s">
        <v>1135</v>
      </c>
      <c r="D1262" t="s">
        <v>1141</v>
      </c>
      <c r="E1262" t="s">
        <v>1145</v>
      </c>
      <c r="G1262" t="s">
        <v>1187</v>
      </c>
      <c r="H1262" t="s">
        <v>1187</v>
      </c>
      <c r="I1262" t="s">
        <v>1187</v>
      </c>
      <c r="J1262" t="s">
        <v>1333</v>
      </c>
      <c r="K1262" t="s">
        <v>1212</v>
      </c>
      <c r="M1262" s="3">
        <f t="shared" si="76"/>
        <v>78.285714285714292</v>
      </c>
      <c r="N1262">
        <v>65</v>
      </c>
      <c r="O1262">
        <v>77</v>
      </c>
      <c r="P1262">
        <v>85</v>
      </c>
      <c r="Q1262">
        <v>79</v>
      </c>
      <c r="R1262">
        <v>90</v>
      </c>
      <c r="S1262">
        <v>92</v>
      </c>
      <c r="T1262">
        <v>60</v>
      </c>
      <c r="U1262">
        <v>6</v>
      </c>
      <c r="V1262" s="3">
        <f t="shared" si="77"/>
        <v>12969298</v>
      </c>
      <c r="W1262">
        <v>1080774.8333333333</v>
      </c>
      <c r="X1262">
        <v>0</v>
      </c>
      <c r="Y1262">
        <f t="shared" si="78"/>
        <v>1080774.8333333333</v>
      </c>
      <c r="Z1262">
        <f t="shared" si="79"/>
        <v>0</v>
      </c>
      <c r="AA1262">
        <v>0</v>
      </c>
    </row>
    <row r="1263" spans="1:27" x14ac:dyDescent="0.25">
      <c r="A1263" s="1">
        <v>1262</v>
      </c>
      <c r="B1263" t="s">
        <v>1693</v>
      </c>
      <c r="C1263" t="s">
        <v>1135</v>
      </c>
      <c r="D1263" t="s">
        <v>1141</v>
      </c>
      <c r="E1263" t="s">
        <v>1142</v>
      </c>
      <c r="H1263" t="s">
        <v>1153</v>
      </c>
      <c r="I1263" t="s">
        <v>1153</v>
      </c>
      <c r="J1263" t="s">
        <v>1333</v>
      </c>
      <c r="K1263" t="s">
        <v>1212</v>
      </c>
      <c r="M1263" s="3">
        <f t="shared" si="76"/>
        <v>75.142857142857139</v>
      </c>
      <c r="N1263">
        <v>37</v>
      </c>
      <c r="O1263">
        <v>85</v>
      </c>
      <c r="P1263">
        <v>84</v>
      </c>
      <c r="Q1263">
        <v>83</v>
      </c>
      <c r="R1263">
        <v>89</v>
      </c>
      <c r="S1263">
        <v>91</v>
      </c>
      <c r="T1263">
        <v>57</v>
      </c>
      <c r="U1263">
        <v>0</v>
      </c>
      <c r="V1263" s="3">
        <f t="shared" si="77"/>
        <v>5739540</v>
      </c>
      <c r="W1263">
        <v>478295</v>
      </c>
      <c r="X1263">
        <v>0</v>
      </c>
      <c r="Y1263">
        <f t="shared" si="78"/>
        <v>478295</v>
      </c>
      <c r="Z1263">
        <f t="shared" si="79"/>
        <v>0</v>
      </c>
      <c r="AA1263">
        <v>0</v>
      </c>
    </row>
    <row r="1264" spans="1:27" x14ac:dyDescent="0.25">
      <c r="A1264" s="1">
        <v>1263</v>
      </c>
      <c r="B1264" t="s">
        <v>527</v>
      </c>
      <c r="C1264" t="s">
        <v>1135</v>
      </c>
      <c r="D1264" t="s">
        <v>1141</v>
      </c>
      <c r="G1264" t="s">
        <v>1177</v>
      </c>
      <c r="H1264" t="s">
        <v>1213</v>
      </c>
      <c r="I1264" t="s">
        <v>1213</v>
      </c>
      <c r="J1264" t="s">
        <v>1333</v>
      </c>
      <c r="K1264" t="s">
        <v>1212</v>
      </c>
      <c r="M1264" s="3">
        <f t="shared" si="76"/>
        <v>78.714285714285708</v>
      </c>
      <c r="N1264">
        <v>76</v>
      </c>
      <c r="O1264">
        <v>85</v>
      </c>
      <c r="P1264">
        <v>82</v>
      </c>
      <c r="Q1264">
        <v>78</v>
      </c>
      <c r="R1264">
        <v>82</v>
      </c>
      <c r="S1264">
        <v>76</v>
      </c>
      <c r="T1264">
        <v>72</v>
      </c>
      <c r="U1264">
        <v>7</v>
      </c>
      <c r="V1264" s="3">
        <f t="shared" si="77"/>
        <v>13697044</v>
      </c>
      <c r="W1264">
        <v>1141420.3333333333</v>
      </c>
      <c r="X1264">
        <v>0</v>
      </c>
      <c r="Y1264">
        <f t="shared" si="78"/>
        <v>1141420.3333333333</v>
      </c>
      <c r="Z1264">
        <f t="shared" si="79"/>
        <v>0</v>
      </c>
      <c r="AA1264">
        <v>0</v>
      </c>
    </row>
    <row r="1265" spans="1:27" x14ac:dyDescent="0.25">
      <c r="A1265" s="1">
        <v>1264</v>
      </c>
      <c r="B1265" t="s">
        <v>803</v>
      </c>
      <c r="C1265" t="s">
        <v>1136</v>
      </c>
      <c r="D1265" t="s">
        <v>1146</v>
      </c>
      <c r="E1265" t="s">
        <v>1147</v>
      </c>
      <c r="G1265" t="s">
        <v>1177</v>
      </c>
      <c r="H1265" t="s">
        <v>1153</v>
      </c>
      <c r="I1265" t="s">
        <v>1153</v>
      </c>
      <c r="J1265" t="s">
        <v>1333</v>
      </c>
      <c r="K1265" t="s">
        <v>1212</v>
      </c>
      <c r="M1265" s="3">
        <f t="shared" si="76"/>
        <v>73.571428571428569</v>
      </c>
      <c r="N1265">
        <v>50</v>
      </c>
      <c r="O1265">
        <v>90</v>
      </c>
      <c r="P1265">
        <v>76</v>
      </c>
      <c r="Q1265">
        <v>80</v>
      </c>
      <c r="R1265">
        <v>73</v>
      </c>
      <c r="S1265">
        <v>78</v>
      </c>
      <c r="T1265">
        <v>68</v>
      </c>
      <c r="U1265">
        <v>0</v>
      </c>
      <c r="V1265" s="3">
        <f t="shared" si="77"/>
        <v>4646136</v>
      </c>
      <c r="W1265">
        <v>387178</v>
      </c>
      <c r="X1265">
        <v>0</v>
      </c>
      <c r="Y1265">
        <f t="shared" si="78"/>
        <v>387178</v>
      </c>
      <c r="Z1265">
        <f t="shared" si="79"/>
        <v>0</v>
      </c>
      <c r="AA1265">
        <v>0</v>
      </c>
    </row>
    <row r="1266" spans="1:27" x14ac:dyDescent="0.25">
      <c r="A1266" s="1">
        <v>1265</v>
      </c>
      <c r="B1266" t="s">
        <v>784</v>
      </c>
      <c r="C1266" t="s">
        <v>1136</v>
      </c>
      <c r="D1266" t="s">
        <v>1143</v>
      </c>
      <c r="E1266" t="s">
        <v>1145</v>
      </c>
      <c r="G1266" t="s">
        <v>1174</v>
      </c>
      <c r="H1266" t="s">
        <v>1174</v>
      </c>
      <c r="I1266" t="s">
        <v>1174</v>
      </c>
      <c r="J1266" t="s">
        <v>1333</v>
      </c>
      <c r="K1266" t="s">
        <v>1212</v>
      </c>
      <c r="M1266" s="3">
        <f t="shared" si="76"/>
        <v>84.571428571428569</v>
      </c>
      <c r="N1266">
        <v>80</v>
      </c>
      <c r="O1266">
        <v>83</v>
      </c>
      <c r="P1266">
        <v>91</v>
      </c>
      <c r="Q1266">
        <v>86</v>
      </c>
      <c r="R1266">
        <v>84</v>
      </c>
      <c r="S1266">
        <v>85</v>
      </c>
      <c r="T1266">
        <v>83</v>
      </c>
      <c r="U1266">
        <v>21</v>
      </c>
      <c r="V1266" s="3">
        <f t="shared" si="77"/>
        <v>28075528</v>
      </c>
      <c r="W1266">
        <v>2339627.3333333335</v>
      </c>
      <c r="X1266">
        <v>0</v>
      </c>
      <c r="Y1266">
        <f t="shared" si="78"/>
        <v>2339627.3333333335</v>
      </c>
      <c r="Z1266">
        <f t="shared" si="79"/>
        <v>0</v>
      </c>
      <c r="AA1266">
        <v>0</v>
      </c>
    </row>
    <row r="1267" spans="1:27" x14ac:dyDescent="0.25">
      <c r="A1267" s="1">
        <v>1266</v>
      </c>
      <c r="B1267" t="s">
        <v>1695</v>
      </c>
      <c r="C1267" t="s">
        <v>1136</v>
      </c>
      <c r="D1267" t="s">
        <v>1146</v>
      </c>
      <c r="E1267" t="s">
        <v>1144</v>
      </c>
      <c r="G1267" t="s">
        <v>1185</v>
      </c>
      <c r="H1267" t="s">
        <v>1185</v>
      </c>
      <c r="I1267" t="s">
        <v>1185</v>
      </c>
      <c r="J1267" t="s">
        <v>1333</v>
      </c>
      <c r="K1267" t="s">
        <v>1212</v>
      </c>
      <c r="M1267" s="3">
        <f t="shared" si="76"/>
        <v>68.285714285714292</v>
      </c>
      <c r="N1267">
        <v>22</v>
      </c>
      <c r="O1267">
        <v>86</v>
      </c>
      <c r="P1267">
        <v>70</v>
      </c>
      <c r="Q1267">
        <v>82</v>
      </c>
      <c r="R1267">
        <v>84</v>
      </c>
      <c r="S1267">
        <v>85</v>
      </c>
      <c r="T1267">
        <v>49</v>
      </c>
      <c r="U1267">
        <v>0</v>
      </c>
      <c r="V1267" s="3">
        <f t="shared" si="77"/>
        <v>2204442</v>
      </c>
      <c r="W1267">
        <v>183703.5</v>
      </c>
      <c r="X1267">
        <v>0</v>
      </c>
      <c r="Y1267">
        <f t="shared" si="78"/>
        <v>183703.5</v>
      </c>
      <c r="Z1267">
        <f t="shared" si="79"/>
        <v>0</v>
      </c>
      <c r="AA1267">
        <v>0</v>
      </c>
    </row>
    <row r="1268" spans="1:27" x14ac:dyDescent="0.25">
      <c r="A1268" s="1">
        <v>1267</v>
      </c>
      <c r="B1268" t="s">
        <v>2636</v>
      </c>
      <c r="C1268" t="s">
        <v>1136</v>
      </c>
      <c r="D1268" t="s">
        <v>1143</v>
      </c>
      <c r="E1268" t="s">
        <v>1145</v>
      </c>
      <c r="H1268" t="s">
        <v>1153</v>
      </c>
      <c r="I1268" t="s">
        <v>1153</v>
      </c>
      <c r="J1268" t="s">
        <v>1333</v>
      </c>
      <c r="K1268" t="s">
        <v>1212</v>
      </c>
      <c r="M1268" s="3">
        <f t="shared" si="76"/>
        <v>72.857142857142861</v>
      </c>
      <c r="N1268">
        <v>33</v>
      </c>
      <c r="O1268">
        <v>81</v>
      </c>
      <c r="P1268">
        <v>78</v>
      </c>
      <c r="Q1268">
        <v>88</v>
      </c>
      <c r="R1268">
        <v>89</v>
      </c>
      <c r="S1268">
        <v>87</v>
      </c>
      <c r="T1268">
        <v>54</v>
      </c>
      <c r="U1268">
        <v>0</v>
      </c>
      <c r="V1268" s="3">
        <f t="shared" si="77"/>
        <v>4214261</v>
      </c>
      <c r="W1268">
        <v>351188.41666666669</v>
      </c>
      <c r="X1268">
        <v>0</v>
      </c>
      <c r="Y1268">
        <f t="shared" si="78"/>
        <v>351188.41666666669</v>
      </c>
      <c r="Z1268">
        <f t="shared" si="79"/>
        <v>0</v>
      </c>
      <c r="AA1268">
        <v>0</v>
      </c>
    </row>
    <row r="1269" spans="1:27" x14ac:dyDescent="0.25">
      <c r="A1269" s="1">
        <v>1268</v>
      </c>
      <c r="B1269" t="s">
        <v>824</v>
      </c>
      <c r="C1269" t="s">
        <v>1136</v>
      </c>
      <c r="D1269" t="s">
        <v>1144</v>
      </c>
      <c r="E1269" t="s">
        <v>1143</v>
      </c>
      <c r="F1269" t="s">
        <v>1138</v>
      </c>
      <c r="G1269" t="s">
        <v>1179</v>
      </c>
      <c r="H1269" t="s">
        <v>1179</v>
      </c>
      <c r="I1269" t="s">
        <v>1179</v>
      </c>
      <c r="J1269" t="s">
        <v>1333</v>
      </c>
      <c r="K1269" t="s">
        <v>1212</v>
      </c>
      <c r="M1269" s="3">
        <f t="shared" si="76"/>
        <v>74</v>
      </c>
      <c r="N1269">
        <v>69</v>
      </c>
      <c r="O1269">
        <v>71</v>
      </c>
      <c r="P1269">
        <v>82</v>
      </c>
      <c r="Q1269">
        <v>73</v>
      </c>
      <c r="R1269">
        <v>83</v>
      </c>
      <c r="S1269">
        <v>76</v>
      </c>
      <c r="T1269">
        <v>64</v>
      </c>
      <c r="U1269">
        <v>0</v>
      </c>
      <c r="V1269" s="3">
        <f t="shared" si="77"/>
        <v>4923991</v>
      </c>
      <c r="W1269">
        <v>410332.58333333331</v>
      </c>
      <c r="X1269">
        <v>0</v>
      </c>
      <c r="Y1269">
        <f t="shared" si="78"/>
        <v>410332.58333333331</v>
      </c>
      <c r="Z1269">
        <f t="shared" si="79"/>
        <v>0</v>
      </c>
      <c r="AA1269">
        <v>0</v>
      </c>
    </row>
    <row r="1270" spans="1:27" x14ac:dyDescent="0.25">
      <c r="A1270" s="1">
        <v>1269</v>
      </c>
      <c r="B1270" t="s">
        <v>804</v>
      </c>
      <c r="C1270" t="s">
        <v>1136</v>
      </c>
      <c r="D1270" t="s">
        <v>1144</v>
      </c>
      <c r="E1270" t="s">
        <v>1138</v>
      </c>
      <c r="F1270" t="s">
        <v>1143</v>
      </c>
      <c r="G1270" t="s">
        <v>1177</v>
      </c>
      <c r="H1270" t="s">
        <v>1153</v>
      </c>
      <c r="I1270" t="s">
        <v>1153</v>
      </c>
      <c r="J1270" t="s">
        <v>1333</v>
      </c>
      <c r="K1270" t="s">
        <v>1212</v>
      </c>
      <c r="M1270" s="3">
        <f t="shared" si="76"/>
        <v>85.142857142857139</v>
      </c>
      <c r="N1270">
        <v>65</v>
      </c>
      <c r="O1270">
        <v>84</v>
      </c>
      <c r="P1270">
        <v>91</v>
      </c>
      <c r="Q1270">
        <v>92</v>
      </c>
      <c r="R1270">
        <v>93</v>
      </c>
      <c r="S1270">
        <v>90</v>
      </c>
      <c r="T1270">
        <v>81</v>
      </c>
      <c r="U1270">
        <v>25</v>
      </c>
      <c r="V1270" s="3">
        <f t="shared" si="77"/>
        <v>30031254</v>
      </c>
      <c r="W1270">
        <v>2502604.5</v>
      </c>
      <c r="X1270">
        <v>0</v>
      </c>
      <c r="Y1270">
        <f t="shared" si="78"/>
        <v>2502604.5</v>
      </c>
      <c r="Z1270">
        <f t="shared" si="79"/>
        <v>0</v>
      </c>
      <c r="AA1270">
        <v>0</v>
      </c>
    </row>
    <row r="1271" spans="1:27" x14ac:dyDescent="0.25">
      <c r="A1271" s="1">
        <v>1270</v>
      </c>
      <c r="B1271" t="s">
        <v>1696</v>
      </c>
      <c r="C1271" t="s">
        <v>1136</v>
      </c>
      <c r="D1271" t="s">
        <v>1147</v>
      </c>
      <c r="E1271" t="s">
        <v>1145</v>
      </c>
      <c r="H1271" t="s">
        <v>1153</v>
      </c>
      <c r="I1271" t="s">
        <v>1153</v>
      </c>
      <c r="J1271" t="s">
        <v>1333</v>
      </c>
      <c r="K1271" t="s">
        <v>1212</v>
      </c>
      <c r="M1271" s="3">
        <f t="shared" si="76"/>
        <v>66.428571428571431</v>
      </c>
      <c r="N1271">
        <v>21</v>
      </c>
      <c r="O1271">
        <v>88</v>
      </c>
      <c r="P1271">
        <v>66</v>
      </c>
      <c r="Q1271">
        <v>80</v>
      </c>
      <c r="R1271">
        <v>81</v>
      </c>
      <c r="S1271">
        <v>83</v>
      </c>
      <c r="T1271">
        <v>46</v>
      </c>
      <c r="U1271">
        <v>0</v>
      </c>
      <c r="V1271" s="3">
        <f t="shared" si="77"/>
        <v>1673205</v>
      </c>
      <c r="W1271">
        <v>139433.75</v>
      </c>
      <c r="X1271">
        <v>0</v>
      </c>
      <c r="Y1271">
        <f t="shared" si="78"/>
        <v>139433.75</v>
      </c>
      <c r="Z1271">
        <f t="shared" si="79"/>
        <v>0</v>
      </c>
      <c r="AA1271">
        <v>0</v>
      </c>
    </row>
    <row r="1272" spans="1:27" x14ac:dyDescent="0.25">
      <c r="A1272" s="1">
        <v>1271</v>
      </c>
      <c r="B1272" t="s">
        <v>1102</v>
      </c>
      <c r="C1272" t="s">
        <v>1137</v>
      </c>
      <c r="D1272" t="s">
        <v>1137</v>
      </c>
      <c r="H1272" t="s">
        <v>1208</v>
      </c>
      <c r="I1272" t="s">
        <v>1208</v>
      </c>
      <c r="J1272" t="s">
        <v>1333</v>
      </c>
      <c r="K1272" t="s">
        <v>1212</v>
      </c>
      <c r="M1272" s="3">
        <f t="shared" si="76"/>
        <v>79.857142857142861</v>
      </c>
      <c r="N1272">
        <v>80</v>
      </c>
      <c r="O1272">
        <v>83</v>
      </c>
      <c r="P1272">
        <v>75</v>
      </c>
      <c r="Q1272">
        <v>76</v>
      </c>
      <c r="R1272">
        <v>89</v>
      </c>
      <c r="S1272">
        <v>96</v>
      </c>
      <c r="T1272">
        <v>60</v>
      </c>
      <c r="U1272">
        <v>0</v>
      </c>
      <c r="V1272" s="3">
        <f t="shared" si="77"/>
        <v>10547213</v>
      </c>
      <c r="W1272">
        <v>878934.41666666663</v>
      </c>
      <c r="X1272">
        <v>0</v>
      </c>
      <c r="Y1272">
        <f t="shared" si="78"/>
        <v>878934.41666666663</v>
      </c>
      <c r="Z1272">
        <f t="shared" si="79"/>
        <v>0</v>
      </c>
      <c r="AA1272">
        <v>0</v>
      </c>
    </row>
    <row r="1273" spans="1:27" x14ac:dyDescent="0.25">
      <c r="A1273" s="1">
        <v>1272</v>
      </c>
      <c r="B1273" t="s">
        <v>66</v>
      </c>
      <c r="C1273" t="s">
        <v>1133</v>
      </c>
      <c r="D1273" t="s">
        <v>1133</v>
      </c>
      <c r="G1273" t="s">
        <v>1179</v>
      </c>
      <c r="H1273" t="s">
        <v>1179</v>
      </c>
      <c r="I1273" t="s">
        <v>1179</v>
      </c>
      <c r="J1273" t="s">
        <v>1334</v>
      </c>
      <c r="K1273" t="s">
        <v>1212</v>
      </c>
      <c r="M1273" s="3">
        <f t="shared" si="76"/>
        <v>74.571428571428569</v>
      </c>
      <c r="N1273">
        <v>62</v>
      </c>
      <c r="O1273">
        <v>70</v>
      </c>
      <c r="P1273">
        <v>80</v>
      </c>
      <c r="Q1273">
        <v>74</v>
      </c>
      <c r="R1273">
        <v>83</v>
      </c>
      <c r="S1273">
        <v>81</v>
      </c>
      <c r="T1273">
        <v>72</v>
      </c>
      <c r="U1273">
        <v>0</v>
      </c>
      <c r="V1273" s="3">
        <f t="shared" si="77"/>
        <v>5317710</v>
      </c>
      <c r="W1273">
        <v>443142.5</v>
      </c>
      <c r="X1273">
        <v>0</v>
      </c>
      <c r="Y1273">
        <f t="shared" si="78"/>
        <v>443142.5</v>
      </c>
      <c r="Z1273">
        <f t="shared" si="79"/>
        <v>0</v>
      </c>
      <c r="AA1273">
        <v>0</v>
      </c>
    </row>
    <row r="1274" spans="1:27" x14ac:dyDescent="0.25">
      <c r="A1274" s="1">
        <v>1273</v>
      </c>
      <c r="B1274" t="s">
        <v>1777</v>
      </c>
      <c r="C1274" t="s">
        <v>1133</v>
      </c>
      <c r="D1274" t="s">
        <v>1133</v>
      </c>
      <c r="H1274" t="s">
        <v>1153</v>
      </c>
      <c r="I1274" t="s">
        <v>1153</v>
      </c>
      <c r="J1274" t="s">
        <v>1334</v>
      </c>
      <c r="K1274" t="s">
        <v>1212</v>
      </c>
      <c r="M1274" s="3">
        <f t="shared" si="76"/>
        <v>70.285714285714292</v>
      </c>
      <c r="N1274">
        <v>31</v>
      </c>
      <c r="O1274">
        <v>76</v>
      </c>
      <c r="P1274">
        <v>80</v>
      </c>
      <c r="Q1274">
        <v>83</v>
      </c>
      <c r="R1274">
        <v>86</v>
      </c>
      <c r="S1274">
        <v>87</v>
      </c>
      <c r="T1274">
        <v>49</v>
      </c>
      <c r="U1274">
        <v>0</v>
      </c>
      <c r="V1274" s="3">
        <f t="shared" si="77"/>
        <v>2942190</v>
      </c>
      <c r="W1274">
        <v>245182.5</v>
      </c>
      <c r="X1274">
        <v>0</v>
      </c>
      <c r="Y1274">
        <f t="shared" si="78"/>
        <v>245182.5</v>
      </c>
      <c r="Z1274">
        <f t="shared" si="79"/>
        <v>0</v>
      </c>
      <c r="AA1274">
        <v>0</v>
      </c>
    </row>
    <row r="1275" spans="1:27" x14ac:dyDescent="0.25">
      <c r="A1275" s="1">
        <v>1274</v>
      </c>
      <c r="B1275" t="s">
        <v>265</v>
      </c>
      <c r="C1275" t="s">
        <v>1134</v>
      </c>
      <c r="D1275" t="s">
        <v>1138</v>
      </c>
      <c r="G1275" t="s">
        <v>1177</v>
      </c>
      <c r="H1275" t="s">
        <v>1153</v>
      </c>
      <c r="I1275" t="s">
        <v>1153</v>
      </c>
      <c r="J1275" t="s">
        <v>1334</v>
      </c>
      <c r="K1275" t="s">
        <v>1212</v>
      </c>
      <c r="M1275" s="3">
        <f t="shared" si="76"/>
        <v>70.285714285714292</v>
      </c>
      <c r="N1275">
        <v>50</v>
      </c>
      <c r="O1275">
        <v>70</v>
      </c>
      <c r="P1275">
        <v>71</v>
      </c>
      <c r="Q1275">
        <v>73</v>
      </c>
      <c r="R1275">
        <v>78</v>
      </c>
      <c r="S1275">
        <v>80</v>
      </c>
      <c r="T1275">
        <v>70</v>
      </c>
      <c r="U1275">
        <v>0</v>
      </c>
      <c r="V1275" s="3">
        <f t="shared" si="77"/>
        <v>2942190</v>
      </c>
      <c r="W1275">
        <v>245182.5</v>
      </c>
      <c r="X1275">
        <v>0</v>
      </c>
      <c r="Y1275">
        <f t="shared" si="78"/>
        <v>245182.5</v>
      </c>
      <c r="Z1275">
        <f t="shared" si="79"/>
        <v>0</v>
      </c>
      <c r="AA1275">
        <v>0</v>
      </c>
    </row>
    <row r="1276" spans="1:27" x14ac:dyDescent="0.25">
      <c r="A1276" s="1">
        <v>1275</v>
      </c>
      <c r="B1276" t="s">
        <v>1779</v>
      </c>
      <c r="C1276" t="s">
        <v>1134</v>
      </c>
      <c r="D1276" t="s">
        <v>1138</v>
      </c>
      <c r="E1276" t="s">
        <v>1139</v>
      </c>
      <c r="H1276" t="s">
        <v>1153</v>
      </c>
      <c r="I1276" t="s">
        <v>1153</v>
      </c>
      <c r="J1276" t="s">
        <v>1334</v>
      </c>
      <c r="K1276" t="s">
        <v>1212</v>
      </c>
      <c r="M1276" s="3">
        <f t="shared" si="76"/>
        <v>75.857142857142861</v>
      </c>
      <c r="N1276">
        <v>37</v>
      </c>
      <c r="O1276">
        <v>87</v>
      </c>
      <c r="P1276">
        <v>82</v>
      </c>
      <c r="Q1276">
        <v>88</v>
      </c>
      <c r="R1276">
        <v>90</v>
      </c>
      <c r="S1276">
        <v>91</v>
      </c>
      <c r="T1276">
        <v>56</v>
      </c>
      <c r="U1276">
        <v>0</v>
      </c>
      <c r="V1276" s="3">
        <f t="shared" si="77"/>
        <v>6309063</v>
      </c>
      <c r="W1276">
        <v>525755.25</v>
      </c>
      <c r="X1276">
        <v>0</v>
      </c>
      <c r="Y1276">
        <f t="shared" si="78"/>
        <v>525755.25</v>
      </c>
      <c r="Z1276">
        <f t="shared" si="79"/>
        <v>0</v>
      </c>
      <c r="AA1276">
        <v>0</v>
      </c>
    </row>
    <row r="1277" spans="1:27" x14ac:dyDescent="0.25">
      <c r="A1277" s="1">
        <v>1276</v>
      </c>
      <c r="B1277" t="s">
        <v>2651</v>
      </c>
      <c r="C1277" t="s">
        <v>1134</v>
      </c>
      <c r="D1277" t="s">
        <v>1138</v>
      </c>
      <c r="H1277" t="s">
        <v>1153</v>
      </c>
      <c r="I1277" t="s">
        <v>1153</v>
      </c>
      <c r="J1277" t="s">
        <v>1334</v>
      </c>
      <c r="K1277" t="s">
        <v>1212</v>
      </c>
      <c r="M1277" s="3">
        <f t="shared" si="76"/>
        <v>59.142857142857146</v>
      </c>
      <c r="N1277">
        <v>20</v>
      </c>
      <c r="O1277">
        <v>67</v>
      </c>
      <c r="P1277">
        <v>68</v>
      </c>
      <c r="Q1277">
        <v>71</v>
      </c>
      <c r="R1277">
        <v>75</v>
      </c>
      <c r="S1277">
        <v>79</v>
      </c>
      <c r="T1277">
        <v>34</v>
      </c>
      <c r="U1277">
        <v>0</v>
      </c>
      <c r="V1277" s="3">
        <f t="shared" si="77"/>
        <v>523629</v>
      </c>
      <c r="W1277">
        <v>43635.75</v>
      </c>
      <c r="X1277">
        <v>0</v>
      </c>
      <c r="Y1277">
        <f t="shared" si="78"/>
        <v>43635.75</v>
      </c>
      <c r="Z1277">
        <f t="shared" si="79"/>
        <v>0</v>
      </c>
      <c r="AA1277">
        <v>0</v>
      </c>
    </row>
    <row r="1278" spans="1:27" x14ac:dyDescent="0.25">
      <c r="A1278" s="1">
        <v>1277</v>
      </c>
      <c r="B1278" t="s">
        <v>1780</v>
      </c>
      <c r="C1278" t="s">
        <v>1134</v>
      </c>
      <c r="D1278" t="s">
        <v>1138</v>
      </c>
      <c r="H1278" t="s">
        <v>1153</v>
      </c>
      <c r="I1278" t="s">
        <v>1153</v>
      </c>
      <c r="J1278" t="s">
        <v>1334</v>
      </c>
      <c r="K1278" t="s">
        <v>1212</v>
      </c>
      <c r="M1278" s="3">
        <f t="shared" si="76"/>
        <v>64.285714285714292</v>
      </c>
      <c r="N1278">
        <v>23</v>
      </c>
      <c r="O1278">
        <v>73</v>
      </c>
      <c r="P1278">
        <v>74</v>
      </c>
      <c r="Q1278">
        <v>77</v>
      </c>
      <c r="R1278">
        <v>80</v>
      </c>
      <c r="S1278">
        <v>83</v>
      </c>
      <c r="T1278">
        <v>40</v>
      </c>
      <c r="U1278">
        <v>0</v>
      </c>
      <c r="V1278" s="3">
        <f t="shared" si="77"/>
        <v>1205438</v>
      </c>
      <c r="W1278">
        <v>100453.16666666667</v>
      </c>
      <c r="X1278">
        <v>0</v>
      </c>
      <c r="Y1278">
        <f t="shared" si="78"/>
        <v>100453.16666666667</v>
      </c>
      <c r="Z1278">
        <f t="shared" si="79"/>
        <v>0</v>
      </c>
      <c r="AA1278">
        <v>0</v>
      </c>
    </row>
    <row r="1279" spans="1:27" x14ac:dyDescent="0.25">
      <c r="A1279" s="1">
        <v>1278</v>
      </c>
      <c r="B1279" t="s">
        <v>1778</v>
      </c>
      <c r="C1279" t="s">
        <v>1134</v>
      </c>
      <c r="D1279" t="s">
        <v>1138</v>
      </c>
      <c r="E1279" t="s">
        <v>1144</v>
      </c>
      <c r="H1279" t="s">
        <v>1153</v>
      </c>
      <c r="I1279" t="s">
        <v>1153</v>
      </c>
      <c r="J1279" t="s">
        <v>1334</v>
      </c>
      <c r="K1279" t="s">
        <v>1212</v>
      </c>
      <c r="M1279" s="3">
        <f t="shared" si="76"/>
        <v>67.142857142857139</v>
      </c>
      <c r="N1279">
        <v>25</v>
      </c>
      <c r="O1279">
        <v>74</v>
      </c>
      <c r="P1279">
        <v>78</v>
      </c>
      <c r="Q1279">
        <v>81</v>
      </c>
      <c r="R1279">
        <v>84</v>
      </c>
      <c r="S1279">
        <v>86</v>
      </c>
      <c r="T1279">
        <v>42</v>
      </c>
      <c r="U1279">
        <v>0</v>
      </c>
      <c r="V1279" s="3">
        <f t="shared" si="77"/>
        <v>1862080</v>
      </c>
      <c r="W1279">
        <v>155173.33333333334</v>
      </c>
      <c r="X1279">
        <v>0</v>
      </c>
      <c r="Y1279">
        <f t="shared" si="78"/>
        <v>155173.33333333334</v>
      </c>
      <c r="Z1279">
        <f t="shared" si="79"/>
        <v>0</v>
      </c>
      <c r="AA1279">
        <v>0</v>
      </c>
    </row>
    <row r="1280" spans="1:27" x14ac:dyDescent="0.25">
      <c r="A1280" s="1">
        <v>1279</v>
      </c>
      <c r="B1280" t="s">
        <v>513</v>
      </c>
      <c r="C1280" t="s">
        <v>1135</v>
      </c>
      <c r="D1280" t="s">
        <v>1141</v>
      </c>
      <c r="E1280" t="s">
        <v>1142</v>
      </c>
      <c r="F1280" t="s">
        <v>1145</v>
      </c>
      <c r="G1280" t="s">
        <v>1173</v>
      </c>
      <c r="H1280" t="s">
        <v>1173</v>
      </c>
      <c r="I1280" t="s">
        <v>1173</v>
      </c>
      <c r="J1280" t="s">
        <v>1334</v>
      </c>
      <c r="K1280" t="s">
        <v>1212</v>
      </c>
      <c r="M1280" s="3">
        <f t="shared" si="76"/>
        <v>87.714285714285708</v>
      </c>
      <c r="N1280">
        <v>80</v>
      </c>
      <c r="O1280">
        <v>92</v>
      </c>
      <c r="P1280">
        <v>91</v>
      </c>
      <c r="Q1280">
        <v>88</v>
      </c>
      <c r="R1280">
        <v>83</v>
      </c>
      <c r="S1280">
        <v>88</v>
      </c>
      <c r="T1280">
        <v>92</v>
      </c>
      <c r="U1280">
        <v>10</v>
      </c>
      <c r="V1280" s="3">
        <f t="shared" si="77"/>
        <v>40438457</v>
      </c>
      <c r="W1280">
        <v>3369871.4166666665</v>
      </c>
      <c r="X1280">
        <v>0</v>
      </c>
      <c r="Y1280">
        <f t="shared" si="78"/>
        <v>3369871.4166666665</v>
      </c>
      <c r="Z1280">
        <f t="shared" si="79"/>
        <v>0</v>
      </c>
      <c r="AA1280">
        <v>0</v>
      </c>
    </row>
    <row r="1281" spans="1:27" x14ac:dyDescent="0.25">
      <c r="A1281" s="1">
        <v>1280</v>
      </c>
      <c r="B1281" t="s">
        <v>438</v>
      </c>
      <c r="C1281" t="s">
        <v>1135</v>
      </c>
      <c r="D1281" t="s">
        <v>1141</v>
      </c>
      <c r="E1281" t="s">
        <v>1145</v>
      </c>
      <c r="G1281" t="s">
        <v>1150</v>
      </c>
      <c r="H1281" t="s">
        <v>1150</v>
      </c>
      <c r="I1281" t="s">
        <v>1150</v>
      </c>
      <c r="J1281" t="s">
        <v>1334</v>
      </c>
      <c r="K1281" t="s">
        <v>1212</v>
      </c>
      <c r="M1281" s="3">
        <f t="shared" si="76"/>
        <v>82.142857142857139</v>
      </c>
      <c r="N1281">
        <v>70</v>
      </c>
      <c r="O1281">
        <v>86</v>
      </c>
      <c r="P1281">
        <v>88</v>
      </c>
      <c r="Q1281">
        <v>81</v>
      </c>
      <c r="R1281">
        <v>84</v>
      </c>
      <c r="S1281">
        <v>88</v>
      </c>
      <c r="T1281">
        <v>78</v>
      </c>
      <c r="U1281">
        <v>7</v>
      </c>
      <c r="V1281" s="3">
        <f t="shared" si="77"/>
        <v>20979219</v>
      </c>
      <c r="W1281">
        <v>1748268.25</v>
      </c>
      <c r="X1281">
        <v>0</v>
      </c>
      <c r="Y1281">
        <f t="shared" si="78"/>
        <v>1748268.25</v>
      </c>
      <c r="Z1281">
        <f t="shared" si="79"/>
        <v>0</v>
      </c>
      <c r="AA1281">
        <v>0</v>
      </c>
    </row>
    <row r="1282" spans="1:27" x14ac:dyDescent="0.25">
      <c r="A1282" s="1">
        <v>1281</v>
      </c>
      <c r="B1282" t="s">
        <v>1783</v>
      </c>
      <c r="C1282" t="s">
        <v>1135</v>
      </c>
      <c r="D1282" t="s">
        <v>1141</v>
      </c>
      <c r="E1282" t="s">
        <v>1142</v>
      </c>
      <c r="H1282" t="s">
        <v>1153</v>
      </c>
      <c r="I1282" t="s">
        <v>1153</v>
      </c>
      <c r="J1282" t="s">
        <v>1334</v>
      </c>
      <c r="K1282" t="s">
        <v>1212</v>
      </c>
      <c r="M1282" s="3">
        <f t="shared" ref="M1282:M1345" si="80">AVERAGE(N1282:T1282)</f>
        <v>76.142857142857139</v>
      </c>
      <c r="N1282">
        <v>33</v>
      </c>
      <c r="O1282">
        <v>91</v>
      </c>
      <c r="P1282">
        <v>88</v>
      </c>
      <c r="Q1282">
        <v>87</v>
      </c>
      <c r="R1282">
        <v>89</v>
      </c>
      <c r="S1282">
        <v>92</v>
      </c>
      <c r="T1282">
        <v>53</v>
      </c>
      <c r="U1282">
        <v>0</v>
      </c>
      <c r="V1282" s="3">
        <f t="shared" ref="V1282:V1345" si="81">ROUNDUP(M1282^10/1000000000000 * IF(U1282&gt;0,1.5,1),0)</f>
        <v>6550761</v>
      </c>
      <c r="W1282">
        <v>545896.75</v>
      </c>
      <c r="X1282">
        <v>0</v>
      </c>
      <c r="Y1282">
        <f t="shared" ref="Y1282:Y1345" si="82">V1282/12</f>
        <v>545896.75</v>
      </c>
      <c r="Z1282">
        <f t="shared" ref="Z1282:Z1345" si="83">ROUND(((W1282-Y1282)/Y1282)*100,2)</f>
        <v>0</v>
      </c>
      <c r="AA1282">
        <v>0</v>
      </c>
    </row>
    <row r="1283" spans="1:27" x14ac:dyDescent="0.25">
      <c r="A1283" s="1">
        <v>1282</v>
      </c>
      <c r="B1283" t="s">
        <v>528</v>
      </c>
      <c r="C1283" t="s">
        <v>1135</v>
      </c>
      <c r="D1283" t="s">
        <v>1142</v>
      </c>
      <c r="G1283" t="s">
        <v>1177</v>
      </c>
      <c r="H1283" t="s">
        <v>1153</v>
      </c>
      <c r="I1283" t="s">
        <v>1153</v>
      </c>
      <c r="J1283" t="s">
        <v>1334</v>
      </c>
      <c r="K1283" t="s">
        <v>1212</v>
      </c>
      <c r="M1283" s="3">
        <f t="shared" si="80"/>
        <v>76.142857142857139</v>
      </c>
      <c r="N1283">
        <v>65</v>
      </c>
      <c r="O1283">
        <v>86</v>
      </c>
      <c r="P1283">
        <v>78</v>
      </c>
      <c r="Q1283">
        <v>80</v>
      </c>
      <c r="R1283">
        <v>79</v>
      </c>
      <c r="S1283">
        <v>75</v>
      </c>
      <c r="T1283">
        <v>70</v>
      </c>
      <c r="U1283">
        <v>3</v>
      </c>
      <c r="V1283" s="3">
        <f t="shared" si="81"/>
        <v>9826141</v>
      </c>
      <c r="W1283">
        <v>818845.08333333337</v>
      </c>
      <c r="X1283">
        <v>0</v>
      </c>
      <c r="Y1283">
        <f t="shared" si="82"/>
        <v>818845.08333333337</v>
      </c>
      <c r="Z1283">
        <f t="shared" si="83"/>
        <v>0</v>
      </c>
      <c r="AA1283">
        <v>0</v>
      </c>
    </row>
    <row r="1284" spans="1:27" x14ac:dyDescent="0.25">
      <c r="A1284" s="1">
        <v>1283</v>
      </c>
      <c r="B1284" t="s">
        <v>446</v>
      </c>
      <c r="C1284" t="s">
        <v>1135</v>
      </c>
      <c r="D1284" t="s">
        <v>1141</v>
      </c>
      <c r="E1284" t="s">
        <v>1145</v>
      </c>
      <c r="G1284" t="s">
        <v>1152</v>
      </c>
      <c r="H1284" t="s">
        <v>1152</v>
      </c>
      <c r="I1284" t="s">
        <v>1152</v>
      </c>
      <c r="J1284" t="s">
        <v>1334</v>
      </c>
      <c r="K1284" t="s">
        <v>1212</v>
      </c>
      <c r="M1284" s="3">
        <f t="shared" si="80"/>
        <v>72.571428571428569</v>
      </c>
      <c r="N1284">
        <v>50</v>
      </c>
      <c r="O1284">
        <v>80</v>
      </c>
      <c r="P1284">
        <v>86</v>
      </c>
      <c r="Q1284">
        <v>75</v>
      </c>
      <c r="R1284">
        <v>82</v>
      </c>
      <c r="S1284">
        <v>93</v>
      </c>
      <c r="T1284">
        <v>42</v>
      </c>
      <c r="U1284">
        <v>6</v>
      </c>
      <c r="V1284" s="3">
        <f t="shared" si="81"/>
        <v>6077823</v>
      </c>
      <c r="W1284">
        <v>506485.25</v>
      </c>
      <c r="X1284">
        <v>0</v>
      </c>
      <c r="Y1284">
        <f t="shared" si="82"/>
        <v>506485.25</v>
      </c>
      <c r="Z1284">
        <f t="shared" si="83"/>
        <v>0</v>
      </c>
      <c r="AA1284">
        <v>0</v>
      </c>
    </row>
    <row r="1285" spans="1:27" x14ac:dyDescent="0.25">
      <c r="A1285" s="1">
        <v>1284</v>
      </c>
      <c r="B1285" t="s">
        <v>1781</v>
      </c>
      <c r="C1285" t="s">
        <v>1136</v>
      </c>
      <c r="D1285" t="s">
        <v>1144</v>
      </c>
      <c r="E1285" t="s">
        <v>1138</v>
      </c>
      <c r="H1285" t="s">
        <v>1153</v>
      </c>
      <c r="I1285" t="s">
        <v>1153</v>
      </c>
      <c r="J1285" t="s">
        <v>1334</v>
      </c>
      <c r="K1285" t="s">
        <v>1212</v>
      </c>
      <c r="M1285" s="3">
        <f t="shared" si="80"/>
        <v>70.857142857142861</v>
      </c>
      <c r="N1285">
        <v>29</v>
      </c>
      <c r="O1285">
        <v>85</v>
      </c>
      <c r="P1285">
        <v>80</v>
      </c>
      <c r="Q1285">
        <v>88</v>
      </c>
      <c r="R1285">
        <v>83</v>
      </c>
      <c r="S1285">
        <v>84</v>
      </c>
      <c r="T1285">
        <v>47</v>
      </c>
      <c r="U1285">
        <v>0</v>
      </c>
      <c r="V1285" s="3">
        <f t="shared" si="81"/>
        <v>3190336</v>
      </c>
      <c r="W1285">
        <v>265861.33333333331</v>
      </c>
      <c r="X1285">
        <v>0</v>
      </c>
      <c r="Y1285">
        <f t="shared" si="82"/>
        <v>265861.33333333331</v>
      </c>
      <c r="Z1285">
        <f t="shared" si="83"/>
        <v>0</v>
      </c>
      <c r="AA1285">
        <v>0</v>
      </c>
    </row>
    <row r="1286" spans="1:27" x14ac:dyDescent="0.25">
      <c r="A1286" s="1">
        <v>1285</v>
      </c>
      <c r="B1286" t="s">
        <v>2576</v>
      </c>
      <c r="C1286" t="s">
        <v>1136</v>
      </c>
      <c r="D1286" t="s">
        <v>1143</v>
      </c>
      <c r="E1286" t="s">
        <v>1145</v>
      </c>
      <c r="F1286" t="s">
        <v>1144</v>
      </c>
      <c r="G1286" t="s">
        <v>1199</v>
      </c>
      <c r="H1286" t="s">
        <v>1153</v>
      </c>
      <c r="I1286" t="s">
        <v>1153</v>
      </c>
      <c r="J1286" t="s">
        <v>1334</v>
      </c>
      <c r="K1286" t="s">
        <v>1212</v>
      </c>
      <c r="M1286" s="3">
        <f t="shared" si="80"/>
        <v>70.142857142857139</v>
      </c>
      <c r="N1286">
        <v>65</v>
      </c>
      <c r="O1286">
        <v>76</v>
      </c>
      <c r="P1286">
        <v>76</v>
      </c>
      <c r="Q1286">
        <v>70</v>
      </c>
      <c r="R1286">
        <v>77</v>
      </c>
      <c r="S1286">
        <v>83</v>
      </c>
      <c r="T1286">
        <v>44</v>
      </c>
      <c r="U1286">
        <v>0</v>
      </c>
      <c r="V1286" s="3">
        <f t="shared" si="81"/>
        <v>2882933</v>
      </c>
      <c r="W1286">
        <v>240244.41666666666</v>
      </c>
      <c r="X1286">
        <v>0</v>
      </c>
      <c r="Y1286">
        <f t="shared" si="82"/>
        <v>240244.41666666666</v>
      </c>
      <c r="Z1286">
        <f t="shared" si="83"/>
        <v>0</v>
      </c>
      <c r="AA1286">
        <v>0</v>
      </c>
    </row>
    <row r="1287" spans="1:27" x14ac:dyDescent="0.25">
      <c r="A1287" s="1">
        <v>1286</v>
      </c>
      <c r="B1287" t="s">
        <v>2663</v>
      </c>
      <c r="C1287" t="s">
        <v>1136</v>
      </c>
      <c r="D1287" t="s">
        <v>1146</v>
      </c>
      <c r="E1287" t="s">
        <v>1144</v>
      </c>
      <c r="H1287" t="s">
        <v>1153</v>
      </c>
      <c r="I1287" t="s">
        <v>1153</v>
      </c>
      <c r="J1287" t="s">
        <v>1334</v>
      </c>
      <c r="K1287" t="s">
        <v>1212</v>
      </c>
      <c r="M1287" s="3">
        <f t="shared" si="80"/>
        <v>62.285714285714285</v>
      </c>
      <c r="N1287">
        <v>22</v>
      </c>
      <c r="O1287">
        <v>81</v>
      </c>
      <c r="P1287">
        <v>68</v>
      </c>
      <c r="Q1287">
        <v>77</v>
      </c>
      <c r="R1287">
        <v>74</v>
      </c>
      <c r="S1287">
        <v>77</v>
      </c>
      <c r="T1287">
        <v>37</v>
      </c>
      <c r="U1287">
        <v>0</v>
      </c>
      <c r="V1287" s="3">
        <f t="shared" si="81"/>
        <v>878789</v>
      </c>
      <c r="W1287">
        <v>73232.416666666672</v>
      </c>
      <c r="X1287">
        <v>0</v>
      </c>
      <c r="Y1287">
        <f t="shared" si="82"/>
        <v>73232.416666666672</v>
      </c>
      <c r="Z1287">
        <f t="shared" si="83"/>
        <v>0</v>
      </c>
      <c r="AA1287">
        <v>0</v>
      </c>
    </row>
    <row r="1288" spans="1:27" x14ac:dyDescent="0.25">
      <c r="A1288" s="1">
        <v>1287</v>
      </c>
      <c r="B1288" t="s">
        <v>949</v>
      </c>
      <c r="C1288" t="s">
        <v>1136</v>
      </c>
      <c r="D1288" t="s">
        <v>1144</v>
      </c>
      <c r="E1288" t="s">
        <v>1138</v>
      </c>
      <c r="G1288" t="s">
        <v>1199</v>
      </c>
      <c r="H1288" t="s">
        <v>1153</v>
      </c>
      <c r="I1288" t="s">
        <v>1153</v>
      </c>
      <c r="J1288" t="s">
        <v>1334</v>
      </c>
      <c r="K1288" t="s">
        <v>1212</v>
      </c>
      <c r="M1288" s="3">
        <f t="shared" si="80"/>
        <v>74.428571428571431</v>
      </c>
      <c r="N1288">
        <v>68</v>
      </c>
      <c r="O1288">
        <v>70</v>
      </c>
      <c r="P1288">
        <v>82</v>
      </c>
      <c r="Q1288">
        <v>69</v>
      </c>
      <c r="R1288">
        <v>80</v>
      </c>
      <c r="S1288">
        <v>90</v>
      </c>
      <c r="T1288">
        <v>62</v>
      </c>
      <c r="U1288">
        <v>0</v>
      </c>
      <c r="V1288" s="3">
        <f t="shared" si="81"/>
        <v>5216712</v>
      </c>
      <c r="W1288">
        <v>434726</v>
      </c>
      <c r="X1288">
        <v>0</v>
      </c>
      <c r="Y1288">
        <f t="shared" si="82"/>
        <v>434726</v>
      </c>
      <c r="Z1288">
        <f t="shared" si="83"/>
        <v>0</v>
      </c>
      <c r="AA1288">
        <v>0</v>
      </c>
    </row>
    <row r="1289" spans="1:27" x14ac:dyDescent="0.25">
      <c r="A1289" s="1">
        <v>1288</v>
      </c>
      <c r="B1289" t="s">
        <v>983</v>
      </c>
      <c r="C1289" t="s">
        <v>1136</v>
      </c>
      <c r="D1289" t="s">
        <v>1146</v>
      </c>
      <c r="E1289" t="s">
        <v>1145</v>
      </c>
      <c r="G1289" t="s">
        <v>1204</v>
      </c>
      <c r="H1289" t="s">
        <v>1213</v>
      </c>
      <c r="I1289" t="s">
        <v>1213</v>
      </c>
      <c r="J1289" t="s">
        <v>1334</v>
      </c>
      <c r="K1289" t="s">
        <v>1212</v>
      </c>
      <c r="M1289" s="3">
        <f t="shared" si="80"/>
        <v>79.285714285714292</v>
      </c>
      <c r="N1289">
        <v>75</v>
      </c>
      <c r="O1289">
        <v>93</v>
      </c>
      <c r="P1289">
        <v>78</v>
      </c>
      <c r="Q1289">
        <v>80</v>
      </c>
      <c r="R1289">
        <v>82</v>
      </c>
      <c r="S1289">
        <v>77</v>
      </c>
      <c r="T1289">
        <v>70</v>
      </c>
      <c r="U1289">
        <v>22</v>
      </c>
      <c r="V1289" s="3">
        <f t="shared" si="81"/>
        <v>14724505</v>
      </c>
      <c r="W1289">
        <v>1227042.0833333333</v>
      </c>
      <c r="X1289">
        <v>0</v>
      </c>
      <c r="Y1289">
        <f t="shared" si="82"/>
        <v>1227042.0833333333</v>
      </c>
      <c r="Z1289">
        <f t="shared" si="83"/>
        <v>0</v>
      </c>
      <c r="AA1289">
        <v>0</v>
      </c>
    </row>
    <row r="1290" spans="1:27" x14ac:dyDescent="0.25">
      <c r="A1290" s="1">
        <v>1289</v>
      </c>
      <c r="B1290" t="s">
        <v>2622</v>
      </c>
      <c r="C1290" t="s">
        <v>1136</v>
      </c>
      <c r="D1290" t="s">
        <v>1143</v>
      </c>
      <c r="E1290" t="s">
        <v>1144</v>
      </c>
      <c r="H1290" t="s">
        <v>1153</v>
      </c>
      <c r="I1290" t="s">
        <v>1153</v>
      </c>
      <c r="J1290" t="s">
        <v>1334</v>
      </c>
      <c r="K1290" t="s">
        <v>1212</v>
      </c>
      <c r="M1290" s="3">
        <f t="shared" si="80"/>
        <v>61.285714285714285</v>
      </c>
      <c r="N1290">
        <v>21</v>
      </c>
      <c r="O1290">
        <v>71</v>
      </c>
      <c r="P1290">
        <v>72</v>
      </c>
      <c r="Q1290">
        <v>75</v>
      </c>
      <c r="R1290">
        <v>76</v>
      </c>
      <c r="S1290">
        <v>78</v>
      </c>
      <c r="T1290">
        <v>36</v>
      </c>
      <c r="U1290">
        <v>0</v>
      </c>
      <c r="V1290" s="3">
        <f t="shared" si="81"/>
        <v>747468</v>
      </c>
      <c r="W1290">
        <v>62289</v>
      </c>
      <c r="X1290">
        <v>0</v>
      </c>
      <c r="Y1290">
        <f t="shared" si="82"/>
        <v>62289</v>
      </c>
      <c r="Z1290">
        <f t="shared" si="83"/>
        <v>0</v>
      </c>
      <c r="AA1290">
        <v>0</v>
      </c>
    </row>
    <row r="1291" spans="1:27" x14ac:dyDescent="0.25">
      <c r="A1291" s="1">
        <v>1290</v>
      </c>
      <c r="B1291" t="s">
        <v>693</v>
      </c>
      <c r="C1291" t="s">
        <v>1136</v>
      </c>
      <c r="D1291" t="s">
        <v>1145</v>
      </c>
      <c r="G1291" t="s">
        <v>1158</v>
      </c>
      <c r="H1291" t="s">
        <v>1158</v>
      </c>
      <c r="I1291" t="s">
        <v>1158</v>
      </c>
      <c r="J1291" t="s">
        <v>1334</v>
      </c>
      <c r="K1291" t="s">
        <v>1212</v>
      </c>
      <c r="M1291" s="3">
        <f t="shared" si="80"/>
        <v>64.428571428571431</v>
      </c>
      <c r="N1291">
        <v>50</v>
      </c>
      <c r="O1291">
        <v>70</v>
      </c>
      <c r="P1291">
        <v>74</v>
      </c>
      <c r="Q1291">
        <v>73</v>
      </c>
      <c r="R1291">
        <v>71</v>
      </c>
      <c r="S1291">
        <v>73</v>
      </c>
      <c r="T1291">
        <v>40</v>
      </c>
      <c r="U1291">
        <v>0</v>
      </c>
      <c r="V1291" s="3">
        <f t="shared" si="81"/>
        <v>1232495</v>
      </c>
      <c r="W1291">
        <v>102707.91666666667</v>
      </c>
      <c r="X1291">
        <v>0</v>
      </c>
      <c r="Y1291">
        <f t="shared" si="82"/>
        <v>102707.91666666667</v>
      </c>
      <c r="Z1291">
        <f t="shared" si="83"/>
        <v>0</v>
      </c>
      <c r="AA1291">
        <v>0</v>
      </c>
    </row>
    <row r="1292" spans="1:27" x14ac:dyDescent="0.25">
      <c r="A1292" s="1">
        <v>1291</v>
      </c>
      <c r="B1292" t="s">
        <v>1782</v>
      </c>
      <c r="C1292" t="s">
        <v>1136</v>
      </c>
      <c r="D1292" t="s">
        <v>1147</v>
      </c>
      <c r="E1292" t="s">
        <v>1145</v>
      </c>
      <c r="H1292" t="s">
        <v>1153</v>
      </c>
      <c r="I1292" t="s">
        <v>1153</v>
      </c>
      <c r="J1292" t="s">
        <v>1334</v>
      </c>
      <c r="K1292" t="s">
        <v>1212</v>
      </c>
      <c r="M1292" s="3">
        <f t="shared" si="80"/>
        <v>69.714285714285708</v>
      </c>
      <c r="N1292">
        <v>28</v>
      </c>
      <c r="O1292">
        <v>89</v>
      </c>
      <c r="P1292">
        <v>78</v>
      </c>
      <c r="Q1292">
        <v>82</v>
      </c>
      <c r="R1292">
        <v>84</v>
      </c>
      <c r="S1292">
        <v>82</v>
      </c>
      <c r="T1292">
        <v>45</v>
      </c>
      <c r="U1292">
        <v>0</v>
      </c>
      <c r="V1292" s="3">
        <f t="shared" si="81"/>
        <v>2711552</v>
      </c>
      <c r="W1292">
        <v>225962.66666666666</v>
      </c>
      <c r="X1292">
        <v>0</v>
      </c>
      <c r="Y1292">
        <f t="shared" si="82"/>
        <v>225962.66666666666</v>
      </c>
      <c r="Z1292">
        <f t="shared" si="83"/>
        <v>0</v>
      </c>
      <c r="AA1292">
        <v>0</v>
      </c>
    </row>
    <row r="1293" spans="1:27" x14ac:dyDescent="0.25">
      <c r="A1293" s="1">
        <v>1292</v>
      </c>
      <c r="B1293" t="s">
        <v>694</v>
      </c>
      <c r="C1293" t="s">
        <v>1136</v>
      </c>
      <c r="D1293" t="s">
        <v>1147</v>
      </c>
      <c r="E1293" t="s">
        <v>1144</v>
      </c>
      <c r="G1293" t="s">
        <v>1158</v>
      </c>
      <c r="H1293" t="s">
        <v>1215</v>
      </c>
      <c r="I1293" t="s">
        <v>1215</v>
      </c>
      <c r="J1293" t="s">
        <v>1334</v>
      </c>
      <c r="K1293" t="s">
        <v>1212</v>
      </c>
      <c r="M1293" s="3">
        <f t="shared" si="80"/>
        <v>79.714285714285708</v>
      </c>
      <c r="N1293">
        <v>75</v>
      </c>
      <c r="O1293">
        <v>89</v>
      </c>
      <c r="P1293">
        <v>83</v>
      </c>
      <c r="Q1293">
        <v>85</v>
      </c>
      <c r="R1293">
        <v>83</v>
      </c>
      <c r="S1293">
        <v>78</v>
      </c>
      <c r="T1293">
        <v>65</v>
      </c>
      <c r="U1293">
        <v>23</v>
      </c>
      <c r="V1293" s="3">
        <f t="shared" si="81"/>
        <v>15540066</v>
      </c>
      <c r="W1293">
        <v>1295005.5</v>
      </c>
      <c r="X1293">
        <v>0</v>
      </c>
      <c r="Y1293">
        <f t="shared" si="82"/>
        <v>1295005.5</v>
      </c>
      <c r="Z1293">
        <f t="shared" si="83"/>
        <v>0</v>
      </c>
      <c r="AA1293">
        <v>0</v>
      </c>
    </row>
    <row r="1294" spans="1:27" x14ac:dyDescent="0.25">
      <c r="A1294" s="1">
        <v>1293</v>
      </c>
      <c r="B1294" t="s">
        <v>1466</v>
      </c>
      <c r="C1294" t="s">
        <v>1137</v>
      </c>
      <c r="D1294" t="s">
        <v>1137</v>
      </c>
      <c r="H1294" t="s">
        <v>1153</v>
      </c>
      <c r="I1294" t="s">
        <v>1153</v>
      </c>
      <c r="J1294" t="s">
        <v>1334</v>
      </c>
      <c r="K1294" t="s">
        <v>1212</v>
      </c>
      <c r="M1294" s="3">
        <f t="shared" si="80"/>
        <v>65.714285714285708</v>
      </c>
      <c r="N1294">
        <v>24</v>
      </c>
      <c r="O1294">
        <v>79</v>
      </c>
      <c r="P1294">
        <v>74</v>
      </c>
      <c r="Q1294">
        <v>81</v>
      </c>
      <c r="R1294">
        <v>78</v>
      </c>
      <c r="S1294">
        <v>81</v>
      </c>
      <c r="T1294">
        <v>43</v>
      </c>
      <c r="U1294">
        <v>0</v>
      </c>
      <c r="V1294" s="3">
        <f t="shared" si="81"/>
        <v>1501751</v>
      </c>
      <c r="W1294">
        <v>125145.91666666667</v>
      </c>
      <c r="X1294">
        <v>0</v>
      </c>
      <c r="Y1294">
        <f t="shared" si="82"/>
        <v>125145.91666666667</v>
      </c>
      <c r="Z1294">
        <f t="shared" si="83"/>
        <v>0</v>
      </c>
      <c r="AA1294">
        <v>0</v>
      </c>
    </row>
    <row r="1295" spans="1:27" x14ac:dyDescent="0.25">
      <c r="A1295" s="1">
        <v>1294</v>
      </c>
      <c r="B1295" t="s">
        <v>30</v>
      </c>
      <c r="C1295" t="s">
        <v>1133</v>
      </c>
      <c r="D1295" t="s">
        <v>1133</v>
      </c>
      <c r="G1295" t="s">
        <v>1154</v>
      </c>
      <c r="H1295" t="s">
        <v>1154</v>
      </c>
      <c r="I1295" t="s">
        <v>1154</v>
      </c>
      <c r="J1295" t="s">
        <v>1335</v>
      </c>
      <c r="K1295" t="s">
        <v>1212</v>
      </c>
      <c r="M1295" s="3">
        <f t="shared" si="80"/>
        <v>94.142857142857139</v>
      </c>
      <c r="N1295">
        <v>96</v>
      </c>
      <c r="O1295">
        <v>99</v>
      </c>
      <c r="P1295">
        <v>89</v>
      </c>
      <c r="Q1295">
        <v>90</v>
      </c>
      <c r="R1295">
        <v>96</v>
      </c>
      <c r="S1295">
        <v>95</v>
      </c>
      <c r="T1295">
        <v>94</v>
      </c>
      <c r="U1295">
        <v>29</v>
      </c>
      <c r="V1295" s="3">
        <f t="shared" si="81"/>
        <v>82028545</v>
      </c>
      <c r="W1295">
        <v>6835712.083333333</v>
      </c>
      <c r="X1295">
        <v>0</v>
      </c>
      <c r="Y1295">
        <f t="shared" si="82"/>
        <v>6835712.083333333</v>
      </c>
      <c r="Z1295">
        <f t="shared" si="83"/>
        <v>0</v>
      </c>
      <c r="AA1295">
        <v>0</v>
      </c>
    </row>
    <row r="1296" spans="1:27" x14ac:dyDescent="0.25">
      <c r="A1296" s="1">
        <v>1295</v>
      </c>
      <c r="B1296" t="s">
        <v>1429</v>
      </c>
      <c r="C1296" t="s">
        <v>1134</v>
      </c>
      <c r="D1296" t="s">
        <v>1139</v>
      </c>
      <c r="E1296" t="s">
        <v>1140</v>
      </c>
      <c r="H1296" t="s">
        <v>1153</v>
      </c>
      <c r="I1296" t="s">
        <v>1153</v>
      </c>
      <c r="J1296" t="s">
        <v>1335</v>
      </c>
      <c r="K1296" t="s">
        <v>1212</v>
      </c>
      <c r="M1296" s="3">
        <f t="shared" si="80"/>
        <v>73</v>
      </c>
      <c r="N1296">
        <v>31</v>
      </c>
      <c r="O1296">
        <v>90</v>
      </c>
      <c r="P1296">
        <v>74</v>
      </c>
      <c r="Q1296">
        <v>81</v>
      </c>
      <c r="R1296">
        <v>76</v>
      </c>
      <c r="S1296">
        <v>74</v>
      </c>
      <c r="T1296">
        <v>85</v>
      </c>
      <c r="U1296">
        <v>26</v>
      </c>
      <c r="V1296" s="3">
        <f t="shared" si="81"/>
        <v>6446439</v>
      </c>
      <c r="W1296">
        <v>537203.25</v>
      </c>
      <c r="X1296">
        <v>0</v>
      </c>
      <c r="Y1296">
        <f t="shared" si="82"/>
        <v>537203.25</v>
      </c>
      <c r="Z1296">
        <f t="shared" si="83"/>
        <v>0</v>
      </c>
      <c r="AA1296">
        <v>0</v>
      </c>
    </row>
    <row r="1297" spans="1:27" x14ac:dyDescent="0.25">
      <c r="A1297" s="1">
        <v>1296</v>
      </c>
      <c r="B1297" t="s">
        <v>144</v>
      </c>
      <c r="C1297" t="s">
        <v>1134</v>
      </c>
      <c r="D1297" t="s">
        <v>1139</v>
      </c>
      <c r="E1297" t="s">
        <v>1144</v>
      </c>
      <c r="F1297" t="s">
        <v>1138</v>
      </c>
      <c r="G1297" t="s">
        <v>1153</v>
      </c>
      <c r="H1297" t="s">
        <v>1153</v>
      </c>
      <c r="I1297" t="s">
        <v>1153</v>
      </c>
      <c r="J1297" t="s">
        <v>1335</v>
      </c>
      <c r="K1297" t="s">
        <v>1212</v>
      </c>
      <c r="M1297" s="3">
        <f t="shared" si="80"/>
        <v>93.142857142857139</v>
      </c>
      <c r="N1297">
        <v>90</v>
      </c>
      <c r="O1297">
        <v>96</v>
      </c>
      <c r="P1297">
        <v>90</v>
      </c>
      <c r="Q1297">
        <v>95</v>
      </c>
      <c r="R1297">
        <v>92</v>
      </c>
      <c r="S1297">
        <v>91</v>
      </c>
      <c r="T1297">
        <v>98</v>
      </c>
      <c r="U1297">
        <v>18</v>
      </c>
      <c r="V1297" s="3">
        <f t="shared" si="81"/>
        <v>73720253</v>
      </c>
      <c r="W1297">
        <v>6143354.416666667</v>
      </c>
      <c r="X1297">
        <v>0</v>
      </c>
      <c r="Y1297">
        <f t="shared" si="82"/>
        <v>6143354.416666667</v>
      </c>
      <c r="Z1297">
        <f t="shared" si="83"/>
        <v>0</v>
      </c>
      <c r="AA1297">
        <v>0</v>
      </c>
    </row>
    <row r="1298" spans="1:27" x14ac:dyDescent="0.25">
      <c r="A1298" s="1">
        <v>1297</v>
      </c>
      <c r="B1298" t="s">
        <v>1430</v>
      </c>
      <c r="C1298" t="s">
        <v>1134</v>
      </c>
      <c r="D1298" t="s">
        <v>1138</v>
      </c>
      <c r="E1298" t="s">
        <v>1139</v>
      </c>
      <c r="H1298" t="s">
        <v>1153</v>
      </c>
      <c r="I1298" t="s">
        <v>1153</v>
      </c>
      <c r="J1298" t="s">
        <v>1335</v>
      </c>
      <c r="K1298" t="s">
        <v>1212</v>
      </c>
      <c r="M1298" s="3">
        <f t="shared" si="80"/>
        <v>77</v>
      </c>
      <c r="N1298">
        <v>33</v>
      </c>
      <c r="O1298">
        <v>85</v>
      </c>
      <c r="P1298">
        <v>88</v>
      </c>
      <c r="Q1298">
        <v>89</v>
      </c>
      <c r="R1298">
        <v>85</v>
      </c>
      <c r="S1298">
        <v>84</v>
      </c>
      <c r="T1298">
        <v>75</v>
      </c>
      <c r="U1298">
        <v>26</v>
      </c>
      <c r="V1298" s="3">
        <f t="shared" si="81"/>
        <v>10990021</v>
      </c>
      <c r="W1298">
        <v>915835.08333333337</v>
      </c>
      <c r="X1298">
        <v>0</v>
      </c>
      <c r="Y1298">
        <f t="shared" si="82"/>
        <v>915835.08333333337</v>
      </c>
      <c r="Z1298">
        <f t="shared" si="83"/>
        <v>0</v>
      </c>
      <c r="AA1298">
        <v>0</v>
      </c>
    </row>
    <row r="1299" spans="1:27" x14ac:dyDescent="0.25">
      <c r="A1299" s="1">
        <v>1298</v>
      </c>
      <c r="B1299" t="s">
        <v>1428</v>
      </c>
      <c r="C1299" t="s">
        <v>1134</v>
      </c>
      <c r="D1299" t="s">
        <v>1138</v>
      </c>
      <c r="E1299" t="s">
        <v>1140</v>
      </c>
      <c r="H1299" t="s">
        <v>1153</v>
      </c>
      <c r="I1299" t="s">
        <v>1153</v>
      </c>
      <c r="J1299" t="s">
        <v>1335</v>
      </c>
      <c r="K1299" t="s">
        <v>1212</v>
      </c>
      <c r="M1299" s="3">
        <f t="shared" si="80"/>
        <v>72.571428571428569</v>
      </c>
      <c r="N1299">
        <v>41</v>
      </c>
      <c r="O1299">
        <v>78</v>
      </c>
      <c r="P1299">
        <v>70</v>
      </c>
      <c r="Q1299">
        <v>80</v>
      </c>
      <c r="R1299">
        <v>88</v>
      </c>
      <c r="S1299">
        <v>76</v>
      </c>
      <c r="T1299">
        <v>75</v>
      </c>
      <c r="U1299">
        <v>26</v>
      </c>
      <c r="V1299" s="3">
        <f t="shared" si="81"/>
        <v>6077823</v>
      </c>
      <c r="W1299">
        <v>506485.25</v>
      </c>
      <c r="X1299">
        <v>0</v>
      </c>
      <c r="Y1299">
        <f t="shared" si="82"/>
        <v>506485.25</v>
      </c>
      <c r="Z1299">
        <f t="shared" si="83"/>
        <v>0</v>
      </c>
      <c r="AA1299">
        <v>0</v>
      </c>
    </row>
    <row r="1300" spans="1:27" x14ac:dyDescent="0.25">
      <c r="A1300" s="1">
        <v>1299</v>
      </c>
      <c r="B1300" t="s">
        <v>412</v>
      </c>
      <c r="C1300" t="s">
        <v>1134</v>
      </c>
      <c r="D1300" t="s">
        <v>1140</v>
      </c>
      <c r="E1300" t="s">
        <v>1139</v>
      </c>
      <c r="G1300" t="s">
        <v>1208</v>
      </c>
      <c r="H1300" t="s">
        <v>1214</v>
      </c>
      <c r="I1300" t="s">
        <v>1214</v>
      </c>
      <c r="J1300" t="s">
        <v>1335</v>
      </c>
      <c r="K1300" t="s">
        <v>1212</v>
      </c>
      <c r="M1300" s="3">
        <f t="shared" si="80"/>
        <v>90.714285714285708</v>
      </c>
      <c r="N1300">
        <v>90</v>
      </c>
      <c r="O1300">
        <v>95</v>
      </c>
      <c r="P1300">
        <v>89</v>
      </c>
      <c r="Q1300">
        <v>93</v>
      </c>
      <c r="R1300">
        <v>90</v>
      </c>
      <c r="S1300">
        <v>88</v>
      </c>
      <c r="T1300">
        <v>90</v>
      </c>
      <c r="U1300">
        <v>18</v>
      </c>
      <c r="V1300" s="3">
        <f t="shared" si="81"/>
        <v>56604129</v>
      </c>
      <c r="W1300">
        <v>4717010.75</v>
      </c>
      <c r="X1300">
        <v>0</v>
      </c>
      <c r="Y1300">
        <f t="shared" si="82"/>
        <v>4717010.75</v>
      </c>
      <c r="Z1300">
        <f t="shared" si="83"/>
        <v>0</v>
      </c>
      <c r="AA1300">
        <v>0</v>
      </c>
    </row>
    <row r="1301" spans="1:27" x14ac:dyDescent="0.25">
      <c r="A1301" s="1">
        <v>1300</v>
      </c>
      <c r="B1301" t="s">
        <v>281</v>
      </c>
      <c r="C1301" t="s">
        <v>1134</v>
      </c>
      <c r="D1301" t="s">
        <v>1138</v>
      </c>
      <c r="E1301" t="s">
        <v>1144</v>
      </c>
      <c r="G1301" t="s">
        <v>1181</v>
      </c>
      <c r="H1301" t="s">
        <v>1181</v>
      </c>
      <c r="I1301" t="s">
        <v>1181</v>
      </c>
      <c r="J1301" t="s">
        <v>1335</v>
      </c>
      <c r="K1301" t="s">
        <v>1212</v>
      </c>
      <c r="M1301" s="3">
        <f t="shared" si="80"/>
        <v>92.285714285714292</v>
      </c>
      <c r="N1301">
        <v>89</v>
      </c>
      <c r="O1301">
        <v>83</v>
      </c>
      <c r="P1301">
        <v>95</v>
      </c>
      <c r="Q1301">
        <v>96</v>
      </c>
      <c r="R1301">
        <v>98</v>
      </c>
      <c r="S1301">
        <v>95</v>
      </c>
      <c r="T1301">
        <v>90</v>
      </c>
      <c r="U1301">
        <v>1</v>
      </c>
      <c r="V1301" s="3">
        <f t="shared" si="81"/>
        <v>67210332</v>
      </c>
      <c r="W1301">
        <v>5600861</v>
      </c>
      <c r="X1301">
        <v>0</v>
      </c>
      <c r="Y1301">
        <f t="shared" si="82"/>
        <v>5600861</v>
      </c>
      <c r="Z1301">
        <f t="shared" si="83"/>
        <v>0</v>
      </c>
      <c r="AA1301">
        <v>0</v>
      </c>
    </row>
    <row r="1302" spans="1:27" x14ac:dyDescent="0.25">
      <c r="A1302" s="1">
        <v>1301</v>
      </c>
      <c r="B1302" t="s">
        <v>280</v>
      </c>
      <c r="C1302" t="s">
        <v>1134</v>
      </c>
      <c r="D1302" t="s">
        <v>1140</v>
      </c>
      <c r="E1302" t="s">
        <v>1139</v>
      </c>
      <c r="F1302" t="s">
        <v>1138</v>
      </c>
      <c r="G1302" t="s">
        <v>1180</v>
      </c>
      <c r="H1302" t="s">
        <v>1180</v>
      </c>
      <c r="I1302" t="s">
        <v>1180</v>
      </c>
      <c r="J1302" t="s">
        <v>1335</v>
      </c>
      <c r="K1302" t="s">
        <v>1212</v>
      </c>
      <c r="M1302" s="3">
        <f t="shared" si="80"/>
        <v>92</v>
      </c>
      <c r="N1302">
        <v>90</v>
      </c>
      <c r="O1302">
        <v>85</v>
      </c>
      <c r="P1302">
        <v>98</v>
      </c>
      <c r="Q1302">
        <v>97</v>
      </c>
      <c r="R1302">
        <v>96</v>
      </c>
      <c r="S1302">
        <v>84</v>
      </c>
      <c r="T1302">
        <v>94</v>
      </c>
      <c r="U1302">
        <v>1</v>
      </c>
      <c r="V1302" s="3">
        <f t="shared" si="81"/>
        <v>65158269</v>
      </c>
      <c r="W1302">
        <v>5429855.75</v>
      </c>
      <c r="X1302">
        <v>0</v>
      </c>
      <c r="Y1302">
        <f t="shared" si="82"/>
        <v>5429855.75</v>
      </c>
      <c r="Z1302">
        <f t="shared" si="83"/>
        <v>0</v>
      </c>
      <c r="AA1302">
        <v>0</v>
      </c>
    </row>
    <row r="1303" spans="1:27" x14ac:dyDescent="0.25">
      <c r="A1303" s="1">
        <v>1302</v>
      </c>
      <c r="B1303" t="s">
        <v>450</v>
      </c>
      <c r="C1303" t="s">
        <v>1135</v>
      </c>
      <c r="D1303" t="s">
        <v>1141</v>
      </c>
      <c r="G1303" t="s">
        <v>1153</v>
      </c>
      <c r="H1303" t="s">
        <v>1153</v>
      </c>
      <c r="I1303" t="s">
        <v>1153</v>
      </c>
      <c r="J1303" t="s">
        <v>1335</v>
      </c>
      <c r="K1303" t="s">
        <v>1212</v>
      </c>
      <c r="M1303" s="3">
        <f t="shared" si="80"/>
        <v>95.142857142857139</v>
      </c>
      <c r="N1303">
        <v>97</v>
      </c>
      <c r="O1303">
        <v>88</v>
      </c>
      <c r="P1303">
        <v>99</v>
      </c>
      <c r="Q1303">
        <v>93</v>
      </c>
      <c r="R1303">
        <v>97</v>
      </c>
      <c r="S1303">
        <v>100</v>
      </c>
      <c r="T1303">
        <v>92</v>
      </c>
      <c r="U1303">
        <v>6</v>
      </c>
      <c r="V1303" s="3">
        <f t="shared" si="81"/>
        <v>91170252</v>
      </c>
      <c r="W1303">
        <v>7597521</v>
      </c>
      <c r="X1303">
        <v>0</v>
      </c>
      <c r="Y1303">
        <f t="shared" si="82"/>
        <v>7597521</v>
      </c>
      <c r="Z1303">
        <f t="shared" si="83"/>
        <v>0</v>
      </c>
      <c r="AA1303">
        <v>0</v>
      </c>
    </row>
    <row r="1304" spans="1:27" x14ac:dyDescent="0.25">
      <c r="A1304" s="1">
        <v>1303</v>
      </c>
      <c r="B1304" t="s">
        <v>611</v>
      </c>
      <c r="C1304" t="s">
        <v>1135</v>
      </c>
      <c r="D1304" t="s">
        <v>1142</v>
      </c>
      <c r="E1304" t="s">
        <v>1146</v>
      </c>
      <c r="G1304" t="s">
        <v>1205</v>
      </c>
      <c r="H1304" t="s">
        <v>1205</v>
      </c>
      <c r="I1304" t="s">
        <v>1205</v>
      </c>
      <c r="J1304" t="s">
        <v>1335</v>
      </c>
      <c r="K1304" t="s">
        <v>1212</v>
      </c>
      <c r="M1304" s="3">
        <f t="shared" si="80"/>
        <v>94.428571428571431</v>
      </c>
      <c r="N1304">
        <v>93</v>
      </c>
      <c r="O1304">
        <v>99</v>
      </c>
      <c r="P1304">
        <v>90</v>
      </c>
      <c r="Q1304">
        <v>98</v>
      </c>
      <c r="R1304">
        <v>98</v>
      </c>
      <c r="S1304">
        <v>84</v>
      </c>
      <c r="T1304">
        <v>99</v>
      </c>
      <c r="U1304">
        <v>20</v>
      </c>
      <c r="V1304" s="3">
        <f t="shared" si="81"/>
        <v>84552306</v>
      </c>
      <c r="W1304">
        <v>7046025.5</v>
      </c>
      <c r="X1304">
        <v>0</v>
      </c>
      <c r="Y1304">
        <f t="shared" si="82"/>
        <v>7046025.5</v>
      </c>
      <c r="Z1304">
        <f t="shared" si="83"/>
        <v>0</v>
      </c>
      <c r="AA1304">
        <v>0</v>
      </c>
    </row>
    <row r="1305" spans="1:27" x14ac:dyDescent="0.25">
      <c r="A1305" s="1">
        <v>1304</v>
      </c>
      <c r="B1305" t="s">
        <v>615</v>
      </c>
      <c r="C1305" t="s">
        <v>1135</v>
      </c>
      <c r="D1305" t="s">
        <v>1141</v>
      </c>
      <c r="E1305" t="s">
        <v>1142</v>
      </c>
      <c r="G1305" t="s">
        <v>1207</v>
      </c>
      <c r="H1305" t="s">
        <v>1207</v>
      </c>
      <c r="I1305" t="s">
        <v>1207</v>
      </c>
      <c r="J1305" t="s">
        <v>1335</v>
      </c>
      <c r="K1305" t="s">
        <v>1212</v>
      </c>
      <c r="M1305" s="3">
        <f t="shared" si="80"/>
        <v>89.571428571428569</v>
      </c>
      <c r="N1305">
        <v>85</v>
      </c>
      <c r="O1305">
        <v>98</v>
      </c>
      <c r="P1305">
        <v>90</v>
      </c>
      <c r="Q1305">
        <v>85</v>
      </c>
      <c r="R1305">
        <v>93</v>
      </c>
      <c r="S1305">
        <v>86</v>
      </c>
      <c r="T1305">
        <v>90</v>
      </c>
      <c r="U1305">
        <v>20</v>
      </c>
      <c r="V1305" s="3">
        <f t="shared" si="81"/>
        <v>49863903</v>
      </c>
      <c r="W1305">
        <v>4155325.25</v>
      </c>
      <c r="X1305">
        <v>0</v>
      </c>
      <c r="Y1305">
        <f t="shared" si="82"/>
        <v>4155325.25</v>
      </c>
      <c r="Z1305">
        <f t="shared" si="83"/>
        <v>0</v>
      </c>
      <c r="AA1305">
        <v>0</v>
      </c>
    </row>
    <row r="1306" spans="1:27" x14ac:dyDescent="0.25">
      <c r="A1306" s="1">
        <v>1305</v>
      </c>
      <c r="B1306" t="s">
        <v>518</v>
      </c>
      <c r="C1306" t="s">
        <v>1135</v>
      </c>
      <c r="D1306" t="s">
        <v>1142</v>
      </c>
      <c r="E1306" t="s">
        <v>1141</v>
      </c>
      <c r="G1306" t="s">
        <v>1175</v>
      </c>
      <c r="H1306" t="s">
        <v>1175</v>
      </c>
      <c r="I1306" t="s">
        <v>1175</v>
      </c>
      <c r="J1306" t="s">
        <v>1335</v>
      </c>
      <c r="K1306" t="s">
        <v>1212</v>
      </c>
      <c r="M1306" s="3">
        <f t="shared" si="80"/>
        <v>95.571428571428569</v>
      </c>
      <c r="N1306">
        <v>97</v>
      </c>
      <c r="O1306">
        <v>100</v>
      </c>
      <c r="P1306">
        <v>96</v>
      </c>
      <c r="Q1306">
        <v>98</v>
      </c>
      <c r="R1306">
        <v>93</v>
      </c>
      <c r="S1306">
        <v>85</v>
      </c>
      <c r="T1306">
        <v>100</v>
      </c>
      <c r="U1306">
        <v>10</v>
      </c>
      <c r="V1306" s="3">
        <f t="shared" si="81"/>
        <v>95361273</v>
      </c>
      <c r="W1306">
        <v>7946772.75</v>
      </c>
      <c r="X1306">
        <v>0</v>
      </c>
      <c r="Y1306">
        <f t="shared" si="82"/>
        <v>7946772.75</v>
      </c>
      <c r="Z1306">
        <f t="shared" si="83"/>
        <v>0</v>
      </c>
      <c r="AA1306">
        <v>0</v>
      </c>
    </row>
    <row r="1307" spans="1:27" x14ac:dyDescent="0.25">
      <c r="A1307" s="1">
        <v>1306</v>
      </c>
      <c r="B1307" t="s">
        <v>677</v>
      </c>
      <c r="C1307" t="s">
        <v>1136</v>
      </c>
      <c r="D1307" t="s">
        <v>1143</v>
      </c>
      <c r="E1307" t="s">
        <v>1146</v>
      </c>
      <c r="G1307" t="s">
        <v>1155</v>
      </c>
      <c r="H1307" t="s">
        <v>1155</v>
      </c>
      <c r="I1307" t="s">
        <v>1155</v>
      </c>
      <c r="J1307" t="s">
        <v>1335</v>
      </c>
      <c r="K1307" t="s">
        <v>1212</v>
      </c>
      <c r="M1307" s="3">
        <f t="shared" si="80"/>
        <v>94.142857142857139</v>
      </c>
      <c r="N1307">
        <v>93</v>
      </c>
      <c r="O1307">
        <v>95</v>
      </c>
      <c r="P1307">
        <v>95</v>
      </c>
      <c r="Q1307">
        <v>96</v>
      </c>
      <c r="R1307">
        <v>90</v>
      </c>
      <c r="S1307">
        <v>92</v>
      </c>
      <c r="T1307">
        <v>98</v>
      </c>
      <c r="U1307">
        <v>10</v>
      </c>
      <c r="V1307" s="3">
        <f t="shared" si="81"/>
        <v>82028545</v>
      </c>
      <c r="W1307">
        <v>6835712.083333333</v>
      </c>
      <c r="X1307">
        <v>0</v>
      </c>
      <c r="Y1307">
        <f t="shared" si="82"/>
        <v>6835712.083333333</v>
      </c>
      <c r="Z1307">
        <f t="shared" si="83"/>
        <v>0</v>
      </c>
      <c r="AA1307">
        <v>0</v>
      </c>
    </row>
    <row r="1308" spans="1:27" x14ac:dyDescent="0.25">
      <c r="A1308" s="1">
        <v>1307</v>
      </c>
      <c r="B1308" t="s">
        <v>688</v>
      </c>
      <c r="C1308" t="s">
        <v>1136</v>
      </c>
      <c r="D1308" t="s">
        <v>1145</v>
      </c>
      <c r="E1308" t="s">
        <v>1141</v>
      </c>
      <c r="F1308" t="s">
        <v>1146</v>
      </c>
      <c r="G1308" t="s">
        <v>1157</v>
      </c>
      <c r="H1308" t="s">
        <v>1157</v>
      </c>
      <c r="I1308" t="s">
        <v>1157</v>
      </c>
      <c r="J1308" t="s">
        <v>1335</v>
      </c>
      <c r="K1308" t="s">
        <v>1212</v>
      </c>
      <c r="M1308" s="3">
        <f t="shared" si="80"/>
        <v>97.571428571428569</v>
      </c>
      <c r="N1308">
        <v>98</v>
      </c>
      <c r="O1308">
        <v>94</v>
      </c>
      <c r="P1308">
        <v>100</v>
      </c>
      <c r="Q1308">
        <v>100</v>
      </c>
      <c r="R1308">
        <v>95</v>
      </c>
      <c r="S1308">
        <v>96</v>
      </c>
      <c r="T1308">
        <v>100</v>
      </c>
      <c r="U1308">
        <v>10</v>
      </c>
      <c r="V1308" s="3">
        <f t="shared" si="81"/>
        <v>117305371</v>
      </c>
      <c r="W1308">
        <v>9775447.583333334</v>
      </c>
      <c r="X1308">
        <v>0</v>
      </c>
      <c r="Y1308">
        <f t="shared" si="82"/>
        <v>9775447.583333334</v>
      </c>
      <c r="Z1308">
        <f t="shared" si="83"/>
        <v>0</v>
      </c>
      <c r="AA1308">
        <v>0</v>
      </c>
    </row>
    <row r="1309" spans="1:27" x14ac:dyDescent="0.25">
      <c r="A1309" s="1">
        <v>1308</v>
      </c>
      <c r="B1309" t="s">
        <v>665</v>
      </c>
      <c r="C1309" t="s">
        <v>1136</v>
      </c>
      <c r="D1309" t="s">
        <v>1146</v>
      </c>
      <c r="E1309" t="s">
        <v>1144</v>
      </c>
      <c r="F1309" t="s">
        <v>1143</v>
      </c>
      <c r="G1309" t="s">
        <v>1153</v>
      </c>
      <c r="H1309" t="s">
        <v>1153</v>
      </c>
      <c r="I1309" t="s">
        <v>1153</v>
      </c>
      <c r="J1309" t="s">
        <v>1335</v>
      </c>
      <c r="K1309" t="s">
        <v>1212</v>
      </c>
      <c r="M1309" s="3">
        <f t="shared" si="80"/>
        <v>94.285714285714292</v>
      </c>
      <c r="N1309">
        <v>97</v>
      </c>
      <c r="O1309">
        <v>100</v>
      </c>
      <c r="P1309">
        <v>96</v>
      </c>
      <c r="Q1309">
        <v>95</v>
      </c>
      <c r="R1309">
        <v>91</v>
      </c>
      <c r="S1309">
        <v>87</v>
      </c>
      <c r="T1309">
        <v>94</v>
      </c>
      <c r="U1309">
        <v>23</v>
      </c>
      <c r="V1309" s="3">
        <f t="shared" si="81"/>
        <v>83281822</v>
      </c>
      <c r="W1309">
        <v>6940151.833333333</v>
      </c>
      <c r="X1309">
        <v>0</v>
      </c>
      <c r="Y1309">
        <f t="shared" si="82"/>
        <v>6940151.833333333</v>
      </c>
      <c r="Z1309">
        <f t="shared" si="83"/>
        <v>0</v>
      </c>
      <c r="AA1309">
        <v>0</v>
      </c>
    </row>
    <row r="1310" spans="1:27" x14ac:dyDescent="0.25">
      <c r="A1310" s="1">
        <v>1309</v>
      </c>
      <c r="B1310" t="s">
        <v>961</v>
      </c>
      <c r="C1310" t="s">
        <v>1136</v>
      </c>
      <c r="D1310" t="s">
        <v>1143</v>
      </c>
      <c r="E1310" t="s">
        <v>1146</v>
      </c>
      <c r="F1310" t="s">
        <v>1147</v>
      </c>
      <c r="G1310" t="s">
        <v>1200</v>
      </c>
      <c r="H1310" t="s">
        <v>1200</v>
      </c>
      <c r="I1310" t="s">
        <v>1200</v>
      </c>
      <c r="J1310" t="s">
        <v>1335</v>
      </c>
      <c r="K1310" t="s">
        <v>1212</v>
      </c>
      <c r="M1310" s="3">
        <f t="shared" si="80"/>
        <v>91.428571428571431</v>
      </c>
      <c r="N1310">
        <v>88</v>
      </c>
      <c r="O1310">
        <v>86</v>
      </c>
      <c r="P1310">
        <v>96</v>
      </c>
      <c r="Q1310">
        <v>94</v>
      </c>
      <c r="R1310">
        <v>96</v>
      </c>
      <c r="S1310">
        <v>89</v>
      </c>
      <c r="T1310">
        <v>91</v>
      </c>
      <c r="U1310">
        <v>19</v>
      </c>
      <c r="V1310" s="3">
        <f t="shared" si="81"/>
        <v>61222435</v>
      </c>
      <c r="W1310">
        <v>5101869.583333333</v>
      </c>
      <c r="X1310">
        <v>0</v>
      </c>
      <c r="Y1310">
        <f t="shared" si="82"/>
        <v>5101869.583333333</v>
      </c>
      <c r="Z1310">
        <f t="shared" si="83"/>
        <v>0</v>
      </c>
      <c r="AA1310">
        <v>0</v>
      </c>
    </row>
    <row r="1311" spans="1:27" x14ac:dyDescent="0.25">
      <c r="A1311" s="1">
        <v>1310</v>
      </c>
      <c r="B1311" t="s">
        <v>636</v>
      </c>
      <c r="C1311" t="s">
        <v>1136</v>
      </c>
      <c r="D1311" t="s">
        <v>1146</v>
      </c>
      <c r="E1311" t="s">
        <v>1143</v>
      </c>
      <c r="G1311" t="s">
        <v>1148</v>
      </c>
      <c r="H1311" t="s">
        <v>1148</v>
      </c>
      <c r="I1311" t="s">
        <v>1148</v>
      </c>
      <c r="J1311" t="s">
        <v>1335</v>
      </c>
      <c r="K1311" t="s">
        <v>1212</v>
      </c>
      <c r="M1311" s="3">
        <f t="shared" si="80"/>
        <v>88.142857142857139</v>
      </c>
      <c r="N1311">
        <v>84</v>
      </c>
      <c r="O1311">
        <v>97</v>
      </c>
      <c r="P1311">
        <v>83</v>
      </c>
      <c r="Q1311">
        <v>88</v>
      </c>
      <c r="R1311">
        <v>93</v>
      </c>
      <c r="S1311">
        <v>82</v>
      </c>
      <c r="T1311">
        <v>90</v>
      </c>
      <c r="U1311">
        <v>3</v>
      </c>
      <c r="V1311" s="3">
        <f t="shared" si="81"/>
        <v>42458291</v>
      </c>
      <c r="W1311">
        <v>3538190.9166666665</v>
      </c>
      <c r="X1311">
        <v>0</v>
      </c>
      <c r="Y1311">
        <f t="shared" si="82"/>
        <v>3538190.9166666665</v>
      </c>
      <c r="Z1311">
        <f t="shared" si="83"/>
        <v>0</v>
      </c>
      <c r="AA1311">
        <v>0</v>
      </c>
    </row>
    <row r="1312" spans="1:27" x14ac:dyDescent="0.25">
      <c r="A1312" s="1">
        <v>1311</v>
      </c>
      <c r="B1312" t="s">
        <v>2624</v>
      </c>
      <c r="C1312" t="s">
        <v>1136</v>
      </c>
      <c r="D1312" t="s">
        <v>1144</v>
      </c>
      <c r="E1312" t="s">
        <v>1143</v>
      </c>
      <c r="H1312" t="s">
        <v>1153</v>
      </c>
      <c r="I1312" t="s">
        <v>1153</v>
      </c>
      <c r="J1312" t="s">
        <v>1335</v>
      </c>
      <c r="K1312" t="s">
        <v>1212</v>
      </c>
      <c r="M1312" s="3">
        <f t="shared" si="80"/>
        <v>70.714285714285708</v>
      </c>
      <c r="N1312">
        <v>40</v>
      </c>
      <c r="O1312">
        <v>72</v>
      </c>
      <c r="P1312">
        <v>78</v>
      </c>
      <c r="Q1312">
        <v>72</v>
      </c>
      <c r="R1312">
        <v>85</v>
      </c>
      <c r="S1312">
        <v>71</v>
      </c>
      <c r="T1312">
        <v>77</v>
      </c>
      <c r="U1312">
        <v>26</v>
      </c>
      <c r="V1312" s="3">
        <f t="shared" si="81"/>
        <v>4689893</v>
      </c>
      <c r="W1312">
        <v>390824.41666666669</v>
      </c>
      <c r="X1312">
        <v>0</v>
      </c>
      <c r="Y1312">
        <f t="shared" si="82"/>
        <v>390824.41666666669</v>
      </c>
      <c r="Z1312">
        <f t="shared" si="83"/>
        <v>0</v>
      </c>
      <c r="AA1312">
        <v>0</v>
      </c>
    </row>
    <row r="1313" spans="1:27" x14ac:dyDescent="0.25">
      <c r="A1313" s="1">
        <v>1312</v>
      </c>
      <c r="B1313" t="s">
        <v>950</v>
      </c>
      <c r="C1313" t="s">
        <v>1136</v>
      </c>
      <c r="D1313" t="s">
        <v>1143</v>
      </c>
      <c r="E1313" t="s">
        <v>1146</v>
      </c>
      <c r="F1313" t="s">
        <v>1145</v>
      </c>
      <c r="G1313" t="s">
        <v>1199</v>
      </c>
      <c r="H1313" t="s">
        <v>1153</v>
      </c>
      <c r="I1313" t="s">
        <v>1153</v>
      </c>
      <c r="J1313" t="s">
        <v>1335</v>
      </c>
      <c r="K1313" t="s">
        <v>1212</v>
      </c>
      <c r="M1313" s="3">
        <f t="shared" si="80"/>
        <v>90.285714285714292</v>
      </c>
      <c r="N1313">
        <v>89</v>
      </c>
      <c r="O1313">
        <v>88</v>
      </c>
      <c r="P1313">
        <v>91</v>
      </c>
      <c r="Q1313">
        <v>96</v>
      </c>
      <c r="R1313">
        <v>89</v>
      </c>
      <c r="S1313">
        <v>90</v>
      </c>
      <c r="T1313">
        <v>89</v>
      </c>
      <c r="U1313">
        <v>22</v>
      </c>
      <c r="V1313" s="3">
        <f t="shared" si="81"/>
        <v>53986062</v>
      </c>
      <c r="W1313">
        <v>4498838.5</v>
      </c>
      <c r="X1313">
        <v>0</v>
      </c>
      <c r="Y1313">
        <f t="shared" si="82"/>
        <v>4498838.5</v>
      </c>
      <c r="Z1313">
        <f t="shared" si="83"/>
        <v>0</v>
      </c>
      <c r="AA1313">
        <v>0</v>
      </c>
    </row>
    <row r="1314" spans="1:27" x14ac:dyDescent="0.25">
      <c r="A1314" s="1">
        <v>1313</v>
      </c>
      <c r="B1314" t="s">
        <v>991</v>
      </c>
      <c r="C1314" t="s">
        <v>1136</v>
      </c>
      <c r="D1314" t="s">
        <v>1145</v>
      </c>
      <c r="E1314" t="s">
        <v>1143</v>
      </c>
      <c r="F1314" t="s">
        <v>1141</v>
      </c>
      <c r="G1314" t="s">
        <v>1205</v>
      </c>
      <c r="H1314" t="s">
        <v>1205</v>
      </c>
      <c r="I1314" t="s">
        <v>1205</v>
      </c>
      <c r="J1314" t="s">
        <v>1335</v>
      </c>
      <c r="K1314" t="s">
        <v>1212</v>
      </c>
      <c r="M1314" s="3">
        <f t="shared" si="80"/>
        <v>93.285714285714292</v>
      </c>
      <c r="N1314">
        <v>95</v>
      </c>
      <c r="O1314">
        <v>85</v>
      </c>
      <c r="P1314">
        <v>100</v>
      </c>
      <c r="Q1314">
        <v>92</v>
      </c>
      <c r="R1314">
        <v>93</v>
      </c>
      <c r="S1314">
        <v>92</v>
      </c>
      <c r="T1314">
        <v>96</v>
      </c>
      <c r="U1314">
        <v>21</v>
      </c>
      <c r="V1314" s="3">
        <f t="shared" si="81"/>
        <v>74858768</v>
      </c>
      <c r="W1314">
        <v>6238230.666666667</v>
      </c>
      <c r="X1314">
        <v>0</v>
      </c>
      <c r="Y1314">
        <f t="shared" si="82"/>
        <v>6238230.666666667</v>
      </c>
      <c r="Z1314">
        <f t="shared" si="83"/>
        <v>0</v>
      </c>
      <c r="AA1314">
        <v>0</v>
      </c>
    </row>
    <row r="1315" spans="1:27" x14ac:dyDescent="0.25">
      <c r="A1315" s="1">
        <v>1314</v>
      </c>
      <c r="B1315" t="s">
        <v>1431</v>
      </c>
      <c r="C1315" t="s">
        <v>1136</v>
      </c>
      <c r="D1315" t="s">
        <v>1144</v>
      </c>
      <c r="E1315" t="s">
        <v>1143</v>
      </c>
      <c r="H1315" t="s">
        <v>1153</v>
      </c>
      <c r="I1315" t="s">
        <v>1153</v>
      </c>
      <c r="J1315" t="s">
        <v>1335</v>
      </c>
      <c r="K1315" t="s">
        <v>1212</v>
      </c>
      <c r="M1315" s="3">
        <f t="shared" si="80"/>
        <v>77.285714285714292</v>
      </c>
      <c r="N1315">
        <v>34</v>
      </c>
      <c r="O1315">
        <v>86</v>
      </c>
      <c r="P1315">
        <v>89</v>
      </c>
      <c r="Q1315">
        <v>86</v>
      </c>
      <c r="R1315">
        <v>83</v>
      </c>
      <c r="S1315">
        <v>84</v>
      </c>
      <c r="T1315">
        <v>79</v>
      </c>
      <c r="U1315">
        <v>26</v>
      </c>
      <c r="V1315" s="3">
        <f t="shared" si="81"/>
        <v>11404691</v>
      </c>
      <c r="W1315">
        <v>950390.91666666663</v>
      </c>
      <c r="X1315">
        <v>0</v>
      </c>
      <c r="Y1315">
        <f t="shared" si="82"/>
        <v>950390.91666666663</v>
      </c>
      <c r="Z1315">
        <f t="shared" si="83"/>
        <v>0</v>
      </c>
      <c r="AA1315">
        <v>0</v>
      </c>
    </row>
    <row r="1316" spans="1:27" x14ac:dyDescent="0.25">
      <c r="A1316" s="1">
        <v>1315</v>
      </c>
      <c r="B1316" t="s">
        <v>1432</v>
      </c>
      <c r="C1316" t="s">
        <v>1136</v>
      </c>
      <c r="D1316" t="s">
        <v>1144</v>
      </c>
      <c r="E1316" t="s">
        <v>1143</v>
      </c>
      <c r="H1316" t="s">
        <v>1153</v>
      </c>
      <c r="I1316" t="s">
        <v>1153</v>
      </c>
      <c r="J1316" t="s">
        <v>1335</v>
      </c>
      <c r="K1316" t="s">
        <v>1212</v>
      </c>
      <c r="M1316" s="3">
        <f t="shared" si="80"/>
        <v>75.142857142857139</v>
      </c>
      <c r="N1316">
        <v>37</v>
      </c>
      <c r="O1316">
        <v>74</v>
      </c>
      <c r="P1316">
        <v>85</v>
      </c>
      <c r="Q1316">
        <v>75</v>
      </c>
      <c r="R1316">
        <v>86</v>
      </c>
      <c r="S1316">
        <v>89</v>
      </c>
      <c r="T1316">
        <v>80</v>
      </c>
      <c r="U1316">
        <v>26</v>
      </c>
      <c r="V1316" s="3">
        <f t="shared" si="81"/>
        <v>8609310</v>
      </c>
      <c r="W1316">
        <v>717442.5</v>
      </c>
      <c r="X1316">
        <v>0</v>
      </c>
      <c r="Y1316">
        <f t="shared" si="82"/>
        <v>717442.5</v>
      </c>
      <c r="Z1316">
        <f t="shared" si="83"/>
        <v>0</v>
      </c>
      <c r="AA1316">
        <v>0</v>
      </c>
    </row>
    <row r="1317" spans="1:27" x14ac:dyDescent="0.25">
      <c r="A1317" s="1">
        <v>1316</v>
      </c>
      <c r="B1317" t="s">
        <v>1103</v>
      </c>
      <c r="C1317" t="s">
        <v>1137</v>
      </c>
      <c r="D1317" t="s">
        <v>1137</v>
      </c>
      <c r="H1317" t="s">
        <v>1168</v>
      </c>
      <c r="I1317" t="s">
        <v>1168</v>
      </c>
      <c r="J1317" t="s">
        <v>1335</v>
      </c>
      <c r="K1317" t="s">
        <v>1212</v>
      </c>
      <c r="M1317" s="3">
        <f t="shared" si="80"/>
        <v>93</v>
      </c>
      <c r="N1317">
        <v>96</v>
      </c>
      <c r="O1317">
        <v>96</v>
      </c>
      <c r="P1317">
        <v>90</v>
      </c>
      <c r="Q1317">
        <v>93</v>
      </c>
      <c r="R1317">
        <v>94</v>
      </c>
      <c r="S1317">
        <v>89</v>
      </c>
      <c r="T1317">
        <v>93</v>
      </c>
      <c r="U1317">
        <v>0</v>
      </c>
      <c r="V1317" s="3">
        <f t="shared" si="81"/>
        <v>48398231</v>
      </c>
      <c r="W1317">
        <v>4033185.9166666665</v>
      </c>
      <c r="X1317">
        <v>0</v>
      </c>
      <c r="Y1317">
        <f t="shared" si="82"/>
        <v>4033185.9166666665</v>
      </c>
      <c r="Z1317">
        <f t="shared" si="83"/>
        <v>0</v>
      </c>
      <c r="AA1317">
        <v>0</v>
      </c>
    </row>
    <row r="1318" spans="1:27" x14ac:dyDescent="0.25">
      <c r="A1318" s="1">
        <v>1317</v>
      </c>
      <c r="B1318" t="s">
        <v>240</v>
      </c>
      <c r="C1318" t="s">
        <v>1134</v>
      </c>
      <c r="D1318" t="s">
        <v>1139</v>
      </c>
      <c r="E1318" t="s">
        <v>1138</v>
      </c>
      <c r="G1318" t="s">
        <v>1173</v>
      </c>
      <c r="H1318" t="s">
        <v>1173</v>
      </c>
      <c r="I1318" t="s">
        <v>1173</v>
      </c>
      <c r="J1318" t="s">
        <v>1279</v>
      </c>
      <c r="K1318" t="s">
        <v>1217</v>
      </c>
      <c r="M1318" s="3">
        <f t="shared" si="80"/>
        <v>91.428571428571431</v>
      </c>
      <c r="N1318">
        <v>87</v>
      </c>
      <c r="O1318">
        <v>93</v>
      </c>
      <c r="P1318">
        <v>92</v>
      </c>
      <c r="Q1318">
        <v>94</v>
      </c>
      <c r="R1318">
        <v>90</v>
      </c>
      <c r="S1318">
        <v>89</v>
      </c>
      <c r="T1318">
        <v>95</v>
      </c>
      <c r="U1318">
        <v>24</v>
      </c>
      <c r="V1318" s="3">
        <f t="shared" si="81"/>
        <v>61222435</v>
      </c>
      <c r="W1318">
        <v>5101869.583333333</v>
      </c>
      <c r="X1318">
        <v>0</v>
      </c>
      <c r="Y1318">
        <f t="shared" si="82"/>
        <v>5101869.583333333</v>
      </c>
      <c r="Z1318">
        <f t="shared" si="83"/>
        <v>0</v>
      </c>
      <c r="AA1318">
        <v>0</v>
      </c>
    </row>
    <row r="1319" spans="1:27" x14ac:dyDescent="0.25">
      <c r="A1319" s="1">
        <v>1318</v>
      </c>
      <c r="B1319" t="s">
        <v>904</v>
      </c>
      <c r="C1319" t="s">
        <v>1136</v>
      </c>
      <c r="D1319" t="s">
        <v>1145</v>
      </c>
      <c r="E1319" t="s">
        <v>1147</v>
      </c>
      <c r="F1319" t="s">
        <v>1141</v>
      </c>
      <c r="G1319" t="s">
        <v>1193</v>
      </c>
      <c r="H1319" t="s">
        <v>1193</v>
      </c>
      <c r="I1319" t="s">
        <v>1193</v>
      </c>
      <c r="J1319" t="s">
        <v>1279</v>
      </c>
      <c r="K1319" t="s">
        <v>1217</v>
      </c>
      <c r="M1319" s="3">
        <f t="shared" si="80"/>
        <v>96.857142857142861</v>
      </c>
      <c r="N1319">
        <v>100</v>
      </c>
      <c r="O1319">
        <v>93</v>
      </c>
      <c r="P1319">
        <v>100</v>
      </c>
      <c r="Q1319">
        <v>100</v>
      </c>
      <c r="R1319">
        <v>97</v>
      </c>
      <c r="S1319">
        <v>88</v>
      </c>
      <c r="T1319">
        <v>100</v>
      </c>
      <c r="U1319">
        <v>13</v>
      </c>
      <c r="V1319" s="3">
        <f t="shared" si="81"/>
        <v>108995307</v>
      </c>
      <c r="W1319">
        <v>9082942.25</v>
      </c>
      <c r="X1319">
        <v>0</v>
      </c>
      <c r="Y1319">
        <f t="shared" si="82"/>
        <v>9082942.25</v>
      </c>
      <c r="Z1319">
        <f t="shared" si="83"/>
        <v>0</v>
      </c>
      <c r="AA1319">
        <v>0</v>
      </c>
    </row>
    <row r="1320" spans="1:27" x14ac:dyDescent="0.25">
      <c r="A1320" s="1">
        <v>1319</v>
      </c>
      <c r="B1320" t="s">
        <v>538</v>
      </c>
      <c r="C1320" t="s">
        <v>1135</v>
      </c>
      <c r="D1320" t="s">
        <v>1141</v>
      </c>
      <c r="E1320" t="s">
        <v>1142</v>
      </c>
      <c r="G1320" t="s">
        <v>1181</v>
      </c>
      <c r="H1320" t="s">
        <v>1181</v>
      </c>
      <c r="I1320" t="s">
        <v>1181</v>
      </c>
      <c r="J1320" t="s">
        <v>1287</v>
      </c>
      <c r="K1320" t="s">
        <v>1214</v>
      </c>
      <c r="M1320" s="3">
        <f t="shared" si="80"/>
        <v>94.857142857142861</v>
      </c>
      <c r="N1320">
        <v>100</v>
      </c>
      <c r="O1320">
        <v>96</v>
      </c>
      <c r="P1320">
        <v>97</v>
      </c>
      <c r="Q1320">
        <v>96</v>
      </c>
      <c r="R1320">
        <v>90</v>
      </c>
      <c r="S1320">
        <v>90</v>
      </c>
      <c r="T1320">
        <v>95</v>
      </c>
      <c r="U1320">
        <v>13</v>
      </c>
      <c r="V1320" s="3">
        <f t="shared" si="81"/>
        <v>88469109</v>
      </c>
      <c r="W1320">
        <v>7372425.75</v>
      </c>
      <c r="X1320">
        <v>0</v>
      </c>
      <c r="Y1320">
        <f t="shared" si="82"/>
        <v>7372425.75</v>
      </c>
      <c r="Z1320">
        <f t="shared" si="83"/>
        <v>0</v>
      </c>
      <c r="AA1320">
        <v>0</v>
      </c>
    </row>
    <row r="1321" spans="1:27" x14ac:dyDescent="0.25">
      <c r="A1321" s="1">
        <v>1320</v>
      </c>
      <c r="B1321" t="s">
        <v>592</v>
      </c>
      <c r="C1321" t="s">
        <v>1135</v>
      </c>
      <c r="D1321" t="s">
        <v>1142</v>
      </c>
      <c r="E1321" t="s">
        <v>1145</v>
      </c>
      <c r="F1321" t="s">
        <v>1146</v>
      </c>
      <c r="G1321" t="s">
        <v>1199</v>
      </c>
      <c r="H1321" t="s">
        <v>1153</v>
      </c>
      <c r="I1321" t="s">
        <v>1153</v>
      </c>
      <c r="J1321" t="s">
        <v>1287</v>
      </c>
      <c r="K1321" t="s">
        <v>1214</v>
      </c>
      <c r="M1321" s="3">
        <f t="shared" si="80"/>
        <v>87.714285714285708</v>
      </c>
      <c r="N1321">
        <v>85</v>
      </c>
      <c r="O1321">
        <v>87</v>
      </c>
      <c r="P1321">
        <v>89</v>
      </c>
      <c r="Q1321">
        <v>91</v>
      </c>
      <c r="R1321">
        <v>84</v>
      </c>
      <c r="S1321">
        <v>86</v>
      </c>
      <c r="T1321">
        <v>92</v>
      </c>
      <c r="U1321">
        <v>17</v>
      </c>
      <c r="V1321" s="3">
        <f t="shared" si="81"/>
        <v>40438457</v>
      </c>
      <c r="W1321">
        <v>3369871.4166666665</v>
      </c>
      <c r="X1321">
        <v>0</v>
      </c>
      <c r="Y1321">
        <f t="shared" si="82"/>
        <v>3369871.4166666665</v>
      </c>
      <c r="Z1321">
        <f t="shared" si="83"/>
        <v>0</v>
      </c>
      <c r="AA1321">
        <v>0</v>
      </c>
    </row>
    <row r="1322" spans="1:27" x14ac:dyDescent="0.25">
      <c r="A1322" s="1">
        <v>1321</v>
      </c>
      <c r="B1322" t="s">
        <v>2556</v>
      </c>
      <c r="C1322" t="s">
        <v>1133</v>
      </c>
      <c r="D1322" t="s">
        <v>1133</v>
      </c>
      <c r="H1322" t="s">
        <v>1189</v>
      </c>
      <c r="I1322" t="s">
        <v>1189</v>
      </c>
      <c r="J1322" t="s">
        <v>2376</v>
      </c>
      <c r="K1322" t="s">
        <v>1212</v>
      </c>
      <c r="M1322" s="3">
        <f t="shared" si="80"/>
        <v>31.571428571428573</v>
      </c>
      <c r="N1322">
        <v>8</v>
      </c>
      <c r="O1322">
        <v>40</v>
      </c>
      <c r="P1322">
        <v>34</v>
      </c>
      <c r="Q1322">
        <v>38</v>
      </c>
      <c r="R1322">
        <v>40</v>
      </c>
      <c r="S1322">
        <v>42</v>
      </c>
      <c r="T1322">
        <v>19</v>
      </c>
      <c r="U1322">
        <v>0</v>
      </c>
      <c r="V1322" s="3">
        <f t="shared" si="81"/>
        <v>984</v>
      </c>
      <c r="W1322">
        <v>82</v>
      </c>
      <c r="X1322">
        <v>0</v>
      </c>
      <c r="Y1322">
        <f t="shared" si="82"/>
        <v>82</v>
      </c>
      <c r="Z1322">
        <f t="shared" si="83"/>
        <v>0</v>
      </c>
      <c r="AA1322">
        <v>0</v>
      </c>
    </row>
    <row r="1323" spans="1:27" x14ac:dyDescent="0.25">
      <c r="A1323" s="1">
        <v>1322</v>
      </c>
      <c r="B1323" t="s">
        <v>2362</v>
      </c>
      <c r="C1323" t="s">
        <v>1133</v>
      </c>
      <c r="D1323" t="s">
        <v>1133</v>
      </c>
      <c r="H1323" t="s">
        <v>1189</v>
      </c>
      <c r="I1323" t="s">
        <v>1189</v>
      </c>
      <c r="J1323" t="s">
        <v>2376</v>
      </c>
      <c r="K1323" t="s">
        <v>1212</v>
      </c>
      <c r="M1323" s="3">
        <f t="shared" si="80"/>
        <v>35.428571428571431</v>
      </c>
      <c r="N1323">
        <v>10</v>
      </c>
      <c r="O1323">
        <v>46</v>
      </c>
      <c r="P1323">
        <v>38</v>
      </c>
      <c r="Q1323">
        <v>42</v>
      </c>
      <c r="R1323">
        <v>44</v>
      </c>
      <c r="S1323">
        <v>46</v>
      </c>
      <c r="T1323">
        <v>22</v>
      </c>
      <c r="U1323">
        <v>0</v>
      </c>
      <c r="V1323" s="3">
        <f t="shared" si="81"/>
        <v>3116</v>
      </c>
      <c r="W1323">
        <v>259.66666666666669</v>
      </c>
      <c r="X1323">
        <v>0</v>
      </c>
      <c r="Y1323">
        <f t="shared" si="82"/>
        <v>259.66666666666669</v>
      </c>
      <c r="Z1323">
        <f t="shared" si="83"/>
        <v>0</v>
      </c>
      <c r="AA1323">
        <v>0</v>
      </c>
    </row>
    <row r="1324" spans="1:27" x14ac:dyDescent="0.25">
      <c r="A1324" s="1">
        <v>1323</v>
      </c>
      <c r="B1324" t="s">
        <v>2375</v>
      </c>
      <c r="C1324" t="s">
        <v>1133</v>
      </c>
      <c r="D1324" t="s">
        <v>1133</v>
      </c>
      <c r="H1324" t="s">
        <v>1189</v>
      </c>
      <c r="I1324" t="s">
        <v>1189</v>
      </c>
      <c r="J1324" t="s">
        <v>2376</v>
      </c>
      <c r="K1324" t="s">
        <v>1212</v>
      </c>
      <c r="M1324" s="3">
        <f t="shared" si="80"/>
        <v>31.857142857142858</v>
      </c>
      <c r="N1324">
        <v>8</v>
      </c>
      <c r="O1324">
        <v>42</v>
      </c>
      <c r="P1324">
        <v>34</v>
      </c>
      <c r="Q1324">
        <v>38</v>
      </c>
      <c r="R1324">
        <v>40</v>
      </c>
      <c r="S1324">
        <v>42</v>
      </c>
      <c r="T1324">
        <v>19</v>
      </c>
      <c r="U1324">
        <v>0</v>
      </c>
      <c r="V1324" s="3">
        <f t="shared" si="81"/>
        <v>1077</v>
      </c>
      <c r="W1324">
        <v>89.75</v>
      </c>
      <c r="X1324">
        <v>0</v>
      </c>
      <c r="Y1324">
        <f t="shared" si="82"/>
        <v>89.75</v>
      </c>
      <c r="Z1324">
        <f t="shared" si="83"/>
        <v>0</v>
      </c>
      <c r="AA1324">
        <v>0</v>
      </c>
    </row>
    <row r="1325" spans="1:27" x14ac:dyDescent="0.25">
      <c r="A1325" s="1">
        <v>1324</v>
      </c>
      <c r="B1325" t="s">
        <v>2365</v>
      </c>
      <c r="C1325" t="s">
        <v>1134</v>
      </c>
      <c r="D1325" t="s">
        <v>1138</v>
      </c>
      <c r="E1325" t="s">
        <v>1139</v>
      </c>
      <c r="H1325" t="s">
        <v>1189</v>
      </c>
      <c r="I1325" t="s">
        <v>1189</v>
      </c>
      <c r="J1325" t="s">
        <v>2376</v>
      </c>
      <c r="K1325" t="s">
        <v>1212</v>
      </c>
      <c r="M1325" s="3">
        <f t="shared" si="80"/>
        <v>39.142857142857146</v>
      </c>
      <c r="N1325">
        <v>12</v>
      </c>
      <c r="O1325">
        <v>52</v>
      </c>
      <c r="P1325">
        <v>42</v>
      </c>
      <c r="Q1325">
        <v>46</v>
      </c>
      <c r="R1325">
        <v>48</v>
      </c>
      <c r="S1325">
        <v>50</v>
      </c>
      <c r="T1325">
        <v>24</v>
      </c>
      <c r="U1325">
        <v>0</v>
      </c>
      <c r="V1325" s="3">
        <f t="shared" si="81"/>
        <v>8444</v>
      </c>
      <c r="W1325">
        <v>703.66666666666663</v>
      </c>
      <c r="X1325">
        <v>0</v>
      </c>
      <c r="Y1325">
        <f t="shared" si="82"/>
        <v>703.66666666666663</v>
      </c>
      <c r="Z1325">
        <f t="shared" si="83"/>
        <v>0</v>
      </c>
      <c r="AA1325">
        <v>0</v>
      </c>
    </row>
    <row r="1326" spans="1:27" x14ac:dyDescent="0.25">
      <c r="A1326" s="1">
        <v>1325</v>
      </c>
      <c r="B1326" t="s">
        <v>2364</v>
      </c>
      <c r="C1326" t="s">
        <v>1134</v>
      </c>
      <c r="D1326" t="s">
        <v>1138</v>
      </c>
      <c r="E1326" t="s">
        <v>1144</v>
      </c>
      <c r="H1326" t="s">
        <v>1189</v>
      </c>
      <c r="I1326" t="s">
        <v>1189</v>
      </c>
      <c r="J1326" t="s">
        <v>2376</v>
      </c>
      <c r="K1326" t="s">
        <v>1212</v>
      </c>
      <c r="M1326" s="3">
        <f t="shared" si="80"/>
        <v>28.142857142857142</v>
      </c>
      <c r="N1326">
        <v>6</v>
      </c>
      <c r="O1326">
        <v>36</v>
      </c>
      <c r="P1326">
        <v>30</v>
      </c>
      <c r="Q1326">
        <v>34</v>
      </c>
      <c r="R1326">
        <v>36</v>
      </c>
      <c r="S1326">
        <v>38</v>
      </c>
      <c r="T1326">
        <v>17</v>
      </c>
      <c r="U1326">
        <v>0</v>
      </c>
      <c r="V1326" s="3">
        <f t="shared" si="81"/>
        <v>312</v>
      </c>
      <c r="W1326">
        <v>26</v>
      </c>
      <c r="X1326">
        <v>0</v>
      </c>
      <c r="Y1326">
        <f t="shared" si="82"/>
        <v>26</v>
      </c>
      <c r="Z1326">
        <f t="shared" si="83"/>
        <v>0</v>
      </c>
      <c r="AA1326">
        <v>0</v>
      </c>
    </row>
    <row r="1327" spans="1:27" x14ac:dyDescent="0.25">
      <c r="A1327" s="1">
        <v>1326</v>
      </c>
      <c r="B1327" t="s">
        <v>2368</v>
      </c>
      <c r="C1327" t="s">
        <v>1134</v>
      </c>
      <c r="D1327" t="s">
        <v>1139</v>
      </c>
      <c r="E1327" t="s">
        <v>1138</v>
      </c>
      <c r="H1327" t="s">
        <v>1189</v>
      </c>
      <c r="I1327" t="s">
        <v>1189</v>
      </c>
      <c r="J1327" t="s">
        <v>2376</v>
      </c>
      <c r="K1327" t="s">
        <v>1212</v>
      </c>
      <c r="M1327" s="3">
        <f t="shared" si="80"/>
        <v>37.428571428571431</v>
      </c>
      <c r="N1327">
        <v>11</v>
      </c>
      <c r="O1327">
        <v>50</v>
      </c>
      <c r="P1327">
        <v>40</v>
      </c>
      <c r="Q1327">
        <v>44</v>
      </c>
      <c r="R1327">
        <v>46</v>
      </c>
      <c r="S1327">
        <v>48</v>
      </c>
      <c r="T1327">
        <v>23</v>
      </c>
      <c r="U1327">
        <v>0</v>
      </c>
      <c r="V1327" s="3">
        <f t="shared" si="81"/>
        <v>5396</v>
      </c>
      <c r="W1327">
        <v>449.66666666666669</v>
      </c>
      <c r="X1327">
        <v>0</v>
      </c>
      <c r="Y1327">
        <f t="shared" si="82"/>
        <v>449.66666666666669</v>
      </c>
      <c r="Z1327">
        <f t="shared" si="83"/>
        <v>0</v>
      </c>
      <c r="AA1327">
        <v>0</v>
      </c>
    </row>
    <row r="1328" spans="1:27" x14ac:dyDescent="0.25">
      <c r="A1328" s="1">
        <v>1327</v>
      </c>
      <c r="B1328" t="s">
        <v>2366</v>
      </c>
      <c r="C1328" t="s">
        <v>1134</v>
      </c>
      <c r="D1328" t="s">
        <v>1140</v>
      </c>
      <c r="E1328" t="s">
        <v>1138</v>
      </c>
      <c r="H1328" t="s">
        <v>1189</v>
      </c>
      <c r="I1328" t="s">
        <v>1189</v>
      </c>
      <c r="J1328" t="s">
        <v>2376</v>
      </c>
      <c r="K1328" t="s">
        <v>1212</v>
      </c>
      <c r="M1328" s="3">
        <f t="shared" si="80"/>
        <v>35.142857142857146</v>
      </c>
      <c r="N1328">
        <v>9</v>
      </c>
      <c r="O1328">
        <v>46</v>
      </c>
      <c r="P1328">
        <v>38</v>
      </c>
      <c r="Q1328">
        <v>42</v>
      </c>
      <c r="R1328">
        <v>44</v>
      </c>
      <c r="S1328">
        <v>46</v>
      </c>
      <c r="T1328">
        <v>21</v>
      </c>
      <c r="U1328">
        <v>0</v>
      </c>
      <c r="V1328" s="3">
        <f t="shared" si="81"/>
        <v>2874</v>
      </c>
      <c r="W1328">
        <v>239.5</v>
      </c>
      <c r="X1328">
        <v>0</v>
      </c>
      <c r="Y1328">
        <f t="shared" si="82"/>
        <v>239.5</v>
      </c>
      <c r="Z1328">
        <f t="shared" si="83"/>
        <v>0</v>
      </c>
      <c r="AA1328">
        <v>0</v>
      </c>
    </row>
    <row r="1329" spans="1:27" x14ac:dyDescent="0.25">
      <c r="A1329" s="1">
        <v>1328</v>
      </c>
      <c r="B1329" t="s">
        <v>2367</v>
      </c>
      <c r="C1329" t="s">
        <v>1134</v>
      </c>
      <c r="D1329" t="s">
        <v>1140</v>
      </c>
      <c r="E1329" t="s">
        <v>1139</v>
      </c>
      <c r="H1329" t="s">
        <v>1189</v>
      </c>
      <c r="I1329" t="s">
        <v>1189</v>
      </c>
      <c r="J1329" t="s">
        <v>2376</v>
      </c>
      <c r="K1329" t="s">
        <v>1212</v>
      </c>
      <c r="M1329" s="3">
        <f t="shared" si="80"/>
        <v>31.285714285714285</v>
      </c>
      <c r="N1329">
        <v>7</v>
      </c>
      <c r="O1329">
        <v>40</v>
      </c>
      <c r="P1329">
        <v>34</v>
      </c>
      <c r="Q1329">
        <v>38</v>
      </c>
      <c r="R1329">
        <v>40</v>
      </c>
      <c r="S1329">
        <v>42</v>
      </c>
      <c r="T1329">
        <v>18</v>
      </c>
      <c r="U1329">
        <v>0</v>
      </c>
      <c r="V1329" s="3">
        <f t="shared" si="81"/>
        <v>899</v>
      </c>
      <c r="W1329">
        <v>74.916666666666671</v>
      </c>
      <c r="X1329">
        <v>0</v>
      </c>
      <c r="Y1329">
        <f t="shared" si="82"/>
        <v>74.916666666666671</v>
      </c>
      <c r="Z1329">
        <f t="shared" si="83"/>
        <v>0</v>
      </c>
      <c r="AA1329">
        <v>0</v>
      </c>
    </row>
    <row r="1330" spans="1:27" x14ac:dyDescent="0.25">
      <c r="A1330" s="1">
        <v>1329</v>
      </c>
      <c r="B1330" t="s">
        <v>2669</v>
      </c>
      <c r="C1330" t="s">
        <v>1135</v>
      </c>
      <c r="D1330" t="s">
        <v>1142</v>
      </c>
      <c r="E1330" t="s">
        <v>1141</v>
      </c>
      <c r="H1330" t="s">
        <v>1189</v>
      </c>
      <c r="I1330" t="s">
        <v>1189</v>
      </c>
      <c r="J1330" t="s">
        <v>2376</v>
      </c>
      <c r="K1330" t="s">
        <v>1212</v>
      </c>
      <c r="M1330" s="3">
        <f t="shared" si="80"/>
        <v>42.571428571428569</v>
      </c>
      <c r="N1330">
        <v>14</v>
      </c>
      <c r="O1330">
        <v>56</v>
      </c>
      <c r="P1330">
        <v>46</v>
      </c>
      <c r="Q1330">
        <v>50</v>
      </c>
      <c r="R1330">
        <v>52</v>
      </c>
      <c r="S1330">
        <v>54</v>
      </c>
      <c r="T1330">
        <v>26</v>
      </c>
      <c r="U1330">
        <v>0</v>
      </c>
      <c r="V1330" s="3">
        <f t="shared" si="81"/>
        <v>19552</v>
      </c>
      <c r="W1330">
        <v>1629.3333333333333</v>
      </c>
      <c r="X1330">
        <v>0</v>
      </c>
      <c r="Y1330">
        <f t="shared" si="82"/>
        <v>1629.3333333333333</v>
      </c>
      <c r="Z1330">
        <f t="shared" si="83"/>
        <v>0</v>
      </c>
      <c r="AA1330">
        <v>0</v>
      </c>
    </row>
    <row r="1331" spans="1:27" x14ac:dyDescent="0.25">
      <c r="A1331" s="1">
        <v>1330</v>
      </c>
      <c r="B1331" t="s">
        <v>2374</v>
      </c>
      <c r="C1331" t="s">
        <v>1135</v>
      </c>
      <c r="D1331" t="s">
        <v>1142</v>
      </c>
      <c r="E1331" t="s">
        <v>1141</v>
      </c>
      <c r="H1331" t="s">
        <v>1189</v>
      </c>
      <c r="I1331" t="s">
        <v>1189</v>
      </c>
      <c r="J1331" t="s">
        <v>2376</v>
      </c>
      <c r="K1331" t="s">
        <v>1212</v>
      </c>
      <c r="M1331" s="3">
        <f t="shared" si="80"/>
        <v>36.142857142857146</v>
      </c>
      <c r="N1331">
        <v>10</v>
      </c>
      <c r="O1331">
        <v>46</v>
      </c>
      <c r="P1331">
        <v>38</v>
      </c>
      <c r="Q1331">
        <v>44</v>
      </c>
      <c r="R1331">
        <v>46</v>
      </c>
      <c r="S1331">
        <v>48</v>
      </c>
      <c r="T1331">
        <v>21</v>
      </c>
      <c r="U1331">
        <v>0</v>
      </c>
      <c r="V1331" s="3">
        <f t="shared" si="81"/>
        <v>3804</v>
      </c>
      <c r="W1331">
        <v>317</v>
      </c>
      <c r="X1331">
        <v>0</v>
      </c>
      <c r="Y1331">
        <f t="shared" si="82"/>
        <v>317</v>
      </c>
      <c r="Z1331">
        <f t="shared" si="83"/>
        <v>0</v>
      </c>
      <c r="AA1331">
        <v>0</v>
      </c>
    </row>
    <row r="1332" spans="1:27" x14ac:dyDescent="0.25">
      <c r="A1332" s="1">
        <v>1331</v>
      </c>
      <c r="B1332" t="s">
        <v>2600</v>
      </c>
      <c r="C1332" t="s">
        <v>1135</v>
      </c>
      <c r="D1332" t="s">
        <v>1141</v>
      </c>
      <c r="E1332" t="s">
        <v>1142</v>
      </c>
      <c r="H1332" t="s">
        <v>1189</v>
      </c>
      <c r="I1332" t="s">
        <v>1189</v>
      </c>
      <c r="J1332" t="s">
        <v>2376</v>
      </c>
      <c r="K1332" t="s">
        <v>1212</v>
      </c>
      <c r="M1332" s="3">
        <f t="shared" si="80"/>
        <v>55.428571428571431</v>
      </c>
      <c r="N1332">
        <v>18</v>
      </c>
      <c r="O1332">
        <v>70</v>
      </c>
      <c r="P1332">
        <v>62</v>
      </c>
      <c r="Q1332">
        <v>64</v>
      </c>
      <c r="R1332">
        <v>66</v>
      </c>
      <c r="S1332">
        <v>68</v>
      </c>
      <c r="T1332">
        <v>40</v>
      </c>
      <c r="U1332">
        <v>0</v>
      </c>
      <c r="V1332" s="3">
        <f t="shared" si="81"/>
        <v>273740</v>
      </c>
      <c r="W1332">
        <v>22811.666666666668</v>
      </c>
      <c r="X1332">
        <v>0</v>
      </c>
      <c r="Y1332">
        <f t="shared" si="82"/>
        <v>22811.666666666668</v>
      </c>
      <c r="Z1332">
        <f t="shared" si="83"/>
        <v>0</v>
      </c>
      <c r="AA1332">
        <v>0</v>
      </c>
    </row>
    <row r="1333" spans="1:27" x14ac:dyDescent="0.25">
      <c r="A1333" s="1">
        <v>1332</v>
      </c>
      <c r="B1333" t="s">
        <v>2371</v>
      </c>
      <c r="C1333" t="s">
        <v>1136</v>
      </c>
      <c r="D1333" t="s">
        <v>1145</v>
      </c>
      <c r="E1333" t="s">
        <v>1143</v>
      </c>
      <c r="H1333" t="s">
        <v>1189</v>
      </c>
      <c r="I1333" t="s">
        <v>1189</v>
      </c>
      <c r="J1333" t="s">
        <v>2376</v>
      </c>
      <c r="K1333" t="s">
        <v>1212</v>
      </c>
      <c r="M1333" s="3">
        <f t="shared" si="80"/>
        <v>28</v>
      </c>
      <c r="N1333">
        <v>6</v>
      </c>
      <c r="O1333">
        <v>36</v>
      </c>
      <c r="P1333">
        <v>30</v>
      </c>
      <c r="Q1333">
        <v>34</v>
      </c>
      <c r="R1333">
        <v>36</v>
      </c>
      <c r="S1333">
        <v>38</v>
      </c>
      <c r="T1333">
        <v>16</v>
      </c>
      <c r="U1333">
        <v>0</v>
      </c>
      <c r="V1333" s="3">
        <f t="shared" si="81"/>
        <v>297</v>
      </c>
      <c r="W1333">
        <v>24.75</v>
      </c>
      <c r="X1333">
        <v>0</v>
      </c>
      <c r="Y1333">
        <f t="shared" si="82"/>
        <v>24.75</v>
      </c>
      <c r="Z1333">
        <f t="shared" si="83"/>
        <v>0</v>
      </c>
      <c r="AA1333">
        <v>0</v>
      </c>
    </row>
    <row r="1334" spans="1:27" x14ac:dyDescent="0.25">
      <c r="A1334" s="1">
        <v>1333</v>
      </c>
      <c r="B1334" t="s">
        <v>2370</v>
      </c>
      <c r="C1334" t="s">
        <v>1136</v>
      </c>
      <c r="D1334" t="s">
        <v>1143</v>
      </c>
      <c r="E1334" t="s">
        <v>1144</v>
      </c>
      <c r="H1334" t="s">
        <v>1189</v>
      </c>
      <c r="I1334" t="s">
        <v>1189</v>
      </c>
      <c r="J1334" t="s">
        <v>2376</v>
      </c>
      <c r="K1334" t="s">
        <v>1212</v>
      </c>
      <c r="M1334" s="3">
        <f t="shared" si="80"/>
        <v>40.857142857142854</v>
      </c>
      <c r="N1334">
        <v>13</v>
      </c>
      <c r="O1334">
        <v>54</v>
      </c>
      <c r="P1334">
        <v>44</v>
      </c>
      <c r="Q1334">
        <v>48</v>
      </c>
      <c r="R1334">
        <v>50</v>
      </c>
      <c r="S1334">
        <v>52</v>
      </c>
      <c r="T1334">
        <v>25</v>
      </c>
      <c r="U1334">
        <v>0</v>
      </c>
      <c r="V1334" s="3">
        <f t="shared" si="81"/>
        <v>12963</v>
      </c>
      <c r="W1334">
        <v>1080.25</v>
      </c>
      <c r="X1334">
        <v>0</v>
      </c>
      <c r="Y1334">
        <f t="shared" si="82"/>
        <v>1080.25</v>
      </c>
      <c r="Z1334">
        <f t="shared" si="83"/>
        <v>0</v>
      </c>
      <c r="AA1334">
        <v>0</v>
      </c>
    </row>
    <row r="1335" spans="1:27" x14ac:dyDescent="0.25">
      <c r="A1335" s="1">
        <v>1334</v>
      </c>
      <c r="B1335" t="s">
        <v>2372</v>
      </c>
      <c r="C1335" t="s">
        <v>1136</v>
      </c>
      <c r="D1335" t="s">
        <v>1145</v>
      </c>
      <c r="E1335" t="s">
        <v>1146</v>
      </c>
      <c r="H1335" t="s">
        <v>1189</v>
      </c>
      <c r="I1335" t="s">
        <v>1189</v>
      </c>
      <c r="J1335" t="s">
        <v>2376</v>
      </c>
      <c r="K1335" t="s">
        <v>1212</v>
      </c>
      <c r="M1335" s="3">
        <f t="shared" si="80"/>
        <v>36.571428571428569</v>
      </c>
      <c r="N1335">
        <v>10</v>
      </c>
      <c r="O1335">
        <v>48</v>
      </c>
      <c r="P1335">
        <v>38</v>
      </c>
      <c r="Q1335">
        <v>44</v>
      </c>
      <c r="R1335">
        <v>46</v>
      </c>
      <c r="S1335">
        <v>48</v>
      </c>
      <c r="T1335">
        <v>22</v>
      </c>
      <c r="U1335">
        <v>0</v>
      </c>
      <c r="V1335" s="3">
        <f t="shared" si="81"/>
        <v>4280</v>
      </c>
      <c r="W1335">
        <v>356.66666666666669</v>
      </c>
      <c r="X1335">
        <v>0</v>
      </c>
      <c r="Y1335">
        <f t="shared" si="82"/>
        <v>356.66666666666669</v>
      </c>
      <c r="Z1335">
        <f t="shared" si="83"/>
        <v>0</v>
      </c>
      <c r="AA1335">
        <v>0</v>
      </c>
    </row>
    <row r="1336" spans="1:27" x14ac:dyDescent="0.25">
      <c r="A1336" s="1">
        <v>1335</v>
      </c>
      <c r="B1336" t="s">
        <v>1310</v>
      </c>
      <c r="C1336" t="s">
        <v>1136</v>
      </c>
      <c r="D1336" t="s">
        <v>1143</v>
      </c>
      <c r="E1336" t="s">
        <v>1144</v>
      </c>
      <c r="H1336" t="s">
        <v>1189</v>
      </c>
      <c r="I1336" t="s">
        <v>1189</v>
      </c>
      <c r="J1336" t="s">
        <v>2376</v>
      </c>
      <c r="K1336" t="s">
        <v>1212</v>
      </c>
      <c r="M1336" s="3">
        <f t="shared" si="80"/>
        <v>43.714285714285715</v>
      </c>
      <c r="N1336">
        <v>15</v>
      </c>
      <c r="O1336">
        <v>42</v>
      </c>
      <c r="P1336">
        <v>53</v>
      </c>
      <c r="Q1336">
        <v>52</v>
      </c>
      <c r="R1336">
        <v>60</v>
      </c>
      <c r="S1336">
        <v>63</v>
      </c>
      <c r="T1336">
        <v>21</v>
      </c>
      <c r="U1336">
        <v>0</v>
      </c>
      <c r="V1336" s="3">
        <f t="shared" si="81"/>
        <v>25483</v>
      </c>
      <c r="W1336">
        <v>2123.5833333333335</v>
      </c>
      <c r="X1336">
        <v>0</v>
      </c>
      <c r="Y1336">
        <f t="shared" si="82"/>
        <v>2123.5833333333335</v>
      </c>
      <c r="Z1336">
        <f t="shared" si="83"/>
        <v>0</v>
      </c>
      <c r="AA1336">
        <v>0</v>
      </c>
    </row>
    <row r="1337" spans="1:27" x14ac:dyDescent="0.25">
      <c r="A1337" s="1">
        <v>1336</v>
      </c>
      <c r="B1337" t="s">
        <v>2369</v>
      </c>
      <c r="C1337" t="s">
        <v>1136</v>
      </c>
      <c r="D1337" t="s">
        <v>1144</v>
      </c>
      <c r="E1337" t="s">
        <v>1143</v>
      </c>
      <c r="H1337" t="s">
        <v>1189</v>
      </c>
      <c r="I1337" t="s">
        <v>1189</v>
      </c>
      <c r="J1337" t="s">
        <v>2376</v>
      </c>
      <c r="K1337" t="s">
        <v>1212</v>
      </c>
      <c r="M1337" s="3">
        <f t="shared" si="80"/>
        <v>34.428571428571431</v>
      </c>
      <c r="N1337">
        <v>9</v>
      </c>
      <c r="O1337">
        <v>44</v>
      </c>
      <c r="P1337">
        <v>36</v>
      </c>
      <c r="Q1337">
        <v>42</v>
      </c>
      <c r="R1337">
        <v>44</v>
      </c>
      <c r="S1337">
        <v>46</v>
      </c>
      <c r="T1337">
        <v>20</v>
      </c>
      <c r="U1337">
        <v>0</v>
      </c>
      <c r="V1337" s="3">
        <f t="shared" si="81"/>
        <v>2340</v>
      </c>
      <c r="W1337">
        <v>195</v>
      </c>
      <c r="X1337">
        <v>0</v>
      </c>
      <c r="Y1337">
        <f t="shared" si="82"/>
        <v>195</v>
      </c>
      <c r="Z1337">
        <f t="shared" si="83"/>
        <v>0</v>
      </c>
      <c r="AA1337">
        <v>0</v>
      </c>
    </row>
    <row r="1338" spans="1:27" x14ac:dyDescent="0.25">
      <c r="A1338" s="1">
        <v>1337</v>
      </c>
      <c r="B1338" t="s">
        <v>2615</v>
      </c>
      <c r="C1338" t="s">
        <v>1136</v>
      </c>
      <c r="D1338" t="s">
        <v>1147</v>
      </c>
      <c r="E1338" t="s">
        <v>1145</v>
      </c>
      <c r="H1338" t="s">
        <v>1189</v>
      </c>
      <c r="I1338" t="s">
        <v>1189</v>
      </c>
      <c r="J1338" t="s">
        <v>2376</v>
      </c>
      <c r="K1338" t="s">
        <v>1212</v>
      </c>
      <c r="M1338" s="3">
        <f t="shared" si="80"/>
        <v>38.285714285714285</v>
      </c>
      <c r="N1338">
        <v>11</v>
      </c>
      <c r="O1338">
        <v>50</v>
      </c>
      <c r="P1338">
        <v>40</v>
      </c>
      <c r="Q1338">
        <v>46</v>
      </c>
      <c r="R1338">
        <v>48</v>
      </c>
      <c r="S1338">
        <v>50</v>
      </c>
      <c r="T1338">
        <v>23</v>
      </c>
      <c r="U1338">
        <v>0</v>
      </c>
      <c r="V1338" s="3">
        <f t="shared" si="81"/>
        <v>6767</v>
      </c>
      <c r="W1338">
        <v>563.91666666666663</v>
      </c>
      <c r="X1338">
        <v>0</v>
      </c>
      <c r="Y1338">
        <f t="shared" si="82"/>
        <v>563.91666666666663</v>
      </c>
      <c r="Z1338">
        <f t="shared" si="83"/>
        <v>0</v>
      </c>
      <c r="AA1338">
        <v>0</v>
      </c>
    </row>
    <row r="1339" spans="1:27" x14ac:dyDescent="0.25">
      <c r="A1339" s="1">
        <v>1338</v>
      </c>
      <c r="B1339" t="s">
        <v>2606</v>
      </c>
      <c r="C1339" t="s">
        <v>1136</v>
      </c>
      <c r="D1339" t="s">
        <v>1147</v>
      </c>
      <c r="E1339" t="s">
        <v>1145</v>
      </c>
      <c r="H1339" t="s">
        <v>1189</v>
      </c>
      <c r="I1339" t="s">
        <v>1189</v>
      </c>
      <c r="J1339" t="s">
        <v>2376</v>
      </c>
      <c r="K1339" t="s">
        <v>1212</v>
      </c>
      <c r="M1339" s="3">
        <f t="shared" si="80"/>
        <v>52.142857142857146</v>
      </c>
      <c r="N1339">
        <v>15</v>
      </c>
      <c r="O1339">
        <v>64</v>
      </c>
      <c r="P1339">
        <v>58</v>
      </c>
      <c r="Q1339">
        <v>62</v>
      </c>
      <c r="R1339">
        <v>64</v>
      </c>
      <c r="S1339">
        <v>66</v>
      </c>
      <c r="T1339">
        <v>36</v>
      </c>
      <c r="U1339">
        <v>0</v>
      </c>
      <c r="V1339" s="3">
        <f t="shared" si="81"/>
        <v>148576</v>
      </c>
      <c r="W1339">
        <v>12381.333333333334</v>
      </c>
      <c r="X1339">
        <v>0</v>
      </c>
      <c r="Y1339">
        <f t="shared" si="82"/>
        <v>12381.333333333334</v>
      </c>
      <c r="Z1339">
        <f t="shared" si="83"/>
        <v>0</v>
      </c>
      <c r="AA1339">
        <v>0</v>
      </c>
    </row>
    <row r="1340" spans="1:27" x14ac:dyDescent="0.25">
      <c r="A1340" s="1">
        <v>1339</v>
      </c>
      <c r="B1340" t="s">
        <v>2373</v>
      </c>
      <c r="C1340" t="s">
        <v>1136</v>
      </c>
      <c r="D1340" t="s">
        <v>1146</v>
      </c>
      <c r="E1340" t="s">
        <v>1144</v>
      </c>
      <c r="H1340" t="s">
        <v>1189</v>
      </c>
      <c r="I1340" t="s">
        <v>1189</v>
      </c>
      <c r="J1340" t="s">
        <v>2376</v>
      </c>
      <c r="K1340" t="s">
        <v>1212</v>
      </c>
      <c r="M1340" s="3">
        <f t="shared" si="80"/>
        <v>29.857142857142858</v>
      </c>
      <c r="N1340">
        <v>7</v>
      </c>
      <c r="O1340">
        <v>38</v>
      </c>
      <c r="P1340">
        <v>32</v>
      </c>
      <c r="Q1340">
        <v>36</v>
      </c>
      <c r="R1340">
        <v>38</v>
      </c>
      <c r="S1340">
        <v>40</v>
      </c>
      <c r="T1340">
        <v>18</v>
      </c>
      <c r="U1340">
        <v>0</v>
      </c>
      <c r="V1340" s="3">
        <f t="shared" si="81"/>
        <v>563</v>
      </c>
      <c r="W1340">
        <v>46.916666666666664</v>
      </c>
      <c r="X1340">
        <v>0</v>
      </c>
      <c r="Y1340">
        <f t="shared" si="82"/>
        <v>46.916666666666664</v>
      </c>
      <c r="Z1340">
        <f t="shared" si="83"/>
        <v>0</v>
      </c>
      <c r="AA1340">
        <v>0</v>
      </c>
    </row>
    <row r="1341" spans="1:27" x14ac:dyDescent="0.25">
      <c r="A1341" s="1">
        <v>1340</v>
      </c>
      <c r="B1341" t="s">
        <v>2363</v>
      </c>
      <c r="C1341" t="s">
        <v>1137</v>
      </c>
      <c r="D1341" t="s">
        <v>1137</v>
      </c>
      <c r="H1341" t="s">
        <v>1189</v>
      </c>
      <c r="I1341" t="s">
        <v>1189</v>
      </c>
      <c r="J1341" t="s">
        <v>2376</v>
      </c>
      <c r="K1341" t="s">
        <v>1212</v>
      </c>
      <c r="M1341" s="3">
        <f t="shared" si="80"/>
        <v>33.571428571428569</v>
      </c>
      <c r="N1341">
        <v>9</v>
      </c>
      <c r="O1341">
        <v>44</v>
      </c>
      <c r="P1341">
        <v>36</v>
      </c>
      <c r="Q1341">
        <v>40</v>
      </c>
      <c r="R1341">
        <v>42</v>
      </c>
      <c r="S1341">
        <v>44</v>
      </c>
      <c r="T1341">
        <v>20</v>
      </c>
      <c r="U1341">
        <v>0</v>
      </c>
      <c r="V1341" s="3">
        <f t="shared" si="81"/>
        <v>1819</v>
      </c>
      <c r="W1341">
        <v>151.58333333333334</v>
      </c>
      <c r="X1341">
        <v>0</v>
      </c>
      <c r="Y1341">
        <f t="shared" si="82"/>
        <v>151.58333333333334</v>
      </c>
      <c r="Z1341">
        <f t="shared" si="83"/>
        <v>0</v>
      </c>
      <c r="AA1341">
        <v>0</v>
      </c>
    </row>
    <row r="1342" spans="1:27" x14ac:dyDescent="0.25">
      <c r="A1342" s="1">
        <v>1341</v>
      </c>
      <c r="B1342" t="s">
        <v>106</v>
      </c>
      <c r="C1342" t="s">
        <v>1133</v>
      </c>
      <c r="D1342" t="s">
        <v>1133</v>
      </c>
      <c r="G1342" t="s">
        <v>1206</v>
      </c>
      <c r="H1342" t="s">
        <v>1206</v>
      </c>
      <c r="I1342" t="s">
        <v>1206</v>
      </c>
      <c r="J1342" t="s">
        <v>1272</v>
      </c>
      <c r="K1342" t="s">
        <v>1212</v>
      </c>
      <c r="M1342" s="3">
        <f t="shared" si="80"/>
        <v>59.142857142857146</v>
      </c>
      <c r="N1342">
        <v>30</v>
      </c>
      <c r="O1342">
        <v>83</v>
      </c>
      <c r="P1342">
        <v>77</v>
      </c>
      <c r="Q1342">
        <v>55</v>
      </c>
      <c r="R1342">
        <v>61</v>
      </c>
      <c r="S1342">
        <v>72</v>
      </c>
      <c r="T1342">
        <v>36</v>
      </c>
      <c r="U1342">
        <v>0</v>
      </c>
      <c r="V1342" s="3">
        <f t="shared" si="81"/>
        <v>523629</v>
      </c>
      <c r="W1342">
        <v>43635.75</v>
      </c>
      <c r="X1342">
        <v>0</v>
      </c>
      <c r="Y1342">
        <f t="shared" si="82"/>
        <v>43635.75</v>
      </c>
      <c r="Z1342">
        <f t="shared" si="83"/>
        <v>0</v>
      </c>
      <c r="AA1342">
        <v>0</v>
      </c>
    </row>
    <row r="1343" spans="1:27" x14ac:dyDescent="0.25">
      <c r="A1343" s="1">
        <v>1342</v>
      </c>
      <c r="B1343" t="s">
        <v>2592</v>
      </c>
      <c r="C1343" t="s">
        <v>1133</v>
      </c>
      <c r="D1343" t="s">
        <v>1133</v>
      </c>
      <c r="H1343" t="s">
        <v>1206</v>
      </c>
      <c r="I1343" t="s">
        <v>1206</v>
      </c>
      <c r="J1343" t="s">
        <v>1272</v>
      </c>
      <c r="K1343" t="s">
        <v>1212</v>
      </c>
      <c r="M1343" s="3">
        <f t="shared" si="80"/>
        <v>63.714285714285715</v>
      </c>
      <c r="N1343">
        <v>26</v>
      </c>
      <c r="O1343">
        <v>73</v>
      </c>
      <c r="P1343">
        <v>69</v>
      </c>
      <c r="Q1343">
        <v>76</v>
      </c>
      <c r="R1343">
        <v>79</v>
      </c>
      <c r="S1343">
        <v>80</v>
      </c>
      <c r="T1343">
        <v>43</v>
      </c>
      <c r="U1343">
        <v>0</v>
      </c>
      <c r="V1343" s="3">
        <f t="shared" si="81"/>
        <v>1102474</v>
      </c>
      <c r="W1343">
        <v>91872.833333333328</v>
      </c>
      <c r="X1343">
        <v>0</v>
      </c>
      <c r="Y1343">
        <f t="shared" si="82"/>
        <v>91872.833333333328</v>
      </c>
      <c r="Z1343">
        <f t="shared" si="83"/>
        <v>0</v>
      </c>
      <c r="AA1343">
        <v>0</v>
      </c>
    </row>
    <row r="1344" spans="1:27" x14ac:dyDescent="0.25">
      <c r="A1344" s="1">
        <v>1343</v>
      </c>
      <c r="B1344" t="s">
        <v>1727</v>
      </c>
      <c r="C1344" t="s">
        <v>1134</v>
      </c>
      <c r="D1344" t="s">
        <v>1138</v>
      </c>
      <c r="E1344" t="s">
        <v>1144</v>
      </c>
      <c r="H1344" t="s">
        <v>1206</v>
      </c>
      <c r="I1344" t="s">
        <v>1206</v>
      </c>
      <c r="J1344" t="s">
        <v>1272</v>
      </c>
      <c r="K1344" t="s">
        <v>1212</v>
      </c>
      <c r="M1344" s="3">
        <f t="shared" si="80"/>
        <v>58.285714285714285</v>
      </c>
      <c r="N1344">
        <v>21</v>
      </c>
      <c r="O1344">
        <v>65</v>
      </c>
      <c r="P1344">
        <v>61</v>
      </c>
      <c r="Q1344">
        <v>72</v>
      </c>
      <c r="R1344">
        <v>76</v>
      </c>
      <c r="S1344">
        <v>80</v>
      </c>
      <c r="T1344">
        <v>33</v>
      </c>
      <c r="U1344">
        <v>0</v>
      </c>
      <c r="V1344" s="3">
        <f t="shared" si="81"/>
        <v>452503</v>
      </c>
      <c r="W1344">
        <v>37708.583333333336</v>
      </c>
      <c r="X1344">
        <v>0</v>
      </c>
      <c r="Y1344">
        <f t="shared" si="82"/>
        <v>37708.583333333336</v>
      </c>
      <c r="Z1344">
        <f t="shared" si="83"/>
        <v>0</v>
      </c>
      <c r="AA1344">
        <v>0</v>
      </c>
    </row>
    <row r="1345" spans="1:27" x14ac:dyDescent="0.25">
      <c r="A1345" s="1">
        <v>1344</v>
      </c>
      <c r="B1345" t="s">
        <v>401</v>
      </c>
      <c r="C1345" t="s">
        <v>1134</v>
      </c>
      <c r="D1345" t="s">
        <v>1138</v>
      </c>
      <c r="E1345" t="s">
        <v>1140</v>
      </c>
      <c r="G1345" t="s">
        <v>1206</v>
      </c>
      <c r="H1345" t="s">
        <v>1206</v>
      </c>
      <c r="I1345" t="s">
        <v>1206</v>
      </c>
      <c r="J1345" t="s">
        <v>1272</v>
      </c>
      <c r="K1345" t="s">
        <v>1212</v>
      </c>
      <c r="M1345" s="3">
        <f t="shared" si="80"/>
        <v>66.285714285714292</v>
      </c>
      <c r="N1345">
        <v>35</v>
      </c>
      <c r="O1345">
        <v>58</v>
      </c>
      <c r="P1345">
        <v>78</v>
      </c>
      <c r="Q1345">
        <v>80</v>
      </c>
      <c r="R1345">
        <v>78</v>
      </c>
      <c r="S1345">
        <v>84</v>
      </c>
      <c r="T1345">
        <v>51</v>
      </c>
      <c r="U1345">
        <v>0</v>
      </c>
      <c r="V1345" s="3">
        <f t="shared" si="81"/>
        <v>1637569</v>
      </c>
      <c r="W1345">
        <v>136464.08333333334</v>
      </c>
      <c r="X1345">
        <v>0</v>
      </c>
      <c r="Y1345">
        <f t="shared" si="82"/>
        <v>136464.08333333334</v>
      </c>
      <c r="Z1345">
        <f t="shared" si="83"/>
        <v>0</v>
      </c>
      <c r="AA1345">
        <v>0</v>
      </c>
    </row>
    <row r="1346" spans="1:27" x14ac:dyDescent="0.25">
      <c r="A1346" s="1">
        <v>1345</v>
      </c>
      <c r="B1346" t="s">
        <v>402</v>
      </c>
      <c r="C1346" t="s">
        <v>1134</v>
      </c>
      <c r="D1346" t="s">
        <v>1138</v>
      </c>
      <c r="E1346" t="s">
        <v>1139</v>
      </c>
      <c r="G1346" t="s">
        <v>1206</v>
      </c>
      <c r="H1346" t="s">
        <v>1206</v>
      </c>
      <c r="I1346" t="s">
        <v>1206</v>
      </c>
      <c r="J1346" t="s">
        <v>1272</v>
      </c>
      <c r="K1346" t="s">
        <v>1212</v>
      </c>
      <c r="M1346" s="3">
        <f t="shared" ref="M1346:M1409" si="84">AVERAGE(N1346:T1346)</f>
        <v>65.571428571428569</v>
      </c>
      <c r="N1346">
        <v>31</v>
      </c>
      <c r="O1346">
        <v>61</v>
      </c>
      <c r="P1346">
        <v>77</v>
      </c>
      <c r="Q1346">
        <v>71</v>
      </c>
      <c r="R1346">
        <v>79</v>
      </c>
      <c r="S1346">
        <v>92</v>
      </c>
      <c r="T1346">
        <v>48</v>
      </c>
      <c r="U1346">
        <v>0</v>
      </c>
      <c r="V1346" s="3">
        <f t="shared" ref="V1346:V1409" si="85">ROUNDUP(M1346^10/1000000000000 * IF(U1346&gt;0,1.5,1),0)</f>
        <v>1469422</v>
      </c>
      <c r="W1346">
        <v>122451.83333333333</v>
      </c>
      <c r="X1346">
        <v>0</v>
      </c>
      <c r="Y1346">
        <f t="shared" ref="Y1346:Y1409" si="86">V1346/12</f>
        <v>122451.83333333333</v>
      </c>
      <c r="Z1346">
        <f t="shared" ref="Z1346:Z1409" si="87">ROUND(((W1346-Y1346)/Y1346)*100,2)</f>
        <v>0</v>
      </c>
      <c r="AA1346">
        <v>0</v>
      </c>
    </row>
    <row r="1347" spans="1:27" x14ac:dyDescent="0.25">
      <c r="A1347" s="1">
        <v>1346</v>
      </c>
      <c r="B1347" t="s">
        <v>1730</v>
      </c>
      <c r="C1347" t="s">
        <v>1134</v>
      </c>
      <c r="D1347" t="s">
        <v>1138</v>
      </c>
      <c r="E1347" t="s">
        <v>1139</v>
      </c>
      <c r="H1347" t="s">
        <v>1206</v>
      </c>
      <c r="I1347" t="s">
        <v>1206</v>
      </c>
      <c r="J1347" t="s">
        <v>1272</v>
      </c>
      <c r="K1347" t="s">
        <v>1212</v>
      </c>
      <c r="M1347" s="3">
        <f t="shared" si="84"/>
        <v>62</v>
      </c>
      <c r="N1347">
        <v>25</v>
      </c>
      <c r="O1347">
        <v>71</v>
      </c>
      <c r="P1347">
        <v>63</v>
      </c>
      <c r="Q1347">
        <v>75</v>
      </c>
      <c r="R1347">
        <v>79</v>
      </c>
      <c r="S1347">
        <v>82</v>
      </c>
      <c r="T1347">
        <v>39</v>
      </c>
      <c r="U1347">
        <v>0</v>
      </c>
      <c r="V1347" s="3">
        <f t="shared" si="85"/>
        <v>839300</v>
      </c>
      <c r="W1347">
        <v>69941.666666666672</v>
      </c>
      <c r="X1347">
        <v>0</v>
      </c>
      <c r="Y1347">
        <f t="shared" si="86"/>
        <v>69941.666666666672</v>
      </c>
      <c r="Z1347">
        <f t="shared" si="87"/>
        <v>0</v>
      </c>
      <c r="AA1347">
        <v>0</v>
      </c>
    </row>
    <row r="1348" spans="1:27" x14ac:dyDescent="0.25">
      <c r="A1348" s="1">
        <v>1347</v>
      </c>
      <c r="B1348" t="s">
        <v>1729</v>
      </c>
      <c r="C1348" t="s">
        <v>1134</v>
      </c>
      <c r="D1348" t="s">
        <v>1138</v>
      </c>
      <c r="H1348" t="s">
        <v>1206</v>
      </c>
      <c r="I1348" t="s">
        <v>1206</v>
      </c>
      <c r="J1348" t="s">
        <v>1272</v>
      </c>
      <c r="K1348" t="s">
        <v>1212</v>
      </c>
      <c r="M1348" s="3">
        <f t="shared" si="84"/>
        <v>54</v>
      </c>
      <c r="N1348">
        <v>20</v>
      </c>
      <c r="O1348">
        <v>58</v>
      </c>
      <c r="P1348">
        <v>54</v>
      </c>
      <c r="Q1348">
        <v>66</v>
      </c>
      <c r="R1348">
        <v>71</v>
      </c>
      <c r="S1348">
        <v>78</v>
      </c>
      <c r="T1348">
        <v>31</v>
      </c>
      <c r="U1348">
        <v>0</v>
      </c>
      <c r="V1348" s="3">
        <f t="shared" si="85"/>
        <v>210833</v>
      </c>
      <c r="W1348">
        <v>17569.416666666668</v>
      </c>
      <c r="X1348">
        <v>0</v>
      </c>
      <c r="Y1348">
        <f t="shared" si="86"/>
        <v>17569.416666666668</v>
      </c>
      <c r="Z1348">
        <f t="shared" si="87"/>
        <v>0</v>
      </c>
      <c r="AA1348">
        <v>0</v>
      </c>
    </row>
    <row r="1349" spans="1:27" x14ac:dyDescent="0.25">
      <c r="A1349" s="1">
        <v>1348</v>
      </c>
      <c r="B1349" t="s">
        <v>404</v>
      </c>
      <c r="C1349" t="s">
        <v>1134</v>
      </c>
      <c r="D1349" t="s">
        <v>1138</v>
      </c>
      <c r="E1349" t="s">
        <v>1139</v>
      </c>
      <c r="G1349" t="s">
        <v>1206</v>
      </c>
      <c r="H1349" t="s">
        <v>1206</v>
      </c>
      <c r="I1349" t="s">
        <v>1206</v>
      </c>
      <c r="J1349" t="s">
        <v>1272</v>
      </c>
      <c r="K1349" t="s">
        <v>1212</v>
      </c>
      <c r="M1349" s="3">
        <f t="shared" si="84"/>
        <v>70</v>
      </c>
      <c r="N1349">
        <v>38</v>
      </c>
      <c r="O1349">
        <v>70</v>
      </c>
      <c r="P1349">
        <v>76</v>
      </c>
      <c r="Q1349">
        <v>77</v>
      </c>
      <c r="R1349">
        <v>80</v>
      </c>
      <c r="S1349">
        <v>88</v>
      </c>
      <c r="T1349">
        <v>61</v>
      </c>
      <c r="U1349">
        <v>0</v>
      </c>
      <c r="V1349" s="3">
        <f t="shared" si="85"/>
        <v>2824753</v>
      </c>
      <c r="W1349">
        <v>235396.08333333334</v>
      </c>
      <c r="X1349">
        <v>0</v>
      </c>
      <c r="Y1349">
        <f t="shared" si="86"/>
        <v>235396.08333333334</v>
      </c>
      <c r="Z1349">
        <f t="shared" si="87"/>
        <v>0</v>
      </c>
      <c r="AA1349">
        <v>0</v>
      </c>
    </row>
    <row r="1350" spans="1:27" x14ac:dyDescent="0.25">
      <c r="A1350" s="1">
        <v>1349</v>
      </c>
      <c r="B1350" t="s">
        <v>1728</v>
      </c>
      <c r="C1350" t="s">
        <v>1134</v>
      </c>
      <c r="D1350" t="s">
        <v>1138</v>
      </c>
      <c r="E1350" t="s">
        <v>1140</v>
      </c>
      <c r="G1350" t="s">
        <v>1206</v>
      </c>
      <c r="H1350" t="s">
        <v>1206</v>
      </c>
      <c r="I1350" t="s">
        <v>1206</v>
      </c>
      <c r="J1350" t="s">
        <v>1272</v>
      </c>
      <c r="K1350" t="s">
        <v>1212</v>
      </c>
      <c r="M1350" s="3">
        <f t="shared" si="84"/>
        <v>66.714285714285708</v>
      </c>
      <c r="N1350">
        <v>29</v>
      </c>
      <c r="O1350">
        <v>76</v>
      </c>
      <c r="P1350">
        <v>68</v>
      </c>
      <c r="Q1350">
        <v>81</v>
      </c>
      <c r="R1350">
        <v>83</v>
      </c>
      <c r="S1350">
        <v>84</v>
      </c>
      <c r="T1350">
        <v>46</v>
      </c>
      <c r="U1350">
        <v>0</v>
      </c>
      <c r="V1350" s="3">
        <f t="shared" si="85"/>
        <v>1746580</v>
      </c>
      <c r="W1350">
        <v>145548.33333333334</v>
      </c>
      <c r="X1350">
        <v>0</v>
      </c>
      <c r="Y1350">
        <f t="shared" si="86"/>
        <v>145548.33333333334</v>
      </c>
      <c r="Z1350">
        <f t="shared" si="87"/>
        <v>0</v>
      </c>
      <c r="AA1350">
        <v>0</v>
      </c>
    </row>
    <row r="1351" spans="1:27" x14ac:dyDescent="0.25">
      <c r="A1351" s="1">
        <v>1350</v>
      </c>
      <c r="B1351" t="s">
        <v>403</v>
      </c>
      <c r="C1351" t="s">
        <v>1134</v>
      </c>
      <c r="D1351" t="s">
        <v>1138</v>
      </c>
      <c r="E1351" t="s">
        <v>1140</v>
      </c>
      <c r="G1351" t="s">
        <v>1206</v>
      </c>
      <c r="H1351" t="s">
        <v>1206</v>
      </c>
      <c r="I1351" t="s">
        <v>1206</v>
      </c>
      <c r="J1351" t="s">
        <v>1272</v>
      </c>
      <c r="K1351" t="s">
        <v>1212</v>
      </c>
      <c r="M1351" s="3">
        <f t="shared" si="84"/>
        <v>65.142857142857139</v>
      </c>
      <c r="N1351">
        <v>30</v>
      </c>
      <c r="O1351">
        <v>64</v>
      </c>
      <c r="P1351">
        <v>71</v>
      </c>
      <c r="Q1351">
        <v>70</v>
      </c>
      <c r="R1351">
        <v>82</v>
      </c>
      <c r="S1351">
        <v>87</v>
      </c>
      <c r="T1351">
        <v>52</v>
      </c>
      <c r="U1351">
        <v>0</v>
      </c>
      <c r="V1351" s="3">
        <f t="shared" si="85"/>
        <v>1376158</v>
      </c>
      <c r="W1351">
        <v>114679.83333333333</v>
      </c>
      <c r="X1351">
        <v>0</v>
      </c>
      <c r="Y1351">
        <f t="shared" si="86"/>
        <v>114679.83333333333</v>
      </c>
      <c r="Z1351">
        <f t="shared" si="87"/>
        <v>0</v>
      </c>
      <c r="AA1351">
        <v>0</v>
      </c>
    </row>
    <row r="1352" spans="1:27" x14ac:dyDescent="0.25">
      <c r="A1352" s="1">
        <v>1351</v>
      </c>
      <c r="B1352" t="s">
        <v>530</v>
      </c>
      <c r="C1352" t="s">
        <v>1135</v>
      </c>
      <c r="D1352" t="s">
        <v>1141</v>
      </c>
      <c r="G1352" t="s">
        <v>1178</v>
      </c>
      <c r="H1352" t="s">
        <v>1178</v>
      </c>
      <c r="I1352" t="s">
        <v>1178</v>
      </c>
      <c r="J1352" t="s">
        <v>1272</v>
      </c>
      <c r="K1352" t="s">
        <v>1212</v>
      </c>
      <c r="M1352" s="3">
        <f t="shared" si="84"/>
        <v>73.428571428571431</v>
      </c>
      <c r="N1352">
        <v>61</v>
      </c>
      <c r="O1352">
        <v>73</v>
      </c>
      <c r="P1352">
        <v>78</v>
      </c>
      <c r="Q1352">
        <v>67</v>
      </c>
      <c r="R1352">
        <v>80</v>
      </c>
      <c r="S1352">
        <v>85</v>
      </c>
      <c r="T1352">
        <v>70</v>
      </c>
      <c r="U1352">
        <v>6</v>
      </c>
      <c r="V1352" s="3">
        <f t="shared" si="85"/>
        <v>6835056</v>
      </c>
      <c r="W1352">
        <v>569588</v>
      </c>
      <c r="X1352">
        <v>0</v>
      </c>
      <c r="Y1352">
        <f t="shared" si="86"/>
        <v>569588</v>
      </c>
      <c r="Z1352">
        <f t="shared" si="87"/>
        <v>0</v>
      </c>
      <c r="AA1352">
        <v>0</v>
      </c>
    </row>
    <row r="1353" spans="1:27" x14ac:dyDescent="0.25">
      <c r="A1353" s="1">
        <v>1352</v>
      </c>
      <c r="B1353" t="s">
        <v>614</v>
      </c>
      <c r="C1353" t="s">
        <v>1135</v>
      </c>
      <c r="D1353" t="s">
        <v>1141</v>
      </c>
      <c r="G1353" t="s">
        <v>1206</v>
      </c>
      <c r="H1353" t="s">
        <v>1206</v>
      </c>
      <c r="I1353" t="s">
        <v>1206</v>
      </c>
      <c r="J1353" t="s">
        <v>1272</v>
      </c>
      <c r="K1353" t="s">
        <v>1212</v>
      </c>
      <c r="M1353" s="3">
        <f t="shared" si="84"/>
        <v>60.285714285714285</v>
      </c>
      <c r="N1353">
        <v>35</v>
      </c>
      <c r="O1353">
        <v>65</v>
      </c>
      <c r="P1353">
        <v>70</v>
      </c>
      <c r="Q1353">
        <v>63</v>
      </c>
      <c r="R1353">
        <v>76</v>
      </c>
      <c r="S1353">
        <v>83</v>
      </c>
      <c r="T1353">
        <v>30</v>
      </c>
      <c r="U1353">
        <v>0</v>
      </c>
      <c r="V1353" s="3">
        <f t="shared" si="85"/>
        <v>634081</v>
      </c>
      <c r="W1353">
        <v>52840.083333333336</v>
      </c>
      <c r="X1353">
        <v>0</v>
      </c>
      <c r="Y1353">
        <f t="shared" si="86"/>
        <v>52840.083333333336</v>
      </c>
      <c r="Z1353">
        <f t="shared" si="87"/>
        <v>0</v>
      </c>
      <c r="AA1353">
        <v>0</v>
      </c>
    </row>
    <row r="1354" spans="1:27" x14ac:dyDescent="0.25">
      <c r="A1354" s="1">
        <v>1353</v>
      </c>
      <c r="B1354" t="s">
        <v>1734</v>
      </c>
      <c r="C1354" t="s">
        <v>1135</v>
      </c>
      <c r="D1354" t="s">
        <v>1141</v>
      </c>
      <c r="E1354" t="s">
        <v>1145</v>
      </c>
      <c r="G1354" t="s">
        <v>1206</v>
      </c>
      <c r="H1354" t="s">
        <v>1206</v>
      </c>
      <c r="I1354" t="s">
        <v>1206</v>
      </c>
      <c r="J1354" t="s">
        <v>1272</v>
      </c>
      <c r="K1354" t="s">
        <v>1212</v>
      </c>
      <c r="M1354" s="3">
        <f t="shared" si="84"/>
        <v>67.857142857142861</v>
      </c>
      <c r="N1354">
        <v>28</v>
      </c>
      <c r="O1354">
        <v>79</v>
      </c>
      <c r="P1354">
        <v>77</v>
      </c>
      <c r="Q1354">
        <v>78</v>
      </c>
      <c r="R1354">
        <v>82</v>
      </c>
      <c r="S1354">
        <v>86</v>
      </c>
      <c r="T1354">
        <v>45</v>
      </c>
      <c r="U1354">
        <v>0</v>
      </c>
      <c r="V1354" s="3">
        <f t="shared" si="85"/>
        <v>2069931</v>
      </c>
      <c r="W1354">
        <v>172494.25</v>
      </c>
      <c r="X1354">
        <v>0</v>
      </c>
      <c r="Y1354">
        <f t="shared" si="86"/>
        <v>172494.25</v>
      </c>
      <c r="Z1354">
        <f t="shared" si="87"/>
        <v>0</v>
      </c>
      <c r="AA1354">
        <v>0</v>
      </c>
    </row>
    <row r="1355" spans="1:27" x14ac:dyDescent="0.25">
      <c r="A1355" s="1">
        <v>1354</v>
      </c>
      <c r="B1355" t="s">
        <v>1733</v>
      </c>
      <c r="C1355" t="s">
        <v>1136</v>
      </c>
      <c r="D1355" t="s">
        <v>1146</v>
      </c>
      <c r="E1355" t="s">
        <v>1144</v>
      </c>
      <c r="H1355" t="s">
        <v>1206</v>
      </c>
      <c r="I1355" t="s">
        <v>1206</v>
      </c>
      <c r="J1355" t="s">
        <v>1272</v>
      </c>
      <c r="K1355" t="s">
        <v>1212</v>
      </c>
      <c r="M1355" s="3">
        <f t="shared" si="84"/>
        <v>57.714285714285715</v>
      </c>
      <c r="N1355">
        <v>22</v>
      </c>
      <c r="O1355">
        <v>70</v>
      </c>
      <c r="P1355">
        <v>61</v>
      </c>
      <c r="Q1355">
        <v>72</v>
      </c>
      <c r="R1355">
        <v>69</v>
      </c>
      <c r="S1355">
        <v>74</v>
      </c>
      <c r="T1355">
        <v>36</v>
      </c>
      <c r="U1355">
        <v>0</v>
      </c>
      <c r="V1355" s="3">
        <f t="shared" si="85"/>
        <v>410047</v>
      </c>
      <c r="W1355">
        <v>34170.583333333336</v>
      </c>
      <c r="X1355">
        <v>0</v>
      </c>
      <c r="Y1355">
        <f t="shared" si="86"/>
        <v>34170.583333333336</v>
      </c>
      <c r="Z1355">
        <f t="shared" si="87"/>
        <v>0</v>
      </c>
      <c r="AA1355">
        <v>0</v>
      </c>
    </row>
    <row r="1356" spans="1:27" x14ac:dyDescent="0.25">
      <c r="A1356" s="1">
        <v>1355</v>
      </c>
      <c r="B1356" t="s">
        <v>992</v>
      </c>
      <c r="C1356" t="s">
        <v>1136</v>
      </c>
      <c r="D1356" t="s">
        <v>1144</v>
      </c>
      <c r="E1356" t="s">
        <v>1138</v>
      </c>
      <c r="G1356" t="s">
        <v>1205</v>
      </c>
      <c r="H1356" t="s">
        <v>1205</v>
      </c>
      <c r="I1356" t="s">
        <v>1205</v>
      </c>
      <c r="J1356" t="s">
        <v>1272</v>
      </c>
      <c r="K1356" t="s">
        <v>1212</v>
      </c>
      <c r="M1356" s="3">
        <f t="shared" si="84"/>
        <v>86.428571428571431</v>
      </c>
      <c r="N1356">
        <v>80</v>
      </c>
      <c r="O1356">
        <v>85</v>
      </c>
      <c r="P1356">
        <v>87</v>
      </c>
      <c r="Q1356">
        <v>87</v>
      </c>
      <c r="R1356">
        <v>98</v>
      </c>
      <c r="S1356">
        <v>98</v>
      </c>
      <c r="T1356">
        <v>70</v>
      </c>
      <c r="U1356">
        <v>18</v>
      </c>
      <c r="V1356" s="3">
        <f t="shared" si="85"/>
        <v>34887079</v>
      </c>
      <c r="W1356">
        <v>2907256.5833333335</v>
      </c>
      <c r="X1356">
        <v>0</v>
      </c>
      <c r="Y1356">
        <f t="shared" si="86"/>
        <v>2907256.5833333335</v>
      </c>
      <c r="Z1356">
        <f t="shared" si="87"/>
        <v>0</v>
      </c>
      <c r="AA1356">
        <v>0</v>
      </c>
    </row>
    <row r="1357" spans="1:27" x14ac:dyDescent="0.25">
      <c r="A1357" s="1">
        <v>1356</v>
      </c>
      <c r="B1357" t="s">
        <v>1731</v>
      </c>
      <c r="C1357" t="s">
        <v>1136</v>
      </c>
      <c r="D1357" t="s">
        <v>1143</v>
      </c>
      <c r="E1357" t="s">
        <v>1144</v>
      </c>
      <c r="H1357" t="s">
        <v>1206</v>
      </c>
      <c r="I1357" t="s">
        <v>1206</v>
      </c>
      <c r="J1357" t="s">
        <v>1272</v>
      </c>
      <c r="K1357" t="s">
        <v>1212</v>
      </c>
      <c r="M1357" s="3">
        <f t="shared" si="84"/>
        <v>54.714285714285715</v>
      </c>
      <c r="N1357">
        <v>20</v>
      </c>
      <c r="O1357">
        <v>64</v>
      </c>
      <c r="P1357">
        <v>57</v>
      </c>
      <c r="Q1357">
        <v>71</v>
      </c>
      <c r="R1357">
        <v>68</v>
      </c>
      <c r="S1357">
        <v>73</v>
      </c>
      <c r="T1357">
        <v>30</v>
      </c>
      <c r="U1357">
        <v>0</v>
      </c>
      <c r="V1357" s="3">
        <f t="shared" si="85"/>
        <v>240441</v>
      </c>
      <c r="W1357">
        <v>20036.75</v>
      </c>
      <c r="X1357">
        <v>0</v>
      </c>
      <c r="Y1357">
        <f t="shared" si="86"/>
        <v>20036.75</v>
      </c>
      <c r="Z1357">
        <f t="shared" si="87"/>
        <v>0</v>
      </c>
      <c r="AA1357">
        <v>0</v>
      </c>
    </row>
    <row r="1358" spans="1:27" x14ac:dyDescent="0.25">
      <c r="A1358" s="1">
        <v>1357</v>
      </c>
      <c r="B1358" t="s">
        <v>1735</v>
      </c>
      <c r="C1358" t="s">
        <v>1136</v>
      </c>
      <c r="D1358" t="s">
        <v>1144</v>
      </c>
      <c r="E1358" t="s">
        <v>1138</v>
      </c>
      <c r="G1358" t="s">
        <v>1206</v>
      </c>
      <c r="H1358" t="s">
        <v>1206</v>
      </c>
      <c r="I1358" t="s">
        <v>1206</v>
      </c>
      <c r="J1358" t="s">
        <v>1272</v>
      </c>
      <c r="K1358" t="s">
        <v>1212</v>
      </c>
      <c r="M1358" s="3">
        <f t="shared" si="84"/>
        <v>65</v>
      </c>
      <c r="N1358">
        <v>26</v>
      </c>
      <c r="O1358">
        <v>77</v>
      </c>
      <c r="P1358">
        <v>69</v>
      </c>
      <c r="Q1358">
        <v>82</v>
      </c>
      <c r="R1358">
        <v>78</v>
      </c>
      <c r="S1358">
        <v>80</v>
      </c>
      <c r="T1358">
        <v>43</v>
      </c>
      <c r="U1358">
        <v>0</v>
      </c>
      <c r="V1358" s="3">
        <f t="shared" si="85"/>
        <v>1346275</v>
      </c>
      <c r="W1358">
        <v>112189.58333333333</v>
      </c>
      <c r="X1358">
        <v>0</v>
      </c>
      <c r="Y1358">
        <f t="shared" si="86"/>
        <v>112189.58333333333</v>
      </c>
      <c r="Z1358">
        <f t="shared" si="87"/>
        <v>0</v>
      </c>
      <c r="AA1358">
        <v>0</v>
      </c>
    </row>
    <row r="1359" spans="1:27" x14ac:dyDescent="0.25">
      <c r="A1359" s="1">
        <v>1358</v>
      </c>
      <c r="B1359" t="s">
        <v>968</v>
      </c>
      <c r="C1359" t="s">
        <v>1136</v>
      </c>
      <c r="D1359" t="s">
        <v>1147</v>
      </c>
      <c r="G1359" t="s">
        <v>1201</v>
      </c>
      <c r="H1359" t="s">
        <v>1201</v>
      </c>
      <c r="I1359" t="s">
        <v>1201</v>
      </c>
      <c r="J1359" t="s">
        <v>1272</v>
      </c>
      <c r="K1359" t="s">
        <v>1212</v>
      </c>
      <c r="M1359" s="3">
        <f t="shared" si="84"/>
        <v>54.857142857142854</v>
      </c>
      <c r="N1359">
        <v>34</v>
      </c>
      <c r="O1359">
        <v>73</v>
      </c>
      <c r="P1359">
        <v>59</v>
      </c>
      <c r="Q1359">
        <v>56</v>
      </c>
      <c r="R1359">
        <v>60</v>
      </c>
      <c r="S1359">
        <v>58</v>
      </c>
      <c r="T1359">
        <v>44</v>
      </c>
      <c r="U1359">
        <v>0</v>
      </c>
      <c r="V1359" s="3">
        <f t="shared" si="85"/>
        <v>246793</v>
      </c>
      <c r="W1359">
        <v>20566.083333333332</v>
      </c>
      <c r="X1359">
        <v>0</v>
      </c>
      <c r="Y1359">
        <f t="shared" si="86"/>
        <v>20566.083333333332</v>
      </c>
      <c r="Z1359">
        <f t="shared" si="87"/>
        <v>0</v>
      </c>
      <c r="AA1359">
        <v>0</v>
      </c>
    </row>
    <row r="1360" spans="1:27" x14ac:dyDescent="0.25">
      <c r="A1360" s="1">
        <v>1359</v>
      </c>
      <c r="B1360" t="s">
        <v>996</v>
      </c>
      <c r="C1360" t="s">
        <v>1136</v>
      </c>
      <c r="D1360" t="s">
        <v>1143</v>
      </c>
      <c r="E1360" t="s">
        <v>1145</v>
      </c>
      <c r="G1360" t="s">
        <v>1206</v>
      </c>
      <c r="H1360" t="s">
        <v>1206</v>
      </c>
      <c r="I1360" t="s">
        <v>1206</v>
      </c>
      <c r="J1360" t="s">
        <v>1272</v>
      </c>
      <c r="K1360" t="s">
        <v>1212</v>
      </c>
      <c r="M1360" s="3">
        <f t="shared" si="84"/>
        <v>63.428571428571431</v>
      </c>
      <c r="N1360">
        <v>37</v>
      </c>
      <c r="O1360">
        <v>72</v>
      </c>
      <c r="P1360">
        <v>73</v>
      </c>
      <c r="Q1360">
        <v>75</v>
      </c>
      <c r="R1360">
        <v>69</v>
      </c>
      <c r="S1360">
        <v>59</v>
      </c>
      <c r="T1360">
        <v>59</v>
      </c>
      <c r="U1360">
        <v>0</v>
      </c>
      <c r="V1360" s="3">
        <f t="shared" si="85"/>
        <v>1054022</v>
      </c>
      <c r="W1360">
        <v>87835.166666666672</v>
      </c>
      <c r="X1360">
        <v>0</v>
      </c>
      <c r="Y1360">
        <f t="shared" si="86"/>
        <v>87835.166666666672</v>
      </c>
      <c r="Z1360">
        <f t="shared" si="87"/>
        <v>0</v>
      </c>
      <c r="AA1360">
        <v>0</v>
      </c>
    </row>
    <row r="1361" spans="1:27" x14ac:dyDescent="0.25">
      <c r="A1361" s="1">
        <v>1360</v>
      </c>
      <c r="B1361" t="s">
        <v>994</v>
      </c>
      <c r="C1361" t="s">
        <v>1136</v>
      </c>
      <c r="D1361" t="s">
        <v>1144</v>
      </c>
      <c r="G1361" t="s">
        <v>1206</v>
      </c>
      <c r="H1361" t="s">
        <v>1206</v>
      </c>
      <c r="I1361" t="s">
        <v>1206</v>
      </c>
      <c r="J1361" t="s">
        <v>1272</v>
      </c>
      <c r="K1361" t="s">
        <v>1212</v>
      </c>
      <c r="M1361" s="3">
        <f t="shared" si="84"/>
        <v>58.857142857142854</v>
      </c>
      <c r="N1361">
        <v>34</v>
      </c>
      <c r="O1361">
        <v>56</v>
      </c>
      <c r="P1361">
        <v>64</v>
      </c>
      <c r="Q1361">
        <v>64</v>
      </c>
      <c r="R1361">
        <v>69</v>
      </c>
      <c r="S1361">
        <v>62</v>
      </c>
      <c r="T1361">
        <v>63</v>
      </c>
      <c r="U1361">
        <v>0</v>
      </c>
      <c r="V1361" s="3">
        <f t="shared" si="85"/>
        <v>498876</v>
      </c>
      <c r="W1361">
        <v>41573</v>
      </c>
      <c r="X1361">
        <v>0</v>
      </c>
      <c r="Y1361">
        <f t="shared" si="86"/>
        <v>41573</v>
      </c>
      <c r="Z1361">
        <f t="shared" si="87"/>
        <v>0</v>
      </c>
      <c r="AA1361">
        <v>0</v>
      </c>
    </row>
    <row r="1362" spans="1:27" x14ac:dyDescent="0.25">
      <c r="A1362" s="1">
        <v>1361</v>
      </c>
      <c r="B1362" t="s">
        <v>1732</v>
      </c>
      <c r="C1362" t="s">
        <v>1136</v>
      </c>
      <c r="D1362" t="s">
        <v>1147</v>
      </c>
      <c r="E1362" t="s">
        <v>1145</v>
      </c>
      <c r="H1362" t="s">
        <v>1206</v>
      </c>
      <c r="I1362" t="s">
        <v>1206</v>
      </c>
      <c r="J1362" t="s">
        <v>1272</v>
      </c>
      <c r="K1362" t="s">
        <v>1212</v>
      </c>
      <c r="M1362" s="3">
        <f t="shared" si="84"/>
        <v>61.857142857142854</v>
      </c>
      <c r="N1362">
        <v>24</v>
      </c>
      <c r="O1362">
        <v>78</v>
      </c>
      <c r="P1362">
        <v>66</v>
      </c>
      <c r="Q1362">
        <v>73</v>
      </c>
      <c r="R1362">
        <v>76</v>
      </c>
      <c r="S1362">
        <v>75</v>
      </c>
      <c r="T1362">
        <v>41</v>
      </c>
      <c r="U1362">
        <v>0</v>
      </c>
      <c r="V1362" s="3">
        <f t="shared" si="85"/>
        <v>820160</v>
      </c>
      <c r="W1362">
        <v>68346.666666666672</v>
      </c>
      <c r="X1362">
        <v>0</v>
      </c>
      <c r="Y1362">
        <f t="shared" si="86"/>
        <v>68346.666666666672</v>
      </c>
      <c r="Z1362">
        <f t="shared" si="87"/>
        <v>0</v>
      </c>
      <c r="AA1362">
        <v>0</v>
      </c>
    </row>
    <row r="1363" spans="1:27" x14ac:dyDescent="0.25">
      <c r="A1363" s="1">
        <v>1362</v>
      </c>
      <c r="B1363" t="s">
        <v>995</v>
      </c>
      <c r="C1363" t="s">
        <v>1136</v>
      </c>
      <c r="D1363" t="s">
        <v>1143</v>
      </c>
      <c r="E1363" t="s">
        <v>1145</v>
      </c>
      <c r="G1363" t="s">
        <v>1206</v>
      </c>
      <c r="H1363" t="s">
        <v>1206</v>
      </c>
      <c r="I1363" t="s">
        <v>1206</v>
      </c>
      <c r="J1363" t="s">
        <v>1272</v>
      </c>
      <c r="K1363" t="s">
        <v>1212</v>
      </c>
      <c r="M1363" s="3">
        <f t="shared" si="84"/>
        <v>60.571428571428569</v>
      </c>
      <c r="N1363">
        <v>53</v>
      </c>
      <c r="O1363">
        <v>54</v>
      </c>
      <c r="P1363">
        <v>75</v>
      </c>
      <c r="Q1363">
        <v>62</v>
      </c>
      <c r="R1363">
        <v>66</v>
      </c>
      <c r="S1363">
        <v>63</v>
      </c>
      <c r="T1363">
        <v>51</v>
      </c>
      <c r="U1363">
        <v>0</v>
      </c>
      <c r="V1363" s="3">
        <f t="shared" si="85"/>
        <v>664781</v>
      </c>
      <c r="W1363">
        <v>55398.416666666664</v>
      </c>
      <c r="X1363">
        <v>0</v>
      </c>
      <c r="Y1363">
        <f t="shared" si="86"/>
        <v>55398.416666666664</v>
      </c>
      <c r="Z1363">
        <f t="shared" si="87"/>
        <v>0</v>
      </c>
      <c r="AA1363">
        <v>0</v>
      </c>
    </row>
    <row r="1364" spans="1:27" x14ac:dyDescent="0.25">
      <c r="A1364" s="1">
        <v>1363</v>
      </c>
      <c r="B1364" t="s">
        <v>1114</v>
      </c>
      <c r="C1364" t="s">
        <v>1137</v>
      </c>
      <c r="D1364" t="s">
        <v>1137</v>
      </c>
      <c r="H1364" t="s">
        <v>1206</v>
      </c>
      <c r="I1364" t="s">
        <v>1206</v>
      </c>
      <c r="J1364" t="s">
        <v>1272</v>
      </c>
      <c r="K1364" t="s">
        <v>1212</v>
      </c>
      <c r="M1364" s="3">
        <f t="shared" si="84"/>
        <v>70.285714285714292</v>
      </c>
      <c r="N1364">
        <v>63</v>
      </c>
      <c r="O1364">
        <v>79</v>
      </c>
      <c r="P1364">
        <v>82</v>
      </c>
      <c r="Q1364">
        <v>66</v>
      </c>
      <c r="R1364">
        <v>77</v>
      </c>
      <c r="S1364">
        <v>83</v>
      </c>
      <c r="T1364">
        <v>42</v>
      </c>
      <c r="U1364">
        <v>0</v>
      </c>
      <c r="V1364" s="3">
        <f t="shared" si="85"/>
        <v>2942190</v>
      </c>
      <c r="W1364">
        <v>245182.5</v>
      </c>
      <c r="X1364">
        <v>0</v>
      </c>
      <c r="Y1364">
        <f t="shared" si="86"/>
        <v>245182.5</v>
      </c>
      <c r="Z1364">
        <f t="shared" si="87"/>
        <v>0</v>
      </c>
      <c r="AA1364">
        <v>0</v>
      </c>
    </row>
    <row r="1365" spans="1:27" x14ac:dyDescent="0.25">
      <c r="A1365" s="1">
        <v>1364</v>
      </c>
      <c r="B1365" t="s">
        <v>2463</v>
      </c>
      <c r="C1365" t="s">
        <v>1133</v>
      </c>
      <c r="D1365" t="s">
        <v>1133</v>
      </c>
      <c r="H1365" t="s">
        <v>1174</v>
      </c>
      <c r="I1365" t="s">
        <v>1174</v>
      </c>
      <c r="J1365" t="s">
        <v>1311</v>
      </c>
      <c r="K1365" t="s">
        <v>1212</v>
      </c>
      <c r="M1365" s="3">
        <f t="shared" si="84"/>
        <v>31.857142857142858</v>
      </c>
      <c r="N1365">
        <v>8</v>
      </c>
      <c r="O1365">
        <v>42</v>
      </c>
      <c r="P1365">
        <v>34</v>
      </c>
      <c r="Q1365">
        <v>38</v>
      </c>
      <c r="R1365">
        <v>40</v>
      </c>
      <c r="S1365">
        <v>42</v>
      </c>
      <c r="T1365">
        <v>19</v>
      </c>
      <c r="U1365">
        <v>0</v>
      </c>
      <c r="V1365" s="3">
        <f t="shared" si="85"/>
        <v>1077</v>
      </c>
      <c r="W1365">
        <v>89.75</v>
      </c>
      <c r="X1365">
        <v>0</v>
      </c>
      <c r="Y1365">
        <f t="shared" si="86"/>
        <v>89.75</v>
      </c>
      <c r="Z1365">
        <f t="shared" si="87"/>
        <v>0</v>
      </c>
      <c r="AA1365">
        <v>0</v>
      </c>
    </row>
    <row r="1366" spans="1:27" x14ac:dyDescent="0.25">
      <c r="A1366" s="1">
        <v>1365</v>
      </c>
      <c r="B1366" t="s">
        <v>2446</v>
      </c>
      <c r="C1366" t="s">
        <v>1133</v>
      </c>
      <c r="D1366" t="s">
        <v>1133</v>
      </c>
      <c r="H1366" t="s">
        <v>1174</v>
      </c>
      <c r="I1366" t="s">
        <v>1174</v>
      </c>
      <c r="J1366" t="s">
        <v>1311</v>
      </c>
      <c r="K1366" t="s">
        <v>1212</v>
      </c>
      <c r="M1366" s="3">
        <f t="shared" si="84"/>
        <v>31.571428571428573</v>
      </c>
      <c r="N1366">
        <v>8</v>
      </c>
      <c r="O1366">
        <v>40</v>
      </c>
      <c r="P1366">
        <v>34</v>
      </c>
      <c r="Q1366">
        <v>38</v>
      </c>
      <c r="R1366">
        <v>40</v>
      </c>
      <c r="S1366">
        <v>42</v>
      </c>
      <c r="T1366">
        <v>19</v>
      </c>
      <c r="U1366">
        <v>0</v>
      </c>
      <c r="V1366" s="3">
        <f t="shared" si="85"/>
        <v>984</v>
      </c>
      <c r="W1366">
        <v>82</v>
      </c>
      <c r="X1366">
        <v>0</v>
      </c>
      <c r="Y1366">
        <f t="shared" si="86"/>
        <v>82</v>
      </c>
      <c r="Z1366">
        <f t="shared" si="87"/>
        <v>0</v>
      </c>
      <c r="AA1366">
        <v>0</v>
      </c>
    </row>
    <row r="1367" spans="1:27" x14ac:dyDescent="0.25">
      <c r="A1367" s="1">
        <v>1366</v>
      </c>
      <c r="B1367" t="s">
        <v>2445</v>
      </c>
      <c r="C1367" t="s">
        <v>1133</v>
      </c>
      <c r="D1367" t="s">
        <v>1133</v>
      </c>
      <c r="H1367" t="s">
        <v>1174</v>
      </c>
      <c r="I1367" t="s">
        <v>1174</v>
      </c>
      <c r="J1367" t="s">
        <v>1311</v>
      </c>
      <c r="K1367" t="s">
        <v>1212</v>
      </c>
      <c r="M1367" s="3">
        <f t="shared" si="84"/>
        <v>35.428571428571431</v>
      </c>
      <c r="N1367">
        <v>10</v>
      </c>
      <c r="O1367">
        <v>46</v>
      </c>
      <c r="P1367">
        <v>38</v>
      </c>
      <c r="Q1367">
        <v>42</v>
      </c>
      <c r="R1367">
        <v>44</v>
      </c>
      <c r="S1367">
        <v>46</v>
      </c>
      <c r="T1367">
        <v>22</v>
      </c>
      <c r="U1367">
        <v>0</v>
      </c>
      <c r="V1367" s="3">
        <f t="shared" si="85"/>
        <v>3116</v>
      </c>
      <c r="W1367">
        <v>259.66666666666669</v>
      </c>
      <c r="X1367">
        <v>0</v>
      </c>
      <c r="Y1367">
        <f t="shared" si="86"/>
        <v>259.66666666666669</v>
      </c>
      <c r="Z1367">
        <f t="shared" si="87"/>
        <v>0</v>
      </c>
      <c r="AA1367">
        <v>0</v>
      </c>
    </row>
    <row r="1368" spans="1:27" x14ac:dyDescent="0.25">
      <c r="A1368" s="1">
        <v>1367</v>
      </c>
      <c r="B1368" t="s">
        <v>2450</v>
      </c>
      <c r="C1368" t="s">
        <v>1134</v>
      </c>
      <c r="D1368" t="s">
        <v>1140</v>
      </c>
      <c r="E1368" t="s">
        <v>1138</v>
      </c>
      <c r="H1368" t="s">
        <v>1174</v>
      </c>
      <c r="I1368" t="s">
        <v>1174</v>
      </c>
      <c r="J1368" t="s">
        <v>1311</v>
      </c>
      <c r="K1368" t="s">
        <v>1212</v>
      </c>
      <c r="M1368" s="3">
        <f t="shared" si="84"/>
        <v>35.142857142857146</v>
      </c>
      <c r="N1368">
        <v>9</v>
      </c>
      <c r="O1368">
        <v>46</v>
      </c>
      <c r="P1368">
        <v>38</v>
      </c>
      <c r="Q1368">
        <v>42</v>
      </c>
      <c r="R1368">
        <v>44</v>
      </c>
      <c r="S1368">
        <v>46</v>
      </c>
      <c r="T1368">
        <v>21</v>
      </c>
      <c r="U1368">
        <v>0</v>
      </c>
      <c r="V1368" s="3">
        <f t="shared" si="85"/>
        <v>2874</v>
      </c>
      <c r="W1368">
        <v>239.5</v>
      </c>
      <c r="X1368">
        <v>0</v>
      </c>
      <c r="Y1368">
        <f t="shared" si="86"/>
        <v>239.5</v>
      </c>
      <c r="Z1368">
        <f t="shared" si="87"/>
        <v>0</v>
      </c>
      <c r="AA1368">
        <v>0</v>
      </c>
    </row>
    <row r="1369" spans="1:27" x14ac:dyDescent="0.25">
      <c r="A1369" s="1">
        <v>1368</v>
      </c>
      <c r="B1369" t="s">
        <v>2448</v>
      </c>
      <c r="C1369" t="s">
        <v>1134</v>
      </c>
      <c r="D1369" t="s">
        <v>1138</v>
      </c>
      <c r="E1369" t="s">
        <v>1144</v>
      </c>
      <c r="H1369" t="s">
        <v>1174</v>
      </c>
      <c r="I1369" t="s">
        <v>1174</v>
      </c>
      <c r="J1369" t="s">
        <v>1311</v>
      </c>
      <c r="K1369" t="s">
        <v>1212</v>
      </c>
      <c r="M1369" s="3">
        <f t="shared" si="84"/>
        <v>28.142857142857142</v>
      </c>
      <c r="N1369">
        <v>6</v>
      </c>
      <c r="O1369">
        <v>36</v>
      </c>
      <c r="P1369">
        <v>30</v>
      </c>
      <c r="Q1369">
        <v>34</v>
      </c>
      <c r="R1369">
        <v>36</v>
      </c>
      <c r="S1369">
        <v>38</v>
      </c>
      <c r="T1369">
        <v>17</v>
      </c>
      <c r="U1369">
        <v>0</v>
      </c>
      <c r="V1369" s="3">
        <f t="shared" si="85"/>
        <v>312</v>
      </c>
      <c r="W1369">
        <v>26</v>
      </c>
      <c r="X1369">
        <v>0</v>
      </c>
      <c r="Y1369">
        <f t="shared" si="86"/>
        <v>26</v>
      </c>
      <c r="Z1369">
        <f t="shared" si="87"/>
        <v>0</v>
      </c>
      <c r="AA1369">
        <v>0</v>
      </c>
    </row>
    <row r="1370" spans="1:27" x14ac:dyDescent="0.25">
      <c r="A1370" s="1">
        <v>1369</v>
      </c>
      <c r="B1370" t="s">
        <v>2451</v>
      </c>
      <c r="C1370" t="s">
        <v>1134</v>
      </c>
      <c r="D1370" t="s">
        <v>1140</v>
      </c>
      <c r="E1370" t="s">
        <v>1139</v>
      </c>
      <c r="H1370" t="s">
        <v>1174</v>
      </c>
      <c r="I1370" t="s">
        <v>1174</v>
      </c>
      <c r="J1370" t="s">
        <v>1311</v>
      </c>
      <c r="K1370" t="s">
        <v>1212</v>
      </c>
      <c r="M1370" s="3">
        <f t="shared" si="84"/>
        <v>31.285714285714285</v>
      </c>
      <c r="N1370">
        <v>7</v>
      </c>
      <c r="O1370">
        <v>40</v>
      </c>
      <c r="P1370">
        <v>34</v>
      </c>
      <c r="Q1370">
        <v>38</v>
      </c>
      <c r="R1370">
        <v>40</v>
      </c>
      <c r="S1370">
        <v>42</v>
      </c>
      <c r="T1370">
        <v>18</v>
      </c>
      <c r="U1370">
        <v>0</v>
      </c>
      <c r="V1370" s="3">
        <f t="shared" si="85"/>
        <v>899</v>
      </c>
      <c r="W1370">
        <v>74.916666666666671</v>
      </c>
      <c r="X1370">
        <v>0</v>
      </c>
      <c r="Y1370">
        <f t="shared" si="86"/>
        <v>74.916666666666671</v>
      </c>
      <c r="Z1370">
        <f t="shared" si="87"/>
        <v>0</v>
      </c>
      <c r="AA1370">
        <v>0</v>
      </c>
    </row>
    <row r="1371" spans="1:27" x14ac:dyDescent="0.25">
      <c r="A1371" s="1">
        <v>1370</v>
      </c>
      <c r="B1371" t="s">
        <v>2449</v>
      </c>
      <c r="C1371" t="s">
        <v>1134</v>
      </c>
      <c r="D1371" t="s">
        <v>1138</v>
      </c>
      <c r="E1371" t="s">
        <v>1139</v>
      </c>
      <c r="H1371" t="s">
        <v>1174</v>
      </c>
      <c r="I1371" t="s">
        <v>1174</v>
      </c>
      <c r="J1371" t="s">
        <v>1311</v>
      </c>
      <c r="K1371" t="s">
        <v>1212</v>
      </c>
      <c r="M1371" s="3">
        <f t="shared" si="84"/>
        <v>39.142857142857146</v>
      </c>
      <c r="N1371">
        <v>12</v>
      </c>
      <c r="O1371">
        <v>52</v>
      </c>
      <c r="P1371">
        <v>42</v>
      </c>
      <c r="Q1371">
        <v>46</v>
      </c>
      <c r="R1371">
        <v>48</v>
      </c>
      <c r="S1371">
        <v>50</v>
      </c>
      <c r="T1371">
        <v>24</v>
      </c>
      <c r="U1371">
        <v>0</v>
      </c>
      <c r="V1371" s="3">
        <f t="shared" si="85"/>
        <v>8444</v>
      </c>
      <c r="W1371">
        <v>703.66666666666663</v>
      </c>
      <c r="X1371">
        <v>0</v>
      </c>
      <c r="Y1371">
        <f t="shared" si="86"/>
        <v>703.66666666666663</v>
      </c>
      <c r="Z1371">
        <f t="shared" si="87"/>
        <v>0</v>
      </c>
      <c r="AA1371">
        <v>0</v>
      </c>
    </row>
    <row r="1372" spans="1:27" x14ac:dyDescent="0.25">
      <c r="A1372" s="1">
        <v>1371</v>
      </c>
      <c r="B1372" t="s">
        <v>2461</v>
      </c>
      <c r="C1372" t="s">
        <v>1135</v>
      </c>
      <c r="D1372" t="s">
        <v>1142</v>
      </c>
      <c r="E1372" t="s">
        <v>1141</v>
      </c>
      <c r="H1372" t="s">
        <v>1174</v>
      </c>
      <c r="I1372" t="s">
        <v>1174</v>
      </c>
      <c r="J1372" t="s">
        <v>1311</v>
      </c>
      <c r="K1372" t="s">
        <v>1212</v>
      </c>
      <c r="M1372" s="3">
        <f t="shared" si="84"/>
        <v>55.428571428571431</v>
      </c>
      <c r="N1372">
        <v>18</v>
      </c>
      <c r="O1372">
        <v>70</v>
      </c>
      <c r="P1372">
        <v>62</v>
      </c>
      <c r="Q1372">
        <v>64</v>
      </c>
      <c r="R1372">
        <v>66</v>
      </c>
      <c r="S1372">
        <v>68</v>
      </c>
      <c r="T1372">
        <v>40</v>
      </c>
      <c r="U1372">
        <v>0</v>
      </c>
      <c r="V1372" s="3">
        <f t="shared" si="85"/>
        <v>273740</v>
      </c>
      <c r="W1372">
        <v>22811.666666666668</v>
      </c>
      <c r="X1372">
        <v>0</v>
      </c>
      <c r="Y1372">
        <f t="shared" si="86"/>
        <v>22811.666666666668</v>
      </c>
      <c r="Z1372">
        <f t="shared" si="87"/>
        <v>0</v>
      </c>
      <c r="AA1372">
        <v>0</v>
      </c>
    </row>
    <row r="1373" spans="1:27" x14ac:dyDescent="0.25">
      <c r="A1373" s="1">
        <v>1372</v>
      </c>
      <c r="B1373" t="s">
        <v>2460</v>
      </c>
      <c r="C1373" t="s">
        <v>1135</v>
      </c>
      <c r="D1373" t="s">
        <v>1142</v>
      </c>
      <c r="E1373" t="s">
        <v>1141</v>
      </c>
      <c r="H1373" t="s">
        <v>1174</v>
      </c>
      <c r="I1373" t="s">
        <v>1174</v>
      </c>
      <c r="J1373" t="s">
        <v>1311</v>
      </c>
      <c r="K1373" t="s">
        <v>1212</v>
      </c>
      <c r="M1373" s="3">
        <f t="shared" si="84"/>
        <v>36.142857142857146</v>
      </c>
      <c r="N1373">
        <v>10</v>
      </c>
      <c r="O1373">
        <v>46</v>
      </c>
      <c r="P1373">
        <v>38</v>
      </c>
      <c r="Q1373">
        <v>44</v>
      </c>
      <c r="R1373">
        <v>46</v>
      </c>
      <c r="S1373">
        <v>48</v>
      </c>
      <c r="T1373">
        <v>21</v>
      </c>
      <c r="U1373">
        <v>0</v>
      </c>
      <c r="V1373" s="3">
        <f t="shared" si="85"/>
        <v>3804</v>
      </c>
      <c r="W1373">
        <v>317</v>
      </c>
      <c r="X1373">
        <v>0</v>
      </c>
      <c r="Y1373">
        <f t="shared" si="86"/>
        <v>317</v>
      </c>
      <c r="Z1373">
        <f t="shared" si="87"/>
        <v>0</v>
      </c>
      <c r="AA1373">
        <v>0</v>
      </c>
    </row>
    <row r="1374" spans="1:27" x14ac:dyDescent="0.25">
      <c r="A1374" s="1">
        <v>1373</v>
      </c>
      <c r="B1374" t="s">
        <v>2462</v>
      </c>
      <c r="C1374" t="s">
        <v>1136</v>
      </c>
      <c r="D1374" t="s">
        <v>1147</v>
      </c>
      <c r="E1374" t="s">
        <v>1145</v>
      </c>
      <c r="H1374" t="s">
        <v>1174</v>
      </c>
      <c r="I1374" t="s">
        <v>1174</v>
      </c>
      <c r="J1374" t="s">
        <v>1311</v>
      </c>
      <c r="K1374" t="s">
        <v>1212</v>
      </c>
      <c r="M1374" s="3">
        <f t="shared" si="84"/>
        <v>52.142857142857146</v>
      </c>
      <c r="N1374">
        <v>15</v>
      </c>
      <c r="O1374">
        <v>64</v>
      </c>
      <c r="P1374">
        <v>58</v>
      </c>
      <c r="Q1374">
        <v>62</v>
      </c>
      <c r="R1374">
        <v>64</v>
      </c>
      <c r="S1374">
        <v>66</v>
      </c>
      <c r="T1374">
        <v>36</v>
      </c>
      <c r="U1374">
        <v>0</v>
      </c>
      <c r="V1374" s="3">
        <f t="shared" si="85"/>
        <v>148576</v>
      </c>
      <c r="W1374">
        <v>12381.333333333334</v>
      </c>
      <c r="X1374">
        <v>0</v>
      </c>
      <c r="Y1374">
        <f t="shared" si="86"/>
        <v>12381.333333333334</v>
      </c>
      <c r="Z1374">
        <f t="shared" si="87"/>
        <v>0</v>
      </c>
      <c r="AA1374">
        <v>0</v>
      </c>
    </row>
    <row r="1375" spans="1:27" x14ac:dyDescent="0.25">
      <c r="A1375" s="1">
        <v>1374</v>
      </c>
      <c r="B1375" t="s">
        <v>2453</v>
      </c>
      <c r="C1375" t="s">
        <v>1136</v>
      </c>
      <c r="D1375" t="s">
        <v>1144</v>
      </c>
      <c r="E1375" t="s">
        <v>1138</v>
      </c>
      <c r="H1375" t="s">
        <v>1174</v>
      </c>
      <c r="I1375" t="s">
        <v>1174</v>
      </c>
      <c r="J1375" t="s">
        <v>1311</v>
      </c>
      <c r="K1375" t="s">
        <v>1212</v>
      </c>
      <c r="M1375" s="3">
        <f t="shared" si="84"/>
        <v>34.428571428571431</v>
      </c>
      <c r="N1375">
        <v>9</v>
      </c>
      <c r="O1375">
        <v>44</v>
      </c>
      <c r="P1375">
        <v>36</v>
      </c>
      <c r="Q1375">
        <v>42</v>
      </c>
      <c r="R1375">
        <v>44</v>
      </c>
      <c r="S1375">
        <v>46</v>
      </c>
      <c r="T1375">
        <v>20</v>
      </c>
      <c r="U1375">
        <v>0</v>
      </c>
      <c r="V1375" s="3">
        <f t="shared" si="85"/>
        <v>2340</v>
      </c>
      <c r="W1375">
        <v>195</v>
      </c>
      <c r="X1375">
        <v>0</v>
      </c>
      <c r="Y1375">
        <f t="shared" si="86"/>
        <v>195</v>
      </c>
      <c r="Z1375">
        <f t="shared" si="87"/>
        <v>0</v>
      </c>
      <c r="AA1375">
        <v>0</v>
      </c>
    </row>
    <row r="1376" spans="1:27" x14ac:dyDescent="0.25">
      <c r="A1376" s="1">
        <v>1375</v>
      </c>
      <c r="B1376" t="s">
        <v>2457</v>
      </c>
      <c r="C1376" t="s">
        <v>1136</v>
      </c>
      <c r="D1376" t="s">
        <v>1145</v>
      </c>
      <c r="E1376" t="s">
        <v>1147</v>
      </c>
      <c r="H1376" t="s">
        <v>1174</v>
      </c>
      <c r="I1376" t="s">
        <v>1174</v>
      </c>
      <c r="J1376" t="s">
        <v>1311</v>
      </c>
      <c r="K1376" t="s">
        <v>1212</v>
      </c>
      <c r="M1376" s="3">
        <f t="shared" si="84"/>
        <v>29.857142857142858</v>
      </c>
      <c r="N1376">
        <v>7</v>
      </c>
      <c r="O1376">
        <v>38</v>
      </c>
      <c r="P1376">
        <v>32</v>
      </c>
      <c r="Q1376">
        <v>36</v>
      </c>
      <c r="R1376">
        <v>38</v>
      </c>
      <c r="S1376">
        <v>40</v>
      </c>
      <c r="T1376">
        <v>18</v>
      </c>
      <c r="U1376">
        <v>0</v>
      </c>
      <c r="V1376" s="3">
        <f t="shared" si="85"/>
        <v>563</v>
      </c>
      <c r="W1376">
        <v>46.916666666666664</v>
      </c>
      <c r="X1376">
        <v>0</v>
      </c>
      <c r="Y1376">
        <f t="shared" si="86"/>
        <v>46.916666666666664</v>
      </c>
      <c r="Z1376">
        <f t="shared" si="87"/>
        <v>0</v>
      </c>
      <c r="AA1376">
        <v>0</v>
      </c>
    </row>
    <row r="1377" spans="1:27" x14ac:dyDescent="0.25">
      <c r="A1377" s="1">
        <v>1376</v>
      </c>
      <c r="B1377" t="s">
        <v>2458</v>
      </c>
      <c r="C1377" t="s">
        <v>1136</v>
      </c>
      <c r="D1377" t="s">
        <v>1146</v>
      </c>
      <c r="E1377" t="s">
        <v>1144</v>
      </c>
      <c r="H1377" t="s">
        <v>1174</v>
      </c>
      <c r="I1377" t="s">
        <v>1174</v>
      </c>
      <c r="J1377" t="s">
        <v>1311</v>
      </c>
      <c r="K1377" t="s">
        <v>1212</v>
      </c>
      <c r="M1377" s="3">
        <f t="shared" si="84"/>
        <v>38.285714285714285</v>
      </c>
      <c r="N1377">
        <v>11</v>
      </c>
      <c r="O1377">
        <v>50</v>
      </c>
      <c r="P1377">
        <v>40</v>
      </c>
      <c r="Q1377">
        <v>46</v>
      </c>
      <c r="R1377">
        <v>48</v>
      </c>
      <c r="S1377">
        <v>50</v>
      </c>
      <c r="T1377">
        <v>23</v>
      </c>
      <c r="U1377">
        <v>0</v>
      </c>
      <c r="V1377" s="3">
        <f t="shared" si="85"/>
        <v>6767</v>
      </c>
      <c r="W1377">
        <v>563.91666666666663</v>
      </c>
      <c r="X1377">
        <v>0</v>
      </c>
      <c r="Y1377">
        <f t="shared" si="86"/>
        <v>563.91666666666663</v>
      </c>
      <c r="Z1377">
        <f t="shared" si="87"/>
        <v>0</v>
      </c>
      <c r="AA1377">
        <v>0</v>
      </c>
    </row>
    <row r="1378" spans="1:27" x14ac:dyDescent="0.25">
      <c r="A1378" s="1">
        <v>1377</v>
      </c>
      <c r="B1378" t="s">
        <v>2454</v>
      </c>
      <c r="C1378" t="s">
        <v>1136</v>
      </c>
      <c r="D1378" t="s">
        <v>1143</v>
      </c>
      <c r="E1378" t="s">
        <v>1144</v>
      </c>
      <c r="H1378" t="s">
        <v>1174</v>
      </c>
      <c r="I1378" t="s">
        <v>1174</v>
      </c>
      <c r="J1378" t="s">
        <v>1311</v>
      </c>
      <c r="K1378" t="s">
        <v>1212</v>
      </c>
      <c r="M1378" s="3">
        <f t="shared" si="84"/>
        <v>49.857142857142854</v>
      </c>
      <c r="N1378">
        <v>45</v>
      </c>
      <c r="O1378">
        <v>60</v>
      </c>
      <c r="P1378">
        <v>44</v>
      </c>
      <c r="Q1378">
        <v>48</v>
      </c>
      <c r="R1378">
        <v>50</v>
      </c>
      <c r="S1378">
        <v>52</v>
      </c>
      <c r="T1378">
        <v>50</v>
      </c>
      <c r="U1378">
        <v>12</v>
      </c>
      <c r="V1378" s="3">
        <f t="shared" si="85"/>
        <v>142353</v>
      </c>
      <c r="W1378">
        <v>1080.25</v>
      </c>
      <c r="X1378">
        <v>0</v>
      </c>
      <c r="Y1378">
        <f t="shared" si="86"/>
        <v>11862.75</v>
      </c>
      <c r="Z1378">
        <f t="shared" si="87"/>
        <v>-90.89</v>
      </c>
      <c r="AA1378">
        <v>0</v>
      </c>
    </row>
    <row r="1379" spans="1:27" x14ac:dyDescent="0.25">
      <c r="A1379" s="1">
        <v>1378</v>
      </c>
      <c r="B1379" t="s">
        <v>2452</v>
      </c>
      <c r="C1379" t="s">
        <v>1136</v>
      </c>
      <c r="D1379" t="s">
        <v>1144</v>
      </c>
      <c r="E1379" t="s">
        <v>1143</v>
      </c>
      <c r="H1379" t="s">
        <v>1174</v>
      </c>
      <c r="I1379" t="s">
        <v>1174</v>
      </c>
      <c r="J1379" t="s">
        <v>1311</v>
      </c>
      <c r="K1379" t="s">
        <v>1212</v>
      </c>
      <c r="M1379" s="3">
        <f t="shared" si="84"/>
        <v>37.428571428571431</v>
      </c>
      <c r="N1379">
        <v>11</v>
      </c>
      <c r="O1379">
        <v>50</v>
      </c>
      <c r="P1379">
        <v>40</v>
      </c>
      <c r="Q1379">
        <v>44</v>
      </c>
      <c r="R1379">
        <v>46</v>
      </c>
      <c r="S1379">
        <v>48</v>
      </c>
      <c r="T1379">
        <v>23</v>
      </c>
      <c r="U1379">
        <v>0</v>
      </c>
      <c r="V1379" s="3">
        <f t="shared" si="85"/>
        <v>5396</v>
      </c>
      <c r="W1379">
        <v>449.66666666666669</v>
      </c>
      <c r="X1379">
        <v>0</v>
      </c>
      <c r="Y1379">
        <f t="shared" si="86"/>
        <v>449.66666666666669</v>
      </c>
      <c r="Z1379">
        <f t="shared" si="87"/>
        <v>0</v>
      </c>
      <c r="AA1379">
        <v>0</v>
      </c>
    </row>
    <row r="1380" spans="1:27" x14ac:dyDescent="0.25">
      <c r="A1380" s="1">
        <v>1379</v>
      </c>
      <c r="B1380" t="s">
        <v>2455</v>
      </c>
      <c r="C1380" t="s">
        <v>1136</v>
      </c>
      <c r="D1380" t="s">
        <v>1143</v>
      </c>
      <c r="E1380" t="s">
        <v>1146</v>
      </c>
      <c r="H1380" t="s">
        <v>1174</v>
      </c>
      <c r="I1380" t="s">
        <v>1174</v>
      </c>
      <c r="J1380" t="s">
        <v>1311</v>
      </c>
      <c r="K1380" t="s">
        <v>1212</v>
      </c>
      <c r="M1380" s="3">
        <f t="shared" si="84"/>
        <v>55.142857142857146</v>
      </c>
      <c r="N1380">
        <v>40</v>
      </c>
      <c r="O1380">
        <v>66</v>
      </c>
      <c r="P1380">
        <v>73</v>
      </c>
      <c r="Q1380">
        <v>60</v>
      </c>
      <c r="R1380">
        <v>60</v>
      </c>
      <c r="S1380">
        <v>38</v>
      </c>
      <c r="T1380">
        <v>49</v>
      </c>
      <c r="U1380">
        <v>0</v>
      </c>
      <c r="V1380" s="3">
        <f t="shared" si="85"/>
        <v>259952</v>
      </c>
      <c r="W1380">
        <v>21662.666666666668</v>
      </c>
      <c r="X1380">
        <v>0</v>
      </c>
      <c r="Y1380">
        <f t="shared" si="86"/>
        <v>21662.666666666668</v>
      </c>
      <c r="Z1380">
        <f t="shared" si="87"/>
        <v>0</v>
      </c>
      <c r="AA1380">
        <v>0</v>
      </c>
    </row>
    <row r="1381" spans="1:27" x14ac:dyDescent="0.25">
      <c r="A1381" s="1">
        <v>1380</v>
      </c>
      <c r="B1381" t="s">
        <v>2456</v>
      </c>
      <c r="C1381" t="s">
        <v>1136</v>
      </c>
      <c r="D1381" t="s">
        <v>1145</v>
      </c>
      <c r="E1381" t="s">
        <v>1143</v>
      </c>
      <c r="H1381" t="s">
        <v>1174</v>
      </c>
      <c r="I1381" t="s">
        <v>1174</v>
      </c>
      <c r="J1381" t="s">
        <v>1311</v>
      </c>
      <c r="K1381" t="s">
        <v>1212</v>
      </c>
      <c r="M1381" s="3">
        <f t="shared" si="84"/>
        <v>36.571428571428569</v>
      </c>
      <c r="N1381">
        <v>10</v>
      </c>
      <c r="O1381">
        <v>48</v>
      </c>
      <c r="P1381">
        <v>38</v>
      </c>
      <c r="Q1381">
        <v>44</v>
      </c>
      <c r="R1381">
        <v>46</v>
      </c>
      <c r="S1381">
        <v>48</v>
      </c>
      <c r="T1381">
        <v>22</v>
      </c>
      <c r="U1381">
        <v>0</v>
      </c>
      <c r="V1381" s="3">
        <f t="shared" si="85"/>
        <v>4280</v>
      </c>
      <c r="W1381">
        <v>356.66666666666669</v>
      </c>
      <c r="X1381">
        <v>0</v>
      </c>
      <c r="Y1381">
        <f t="shared" si="86"/>
        <v>356.66666666666669</v>
      </c>
      <c r="Z1381">
        <f t="shared" si="87"/>
        <v>0</v>
      </c>
      <c r="AA1381">
        <v>0</v>
      </c>
    </row>
    <row r="1382" spans="1:27" x14ac:dyDescent="0.25">
      <c r="A1382" s="1">
        <v>1381</v>
      </c>
      <c r="B1382" t="s">
        <v>1312</v>
      </c>
      <c r="C1382" t="s">
        <v>1136</v>
      </c>
      <c r="D1382" t="s">
        <v>1145</v>
      </c>
      <c r="E1382" t="s">
        <v>1146</v>
      </c>
      <c r="F1382" t="s">
        <v>1147</v>
      </c>
      <c r="G1382" t="s">
        <v>1174</v>
      </c>
      <c r="H1382" t="s">
        <v>1174</v>
      </c>
      <c r="I1382" t="s">
        <v>1174</v>
      </c>
      <c r="J1382" t="s">
        <v>1311</v>
      </c>
      <c r="K1382" t="s">
        <v>1212</v>
      </c>
      <c r="M1382" s="3">
        <f t="shared" si="84"/>
        <v>38.428571428571431</v>
      </c>
      <c r="N1382">
        <v>21</v>
      </c>
      <c r="O1382">
        <v>74</v>
      </c>
      <c r="P1382">
        <v>40</v>
      </c>
      <c r="Q1382">
        <v>42</v>
      </c>
      <c r="R1382">
        <v>30</v>
      </c>
      <c r="S1382">
        <v>40</v>
      </c>
      <c r="T1382">
        <v>22</v>
      </c>
      <c r="U1382">
        <v>0</v>
      </c>
      <c r="V1382" s="3">
        <f t="shared" si="85"/>
        <v>7024</v>
      </c>
      <c r="W1382">
        <v>585.33333333333337</v>
      </c>
      <c r="X1382">
        <v>0</v>
      </c>
      <c r="Y1382">
        <f t="shared" si="86"/>
        <v>585.33333333333337</v>
      </c>
      <c r="Z1382">
        <f t="shared" si="87"/>
        <v>0</v>
      </c>
      <c r="AA1382">
        <v>0</v>
      </c>
    </row>
    <row r="1383" spans="1:27" x14ac:dyDescent="0.25">
      <c r="A1383" s="1">
        <v>1382</v>
      </c>
      <c r="B1383" t="s">
        <v>2459</v>
      </c>
      <c r="C1383" t="s">
        <v>1136</v>
      </c>
      <c r="D1383" t="s">
        <v>1147</v>
      </c>
      <c r="E1383" t="s">
        <v>1145</v>
      </c>
      <c r="H1383" t="s">
        <v>1174</v>
      </c>
      <c r="I1383" t="s">
        <v>1174</v>
      </c>
      <c r="J1383" t="s">
        <v>1311</v>
      </c>
      <c r="K1383" t="s">
        <v>1212</v>
      </c>
      <c r="M1383" s="3">
        <f t="shared" si="84"/>
        <v>42.571428571428569</v>
      </c>
      <c r="N1383">
        <v>14</v>
      </c>
      <c r="O1383">
        <v>56</v>
      </c>
      <c r="P1383">
        <v>46</v>
      </c>
      <c r="Q1383">
        <v>50</v>
      </c>
      <c r="R1383">
        <v>52</v>
      </c>
      <c r="S1383">
        <v>54</v>
      </c>
      <c r="T1383">
        <v>26</v>
      </c>
      <c r="U1383">
        <v>0</v>
      </c>
      <c r="V1383" s="3">
        <f t="shared" si="85"/>
        <v>19552</v>
      </c>
      <c r="W1383">
        <v>1629.3333333333333</v>
      </c>
      <c r="X1383">
        <v>0</v>
      </c>
      <c r="Y1383">
        <f t="shared" si="86"/>
        <v>1629.3333333333333</v>
      </c>
      <c r="Z1383">
        <f t="shared" si="87"/>
        <v>0</v>
      </c>
      <c r="AA1383">
        <v>0</v>
      </c>
    </row>
    <row r="1384" spans="1:27" x14ac:dyDescent="0.25">
      <c r="A1384" s="1">
        <v>1383</v>
      </c>
      <c r="B1384" t="s">
        <v>2447</v>
      </c>
      <c r="C1384" t="s">
        <v>1137</v>
      </c>
      <c r="D1384" t="s">
        <v>1137</v>
      </c>
      <c r="H1384" t="s">
        <v>1174</v>
      </c>
      <c r="I1384" t="s">
        <v>1174</v>
      </c>
      <c r="J1384" t="s">
        <v>1311</v>
      </c>
      <c r="K1384" t="s">
        <v>1212</v>
      </c>
      <c r="M1384" s="3">
        <f t="shared" si="84"/>
        <v>33.571428571428569</v>
      </c>
      <c r="N1384">
        <v>9</v>
      </c>
      <c r="O1384">
        <v>44</v>
      </c>
      <c r="P1384">
        <v>36</v>
      </c>
      <c r="Q1384">
        <v>40</v>
      </c>
      <c r="R1384">
        <v>42</v>
      </c>
      <c r="S1384">
        <v>44</v>
      </c>
      <c r="T1384">
        <v>20</v>
      </c>
      <c r="U1384">
        <v>0</v>
      </c>
      <c r="V1384" s="3">
        <f t="shared" si="85"/>
        <v>1819</v>
      </c>
      <c r="W1384">
        <v>151.58333333333334</v>
      </c>
      <c r="X1384">
        <v>0</v>
      </c>
      <c r="Y1384">
        <f t="shared" si="86"/>
        <v>151.58333333333334</v>
      </c>
      <c r="Z1384">
        <f t="shared" si="87"/>
        <v>0</v>
      </c>
      <c r="AA1384">
        <v>0</v>
      </c>
    </row>
    <row r="1385" spans="1:27" x14ac:dyDescent="0.25">
      <c r="A1385" s="1">
        <v>1384</v>
      </c>
      <c r="B1385" t="s">
        <v>988</v>
      </c>
      <c r="C1385" t="s">
        <v>1136</v>
      </c>
      <c r="D1385" t="s">
        <v>1145</v>
      </c>
      <c r="E1385" t="s">
        <v>1146</v>
      </c>
      <c r="F1385" t="s">
        <v>1141</v>
      </c>
      <c r="G1385" t="s">
        <v>1205</v>
      </c>
      <c r="H1385" t="s">
        <v>1205</v>
      </c>
      <c r="I1385" t="s">
        <v>1205</v>
      </c>
      <c r="J1385" t="s">
        <v>1293</v>
      </c>
      <c r="K1385" t="s">
        <v>1222</v>
      </c>
      <c r="M1385" s="3">
        <f t="shared" si="84"/>
        <v>92</v>
      </c>
      <c r="N1385">
        <v>92</v>
      </c>
      <c r="O1385">
        <v>84</v>
      </c>
      <c r="P1385">
        <v>98</v>
      </c>
      <c r="Q1385">
        <v>92</v>
      </c>
      <c r="R1385">
        <v>93</v>
      </c>
      <c r="S1385">
        <v>93</v>
      </c>
      <c r="T1385">
        <v>92</v>
      </c>
      <c r="U1385">
        <v>1</v>
      </c>
      <c r="V1385" s="3">
        <f t="shared" si="85"/>
        <v>65158269</v>
      </c>
      <c r="W1385">
        <v>5429855.75</v>
      </c>
      <c r="X1385">
        <v>0</v>
      </c>
      <c r="Y1385">
        <f t="shared" si="86"/>
        <v>5429855.75</v>
      </c>
      <c r="Z1385">
        <f t="shared" si="87"/>
        <v>0</v>
      </c>
      <c r="AA1385">
        <v>0</v>
      </c>
    </row>
    <row r="1386" spans="1:27" x14ac:dyDescent="0.25">
      <c r="A1386" s="1">
        <v>1385</v>
      </c>
      <c r="B1386" t="s">
        <v>946</v>
      </c>
      <c r="C1386" t="s">
        <v>1136</v>
      </c>
      <c r="D1386" t="s">
        <v>1146</v>
      </c>
      <c r="E1386" t="s">
        <v>1147</v>
      </c>
      <c r="F1386" t="s">
        <v>1143</v>
      </c>
      <c r="G1386" t="s">
        <v>1199</v>
      </c>
      <c r="H1386" t="s">
        <v>1153</v>
      </c>
      <c r="I1386" t="s">
        <v>1153</v>
      </c>
      <c r="J1386" t="s">
        <v>1293</v>
      </c>
      <c r="K1386" t="s">
        <v>1222</v>
      </c>
      <c r="M1386" s="3">
        <f t="shared" si="84"/>
        <v>90.857142857142861</v>
      </c>
      <c r="N1386">
        <v>90</v>
      </c>
      <c r="O1386">
        <v>97</v>
      </c>
      <c r="P1386">
        <v>90</v>
      </c>
      <c r="Q1386">
        <v>94</v>
      </c>
      <c r="R1386">
        <v>90</v>
      </c>
      <c r="S1386">
        <v>83</v>
      </c>
      <c r="T1386">
        <v>92</v>
      </c>
      <c r="U1386">
        <v>3</v>
      </c>
      <c r="V1386" s="3">
        <f t="shared" si="85"/>
        <v>57501877</v>
      </c>
      <c r="W1386">
        <v>4791823.083333333</v>
      </c>
      <c r="X1386">
        <v>0</v>
      </c>
      <c r="Y1386">
        <f t="shared" si="86"/>
        <v>4791823.083333333</v>
      </c>
      <c r="Z1386">
        <f t="shared" si="87"/>
        <v>0</v>
      </c>
      <c r="AA1386">
        <v>0</v>
      </c>
    </row>
    <row r="1387" spans="1:27" x14ac:dyDescent="0.25">
      <c r="A1387" s="1">
        <v>1386</v>
      </c>
      <c r="B1387" t="s">
        <v>2414</v>
      </c>
      <c r="C1387" t="s">
        <v>1133</v>
      </c>
      <c r="D1387" t="s">
        <v>1133</v>
      </c>
      <c r="H1387" t="s">
        <v>1153</v>
      </c>
      <c r="I1387" t="s">
        <v>1153</v>
      </c>
      <c r="J1387" t="s">
        <v>1313</v>
      </c>
      <c r="K1387" t="s">
        <v>1212</v>
      </c>
      <c r="M1387" s="3">
        <f t="shared" si="84"/>
        <v>45.142857142857146</v>
      </c>
      <c r="N1387">
        <v>16</v>
      </c>
      <c r="O1387">
        <v>56</v>
      </c>
      <c r="P1387">
        <v>48</v>
      </c>
      <c r="Q1387">
        <v>54</v>
      </c>
      <c r="R1387">
        <v>56</v>
      </c>
      <c r="S1387">
        <v>58</v>
      </c>
      <c r="T1387">
        <v>28</v>
      </c>
      <c r="U1387">
        <v>0</v>
      </c>
      <c r="V1387" s="3">
        <f t="shared" si="85"/>
        <v>35148</v>
      </c>
      <c r="W1387">
        <v>2929</v>
      </c>
      <c r="X1387">
        <v>0</v>
      </c>
      <c r="Y1387">
        <f t="shared" si="86"/>
        <v>2929</v>
      </c>
      <c r="Z1387">
        <f t="shared" si="87"/>
        <v>0</v>
      </c>
      <c r="AA1387">
        <v>0</v>
      </c>
    </row>
    <row r="1388" spans="1:27" x14ac:dyDescent="0.25">
      <c r="A1388" s="1">
        <v>1387</v>
      </c>
      <c r="B1388" t="s">
        <v>1559</v>
      </c>
      <c r="C1388" t="s">
        <v>1133</v>
      </c>
      <c r="D1388" t="s">
        <v>1133</v>
      </c>
      <c r="H1388" t="s">
        <v>1153</v>
      </c>
      <c r="I1388" t="s">
        <v>1153</v>
      </c>
      <c r="J1388" t="s">
        <v>1313</v>
      </c>
      <c r="K1388" t="s">
        <v>1212</v>
      </c>
      <c r="M1388" s="3">
        <f t="shared" si="84"/>
        <v>66.571428571428569</v>
      </c>
      <c r="N1388">
        <v>27</v>
      </c>
      <c r="O1388">
        <v>72</v>
      </c>
      <c r="P1388">
        <v>68</v>
      </c>
      <c r="Q1388">
        <v>77</v>
      </c>
      <c r="R1388">
        <v>79</v>
      </c>
      <c r="S1388">
        <v>74</v>
      </c>
      <c r="T1388">
        <v>69</v>
      </c>
      <c r="U1388">
        <v>0</v>
      </c>
      <c r="V1388" s="3">
        <f t="shared" si="85"/>
        <v>1709539</v>
      </c>
      <c r="W1388">
        <v>142461.58333333334</v>
      </c>
      <c r="X1388">
        <v>0</v>
      </c>
      <c r="Y1388">
        <f t="shared" si="86"/>
        <v>142461.58333333334</v>
      </c>
      <c r="Z1388">
        <f t="shared" si="87"/>
        <v>0</v>
      </c>
      <c r="AA1388">
        <v>0</v>
      </c>
    </row>
    <row r="1389" spans="1:27" x14ac:dyDescent="0.25">
      <c r="A1389" s="1">
        <v>1388</v>
      </c>
      <c r="B1389" t="s">
        <v>2415</v>
      </c>
      <c r="C1389" t="s">
        <v>1133</v>
      </c>
      <c r="D1389" t="s">
        <v>1133</v>
      </c>
      <c r="H1389" t="s">
        <v>1153</v>
      </c>
      <c r="I1389" t="s">
        <v>1153</v>
      </c>
      <c r="J1389" t="s">
        <v>1313</v>
      </c>
      <c r="K1389" t="s">
        <v>1212</v>
      </c>
      <c r="M1389" s="3">
        <f t="shared" si="84"/>
        <v>40.285714285714285</v>
      </c>
      <c r="N1389">
        <v>14</v>
      </c>
      <c r="O1389">
        <v>50</v>
      </c>
      <c r="P1389">
        <v>44</v>
      </c>
      <c r="Q1389">
        <v>48</v>
      </c>
      <c r="R1389">
        <v>50</v>
      </c>
      <c r="S1389">
        <v>52</v>
      </c>
      <c r="T1389">
        <v>24</v>
      </c>
      <c r="U1389">
        <v>0</v>
      </c>
      <c r="V1389" s="3">
        <f t="shared" si="85"/>
        <v>11260</v>
      </c>
      <c r="W1389">
        <v>938.33333333333337</v>
      </c>
      <c r="X1389">
        <v>0</v>
      </c>
      <c r="Y1389">
        <f t="shared" si="86"/>
        <v>938.33333333333337</v>
      </c>
      <c r="Z1389">
        <f t="shared" si="87"/>
        <v>0</v>
      </c>
      <c r="AA1389">
        <v>0</v>
      </c>
    </row>
    <row r="1390" spans="1:27" x14ac:dyDescent="0.25">
      <c r="A1390" s="1">
        <v>1389</v>
      </c>
      <c r="B1390" t="s">
        <v>2426</v>
      </c>
      <c r="C1390" t="s">
        <v>1133</v>
      </c>
      <c r="D1390" t="s">
        <v>1133</v>
      </c>
      <c r="H1390" t="s">
        <v>1153</v>
      </c>
      <c r="I1390" t="s">
        <v>1153</v>
      </c>
      <c r="J1390" t="s">
        <v>1313</v>
      </c>
      <c r="K1390" t="s">
        <v>1212</v>
      </c>
      <c r="M1390" s="3">
        <f t="shared" si="84"/>
        <v>40.714285714285715</v>
      </c>
      <c r="N1390">
        <v>14</v>
      </c>
      <c r="O1390">
        <v>52</v>
      </c>
      <c r="P1390">
        <v>44</v>
      </c>
      <c r="Q1390">
        <v>48</v>
      </c>
      <c r="R1390">
        <v>50</v>
      </c>
      <c r="S1390">
        <v>52</v>
      </c>
      <c r="T1390">
        <v>25</v>
      </c>
      <c r="U1390">
        <v>0</v>
      </c>
      <c r="V1390" s="3">
        <f t="shared" si="85"/>
        <v>12517</v>
      </c>
      <c r="W1390">
        <v>1043.0833333333333</v>
      </c>
      <c r="X1390">
        <v>0</v>
      </c>
      <c r="Y1390">
        <f t="shared" si="86"/>
        <v>1043.0833333333333</v>
      </c>
      <c r="Z1390">
        <f t="shared" si="87"/>
        <v>0</v>
      </c>
      <c r="AA1390">
        <v>0</v>
      </c>
    </row>
    <row r="1391" spans="1:27" x14ac:dyDescent="0.25">
      <c r="A1391" s="1">
        <v>1390</v>
      </c>
      <c r="B1391" t="s">
        <v>2586</v>
      </c>
      <c r="C1391" t="s">
        <v>1134</v>
      </c>
      <c r="D1391" t="s">
        <v>1138</v>
      </c>
      <c r="E1391" t="s">
        <v>1144</v>
      </c>
      <c r="H1391" t="s">
        <v>1153</v>
      </c>
      <c r="I1391" t="s">
        <v>1153</v>
      </c>
      <c r="J1391" t="s">
        <v>1313</v>
      </c>
      <c r="K1391" t="s">
        <v>1212</v>
      </c>
      <c r="M1391" s="3">
        <f t="shared" si="84"/>
        <v>36.857142857142854</v>
      </c>
      <c r="N1391">
        <v>12</v>
      </c>
      <c r="O1391">
        <v>46</v>
      </c>
      <c r="P1391">
        <v>40</v>
      </c>
      <c r="Q1391">
        <v>44</v>
      </c>
      <c r="R1391">
        <v>46</v>
      </c>
      <c r="S1391">
        <v>48</v>
      </c>
      <c r="T1391">
        <v>22</v>
      </c>
      <c r="U1391">
        <v>0</v>
      </c>
      <c r="V1391" s="3">
        <f t="shared" si="85"/>
        <v>4627</v>
      </c>
      <c r="W1391">
        <v>385.58333333333331</v>
      </c>
      <c r="X1391">
        <v>0</v>
      </c>
      <c r="Y1391">
        <f t="shared" si="86"/>
        <v>385.58333333333331</v>
      </c>
      <c r="Z1391">
        <f t="shared" si="87"/>
        <v>0</v>
      </c>
      <c r="AA1391">
        <v>0</v>
      </c>
    </row>
    <row r="1392" spans="1:27" x14ac:dyDescent="0.25">
      <c r="A1392" s="1">
        <v>1391</v>
      </c>
      <c r="B1392" t="s">
        <v>2417</v>
      </c>
      <c r="C1392" t="s">
        <v>1134</v>
      </c>
      <c r="D1392" t="s">
        <v>1138</v>
      </c>
      <c r="E1392" t="s">
        <v>1139</v>
      </c>
      <c r="H1392" t="s">
        <v>1153</v>
      </c>
      <c r="I1392" t="s">
        <v>1153</v>
      </c>
      <c r="J1392" t="s">
        <v>1313</v>
      </c>
      <c r="K1392" t="s">
        <v>1212</v>
      </c>
      <c r="M1392" s="3">
        <f t="shared" si="84"/>
        <v>47.714285714285715</v>
      </c>
      <c r="N1392">
        <v>18</v>
      </c>
      <c r="O1392">
        <v>60</v>
      </c>
      <c r="P1392">
        <v>52</v>
      </c>
      <c r="Q1392">
        <v>56</v>
      </c>
      <c r="R1392">
        <v>58</v>
      </c>
      <c r="S1392">
        <v>60</v>
      </c>
      <c r="T1392">
        <v>30</v>
      </c>
      <c r="U1392">
        <v>0</v>
      </c>
      <c r="V1392" s="3">
        <f t="shared" si="85"/>
        <v>61163</v>
      </c>
      <c r="W1392">
        <v>5096.916666666667</v>
      </c>
      <c r="X1392">
        <v>0</v>
      </c>
      <c r="Y1392">
        <f t="shared" si="86"/>
        <v>5096.916666666667</v>
      </c>
      <c r="Z1392">
        <f t="shared" si="87"/>
        <v>0</v>
      </c>
      <c r="AA1392">
        <v>0</v>
      </c>
    </row>
    <row r="1393" spans="1:27" x14ac:dyDescent="0.25">
      <c r="A1393" s="1">
        <v>1392</v>
      </c>
      <c r="B1393" t="s">
        <v>2634</v>
      </c>
      <c r="C1393" t="s">
        <v>1134</v>
      </c>
      <c r="D1393" t="s">
        <v>1139</v>
      </c>
      <c r="E1393" t="s">
        <v>1138</v>
      </c>
      <c r="H1393" t="s">
        <v>1153</v>
      </c>
      <c r="I1393" t="s">
        <v>1153</v>
      </c>
      <c r="J1393" t="s">
        <v>1313</v>
      </c>
      <c r="K1393" t="s">
        <v>1212</v>
      </c>
      <c r="M1393" s="3">
        <f t="shared" si="84"/>
        <v>46</v>
      </c>
      <c r="N1393">
        <v>17</v>
      </c>
      <c r="O1393">
        <v>58</v>
      </c>
      <c r="P1393">
        <v>50</v>
      </c>
      <c r="Q1393">
        <v>54</v>
      </c>
      <c r="R1393">
        <v>56</v>
      </c>
      <c r="S1393">
        <v>58</v>
      </c>
      <c r="T1393">
        <v>29</v>
      </c>
      <c r="U1393">
        <v>0</v>
      </c>
      <c r="V1393" s="3">
        <f t="shared" si="85"/>
        <v>42421</v>
      </c>
      <c r="W1393">
        <v>3535.0833333333335</v>
      </c>
      <c r="X1393">
        <v>0</v>
      </c>
      <c r="Y1393">
        <f t="shared" si="86"/>
        <v>3535.0833333333335</v>
      </c>
      <c r="Z1393">
        <f t="shared" si="87"/>
        <v>0</v>
      </c>
      <c r="AA1393">
        <v>0</v>
      </c>
    </row>
    <row r="1394" spans="1:27" x14ac:dyDescent="0.25">
      <c r="A1394" s="1">
        <v>1393</v>
      </c>
      <c r="B1394" t="s">
        <v>2418</v>
      </c>
      <c r="C1394" t="s">
        <v>1134</v>
      </c>
      <c r="D1394" t="s">
        <v>1140</v>
      </c>
      <c r="E1394" t="s">
        <v>1138</v>
      </c>
      <c r="H1394" t="s">
        <v>1153</v>
      </c>
      <c r="I1394" t="s">
        <v>1153</v>
      </c>
      <c r="J1394" t="s">
        <v>1313</v>
      </c>
      <c r="K1394" t="s">
        <v>1212</v>
      </c>
      <c r="M1394" s="3">
        <f t="shared" si="84"/>
        <v>43.714285714285715</v>
      </c>
      <c r="N1394">
        <v>15</v>
      </c>
      <c r="O1394">
        <v>54</v>
      </c>
      <c r="P1394">
        <v>48</v>
      </c>
      <c r="Q1394">
        <v>52</v>
      </c>
      <c r="R1394">
        <v>54</v>
      </c>
      <c r="S1394">
        <v>56</v>
      </c>
      <c r="T1394">
        <v>27</v>
      </c>
      <c r="U1394">
        <v>0</v>
      </c>
      <c r="V1394" s="3">
        <f t="shared" si="85"/>
        <v>25483</v>
      </c>
      <c r="W1394">
        <v>2123.5833333333335</v>
      </c>
      <c r="X1394">
        <v>0</v>
      </c>
      <c r="Y1394">
        <f t="shared" si="86"/>
        <v>2123.5833333333335</v>
      </c>
      <c r="Z1394">
        <f t="shared" si="87"/>
        <v>0</v>
      </c>
      <c r="AA1394">
        <v>0</v>
      </c>
    </row>
    <row r="1395" spans="1:27" x14ac:dyDescent="0.25">
      <c r="A1395" s="1">
        <v>1394</v>
      </c>
      <c r="B1395" t="s">
        <v>2419</v>
      </c>
      <c r="C1395" t="s">
        <v>1134</v>
      </c>
      <c r="D1395" t="s">
        <v>1140</v>
      </c>
      <c r="E1395" t="s">
        <v>1139</v>
      </c>
      <c r="H1395" t="s">
        <v>1153</v>
      </c>
      <c r="I1395" t="s">
        <v>1153</v>
      </c>
      <c r="J1395" t="s">
        <v>1313</v>
      </c>
      <c r="K1395" t="s">
        <v>1212</v>
      </c>
      <c r="M1395" s="3">
        <f t="shared" si="84"/>
        <v>40.142857142857146</v>
      </c>
      <c r="N1395">
        <v>13</v>
      </c>
      <c r="O1395">
        <v>50</v>
      </c>
      <c r="P1395">
        <v>44</v>
      </c>
      <c r="Q1395">
        <v>48</v>
      </c>
      <c r="R1395">
        <v>50</v>
      </c>
      <c r="S1395">
        <v>52</v>
      </c>
      <c r="T1395">
        <v>24</v>
      </c>
      <c r="U1395">
        <v>0</v>
      </c>
      <c r="V1395" s="3">
        <f t="shared" si="85"/>
        <v>10867</v>
      </c>
      <c r="W1395">
        <v>905.58333333333337</v>
      </c>
      <c r="X1395">
        <v>0</v>
      </c>
      <c r="Y1395">
        <f t="shared" si="86"/>
        <v>905.58333333333337</v>
      </c>
      <c r="Z1395">
        <f t="shared" si="87"/>
        <v>0</v>
      </c>
      <c r="AA1395">
        <v>0</v>
      </c>
    </row>
    <row r="1396" spans="1:27" x14ac:dyDescent="0.25">
      <c r="A1396" s="1">
        <v>1395</v>
      </c>
      <c r="B1396" t="s">
        <v>1314</v>
      </c>
      <c r="C1396" t="s">
        <v>1134</v>
      </c>
      <c r="D1396" t="s">
        <v>1138</v>
      </c>
      <c r="H1396" t="s">
        <v>1153</v>
      </c>
      <c r="I1396" t="s">
        <v>1153</v>
      </c>
      <c r="J1396" t="s">
        <v>1313</v>
      </c>
      <c r="K1396" t="s">
        <v>1212</v>
      </c>
      <c r="M1396" s="3">
        <f t="shared" si="84"/>
        <v>40.714285714285715</v>
      </c>
      <c r="N1396">
        <v>10</v>
      </c>
      <c r="O1396">
        <v>34</v>
      </c>
      <c r="P1396">
        <v>40</v>
      </c>
      <c r="Q1396">
        <v>42</v>
      </c>
      <c r="R1396">
        <v>60</v>
      </c>
      <c r="S1396">
        <v>76</v>
      </c>
      <c r="T1396">
        <v>23</v>
      </c>
      <c r="U1396">
        <v>0</v>
      </c>
      <c r="V1396" s="3">
        <f t="shared" si="85"/>
        <v>12517</v>
      </c>
      <c r="W1396">
        <v>1043.0833333333333</v>
      </c>
      <c r="X1396">
        <v>0</v>
      </c>
      <c r="Y1396">
        <f t="shared" si="86"/>
        <v>1043.0833333333333</v>
      </c>
      <c r="Z1396">
        <f t="shared" si="87"/>
        <v>0</v>
      </c>
      <c r="AA1396">
        <v>0</v>
      </c>
    </row>
    <row r="1397" spans="1:27" x14ac:dyDescent="0.25">
      <c r="A1397" s="1">
        <v>1396</v>
      </c>
      <c r="B1397" t="s">
        <v>2424</v>
      </c>
      <c r="C1397" t="s">
        <v>1135</v>
      </c>
      <c r="D1397" t="s">
        <v>1142</v>
      </c>
      <c r="E1397" t="s">
        <v>1141</v>
      </c>
      <c r="H1397" t="s">
        <v>1153</v>
      </c>
      <c r="I1397" t="s">
        <v>1153</v>
      </c>
      <c r="J1397" t="s">
        <v>1313</v>
      </c>
      <c r="K1397" t="s">
        <v>1212</v>
      </c>
      <c r="M1397" s="3">
        <f t="shared" si="84"/>
        <v>51.428571428571431</v>
      </c>
      <c r="N1397">
        <v>21</v>
      </c>
      <c r="O1397">
        <v>64</v>
      </c>
      <c r="P1397">
        <v>56</v>
      </c>
      <c r="Q1397">
        <v>60</v>
      </c>
      <c r="R1397">
        <v>62</v>
      </c>
      <c r="S1397">
        <v>64</v>
      </c>
      <c r="T1397">
        <v>33</v>
      </c>
      <c r="U1397">
        <v>0</v>
      </c>
      <c r="V1397" s="3">
        <f t="shared" si="85"/>
        <v>129433</v>
      </c>
      <c r="W1397">
        <v>10786.083333333334</v>
      </c>
      <c r="X1397">
        <v>0</v>
      </c>
      <c r="Y1397">
        <f t="shared" si="86"/>
        <v>10786.083333333334</v>
      </c>
      <c r="Z1397">
        <f t="shared" si="87"/>
        <v>0</v>
      </c>
      <c r="AA1397">
        <v>0</v>
      </c>
    </row>
    <row r="1398" spans="1:27" x14ac:dyDescent="0.25">
      <c r="A1398" s="1">
        <v>1397</v>
      </c>
      <c r="B1398" t="s">
        <v>2620</v>
      </c>
      <c r="C1398" t="s">
        <v>1135</v>
      </c>
      <c r="D1398" t="s">
        <v>1142</v>
      </c>
      <c r="E1398" t="s">
        <v>1141</v>
      </c>
      <c r="H1398" t="s">
        <v>1153</v>
      </c>
      <c r="I1398" t="s">
        <v>1153</v>
      </c>
      <c r="J1398" t="s">
        <v>1313</v>
      </c>
      <c r="K1398" t="s">
        <v>1212</v>
      </c>
      <c r="M1398" s="3">
        <f t="shared" si="84"/>
        <v>45.142857142857146</v>
      </c>
      <c r="N1398">
        <v>16</v>
      </c>
      <c r="O1398">
        <v>56</v>
      </c>
      <c r="P1398">
        <v>48</v>
      </c>
      <c r="Q1398">
        <v>54</v>
      </c>
      <c r="R1398">
        <v>56</v>
      </c>
      <c r="S1398">
        <v>58</v>
      </c>
      <c r="T1398">
        <v>28</v>
      </c>
      <c r="U1398">
        <v>0</v>
      </c>
      <c r="V1398" s="3">
        <f t="shared" si="85"/>
        <v>35148</v>
      </c>
      <c r="W1398">
        <v>2929</v>
      </c>
      <c r="X1398">
        <v>0</v>
      </c>
      <c r="Y1398">
        <f t="shared" si="86"/>
        <v>2929</v>
      </c>
      <c r="Z1398">
        <f t="shared" si="87"/>
        <v>0</v>
      </c>
      <c r="AA1398">
        <v>0</v>
      </c>
    </row>
    <row r="1399" spans="1:27" x14ac:dyDescent="0.25">
      <c r="A1399" s="1">
        <v>1398</v>
      </c>
      <c r="B1399" t="s">
        <v>2599</v>
      </c>
      <c r="C1399" t="s">
        <v>1135</v>
      </c>
      <c r="D1399" t="s">
        <v>1141</v>
      </c>
      <c r="E1399" t="s">
        <v>1142</v>
      </c>
      <c r="H1399" t="s">
        <v>1153</v>
      </c>
      <c r="I1399" t="s">
        <v>1153</v>
      </c>
      <c r="J1399" t="s">
        <v>1313</v>
      </c>
      <c r="K1399" t="s">
        <v>1212</v>
      </c>
      <c r="M1399" s="3">
        <f t="shared" si="84"/>
        <v>64.857142857142861</v>
      </c>
      <c r="N1399">
        <v>26</v>
      </c>
      <c r="O1399">
        <v>80</v>
      </c>
      <c r="P1399">
        <v>72</v>
      </c>
      <c r="Q1399">
        <v>74</v>
      </c>
      <c r="R1399">
        <v>76</v>
      </c>
      <c r="S1399">
        <v>78</v>
      </c>
      <c r="T1399">
        <v>48</v>
      </c>
      <c r="U1399">
        <v>0</v>
      </c>
      <c r="V1399" s="3">
        <f t="shared" si="85"/>
        <v>1316977</v>
      </c>
      <c r="W1399">
        <v>109748.08333333333</v>
      </c>
      <c r="X1399">
        <v>0</v>
      </c>
      <c r="Y1399">
        <f t="shared" si="86"/>
        <v>109748.08333333333</v>
      </c>
      <c r="Z1399">
        <f t="shared" si="87"/>
        <v>0</v>
      </c>
      <c r="AA1399">
        <v>0</v>
      </c>
    </row>
    <row r="1400" spans="1:27" x14ac:dyDescent="0.25">
      <c r="A1400" s="1">
        <v>1399</v>
      </c>
      <c r="B1400" t="s">
        <v>2166</v>
      </c>
      <c r="C1400" t="s">
        <v>1136</v>
      </c>
      <c r="D1400" t="s">
        <v>1143</v>
      </c>
      <c r="E1400" t="s">
        <v>1144</v>
      </c>
      <c r="H1400" t="s">
        <v>1153</v>
      </c>
      <c r="I1400" t="s">
        <v>1153</v>
      </c>
      <c r="J1400" t="s">
        <v>1313</v>
      </c>
      <c r="K1400" t="s">
        <v>1212</v>
      </c>
      <c r="M1400" s="3">
        <f t="shared" si="84"/>
        <v>35.428571428571431</v>
      </c>
      <c r="N1400">
        <v>11</v>
      </c>
      <c r="O1400">
        <v>46</v>
      </c>
      <c r="P1400">
        <v>38</v>
      </c>
      <c r="Q1400">
        <v>42</v>
      </c>
      <c r="R1400">
        <v>44</v>
      </c>
      <c r="S1400">
        <v>46</v>
      </c>
      <c r="T1400">
        <v>21</v>
      </c>
      <c r="U1400">
        <v>0</v>
      </c>
      <c r="V1400" s="3">
        <f t="shared" si="85"/>
        <v>3116</v>
      </c>
      <c r="W1400">
        <v>259.66666666666669</v>
      </c>
      <c r="X1400">
        <v>0</v>
      </c>
      <c r="Y1400">
        <f t="shared" si="86"/>
        <v>259.66666666666669</v>
      </c>
      <c r="Z1400">
        <f t="shared" si="87"/>
        <v>0</v>
      </c>
      <c r="AA1400">
        <v>0</v>
      </c>
    </row>
    <row r="1401" spans="1:27" x14ac:dyDescent="0.25">
      <c r="A1401" s="1">
        <v>1400</v>
      </c>
      <c r="B1401" t="s">
        <v>2421</v>
      </c>
      <c r="C1401" t="s">
        <v>1136</v>
      </c>
      <c r="D1401" t="s">
        <v>1144</v>
      </c>
      <c r="E1401" t="s">
        <v>1138</v>
      </c>
      <c r="H1401" t="s">
        <v>1153</v>
      </c>
      <c r="I1401" t="s">
        <v>1153</v>
      </c>
      <c r="J1401" t="s">
        <v>1313</v>
      </c>
      <c r="K1401" t="s">
        <v>1212</v>
      </c>
      <c r="M1401" s="3">
        <f t="shared" si="84"/>
        <v>49.428571428571431</v>
      </c>
      <c r="N1401">
        <v>19</v>
      </c>
      <c r="O1401">
        <v>62</v>
      </c>
      <c r="P1401">
        <v>54</v>
      </c>
      <c r="Q1401">
        <v>58</v>
      </c>
      <c r="R1401">
        <v>60</v>
      </c>
      <c r="S1401">
        <v>62</v>
      </c>
      <c r="T1401">
        <v>31</v>
      </c>
      <c r="U1401">
        <v>0</v>
      </c>
      <c r="V1401" s="3">
        <f t="shared" si="85"/>
        <v>87053</v>
      </c>
      <c r="W1401">
        <v>7254.416666666667</v>
      </c>
      <c r="X1401">
        <v>0</v>
      </c>
      <c r="Y1401">
        <f t="shared" si="86"/>
        <v>7254.416666666667</v>
      </c>
      <c r="Z1401">
        <f t="shared" si="87"/>
        <v>0</v>
      </c>
      <c r="AA1401">
        <v>0</v>
      </c>
    </row>
    <row r="1402" spans="1:27" x14ac:dyDescent="0.25">
      <c r="A1402" s="1">
        <v>1401</v>
      </c>
      <c r="B1402" t="s">
        <v>2422</v>
      </c>
      <c r="C1402" t="s">
        <v>1136</v>
      </c>
      <c r="D1402" t="s">
        <v>1143</v>
      </c>
      <c r="E1402" t="s">
        <v>1146</v>
      </c>
      <c r="H1402" t="s">
        <v>1153</v>
      </c>
      <c r="I1402" t="s">
        <v>1153</v>
      </c>
      <c r="J1402" t="s">
        <v>1313</v>
      </c>
      <c r="K1402" t="s">
        <v>1212</v>
      </c>
      <c r="M1402" s="3">
        <f t="shared" si="84"/>
        <v>46</v>
      </c>
      <c r="N1402">
        <v>17</v>
      </c>
      <c r="O1402">
        <v>58</v>
      </c>
      <c r="P1402">
        <v>50</v>
      </c>
      <c r="Q1402">
        <v>54</v>
      </c>
      <c r="R1402">
        <v>56</v>
      </c>
      <c r="S1402">
        <v>58</v>
      </c>
      <c r="T1402">
        <v>29</v>
      </c>
      <c r="U1402">
        <v>0</v>
      </c>
      <c r="V1402" s="3">
        <f t="shared" si="85"/>
        <v>42421</v>
      </c>
      <c r="W1402">
        <v>3535.0833333333335</v>
      </c>
      <c r="X1402">
        <v>0</v>
      </c>
      <c r="Y1402">
        <f t="shared" si="86"/>
        <v>3535.0833333333335</v>
      </c>
      <c r="Z1402">
        <f t="shared" si="87"/>
        <v>0</v>
      </c>
      <c r="AA1402">
        <v>0</v>
      </c>
    </row>
    <row r="1403" spans="1:27" x14ac:dyDescent="0.25">
      <c r="A1403" s="1">
        <v>1402</v>
      </c>
      <c r="B1403" t="s">
        <v>2420</v>
      </c>
      <c r="C1403" t="s">
        <v>1136</v>
      </c>
      <c r="D1403" t="s">
        <v>1144</v>
      </c>
      <c r="E1403" t="s">
        <v>1143</v>
      </c>
      <c r="H1403" t="s">
        <v>1153</v>
      </c>
      <c r="I1403" t="s">
        <v>1153</v>
      </c>
      <c r="J1403" t="s">
        <v>1313</v>
      </c>
      <c r="K1403" t="s">
        <v>1212</v>
      </c>
      <c r="M1403" s="3">
        <f t="shared" si="84"/>
        <v>43.285714285714285</v>
      </c>
      <c r="N1403">
        <v>15</v>
      </c>
      <c r="O1403">
        <v>54</v>
      </c>
      <c r="P1403">
        <v>46</v>
      </c>
      <c r="Q1403">
        <v>52</v>
      </c>
      <c r="R1403">
        <v>54</v>
      </c>
      <c r="S1403">
        <v>56</v>
      </c>
      <c r="T1403">
        <v>26</v>
      </c>
      <c r="U1403">
        <v>0</v>
      </c>
      <c r="V1403" s="3">
        <f t="shared" si="85"/>
        <v>23092</v>
      </c>
      <c r="W1403">
        <v>1924.3333333333333</v>
      </c>
      <c r="X1403">
        <v>0</v>
      </c>
      <c r="Y1403">
        <f t="shared" si="86"/>
        <v>1924.3333333333333</v>
      </c>
      <c r="Z1403">
        <f t="shared" si="87"/>
        <v>0</v>
      </c>
      <c r="AA1403">
        <v>0</v>
      </c>
    </row>
    <row r="1404" spans="1:27" x14ac:dyDescent="0.25">
      <c r="A1404" s="1">
        <v>1403</v>
      </c>
      <c r="B1404" t="s">
        <v>2613</v>
      </c>
      <c r="C1404" t="s">
        <v>1136</v>
      </c>
      <c r="D1404" t="s">
        <v>1145</v>
      </c>
      <c r="E1404" t="s">
        <v>1147</v>
      </c>
      <c r="H1404" t="s">
        <v>1153</v>
      </c>
      <c r="I1404" t="s">
        <v>1153</v>
      </c>
      <c r="J1404" t="s">
        <v>1313</v>
      </c>
      <c r="K1404" t="s">
        <v>1212</v>
      </c>
      <c r="M1404" s="3">
        <f t="shared" si="84"/>
        <v>47.714285714285715</v>
      </c>
      <c r="N1404">
        <v>18</v>
      </c>
      <c r="O1404">
        <v>60</v>
      </c>
      <c r="P1404">
        <v>52</v>
      </c>
      <c r="Q1404">
        <v>56</v>
      </c>
      <c r="R1404">
        <v>58</v>
      </c>
      <c r="S1404">
        <v>60</v>
      </c>
      <c r="T1404">
        <v>30</v>
      </c>
      <c r="U1404">
        <v>0</v>
      </c>
      <c r="V1404" s="3">
        <f t="shared" si="85"/>
        <v>61163</v>
      </c>
      <c r="W1404">
        <v>5096.916666666667</v>
      </c>
      <c r="X1404">
        <v>0</v>
      </c>
      <c r="Y1404">
        <f t="shared" si="86"/>
        <v>5096.916666666667</v>
      </c>
      <c r="Z1404">
        <f t="shared" si="87"/>
        <v>0</v>
      </c>
      <c r="AA1404">
        <v>0</v>
      </c>
    </row>
    <row r="1405" spans="1:27" x14ac:dyDescent="0.25">
      <c r="A1405" s="1">
        <v>1404</v>
      </c>
      <c r="B1405" t="s">
        <v>2425</v>
      </c>
      <c r="C1405" t="s">
        <v>1136</v>
      </c>
      <c r="D1405" t="s">
        <v>1147</v>
      </c>
      <c r="E1405" t="s">
        <v>1145</v>
      </c>
      <c r="H1405" t="s">
        <v>1153</v>
      </c>
      <c r="I1405" t="s">
        <v>1153</v>
      </c>
      <c r="J1405" t="s">
        <v>1313</v>
      </c>
      <c r="K1405" t="s">
        <v>1212</v>
      </c>
      <c r="M1405" s="3">
        <f t="shared" si="84"/>
        <v>61.571428571428569</v>
      </c>
      <c r="N1405">
        <v>23</v>
      </c>
      <c r="O1405">
        <v>74</v>
      </c>
      <c r="P1405">
        <v>68</v>
      </c>
      <c r="Q1405">
        <v>72</v>
      </c>
      <c r="R1405">
        <v>74</v>
      </c>
      <c r="S1405">
        <v>76</v>
      </c>
      <c r="T1405">
        <v>44</v>
      </c>
      <c r="U1405">
        <v>0</v>
      </c>
      <c r="V1405" s="3">
        <f t="shared" si="85"/>
        <v>783056</v>
      </c>
      <c r="W1405">
        <v>65254.666666666664</v>
      </c>
      <c r="X1405">
        <v>0</v>
      </c>
      <c r="Y1405">
        <f t="shared" si="86"/>
        <v>65254.666666666664</v>
      </c>
      <c r="Z1405">
        <f t="shared" si="87"/>
        <v>0</v>
      </c>
      <c r="AA1405">
        <v>0</v>
      </c>
    </row>
    <row r="1406" spans="1:27" x14ac:dyDescent="0.25">
      <c r="A1406" s="1">
        <v>1405</v>
      </c>
      <c r="B1406" t="s">
        <v>2423</v>
      </c>
      <c r="C1406" t="s">
        <v>1136</v>
      </c>
      <c r="D1406" t="s">
        <v>1145</v>
      </c>
      <c r="E1406" t="s">
        <v>1143</v>
      </c>
      <c r="H1406" t="s">
        <v>1153</v>
      </c>
      <c r="I1406" t="s">
        <v>1153</v>
      </c>
      <c r="J1406" t="s">
        <v>1313</v>
      </c>
      <c r="K1406" t="s">
        <v>1212</v>
      </c>
      <c r="M1406" s="3">
        <f t="shared" si="84"/>
        <v>38.571428571428569</v>
      </c>
      <c r="N1406">
        <v>13</v>
      </c>
      <c r="O1406">
        <v>48</v>
      </c>
      <c r="P1406">
        <v>42</v>
      </c>
      <c r="Q1406">
        <v>46</v>
      </c>
      <c r="R1406">
        <v>48</v>
      </c>
      <c r="S1406">
        <v>50</v>
      </c>
      <c r="T1406">
        <v>23</v>
      </c>
      <c r="U1406">
        <v>0</v>
      </c>
      <c r="V1406" s="3">
        <f t="shared" si="85"/>
        <v>7289</v>
      </c>
      <c r="W1406">
        <v>607.41666666666663</v>
      </c>
      <c r="X1406">
        <v>0</v>
      </c>
      <c r="Y1406">
        <f t="shared" si="86"/>
        <v>607.41666666666663</v>
      </c>
      <c r="Z1406">
        <f t="shared" si="87"/>
        <v>0</v>
      </c>
      <c r="AA1406">
        <v>0</v>
      </c>
    </row>
    <row r="1407" spans="1:27" x14ac:dyDescent="0.25">
      <c r="A1407" s="1">
        <v>1406</v>
      </c>
      <c r="B1407" t="s">
        <v>2416</v>
      </c>
      <c r="C1407" t="s">
        <v>1137</v>
      </c>
      <c r="D1407" t="s">
        <v>1137</v>
      </c>
      <c r="H1407" t="s">
        <v>1153</v>
      </c>
      <c r="I1407" t="s">
        <v>1153</v>
      </c>
      <c r="J1407" t="s">
        <v>1313</v>
      </c>
      <c r="K1407" t="s">
        <v>1212</v>
      </c>
      <c r="M1407" s="3">
        <f t="shared" si="84"/>
        <v>42.428571428571431</v>
      </c>
      <c r="N1407">
        <v>15</v>
      </c>
      <c r="O1407">
        <v>54</v>
      </c>
      <c r="P1407">
        <v>46</v>
      </c>
      <c r="Q1407">
        <v>50</v>
      </c>
      <c r="R1407">
        <v>52</v>
      </c>
      <c r="S1407">
        <v>54</v>
      </c>
      <c r="T1407">
        <v>26</v>
      </c>
      <c r="U1407">
        <v>0</v>
      </c>
      <c r="V1407" s="3">
        <f t="shared" si="85"/>
        <v>18906</v>
      </c>
      <c r="W1407">
        <v>1575.5</v>
      </c>
      <c r="X1407">
        <v>0</v>
      </c>
      <c r="Y1407">
        <f t="shared" si="86"/>
        <v>1575.5</v>
      </c>
      <c r="Z1407">
        <f t="shared" si="87"/>
        <v>0</v>
      </c>
      <c r="AA1407">
        <v>0</v>
      </c>
    </row>
    <row r="1408" spans="1:27" x14ac:dyDescent="0.25">
      <c r="A1408" s="1">
        <v>1407</v>
      </c>
      <c r="B1408" t="s">
        <v>37</v>
      </c>
      <c r="C1408" t="s">
        <v>1133</v>
      </c>
      <c r="D1408" t="s">
        <v>1133</v>
      </c>
      <c r="G1408" t="s">
        <v>1158</v>
      </c>
      <c r="H1408" t="s">
        <v>1158</v>
      </c>
      <c r="I1408" t="s">
        <v>1158</v>
      </c>
      <c r="J1408" t="s">
        <v>1336</v>
      </c>
      <c r="K1408" t="s">
        <v>1212</v>
      </c>
      <c r="M1408" s="3">
        <f t="shared" si="84"/>
        <v>63.857142857142854</v>
      </c>
      <c r="N1408">
        <v>49</v>
      </c>
      <c r="O1408">
        <v>55</v>
      </c>
      <c r="P1408">
        <v>66</v>
      </c>
      <c r="Q1408">
        <v>70</v>
      </c>
      <c r="R1408">
        <v>75</v>
      </c>
      <c r="S1408">
        <v>77</v>
      </c>
      <c r="T1408">
        <v>55</v>
      </c>
      <c r="U1408">
        <v>0</v>
      </c>
      <c r="V1408" s="3">
        <f t="shared" si="85"/>
        <v>1127444</v>
      </c>
      <c r="W1408">
        <v>93953.666666666672</v>
      </c>
      <c r="X1408">
        <v>0</v>
      </c>
      <c r="Y1408">
        <f t="shared" si="86"/>
        <v>93953.666666666672</v>
      </c>
      <c r="Z1408">
        <f t="shared" si="87"/>
        <v>0</v>
      </c>
      <c r="AA1408">
        <v>0</v>
      </c>
    </row>
    <row r="1409" spans="1:27" x14ac:dyDescent="0.25">
      <c r="A1409" s="1">
        <v>1408</v>
      </c>
      <c r="B1409" t="s">
        <v>36</v>
      </c>
      <c r="C1409" t="s">
        <v>1133</v>
      </c>
      <c r="D1409" t="s">
        <v>1133</v>
      </c>
      <c r="G1409" t="s">
        <v>1158</v>
      </c>
      <c r="H1409" t="s">
        <v>1158</v>
      </c>
      <c r="I1409" t="s">
        <v>1158</v>
      </c>
      <c r="J1409" t="s">
        <v>1336</v>
      </c>
      <c r="K1409" t="s">
        <v>1212</v>
      </c>
      <c r="M1409" s="3">
        <f t="shared" si="84"/>
        <v>73.571428571428569</v>
      </c>
      <c r="N1409">
        <v>51</v>
      </c>
      <c r="O1409">
        <v>75</v>
      </c>
      <c r="P1409">
        <v>76</v>
      </c>
      <c r="Q1409">
        <v>80</v>
      </c>
      <c r="R1409">
        <v>81</v>
      </c>
      <c r="S1409">
        <v>80</v>
      </c>
      <c r="T1409">
        <v>72</v>
      </c>
      <c r="U1409">
        <v>0</v>
      </c>
      <c r="V1409" s="3">
        <f t="shared" si="85"/>
        <v>4646136</v>
      </c>
      <c r="W1409">
        <v>387178</v>
      </c>
      <c r="X1409">
        <v>0</v>
      </c>
      <c r="Y1409">
        <f t="shared" si="86"/>
        <v>387178</v>
      </c>
      <c r="Z1409">
        <f t="shared" si="87"/>
        <v>0</v>
      </c>
      <c r="AA1409">
        <v>0</v>
      </c>
    </row>
    <row r="1410" spans="1:27" x14ac:dyDescent="0.25">
      <c r="A1410" s="1">
        <v>1409</v>
      </c>
      <c r="B1410" t="s">
        <v>1561</v>
      </c>
      <c r="C1410" t="s">
        <v>1134</v>
      </c>
      <c r="D1410" t="s">
        <v>1138</v>
      </c>
      <c r="E1410" t="s">
        <v>1140</v>
      </c>
      <c r="H1410" t="s">
        <v>1153</v>
      </c>
      <c r="I1410" t="s">
        <v>1153</v>
      </c>
      <c r="J1410" t="s">
        <v>1336</v>
      </c>
      <c r="K1410" t="s">
        <v>1212</v>
      </c>
      <c r="M1410" s="3">
        <f t="shared" ref="M1410:M1473" si="88">AVERAGE(N1410:T1410)</f>
        <v>60.285714285714285</v>
      </c>
      <c r="N1410">
        <v>23</v>
      </c>
      <c r="O1410">
        <v>65</v>
      </c>
      <c r="P1410">
        <v>58</v>
      </c>
      <c r="Q1410">
        <v>74</v>
      </c>
      <c r="R1410">
        <v>69</v>
      </c>
      <c r="S1410">
        <v>80</v>
      </c>
      <c r="T1410">
        <v>53</v>
      </c>
      <c r="U1410">
        <v>0</v>
      </c>
      <c r="V1410" s="3">
        <f t="shared" ref="V1410:V1473" si="89">ROUNDUP(M1410^10/1000000000000 * IF(U1410&gt;0,1.5,1),0)</f>
        <v>634081</v>
      </c>
      <c r="W1410">
        <v>52840.083333333336</v>
      </c>
      <c r="X1410">
        <v>0</v>
      </c>
      <c r="Y1410">
        <f t="shared" ref="Y1410:Y1473" si="90">V1410/12</f>
        <v>52840.083333333336</v>
      </c>
      <c r="Z1410">
        <f t="shared" ref="Z1410:Z1473" si="91">ROUND(((W1410-Y1410)/Y1410)*100,2)</f>
        <v>0</v>
      </c>
      <c r="AA1410">
        <v>0</v>
      </c>
    </row>
    <row r="1411" spans="1:27" x14ac:dyDescent="0.25">
      <c r="A1411" s="1">
        <v>1410</v>
      </c>
      <c r="B1411" t="s">
        <v>413</v>
      </c>
      <c r="C1411" t="s">
        <v>1134</v>
      </c>
      <c r="D1411" t="s">
        <v>1138</v>
      </c>
      <c r="E1411" t="s">
        <v>1139</v>
      </c>
      <c r="G1411" t="s">
        <v>1208</v>
      </c>
      <c r="H1411" t="s">
        <v>1208</v>
      </c>
      <c r="I1411" t="s">
        <v>1208</v>
      </c>
      <c r="J1411" t="s">
        <v>1336</v>
      </c>
      <c r="K1411" t="s">
        <v>1212</v>
      </c>
      <c r="M1411" s="3">
        <f t="shared" si="88"/>
        <v>72.714285714285708</v>
      </c>
      <c r="N1411">
        <v>60</v>
      </c>
      <c r="O1411">
        <v>63</v>
      </c>
      <c r="P1411">
        <v>74</v>
      </c>
      <c r="Q1411">
        <v>80</v>
      </c>
      <c r="R1411">
        <v>82</v>
      </c>
      <c r="S1411">
        <v>80</v>
      </c>
      <c r="T1411">
        <v>70</v>
      </c>
      <c r="U1411">
        <v>0</v>
      </c>
      <c r="V1411" s="3">
        <f t="shared" si="89"/>
        <v>4132354</v>
      </c>
      <c r="W1411">
        <v>344362.83333333331</v>
      </c>
      <c r="X1411">
        <v>0</v>
      </c>
      <c r="Y1411">
        <f t="shared" si="90"/>
        <v>344362.83333333331</v>
      </c>
      <c r="Z1411">
        <f t="shared" si="91"/>
        <v>0</v>
      </c>
      <c r="AA1411">
        <v>0</v>
      </c>
    </row>
    <row r="1412" spans="1:27" x14ac:dyDescent="0.25">
      <c r="A1412" s="1">
        <v>1411</v>
      </c>
      <c r="B1412" t="s">
        <v>1563</v>
      </c>
      <c r="C1412" t="s">
        <v>1134</v>
      </c>
      <c r="D1412" t="s">
        <v>1138</v>
      </c>
      <c r="E1412" t="s">
        <v>1144</v>
      </c>
      <c r="H1412" t="s">
        <v>1153</v>
      </c>
      <c r="I1412" t="s">
        <v>1153</v>
      </c>
      <c r="J1412" t="s">
        <v>1336</v>
      </c>
      <c r="K1412" t="s">
        <v>1212</v>
      </c>
      <c r="M1412" s="3">
        <f t="shared" si="88"/>
        <v>61.142857142857146</v>
      </c>
      <c r="N1412">
        <v>30</v>
      </c>
      <c r="O1412">
        <v>83</v>
      </c>
      <c r="P1412">
        <v>56</v>
      </c>
      <c r="Q1412">
        <v>69</v>
      </c>
      <c r="R1412">
        <v>71</v>
      </c>
      <c r="S1412">
        <v>68</v>
      </c>
      <c r="T1412">
        <v>51</v>
      </c>
      <c r="U1412">
        <v>0</v>
      </c>
      <c r="V1412" s="3">
        <f t="shared" si="89"/>
        <v>730226</v>
      </c>
      <c r="W1412">
        <v>60852.166666666664</v>
      </c>
      <c r="X1412">
        <v>0</v>
      </c>
      <c r="Y1412">
        <f t="shared" si="90"/>
        <v>60852.166666666664</v>
      </c>
      <c r="Z1412">
        <f t="shared" si="91"/>
        <v>0</v>
      </c>
      <c r="AA1412">
        <v>0</v>
      </c>
    </row>
    <row r="1413" spans="1:27" x14ac:dyDescent="0.25">
      <c r="A1413" s="1">
        <v>1412</v>
      </c>
      <c r="B1413" t="s">
        <v>171</v>
      </c>
      <c r="C1413" t="s">
        <v>1134</v>
      </c>
      <c r="D1413" t="s">
        <v>1138</v>
      </c>
      <c r="G1413" t="s">
        <v>1158</v>
      </c>
      <c r="H1413" t="s">
        <v>1158</v>
      </c>
      <c r="I1413" t="s">
        <v>1158</v>
      </c>
      <c r="J1413" t="s">
        <v>1336</v>
      </c>
      <c r="K1413" t="s">
        <v>1212</v>
      </c>
      <c r="M1413" s="3">
        <f t="shared" si="88"/>
        <v>76.857142857142861</v>
      </c>
      <c r="N1413">
        <v>73</v>
      </c>
      <c r="O1413">
        <v>67</v>
      </c>
      <c r="P1413">
        <v>67</v>
      </c>
      <c r="Q1413">
        <v>78</v>
      </c>
      <c r="R1413">
        <v>85</v>
      </c>
      <c r="S1413">
        <v>84</v>
      </c>
      <c r="T1413">
        <v>84</v>
      </c>
      <c r="U1413">
        <v>0</v>
      </c>
      <c r="V1413" s="3">
        <f t="shared" si="89"/>
        <v>7191879</v>
      </c>
      <c r="W1413">
        <v>599323.25</v>
      </c>
      <c r="X1413">
        <v>0</v>
      </c>
      <c r="Y1413">
        <f t="shared" si="90"/>
        <v>599323.25</v>
      </c>
      <c r="Z1413">
        <f t="shared" si="91"/>
        <v>0</v>
      </c>
      <c r="AA1413">
        <v>0</v>
      </c>
    </row>
    <row r="1414" spans="1:27" x14ac:dyDescent="0.25">
      <c r="A1414" s="1">
        <v>1413</v>
      </c>
      <c r="B1414" t="s">
        <v>266</v>
      </c>
      <c r="C1414" t="s">
        <v>1134</v>
      </c>
      <c r="D1414" t="s">
        <v>1138</v>
      </c>
      <c r="G1414" t="s">
        <v>1177</v>
      </c>
      <c r="H1414" t="s">
        <v>1153</v>
      </c>
      <c r="I1414" t="s">
        <v>1153</v>
      </c>
      <c r="J1414" t="s">
        <v>1336</v>
      </c>
      <c r="K1414" t="s">
        <v>1212</v>
      </c>
      <c r="M1414" s="3">
        <f t="shared" si="88"/>
        <v>73.571428571428569</v>
      </c>
      <c r="N1414">
        <v>55</v>
      </c>
      <c r="O1414">
        <v>74</v>
      </c>
      <c r="P1414">
        <v>70</v>
      </c>
      <c r="Q1414">
        <v>80</v>
      </c>
      <c r="R1414">
        <v>82</v>
      </c>
      <c r="S1414">
        <v>79</v>
      </c>
      <c r="T1414">
        <v>75</v>
      </c>
      <c r="U1414">
        <v>0</v>
      </c>
      <c r="V1414" s="3">
        <f t="shared" si="89"/>
        <v>4646136</v>
      </c>
      <c r="W1414">
        <v>387178</v>
      </c>
      <c r="X1414">
        <v>0</v>
      </c>
      <c r="Y1414">
        <f t="shared" si="90"/>
        <v>387178</v>
      </c>
      <c r="Z1414">
        <f t="shared" si="91"/>
        <v>0</v>
      </c>
      <c r="AA1414">
        <v>0</v>
      </c>
    </row>
    <row r="1415" spans="1:27" x14ac:dyDescent="0.25">
      <c r="A1415" s="1">
        <v>1414</v>
      </c>
      <c r="B1415" t="s">
        <v>1562</v>
      </c>
      <c r="C1415" t="s">
        <v>1134</v>
      </c>
      <c r="D1415" t="s">
        <v>1139</v>
      </c>
      <c r="E1415" t="s">
        <v>1138</v>
      </c>
      <c r="H1415" t="s">
        <v>1153</v>
      </c>
      <c r="I1415" t="s">
        <v>1153</v>
      </c>
      <c r="J1415" t="s">
        <v>1336</v>
      </c>
      <c r="K1415" t="s">
        <v>1212</v>
      </c>
      <c r="M1415" s="3">
        <f t="shared" si="88"/>
        <v>65.857142857142861</v>
      </c>
      <c r="N1415">
        <v>38</v>
      </c>
      <c r="O1415">
        <v>70</v>
      </c>
      <c r="P1415">
        <v>61</v>
      </c>
      <c r="Q1415">
        <v>66</v>
      </c>
      <c r="R1415">
        <v>89</v>
      </c>
      <c r="S1415">
        <v>77</v>
      </c>
      <c r="T1415">
        <v>60</v>
      </c>
      <c r="U1415">
        <v>0</v>
      </c>
      <c r="V1415" s="3">
        <f t="shared" si="89"/>
        <v>1534719</v>
      </c>
      <c r="W1415">
        <v>127893.25</v>
      </c>
      <c r="X1415">
        <v>0</v>
      </c>
      <c r="Y1415">
        <f t="shared" si="90"/>
        <v>127893.25</v>
      </c>
      <c r="Z1415">
        <f t="shared" si="91"/>
        <v>0</v>
      </c>
      <c r="AA1415">
        <v>0</v>
      </c>
    </row>
    <row r="1416" spans="1:27" x14ac:dyDescent="0.25">
      <c r="A1416" s="1">
        <v>1415</v>
      </c>
      <c r="B1416" t="s">
        <v>267</v>
      </c>
      <c r="C1416" t="s">
        <v>1134</v>
      </c>
      <c r="D1416" t="s">
        <v>1138</v>
      </c>
      <c r="E1416" t="s">
        <v>1139</v>
      </c>
      <c r="G1416" t="s">
        <v>1177</v>
      </c>
      <c r="H1416" t="s">
        <v>1153</v>
      </c>
      <c r="I1416" t="s">
        <v>1153</v>
      </c>
      <c r="J1416" t="s">
        <v>1336</v>
      </c>
      <c r="K1416" t="s">
        <v>1212</v>
      </c>
      <c r="M1416" s="3">
        <f t="shared" si="88"/>
        <v>71.285714285714292</v>
      </c>
      <c r="N1416">
        <v>48</v>
      </c>
      <c r="O1416">
        <v>65</v>
      </c>
      <c r="P1416">
        <v>75</v>
      </c>
      <c r="Q1416">
        <v>75</v>
      </c>
      <c r="R1416">
        <v>80</v>
      </c>
      <c r="S1416">
        <v>86</v>
      </c>
      <c r="T1416">
        <v>70</v>
      </c>
      <c r="U1416">
        <v>0</v>
      </c>
      <c r="V1416" s="3">
        <f t="shared" si="89"/>
        <v>3388638</v>
      </c>
      <c r="W1416">
        <v>282386.5</v>
      </c>
      <c r="X1416">
        <v>0</v>
      </c>
      <c r="Y1416">
        <f t="shared" si="90"/>
        <v>282386.5</v>
      </c>
      <c r="Z1416">
        <f t="shared" si="91"/>
        <v>0</v>
      </c>
      <c r="AA1416">
        <v>0</v>
      </c>
    </row>
    <row r="1417" spans="1:27" x14ac:dyDescent="0.25">
      <c r="A1417" s="1">
        <v>1416</v>
      </c>
      <c r="B1417" t="s">
        <v>1560</v>
      </c>
      <c r="C1417" t="s">
        <v>1134</v>
      </c>
      <c r="D1417" t="s">
        <v>1138</v>
      </c>
      <c r="E1417" t="s">
        <v>1139</v>
      </c>
      <c r="H1417" t="s">
        <v>1153</v>
      </c>
      <c r="I1417" t="s">
        <v>1153</v>
      </c>
      <c r="J1417" t="s">
        <v>1336</v>
      </c>
      <c r="K1417" t="s">
        <v>1212</v>
      </c>
      <c r="M1417" s="3">
        <f t="shared" si="88"/>
        <v>70.142857142857139</v>
      </c>
      <c r="N1417">
        <v>50</v>
      </c>
      <c r="O1417">
        <v>80</v>
      </c>
      <c r="P1417">
        <v>75</v>
      </c>
      <c r="Q1417">
        <v>72</v>
      </c>
      <c r="R1417">
        <v>82</v>
      </c>
      <c r="S1417">
        <v>75</v>
      </c>
      <c r="T1417">
        <v>57</v>
      </c>
      <c r="U1417">
        <v>12</v>
      </c>
      <c r="V1417" s="3">
        <f t="shared" si="89"/>
        <v>4324400</v>
      </c>
      <c r="W1417">
        <v>107354.58333333333</v>
      </c>
      <c r="X1417">
        <v>0</v>
      </c>
      <c r="Y1417">
        <f t="shared" si="90"/>
        <v>360366.66666666669</v>
      </c>
      <c r="Z1417">
        <f t="shared" si="91"/>
        <v>-70.209999999999994</v>
      </c>
      <c r="AA1417">
        <v>0</v>
      </c>
    </row>
    <row r="1418" spans="1:27" x14ac:dyDescent="0.25">
      <c r="A1418" s="1">
        <v>1417</v>
      </c>
      <c r="B1418" t="s">
        <v>609</v>
      </c>
      <c r="C1418" t="s">
        <v>1135</v>
      </c>
      <c r="D1418" t="s">
        <v>1141</v>
      </c>
      <c r="G1418" t="s">
        <v>1204</v>
      </c>
      <c r="H1418" t="s">
        <v>1153</v>
      </c>
      <c r="I1418" t="s">
        <v>1153</v>
      </c>
      <c r="J1418" t="s">
        <v>1336</v>
      </c>
      <c r="K1418" t="s">
        <v>1212</v>
      </c>
      <c r="M1418" s="3">
        <f t="shared" si="88"/>
        <v>75.428571428571431</v>
      </c>
      <c r="N1418">
        <v>60</v>
      </c>
      <c r="O1418">
        <v>80</v>
      </c>
      <c r="P1418">
        <v>83</v>
      </c>
      <c r="Q1418">
        <v>81</v>
      </c>
      <c r="R1418">
        <v>74</v>
      </c>
      <c r="S1418">
        <v>85</v>
      </c>
      <c r="T1418">
        <v>65</v>
      </c>
      <c r="U1418">
        <v>0</v>
      </c>
      <c r="V1418" s="3">
        <f t="shared" si="89"/>
        <v>5961545</v>
      </c>
      <c r="W1418">
        <v>496795.41666666669</v>
      </c>
      <c r="X1418">
        <v>0</v>
      </c>
      <c r="Y1418">
        <f t="shared" si="90"/>
        <v>496795.41666666669</v>
      </c>
      <c r="Z1418">
        <f t="shared" si="91"/>
        <v>0</v>
      </c>
      <c r="AA1418">
        <v>0</v>
      </c>
    </row>
    <row r="1419" spans="1:27" x14ac:dyDescent="0.25">
      <c r="A1419" s="1">
        <v>1418</v>
      </c>
      <c r="B1419" t="s">
        <v>447</v>
      </c>
      <c r="C1419" t="s">
        <v>1135</v>
      </c>
      <c r="D1419" t="s">
        <v>1141</v>
      </c>
      <c r="E1419" t="s">
        <v>1145</v>
      </c>
      <c r="G1419" t="s">
        <v>1152</v>
      </c>
      <c r="H1419" t="s">
        <v>1220</v>
      </c>
      <c r="I1419" t="s">
        <v>1220</v>
      </c>
      <c r="J1419" t="s">
        <v>1336</v>
      </c>
      <c r="K1419" t="s">
        <v>1212</v>
      </c>
      <c r="M1419" s="3">
        <f t="shared" si="88"/>
        <v>82.285714285714292</v>
      </c>
      <c r="N1419">
        <v>73</v>
      </c>
      <c r="O1419">
        <v>81</v>
      </c>
      <c r="P1419">
        <v>92</v>
      </c>
      <c r="Q1419">
        <v>80</v>
      </c>
      <c r="R1419">
        <v>86</v>
      </c>
      <c r="S1419">
        <v>94</v>
      </c>
      <c r="T1419">
        <v>70</v>
      </c>
      <c r="U1419">
        <v>6</v>
      </c>
      <c r="V1419" s="3">
        <f t="shared" si="89"/>
        <v>21346944</v>
      </c>
      <c r="W1419">
        <v>1778912</v>
      </c>
      <c r="X1419">
        <v>0</v>
      </c>
      <c r="Y1419">
        <f t="shared" si="90"/>
        <v>1778912</v>
      </c>
      <c r="Z1419">
        <f t="shared" si="91"/>
        <v>0</v>
      </c>
      <c r="AA1419">
        <v>0</v>
      </c>
    </row>
    <row r="1420" spans="1:27" x14ac:dyDescent="0.25">
      <c r="A1420" s="1">
        <v>1419</v>
      </c>
      <c r="B1420" t="s">
        <v>1568</v>
      </c>
      <c r="C1420" t="s">
        <v>1135</v>
      </c>
      <c r="D1420" t="s">
        <v>1141</v>
      </c>
      <c r="E1420" t="s">
        <v>1142</v>
      </c>
      <c r="H1420" t="s">
        <v>1153</v>
      </c>
      <c r="I1420" t="s">
        <v>1153</v>
      </c>
      <c r="J1420" t="s">
        <v>1336</v>
      </c>
      <c r="K1420" t="s">
        <v>1212</v>
      </c>
      <c r="M1420" s="3">
        <f t="shared" si="88"/>
        <v>65</v>
      </c>
      <c r="N1420">
        <v>36</v>
      </c>
      <c r="O1420">
        <v>78</v>
      </c>
      <c r="P1420">
        <v>65</v>
      </c>
      <c r="Q1420">
        <v>70</v>
      </c>
      <c r="R1420">
        <v>77</v>
      </c>
      <c r="S1420">
        <v>71</v>
      </c>
      <c r="T1420">
        <v>58</v>
      </c>
      <c r="U1420">
        <v>0</v>
      </c>
      <c r="V1420" s="3">
        <f t="shared" si="89"/>
        <v>1346275</v>
      </c>
      <c r="W1420">
        <v>112189.58333333333</v>
      </c>
      <c r="X1420">
        <v>0</v>
      </c>
      <c r="Y1420">
        <f t="shared" si="90"/>
        <v>112189.58333333333</v>
      </c>
      <c r="Z1420">
        <f t="shared" si="91"/>
        <v>0</v>
      </c>
      <c r="AA1420">
        <v>0</v>
      </c>
    </row>
    <row r="1421" spans="1:27" x14ac:dyDescent="0.25">
      <c r="A1421" s="1">
        <v>1420</v>
      </c>
      <c r="B1421" t="s">
        <v>998</v>
      </c>
      <c r="C1421" t="s">
        <v>1136</v>
      </c>
      <c r="D1421" t="s">
        <v>1143</v>
      </c>
      <c r="E1421" t="s">
        <v>1146</v>
      </c>
      <c r="F1421" t="s">
        <v>1147</v>
      </c>
      <c r="G1421" t="s">
        <v>1207</v>
      </c>
      <c r="H1421" t="s">
        <v>1207</v>
      </c>
      <c r="I1421" t="s">
        <v>1207</v>
      </c>
      <c r="J1421" t="s">
        <v>1336</v>
      </c>
      <c r="K1421" t="s">
        <v>1212</v>
      </c>
      <c r="M1421" s="3">
        <f t="shared" si="88"/>
        <v>80.571428571428569</v>
      </c>
      <c r="N1421">
        <v>70</v>
      </c>
      <c r="O1421">
        <v>80</v>
      </c>
      <c r="P1421">
        <v>89</v>
      </c>
      <c r="Q1421">
        <v>80</v>
      </c>
      <c r="R1421">
        <v>78</v>
      </c>
      <c r="S1421">
        <v>84</v>
      </c>
      <c r="T1421">
        <v>83</v>
      </c>
      <c r="U1421">
        <v>21</v>
      </c>
      <c r="V1421" s="3">
        <f t="shared" si="89"/>
        <v>17294257</v>
      </c>
      <c r="W1421">
        <v>1441188.0833333333</v>
      </c>
      <c r="X1421">
        <v>0</v>
      </c>
      <c r="Y1421">
        <f t="shared" si="90"/>
        <v>1441188.0833333333</v>
      </c>
      <c r="Z1421">
        <f t="shared" si="91"/>
        <v>0</v>
      </c>
      <c r="AA1421">
        <v>0</v>
      </c>
    </row>
    <row r="1422" spans="1:27" x14ac:dyDescent="0.25">
      <c r="A1422" s="1">
        <v>1421</v>
      </c>
      <c r="B1422" t="s">
        <v>1567</v>
      </c>
      <c r="C1422" t="s">
        <v>1136</v>
      </c>
      <c r="D1422" t="s">
        <v>1146</v>
      </c>
      <c r="E1422" t="s">
        <v>1143</v>
      </c>
      <c r="H1422" t="s">
        <v>1153</v>
      </c>
      <c r="I1422" t="s">
        <v>1153</v>
      </c>
      <c r="J1422" t="s">
        <v>1336</v>
      </c>
      <c r="K1422" t="s">
        <v>1212</v>
      </c>
      <c r="M1422" s="3">
        <f t="shared" si="88"/>
        <v>60.714285714285715</v>
      </c>
      <c r="N1422">
        <v>28</v>
      </c>
      <c r="O1422">
        <v>81</v>
      </c>
      <c r="P1422">
        <v>52</v>
      </c>
      <c r="Q1422">
        <v>75</v>
      </c>
      <c r="R1422">
        <v>69</v>
      </c>
      <c r="S1422">
        <v>66</v>
      </c>
      <c r="T1422">
        <v>54</v>
      </c>
      <c r="U1422">
        <v>0</v>
      </c>
      <c r="V1422" s="3">
        <f t="shared" si="89"/>
        <v>680627</v>
      </c>
      <c r="W1422">
        <v>56718.916666666664</v>
      </c>
      <c r="X1422">
        <v>0</v>
      </c>
      <c r="Y1422">
        <f t="shared" si="90"/>
        <v>56718.916666666664</v>
      </c>
      <c r="Z1422">
        <f t="shared" si="91"/>
        <v>0</v>
      </c>
      <c r="AA1422">
        <v>0</v>
      </c>
    </row>
    <row r="1423" spans="1:27" x14ac:dyDescent="0.25">
      <c r="A1423" s="1">
        <v>1422</v>
      </c>
      <c r="B1423" t="s">
        <v>1564</v>
      </c>
      <c r="C1423" t="s">
        <v>1136</v>
      </c>
      <c r="D1423" t="s">
        <v>1144</v>
      </c>
      <c r="E1423" t="s">
        <v>1143</v>
      </c>
      <c r="H1423" t="s">
        <v>1153</v>
      </c>
      <c r="I1423" t="s">
        <v>1153</v>
      </c>
      <c r="J1423" t="s">
        <v>1336</v>
      </c>
      <c r="K1423" t="s">
        <v>1212</v>
      </c>
      <c r="M1423" s="3">
        <f t="shared" si="88"/>
        <v>65.571428571428569</v>
      </c>
      <c r="N1423">
        <v>39</v>
      </c>
      <c r="O1423">
        <v>65</v>
      </c>
      <c r="P1423">
        <v>59</v>
      </c>
      <c r="Q1423">
        <v>82</v>
      </c>
      <c r="R1423">
        <v>80</v>
      </c>
      <c r="S1423">
        <v>72</v>
      </c>
      <c r="T1423">
        <v>62</v>
      </c>
      <c r="U1423">
        <v>0</v>
      </c>
      <c r="V1423" s="3">
        <f t="shared" si="89"/>
        <v>1469422</v>
      </c>
      <c r="W1423">
        <v>122451.83333333333</v>
      </c>
      <c r="X1423">
        <v>0</v>
      </c>
      <c r="Y1423">
        <f t="shared" si="90"/>
        <v>122451.83333333333</v>
      </c>
      <c r="Z1423">
        <f t="shared" si="91"/>
        <v>0</v>
      </c>
      <c r="AA1423">
        <v>0</v>
      </c>
    </row>
    <row r="1424" spans="1:27" x14ac:dyDescent="0.25">
      <c r="A1424" s="1">
        <v>1423</v>
      </c>
      <c r="B1424" t="s">
        <v>1566</v>
      </c>
      <c r="C1424" t="s">
        <v>1136</v>
      </c>
      <c r="D1424" t="s">
        <v>1147</v>
      </c>
      <c r="E1424" t="s">
        <v>1145</v>
      </c>
      <c r="H1424" t="s">
        <v>1153</v>
      </c>
      <c r="I1424" t="s">
        <v>1153</v>
      </c>
      <c r="J1424" t="s">
        <v>1336</v>
      </c>
      <c r="K1424" t="s">
        <v>1212</v>
      </c>
      <c r="M1424" s="3">
        <f t="shared" si="88"/>
        <v>65.428571428571431</v>
      </c>
      <c r="N1424">
        <v>41</v>
      </c>
      <c r="O1424">
        <v>76</v>
      </c>
      <c r="P1424">
        <v>64</v>
      </c>
      <c r="Q1424">
        <v>71</v>
      </c>
      <c r="R1424">
        <v>73</v>
      </c>
      <c r="S1424">
        <v>74</v>
      </c>
      <c r="T1424">
        <v>59</v>
      </c>
      <c r="U1424">
        <v>0</v>
      </c>
      <c r="V1424" s="3">
        <f t="shared" si="89"/>
        <v>1437721</v>
      </c>
      <c r="W1424">
        <v>119810.08333333333</v>
      </c>
      <c r="X1424">
        <v>0</v>
      </c>
      <c r="Y1424">
        <f t="shared" si="90"/>
        <v>119810.08333333333</v>
      </c>
      <c r="Z1424">
        <f t="shared" si="91"/>
        <v>0</v>
      </c>
      <c r="AA1424">
        <v>0</v>
      </c>
    </row>
    <row r="1425" spans="1:27" x14ac:dyDescent="0.25">
      <c r="A1425" s="1">
        <v>1424</v>
      </c>
      <c r="B1425" t="s">
        <v>782</v>
      </c>
      <c r="C1425" t="s">
        <v>1136</v>
      </c>
      <c r="D1425" t="s">
        <v>1143</v>
      </c>
      <c r="E1425" t="s">
        <v>1145</v>
      </c>
      <c r="F1425" t="s">
        <v>1146</v>
      </c>
      <c r="G1425" t="s">
        <v>1173</v>
      </c>
      <c r="H1425" t="s">
        <v>1173</v>
      </c>
      <c r="I1425" t="s">
        <v>1173</v>
      </c>
      <c r="J1425" t="s">
        <v>1336</v>
      </c>
      <c r="K1425" t="s">
        <v>1212</v>
      </c>
      <c r="M1425" s="3">
        <f t="shared" si="88"/>
        <v>92.142857142857139</v>
      </c>
      <c r="N1425">
        <v>88</v>
      </c>
      <c r="O1425">
        <v>88</v>
      </c>
      <c r="P1425">
        <v>94</v>
      </c>
      <c r="Q1425">
        <v>97</v>
      </c>
      <c r="R1425">
        <v>94</v>
      </c>
      <c r="S1425">
        <v>92</v>
      </c>
      <c r="T1425">
        <v>92</v>
      </c>
      <c r="U1425">
        <v>17</v>
      </c>
      <c r="V1425" s="3">
        <f t="shared" si="89"/>
        <v>66177142</v>
      </c>
      <c r="W1425">
        <v>5514761.833333333</v>
      </c>
      <c r="X1425">
        <v>0</v>
      </c>
      <c r="Y1425">
        <f t="shared" si="90"/>
        <v>5514761.833333333</v>
      </c>
      <c r="Z1425">
        <f t="shared" si="91"/>
        <v>0</v>
      </c>
      <c r="AA1425">
        <v>0</v>
      </c>
    </row>
    <row r="1426" spans="1:27" x14ac:dyDescent="0.25">
      <c r="A1426" s="1">
        <v>1425</v>
      </c>
      <c r="B1426" t="s">
        <v>642</v>
      </c>
      <c r="C1426" t="s">
        <v>1136</v>
      </c>
      <c r="D1426" t="s">
        <v>1143</v>
      </c>
      <c r="E1426" t="s">
        <v>1145</v>
      </c>
      <c r="F1426" t="s">
        <v>1144</v>
      </c>
      <c r="G1426" t="s">
        <v>1150</v>
      </c>
      <c r="H1426" t="s">
        <v>1150</v>
      </c>
      <c r="I1426" t="s">
        <v>1150</v>
      </c>
      <c r="J1426" t="s">
        <v>1336</v>
      </c>
      <c r="K1426" t="s">
        <v>1212</v>
      </c>
      <c r="M1426" s="3">
        <f t="shared" si="88"/>
        <v>87.285714285714292</v>
      </c>
      <c r="N1426">
        <v>81</v>
      </c>
      <c r="O1426">
        <v>84</v>
      </c>
      <c r="P1426">
        <v>92</v>
      </c>
      <c r="Q1426">
        <v>93</v>
      </c>
      <c r="R1426">
        <v>88</v>
      </c>
      <c r="S1426">
        <v>88</v>
      </c>
      <c r="T1426">
        <v>85</v>
      </c>
      <c r="U1426">
        <v>17</v>
      </c>
      <c r="V1426" s="3">
        <f t="shared" si="89"/>
        <v>38505518</v>
      </c>
      <c r="W1426">
        <v>3208793.1666666665</v>
      </c>
      <c r="X1426">
        <v>0</v>
      </c>
      <c r="Y1426">
        <f t="shared" si="90"/>
        <v>3208793.1666666665</v>
      </c>
      <c r="Z1426">
        <f t="shared" si="91"/>
        <v>0</v>
      </c>
      <c r="AA1426">
        <v>0</v>
      </c>
    </row>
    <row r="1427" spans="1:27" x14ac:dyDescent="0.25">
      <c r="A1427" s="1">
        <v>1426</v>
      </c>
      <c r="B1427" t="s">
        <v>1565</v>
      </c>
      <c r="C1427" t="s">
        <v>1136</v>
      </c>
      <c r="D1427" t="s">
        <v>1143</v>
      </c>
      <c r="E1427" t="s">
        <v>1145</v>
      </c>
      <c r="H1427" t="s">
        <v>1153</v>
      </c>
      <c r="I1427" t="s">
        <v>1153</v>
      </c>
      <c r="J1427" t="s">
        <v>1336</v>
      </c>
      <c r="K1427" t="s">
        <v>1212</v>
      </c>
      <c r="M1427" s="3">
        <f t="shared" si="88"/>
        <v>61.285714285714285</v>
      </c>
      <c r="N1427">
        <v>32</v>
      </c>
      <c r="O1427">
        <v>73</v>
      </c>
      <c r="P1427">
        <v>55</v>
      </c>
      <c r="Q1427">
        <v>77</v>
      </c>
      <c r="R1427">
        <v>67</v>
      </c>
      <c r="S1427">
        <v>69</v>
      </c>
      <c r="T1427">
        <v>56</v>
      </c>
      <c r="U1427">
        <v>0</v>
      </c>
      <c r="V1427" s="3">
        <f t="shared" si="89"/>
        <v>747468</v>
      </c>
      <c r="W1427">
        <v>62289</v>
      </c>
      <c r="X1427">
        <v>0</v>
      </c>
      <c r="Y1427">
        <f t="shared" si="90"/>
        <v>62289</v>
      </c>
      <c r="Z1427">
        <f t="shared" si="91"/>
        <v>0</v>
      </c>
      <c r="AA1427">
        <v>0</v>
      </c>
    </row>
    <row r="1428" spans="1:27" x14ac:dyDescent="0.25">
      <c r="A1428" s="1">
        <v>1427</v>
      </c>
      <c r="B1428" t="s">
        <v>951</v>
      </c>
      <c r="C1428" t="s">
        <v>1136</v>
      </c>
      <c r="D1428" t="s">
        <v>1146</v>
      </c>
      <c r="E1428" t="s">
        <v>1144</v>
      </c>
      <c r="F1428" t="s">
        <v>1147</v>
      </c>
      <c r="G1428" t="s">
        <v>1199</v>
      </c>
      <c r="H1428" t="s">
        <v>1153</v>
      </c>
      <c r="I1428" t="s">
        <v>1153</v>
      </c>
      <c r="J1428" t="s">
        <v>1336</v>
      </c>
      <c r="K1428" t="s">
        <v>1212</v>
      </c>
      <c r="M1428" s="3">
        <f t="shared" si="88"/>
        <v>85</v>
      </c>
      <c r="N1428">
        <v>80</v>
      </c>
      <c r="O1428">
        <v>92</v>
      </c>
      <c r="P1428">
        <v>84</v>
      </c>
      <c r="Q1428">
        <v>88</v>
      </c>
      <c r="R1428">
        <v>83</v>
      </c>
      <c r="S1428">
        <v>83</v>
      </c>
      <c r="T1428">
        <v>85</v>
      </c>
      <c r="U1428">
        <v>23</v>
      </c>
      <c r="V1428" s="3">
        <f t="shared" si="89"/>
        <v>29531161</v>
      </c>
      <c r="W1428">
        <v>2460930.0833333335</v>
      </c>
      <c r="X1428">
        <v>0</v>
      </c>
      <c r="Y1428">
        <f t="shared" si="90"/>
        <v>2460930.0833333335</v>
      </c>
      <c r="Z1428">
        <f t="shared" si="91"/>
        <v>0</v>
      </c>
      <c r="AA1428">
        <v>0</v>
      </c>
    </row>
    <row r="1429" spans="1:27" x14ac:dyDescent="0.25">
      <c r="A1429" s="1">
        <v>1428</v>
      </c>
      <c r="B1429" t="s">
        <v>658</v>
      </c>
      <c r="C1429" t="s">
        <v>1136</v>
      </c>
      <c r="D1429" t="s">
        <v>1144</v>
      </c>
      <c r="E1429" t="s">
        <v>1143</v>
      </c>
      <c r="G1429" t="s">
        <v>1152</v>
      </c>
      <c r="H1429" t="s">
        <v>1152</v>
      </c>
      <c r="I1429" t="s">
        <v>1152</v>
      </c>
      <c r="J1429" t="s">
        <v>1336</v>
      </c>
      <c r="K1429" t="s">
        <v>1212</v>
      </c>
      <c r="M1429" s="3">
        <f t="shared" si="88"/>
        <v>64.142857142857139</v>
      </c>
      <c r="N1429">
        <v>40</v>
      </c>
      <c r="O1429">
        <v>65</v>
      </c>
      <c r="P1429">
        <v>75</v>
      </c>
      <c r="Q1429">
        <v>71</v>
      </c>
      <c r="R1429">
        <v>74</v>
      </c>
      <c r="S1429">
        <v>83</v>
      </c>
      <c r="T1429">
        <v>41</v>
      </c>
      <c r="U1429">
        <v>0</v>
      </c>
      <c r="V1429" s="3">
        <f t="shared" si="89"/>
        <v>1178917</v>
      </c>
      <c r="W1429">
        <v>98243.083333333328</v>
      </c>
      <c r="X1429">
        <v>0</v>
      </c>
      <c r="Y1429">
        <f t="shared" si="90"/>
        <v>98243.083333333328</v>
      </c>
      <c r="Z1429">
        <f t="shared" si="91"/>
        <v>0</v>
      </c>
      <c r="AA1429">
        <v>0</v>
      </c>
    </row>
    <row r="1430" spans="1:27" x14ac:dyDescent="0.25">
      <c r="A1430" s="1">
        <v>1429</v>
      </c>
      <c r="B1430" t="s">
        <v>1104</v>
      </c>
      <c r="C1430" t="s">
        <v>1137</v>
      </c>
      <c r="D1430" t="s">
        <v>1137</v>
      </c>
      <c r="H1430" t="s">
        <v>1158</v>
      </c>
      <c r="I1430" t="s">
        <v>1158</v>
      </c>
      <c r="J1430" t="s">
        <v>1336</v>
      </c>
      <c r="K1430" t="s">
        <v>1212</v>
      </c>
      <c r="M1430" s="3">
        <f t="shared" si="88"/>
        <v>79.714285714285708</v>
      </c>
      <c r="N1430">
        <v>69</v>
      </c>
      <c r="O1430">
        <v>90</v>
      </c>
      <c r="P1430">
        <v>80</v>
      </c>
      <c r="Q1430">
        <v>85</v>
      </c>
      <c r="R1430">
        <v>88</v>
      </c>
      <c r="S1430">
        <v>80</v>
      </c>
      <c r="T1430">
        <v>66</v>
      </c>
      <c r="U1430">
        <v>0</v>
      </c>
      <c r="V1430" s="3">
        <f t="shared" si="89"/>
        <v>10360044</v>
      </c>
      <c r="W1430">
        <v>863337</v>
      </c>
      <c r="X1430">
        <v>0</v>
      </c>
      <c r="Y1430">
        <f t="shared" si="90"/>
        <v>863337</v>
      </c>
      <c r="Z1430">
        <f t="shared" si="91"/>
        <v>0</v>
      </c>
      <c r="AA1430">
        <v>0</v>
      </c>
    </row>
    <row r="1431" spans="1:27" x14ac:dyDescent="0.25">
      <c r="A1431" s="1">
        <v>1430</v>
      </c>
      <c r="B1431" t="s">
        <v>1707</v>
      </c>
      <c r="C1431" t="s">
        <v>1133</v>
      </c>
      <c r="D1431" t="s">
        <v>1133</v>
      </c>
      <c r="H1431" t="s">
        <v>1166</v>
      </c>
      <c r="I1431" t="s">
        <v>1166</v>
      </c>
      <c r="J1431" t="s">
        <v>1240</v>
      </c>
      <c r="K1431" t="s">
        <v>1212</v>
      </c>
      <c r="M1431" s="3">
        <f t="shared" si="88"/>
        <v>64.142857142857139</v>
      </c>
      <c r="N1431">
        <v>26</v>
      </c>
      <c r="O1431">
        <v>74</v>
      </c>
      <c r="P1431">
        <v>70</v>
      </c>
      <c r="Q1431">
        <v>76</v>
      </c>
      <c r="R1431">
        <v>79</v>
      </c>
      <c r="S1431">
        <v>80</v>
      </c>
      <c r="T1431">
        <v>44</v>
      </c>
      <c r="U1431">
        <v>0</v>
      </c>
      <c r="V1431" s="3">
        <f t="shared" si="89"/>
        <v>1178917</v>
      </c>
      <c r="W1431">
        <v>98243.083333333328</v>
      </c>
      <c r="X1431">
        <v>0</v>
      </c>
      <c r="Y1431">
        <f t="shared" si="90"/>
        <v>98243.083333333328</v>
      </c>
      <c r="Z1431">
        <f t="shared" si="91"/>
        <v>0</v>
      </c>
      <c r="AA1431">
        <v>0</v>
      </c>
    </row>
    <row r="1432" spans="1:27" x14ac:dyDescent="0.25">
      <c r="A1432" s="1">
        <v>1431</v>
      </c>
      <c r="B1432" t="s">
        <v>100</v>
      </c>
      <c r="C1432" t="s">
        <v>1133</v>
      </c>
      <c r="D1432" t="s">
        <v>1133</v>
      </c>
      <c r="G1432" t="s">
        <v>1203</v>
      </c>
      <c r="H1432" t="s">
        <v>1203</v>
      </c>
      <c r="I1432" t="s">
        <v>1203</v>
      </c>
      <c r="J1432" t="s">
        <v>1240</v>
      </c>
      <c r="K1432" t="s">
        <v>1212</v>
      </c>
      <c r="M1432" s="3">
        <f t="shared" si="88"/>
        <v>66.285714285714292</v>
      </c>
      <c r="N1432">
        <v>44</v>
      </c>
      <c r="O1432">
        <v>86</v>
      </c>
      <c r="P1432">
        <v>80</v>
      </c>
      <c r="Q1432">
        <v>50</v>
      </c>
      <c r="R1432">
        <v>66</v>
      </c>
      <c r="S1432">
        <v>73</v>
      </c>
      <c r="T1432">
        <v>65</v>
      </c>
      <c r="U1432">
        <v>0</v>
      </c>
      <c r="V1432" s="3">
        <f t="shared" si="89"/>
        <v>1637569</v>
      </c>
      <c r="W1432">
        <v>136464.08333333334</v>
      </c>
      <c r="X1432">
        <v>0</v>
      </c>
      <c r="Y1432">
        <f t="shared" si="90"/>
        <v>136464.08333333334</v>
      </c>
      <c r="Z1432">
        <f t="shared" si="91"/>
        <v>0</v>
      </c>
      <c r="AA1432">
        <v>0</v>
      </c>
    </row>
    <row r="1433" spans="1:27" x14ac:dyDescent="0.25">
      <c r="A1433" s="1">
        <v>1432</v>
      </c>
      <c r="B1433" t="s">
        <v>47</v>
      </c>
      <c r="C1433" t="s">
        <v>1133</v>
      </c>
      <c r="D1433" t="s">
        <v>1133</v>
      </c>
      <c r="G1433" t="s">
        <v>1166</v>
      </c>
      <c r="H1433" t="s">
        <v>1166</v>
      </c>
      <c r="I1433" t="s">
        <v>1166</v>
      </c>
      <c r="J1433" t="s">
        <v>1240</v>
      </c>
      <c r="K1433" t="s">
        <v>1212</v>
      </c>
      <c r="M1433" s="3">
        <f t="shared" si="88"/>
        <v>70</v>
      </c>
      <c r="N1433">
        <v>32</v>
      </c>
      <c r="O1433">
        <v>76</v>
      </c>
      <c r="P1433">
        <v>73</v>
      </c>
      <c r="Q1433">
        <v>82</v>
      </c>
      <c r="R1433">
        <v>74</v>
      </c>
      <c r="S1433">
        <v>79</v>
      </c>
      <c r="T1433">
        <v>74</v>
      </c>
      <c r="U1433">
        <v>0</v>
      </c>
      <c r="V1433" s="3">
        <f t="shared" si="89"/>
        <v>2824753</v>
      </c>
      <c r="W1433">
        <v>235396.08333333334</v>
      </c>
      <c r="X1433">
        <v>0</v>
      </c>
      <c r="Y1433">
        <f t="shared" si="90"/>
        <v>235396.08333333334</v>
      </c>
      <c r="Z1433">
        <f t="shared" si="91"/>
        <v>0</v>
      </c>
      <c r="AA1433">
        <v>0</v>
      </c>
    </row>
    <row r="1434" spans="1:27" x14ac:dyDescent="0.25">
      <c r="A1434" s="1">
        <v>1433</v>
      </c>
      <c r="B1434" t="s">
        <v>207</v>
      </c>
      <c r="C1434" t="s">
        <v>1134</v>
      </c>
      <c r="D1434" t="s">
        <v>1138</v>
      </c>
      <c r="G1434" t="s">
        <v>1166</v>
      </c>
      <c r="H1434" t="s">
        <v>1166</v>
      </c>
      <c r="I1434" t="s">
        <v>1166</v>
      </c>
      <c r="J1434" t="s">
        <v>1240</v>
      </c>
      <c r="K1434" t="s">
        <v>1212</v>
      </c>
      <c r="M1434" s="3">
        <f t="shared" si="88"/>
        <v>59.571428571428569</v>
      </c>
      <c r="N1434">
        <v>50</v>
      </c>
      <c r="O1434">
        <v>70</v>
      </c>
      <c r="P1434">
        <v>59</v>
      </c>
      <c r="Q1434">
        <v>60</v>
      </c>
      <c r="R1434">
        <v>70</v>
      </c>
      <c r="S1434">
        <v>71</v>
      </c>
      <c r="T1434">
        <v>37</v>
      </c>
      <c r="U1434">
        <v>0</v>
      </c>
      <c r="V1434" s="3">
        <f t="shared" si="89"/>
        <v>562834</v>
      </c>
      <c r="W1434">
        <v>46902.833333333336</v>
      </c>
      <c r="X1434">
        <v>0</v>
      </c>
      <c r="Y1434">
        <f t="shared" si="90"/>
        <v>46902.833333333336</v>
      </c>
      <c r="Z1434">
        <f t="shared" si="91"/>
        <v>0</v>
      </c>
      <c r="AA1434">
        <v>0</v>
      </c>
    </row>
    <row r="1435" spans="1:27" x14ac:dyDescent="0.25">
      <c r="A1435" s="1">
        <v>1434</v>
      </c>
      <c r="B1435" t="s">
        <v>1711</v>
      </c>
      <c r="C1435" t="s">
        <v>1134</v>
      </c>
      <c r="D1435" t="s">
        <v>1138</v>
      </c>
      <c r="E1435" t="s">
        <v>1140</v>
      </c>
      <c r="H1435" t="s">
        <v>1166</v>
      </c>
      <c r="I1435" t="s">
        <v>1166</v>
      </c>
      <c r="J1435" t="s">
        <v>1240</v>
      </c>
      <c r="K1435" t="s">
        <v>1212</v>
      </c>
      <c r="M1435" s="3">
        <f t="shared" si="88"/>
        <v>62</v>
      </c>
      <c r="N1435">
        <v>25</v>
      </c>
      <c r="O1435">
        <v>71</v>
      </c>
      <c r="P1435">
        <v>63</v>
      </c>
      <c r="Q1435">
        <v>75</v>
      </c>
      <c r="R1435">
        <v>79</v>
      </c>
      <c r="S1435">
        <v>82</v>
      </c>
      <c r="T1435">
        <v>39</v>
      </c>
      <c r="U1435">
        <v>0</v>
      </c>
      <c r="V1435" s="3">
        <f t="shared" si="89"/>
        <v>839300</v>
      </c>
      <c r="W1435">
        <v>69941.666666666672</v>
      </c>
      <c r="X1435">
        <v>0</v>
      </c>
      <c r="Y1435">
        <f t="shared" si="90"/>
        <v>69941.666666666672</v>
      </c>
      <c r="Z1435">
        <f t="shared" si="91"/>
        <v>0</v>
      </c>
      <c r="AA1435">
        <v>0</v>
      </c>
    </row>
    <row r="1436" spans="1:27" x14ac:dyDescent="0.25">
      <c r="A1436" s="1">
        <v>1435</v>
      </c>
      <c r="B1436" t="s">
        <v>1708</v>
      </c>
      <c r="C1436" t="s">
        <v>1134</v>
      </c>
      <c r="D1436" t="s">
        <v>1138</v>
      </c>
      <c r="E1436" t="s">
        <v>1144</v>
      </c>
      <c r="H1436" t="s">
        <v>1166</v>
      </c>
      <c r="I1436" t="s">
        <v>1166</v>
      </c>
      <c r="J1436" t="s">
        <v>1240</v>
      </c>
      <c r="K1436" t="s">
        <v>1212</v>
      </c>
      <c r="M1436" s="3">
        <f t="shared" si="88"/>
        <v>58.285714285714285</v>
      </c>
      <c r="N1436">
        <v>21</v>
      </c>
      <c r="O1436">
        <v>66</v>
      </c>
      <c r="P1436">
        <v>60</v>
      </c>
      <c r="Q1436">
        <v>72</v>
      </c>
      <c r="R1436">
        <v>77</v>
      </c>
      <c r="S1436">
        <v>79</v>
      </c>
      <c r="T1436">
        <v>33</v>
      </c>
      <c r="U1436">
        <v>0</v>
      </c>
      <c r="V1436" s="3">
        <f t="shared" si="89"/>
        <v>452503</v>
      </c>
      <c r="W1436">
        <v>37708.583333333336</v>
      </c>
      <c r="X1436">
        <v>0</v>
      </c>
      <c r="Y1436">
        <f t="shared" si="90"/>
        <v>37708.583333333336</v>
      </c>
      <c r="Z1436">
        <f t="shared" si="91"/>
        <v>0</v>
      </c>
      <c r="AA1436">
        <v>0</v>
      </c>
    </row>
    <row r="1437" spans="1:27" x14ac:dyDescent="0.25">
      <c r="A1437" s="1">
        <v>1436</v>
      </c>
      <c r="B1437" t="s">
        <v>209</v>
      </c>
      <c r="C1437" t="s">
        <v>1134</v>
      </c>
      <c r="D1437" t="s">
        <v>1140</v>
      </c>
      <c r="E1437" t="s">
        <v>1144</v>
      </c>
      <c r="G1437" t="s">
        <v>1166</v>
      </c>
      <c r="H1437" t="s">
        <v>1166</v>
      </c>
      <c r="I1437" t="s">
        <v>1166</v>
      </c>
      <c r="J1437" t="s">
        <v>1240</v>
      </c>
      <c r="K1437" t="s">
        <v>1212</v>
      </c>
      <c r="M1437" s="3">
        <f t="shared" si="88"/>
        <v>72.714285714285708</v>
      </c>
      <c r="N1437">
        <v>68</v>
      </c>
      <c r="O1437">
        <v>86</v>
      </c>
      <c r="P1437">
        <v>78</v>
      </c>
      <c r="Q1437">
        <v>80</v>
      </c>
      <c r="R1437">
        <v>61</v>
      </c>
      <c r="S1437">
        <v>80</v>
      </c>
      <c r="T1437">
        <v>56</v>
      </c>
      <c r="U1437">
        <v>0</v>
      </c>
      <c r="V1437" s="3">
        <f t="shared" si="89"/>
        <v>4132354</v>
      </c>
      <c r="W1437">
        <v>344362.83333333331</v>
      </c>
      <c r="X1437">
        <v>0</v>
      </c>
      <c r="Y1437">
        <f t="shared" si="90"/>
        <v>344362.83333333331</v>
      </c>
      <c r="Z1437">
        <f t="shared" si="91"/>
        <v>0</v>
      </c>
      <c r="AA1437">
        <v>0</v>
      </c>
    </row>
    <row r="1438" spans="1:27" x14ac:dyDescent="0.25">
      <c r="A1438" s="1">
        <v>1437</v>
      </c>
      <c r="B1438" t="s">
        <v>210</v>
      </c>
      <c r="C1438" t="s">
        <v>1134</v>
      </c>
      <c r="D1438" t="s">
        <v>1138</v>
      </c>
      <c r="E1438" t="s">
        <v>1139</v>
      </c>
      <c r="G1438" t="s">
        <v>1166</v>
      </c>
      <c r="H1438" t="s">
        <v>1166</v>
      </c>
      <c r="I1438" t="s">
        <v>1166</v>
      </c>
      <c r="J1438" t="s">
        <v>1240</v>
      </c>
      <c r="K1438" t="s">
        <v>1212</v>
      </c>
      <c r="M1438" s="3">
        <f t="shared" si="88"/>
        <v>59.857142857142854</v>
      </c>
      <c r="N1438">
        <v>51</v>
      </c>
      <c r="O1438">
        <v>62</v>
      </c>
      <c r="P1438">
        <v>70</v>
      </c>
      <c r="Q1438">
        <v>53</v>
      </c>
      <c r="R1438">
        <v>74</v>
      </c>
      <c r="S1438">
        <v>65</v>
      </c>
      <c r="T1438">
        <v>44</v>
      </c>
      <c r="U1438">
        <v>0</v>
      </c>
      <c r="V1438" s="3">
        <f t="shared" si="89"/>
        <v>590419</v>
      </c>
      <c r="W1438">
        <v>49201.583333333336</v>
      </c>
      <c r="X1438">
        <v>0</v>
      </c>
      <c r="Y1438">
        <f t="shared" si="90"/>
        <v>49201.583333333336</v>
      </c>
      <c r="Z1438">
        <f t="shared" si="91"/>
        <v>0</v>
      </c>
      <c r="AA1438">
        <v>0</v>
      </c>
    </row>
    <row r="1439" spans="1:27" x14ac:dyDescent="0.25">
      <c r="A1439" s="1">
        <v>1438</v>
      </c>
      <c r="B1439" t="s">
        <v>1710</v>
      </c>
      <c r="C1439" t="s">
        <v>1134</v>
      </c>
      <c r="D1439" t="s">
        <v>1138</v>
      </c>
      <c r="H1439" t="s">
        <v>1166</v>
      </c>
      <c r="I1439" t="s">
        <v>1166</v>
      </c>
      <c r="J1439" t="s">
        <v>1240</v>
      </c>
      <c r="K1439" t="s">
        <v>1212</v>
      </c>
      <c r="M1439" s="3">
        <f t="shared" si="88"/>
        <v>66.714285714285708</v>
      </c>
      <c r="N1439">
        <v>29</v>
      </c>
      <c r="O1439">
        <v>76</v>
      </c>
      <c r="P1439">
        <v>68</v>
      </c>
      <c r="Q1439">
        <v>81</v>
      </c>
      <c r="R1439">
        <v>83</v>
      </c>
      <c r="S1439">
        <v>84</v>
      </c>
      <c r="T1439">
        <v>46</v>
      </c>
      <c r="U1439">
        <v>0</v>
      </c>
      <c r="V1439" s="3">
        <f t="shared" si="89"/>
        <v>1746580</v>
      </c>
      <c r="W1439">
        <v>145548.33333333334</v>
      </c>
      <c r="X1439">
        <v>0</v>
      </c>
      <c r="Y1439">
        <f t="shared" si="90"/>
        <v>145548.33333333334</v>
      </c>
      <c r="Z1439">
        <f t="shared" si="91"/>
        <v>0</v>
      </c>
      <c r="AA1439">
        <v>0</v>
      </c>
    </row>
    <row r="1440" spans="1:27" x14ac:dyDescent="0.25">
      <c r="A1440" s="1">
        <v>1439</v>
      </c>
      <c r="B1440" t="s">
        <v>1709</v>
      </c>
      <c r="C1440" t="s">
        <v>1134</v>
      </c>
      <c r="D1440" t="s">
        <v>1138</v>
      </c>
      <c r="E1440" t="s">
        <v>1139</v>
      </c>
      <c r="H1440" t="s">
        <v>1166</v>
      </c>
      <c r="I1440" t="s">
        <v>1166</v>
      </c>
      <c r="J1440" t="s">
        <v>1240</v>
      </c>
      <c r="K1440" t="s">
        <v>1212</v>
      </c>
      <c r="M1440" s="3">
        <f t="shared" si="88"/>
        <v>66.714285714285708</v>
      </c>
      <c r="N1440">
        <v>29</v>
      </c>
      <c r="O1440">
        <v>76</v>
      </c>
      <c r="P1440">
        <v>68</v>
      </c>
      <c r="Q1440">
        <v>81</v>
      </c>
      <c r="R1440">
        <v>83</v>
      </c>
      <c r="S1440">
        <v>84</v>
      </c>
      <c r="T1440">
        <v>46</v>
      </c>
      <c r="U1440">
        <v>0</v>
      </c>
      <c r="V1440" s="3">
        <f t="shared" si="89"/>
        <v>1746580</v>
      </c>
      <c r="W1440">
        <v>145548.33333333334</v>
      </c>
      <c r="X1440">
        <v>0</v>
      </c>
      <c r="Y1440">
        <f t="shared" si="90"/>
        <v>145548.33333333334</v>
      </c>
      <c r="Z1440">
        <f t="shared" si="91"/>
        <v>0</v>
      </c>
      <c r="AA1440">
        <v>0</v>
      </c>
    </row>
    <row r="1441" spans="1:27" x14ac:dyDescent="0.25">
      <c r="A1441" s="1">
        <v>1440</v>
      </c>
      <c r="B1441" t="s">
        <v>208</v>
      </c>
      <c r="C1441" t="s">
        <v>1134</v>
      </c>
      <c r="D1441" t="s">
        <v>1140</v>
      </c>
      <c r="G1441" t="s">
        <v>1166</v>
      </c>
      <c r="H1441" t="s">
        <v>1166</v>
      </c>
      <c r="I1441" t="s">
        <v>1166</v>
      </c>
      <c r="J1441" t="s">
        <v>1240</v>
      </c>
      <c r="K1441" t="s">
        <v>1212</v>
      </c>
      <c r="M1441" s="3">
        <f t="shared" si="88"/>
        <v>60.714285714285715</v>
      </c>
      <c r="N1441">
        <v>52</v>
      </c>
      <c r="O1441">
        <v>75</v>
      </c>
      <c r="P1441">
        <v>65</v>
      </c>
      <c r="Q1441">
        <v>56</v>
      </c>
      <c r="R1441">
        <v>67</v>
      </c>
      <c r="S1441">
        <v>65</v>
      </c>
      <c r="T1441">
        <v>45</v>
      </c>
      <c r="U1441">
        <v>0</v>
      </c>
      <c r="V1441" s="3">
        <f t="shared" si="89"/>
        <v>680627</v>
      </c>
      <c r="W1441">
        <v>56718.916666666664</v>
      </c>
      <c r="X1441">
        <v>0</v>
      </c>
      <c r="Y1441">
        <f t="shared" si="90"/>
        <v>56718.916666666664</v>
      </c>
      <c r="Z1441">
        <f t="shared" si="91"/>
        <v>0</v>
      </c>
      <c r="AA1441">
        <v>0</v>
      </c>
    </row>
    <row r="1442" spans="1:27" x14ac:dyDescent="0.25">
      <c r="A1442" s="1">
        <v>1441</v>
      </c>
      <c r="B1442" t="s">
        <v>1712</v>
      </c>
      <c r="C1442" t="s">
        <v>1135</v>
      </c>
      <c r="D1442" t="s">
        <v>1141</v>
      </c>
      <c r="E1442" t="s">
        <v>1142</v>
      </c>
      <c r="H1442" t="s">
        <v>1166</v>
      </c>
      <c r="I1442" t="s">
        <v>1166</v>
      </c>
      <c r="J1442" t="s">
        <v>1240</v>
      </c>
      <c r="K1442" t="s">
        <v>1212</v>
      </c>
      <c r="M1442" s="3">
        <f t="shared" si="88"/>
        <v>67.857142857142861</v>
      </c>
      <c r="N1442">
        <v>28</v>
      </c>
      <c r="O1442">
        <v>79</v>
      </c>
      <c r="P1442">
        <v>77</v>
      </c>
      <c r="Q1442">
        <v>78</v>
      </c>
      <c r="R1442">
        <v>82</v>
      </c>
      <c r="S1442">
        <v>86</v>
      </c>
      <c r="T1442">
        <v>45</v>
      </c>
      <c r="U1442">
        <v>0</v>
      </c>
      <c r="V1442" s="3">
        <f t="shared" si="89"/>
        <v>2069931</v>
      </c>
      <c r="W1442">
        <v>172494.25</v>
      </c>
      <c r="X1442">
        <v>0</v>
      </c>
      <c r="Y1442">
        <f t="shared" si="90"/>
        <v>172494.25</v>
      </c>
      <c r="Z1442">
        <f t="shared" si="91"/>
        <v>0</v>
      </c>
      <c r="AA1442">
        <v>0</v>
      </c>
    </row>
    <row r="1443" spans="1:27" x14ac:dyDescent="0.25">
      <c r="A1443" s="1">
        <v>1442</v>
      </c>
      <c r="B1443" t="s">
        <v>490</v>
      </c>
      <c r="C1443" t="s">
        <v>1135</v>
      </c>
      <c r="D1443" t="s">
        <v>1141</v>
      </c>
      <c r="G1443" t="s">
        <v>1166</v>
      </c>
      <c r="H1443" t="s">
        <v>1166</v>
      </c>
      <c r="I1443" t="s">
        <v>1166</v>
      </c>
      <c r="J1443" t="s">
        <v>1240</v>
      </c>
      <c r="K1443" t="s">
        <v>1212</v>
      </c>
      <c r="M1443" s="3">
        <f t="shared" si="88"/>
        <v>63.571428571428569</v>
      </c>
      <c r="N1443">
        <v>40</v>
      </c>
      <c r="O1443">
        <v>65</v>
      </c>
      <c r="P1443">
        <v>73</v>
      </c>
      <c r="Q1443">
        <v>70</v>
      </c>
      <c r="R1443">
        <v>73</v>
      </c>
      <c r="S1443">
        <v>79</v>
      </c>
      <c r="T1443">
        <v>45</v>
      </c>
      <c r="U1443">
        <v>0</v>
      </c>
      <c r="V1443" s="3">
        <f t="shared" si="89"/>
        <v>1078003</v>
      </c>
      <c r="W1443">
        <v>89833.583333333328</v>
      </c>
      <c r="X1443">
        <v>0</v>
      </c>
      <c r="Y1443">
        <f t="shared" si="90"/>
        <v>89833.583333333328</v>
      </c>
      <c r="Z1443">
        <f t="shared" si="91"/>
        <v>0</v>
      </c>
      <c r="AA1443">
        <v>0</v>
      </c>
    </row>
    <row r="1444" spans="1:27" x14ac:dyDescent="0.25">
      <c r="A1444" s="1">
        <v>1443</v>
      </c>
      <c r="B1444" t="s">
        <v>1713</v>
      </c>
      <c r="C1444" t="s">
        <v>1135</v>
      </c>
      <c r="D1444" t="s">
        <v>1141</v>
      </c>
      <c r="H1444" t="s">
        <v>1166</v>
      </c>
      <c r="I1444" t="s">
        <v>1166</v>
      </c>
      <c r="J1444" t="s">
        <v>1240</v>
      </c>
      <c r="K1444" t="s">
        <v>1212</v>
      </c>
      <c r="M1444" s="3">
        <f t="shared" si="88"/>
        <v>67.857142857142861</v>
      </c>
      <c r="N1444">
        <v>28</v>
      </c>
      <c r="O1444">
        <v>79</v>
      </c>
      <c r="P1444">
        <v>77</v>
      </c>
      <c r="Q1444">
        <v>78</v>
      </c>
      <c r="R1444">
        <v>82</v>
      </c>
      <c r="S1444">
        <v>86</v>
      </c>
      <c r="T1444">
        <v>45</v>
      </c>
      <c r="U1444">
        <v>0</v>
      </c>
      <c r="V1444" s="3">
        <f t="shared" si="89"/>
        <v>2069931</v>
      </c>
      <c r="W1444">
        <v>172494.25</v>
      </c>
      <c r="X1444">
        <v>0</v>
      </c>
      <c r="Y1444">
        <f t="shared" si="90"/>
        <v>172494.25</v>
      </c>
      <c r="Z1444">
        <f t="shared" si="91"/>
        <v>0</v>
      </c>
      <c r="AA1444">
        <v>0</v>
      </c>
    </row>
    <row r="1445" spans="1:27" x14ac:dyDescent="0.25">
      <c r="A1445" s="1">
        <v>1444</v>
      </c>
      <c r="B1445" t="s">
        <v>491</v>
      </c>
      <c r="C1445" t="s">
        <v>1135</v>
      </c>
      <c r="D1445" t="s">
        <v>1142</v>
      </c>
      <c r="E1445" t="s">
        <v>1141</v>
      </c>
      <c r="G1445" t="s">
        <v>1166</v>
      </c>
      <c r="H1445" t="s">
        <v>1166</v>
      </c>
      <c r="I1445" t="s">
        <v>1166</v>
      </c>
      <c r="J1445" t="s">
        <v>1240</v>
      </c>
      <c r="K1445" t="s">
        <v>1212</v>
      </c>
      <c r="M1445" s="3">
        <f t="shared" si="88"/>
        <v>63.428571428571431</v>
      </c>
      <c r="N1445">
        <v>35</v>
      </c>
      <c r="O1445">
        <v>68</v>
      </c>
      <c r="P1445">
        <v>70</v>
      </c>
      <c r="Q1445">
        <v>72</v>
      </c>
      <c r="R1445">
        <v>71</v>
      </c>
      <c r="S1445">
        <v>81</v>
      </c>
      <c r="T1445">
        <v>47</v>
      </c>
      <c r="U1445">
        <v>0</v>
      </c>
      <c r="V1445" s="3">
        <f t="shared" si="89"/>
        <v>1054022</v>
      </c>
      <c r="W1445">
        <v>87835.166666666672</v>
      </c>
      <c r="X1445">
        <v>0</v>
      </c>
      <c r="Y1445">
        <f t="shared" si="90"/>
        <v>87835.166666666672</v>
      </c>
      <c r="Z1445">
        <f t="shared" si="91"/>
        <v>0</v>
      </c>
      <c r="AA1445">
        <v>0</v>
      </c>
    </row>
    <row r="1446" spans="1:27" x14ac:dyDescent="0.25">
      <c r="A1446" s="1">
        <v>1445</v>
      </c>
      <c r="B1446" t="s">
        <v>740</v>
      </c>
      <c r="C1446" t="s">
        <v>1136</v>
      </c>
      <c r="D1446" t="s">
        <v>1146</v>
      </c>
      <c r="E1446" t="s">
        <v>1147</v>
      </c>
      <c r="G1446" t="s">
        <v>1166</v>
      </c>
      <c r="H1446" t="s">
        <v>1166</v>
      </c>
      <c r="I1446" t="s">
        <v>1166</v>
      </c>
      <c r="J1446" t="s">
        <v>1240</v>
      </c>
      <c r="K1446" t="s">
        <v>1212</v>
      </c>
      <c r="M1446" s="3">
        <f t="shared" si="88"/>
        <v>65.142857142857139</v>
      </c>
      <c r="N1446">
        <v>40</v>
      </c>
      <c r="O1446">
        <v>77</v>
      </c>
      <c r="P1446">
        <v>72</v>
      </c>
      <c r="Q1446">
        <v>71</v>
      </c>
      <c r="R1446">
        <v>68</v>
      </c>
      <c r="S1446">
        <v>75</v>
      </c>
      <c r="T1446">
        <v>53</v>
      </c>
      <c r="U1446">
        <v>0</v>
      </c>
      <c r="V1446" s="3">
        <f t="shared" si="89"/>
        <v>1376158</v>
      </c>
      <c r="W1446">
        <v>114679.83333333333</v>
      </c>
      <c r="X1446">
        <v>0</v>
      </c>
      <c r="Y1446">
        <f t="shared" si="90"/>
        <v>114679.83333333333</v>
      </c>
      <c r="Z1446">
        <f t="shared" si="91"/>
        <v>0</v>
      </c>
      <c r="AA1446">
        <v>0</v>
      </c>
    </row>
    <row r="1447" spans="1:27" x14ac:dyDescent="0.25">
      <c r="A1447" s="1">
        <v>1446</v>
      </c>
      <c r="B1447" t="s">
        <v>739</v>
      </c>
      <c r="C1447" t="s">
        <v>1136</v>
      </c>
      <c r="D1447" t="s">
        <v>1143</v>
      </c>
      <c r="E1447" t="s">
        <v>1144</v>
      </c>
      <c r="G1447" t="s">
        <v>1166</v>
      </c>
      <c r="H1447" t="s">
        <v>1166</v>
      </c>
      <c r="I1447" t="s">
        <v>1166</v>
      </c>
      <c r="J1447" t="s">
        <v>1240</v>
      </c>
      <c r="K1447" t="s">
        <v>1212</v>
      </c>
      <c r="M1447" s="3">
        <f t="shared" si="88"/>
        <v>65.857142857142861</v>
      </c>
      <c r="N1447">
        <v>42</v>
      </c>
      <c r="O1447">
        <v>75</v>
      </c>
      <c r="P1447">
        <v>75</v>
      </c>
      <c r="Q1447">
        <v>72</v>
      </c>
      <c r="R1447">
        <v>67</v>
      </c>
      <c r="S1447">
        <v>79</v>
      </c>
      <c r="T1447">
        <v>51</v>
      </c>
      <c r="U1447">
        <v>0</v>
      </c>
      <c r="V1447" s="3">
        <f t="shared" si="89"/>
        <v>1534719</v>
      </c>
      <c r="W1447">
        <v>127893.25</v>
      </c>
      <c r="X1447">
        <v>0</v>
      </c>
      <c r="Y1447">
        <f t="shared" si="90"/>
        <v>127893.25</v>
      </c>
      <c r="Z1447">
        <f t="shared" si="91"/>
        <v>0</v>
      </c>
      <c r="AA1447">
        <v>0</v>
      </c>
    </row>
    <row r="1448" spans="1:27" x14ac:dyDescent="0.25">
      <c r="A1448" s="1">
        <v>1447</v>
      </c>
      <c r="B1448" t="s">
        <v>1714</v>
      </c>
      <c r="C1448" t="s">
        <v>1136</v>
      </c>
      <c r="D1448" t="s">
        <v>1147</v>
      </c>
      <c r="E1448" t="s">
        <v>1145</v>
      </c>
      <c r="H1448" t="s">
        <v>1166</v>
      </c>
      <c r="I1448" t="s">
        <v>1166</v>
      </c>
      <c r="J1448" t="s">
        <v>1240</v>
      </c>
      <c r="K1448" t="s">
        <v>1212</v>
      </c>
      <c r="M1448" s="3">
        <f t="shared" si="88"/>
        <v>65</v>
      </c>
      <c r="N1448">
        <v>26</v>
      </c>
      <c r="O1448">
        <v>77</v>
      </c>
      <c r="P1448">
        <v>69</v>
      </c>
      <c r="Q1448">
        <v>82</v>
      </c>
      <c r="R1448">
        <v>78</v>
      </c>
      <c r="S1448">
        <v>80</v>
      </c>
      <c r="T1448">
        <v>43</v>
      </c>
      <c r="U1448">
        <v>0</v>
      </c>
      <c r="V1448" s="3">
        <f t="shared" si="89"/>
        <v>1346275</v>
      </c>
      <c r="W1448">
        <v>112189.58333333333</v>
      </c>
      <c r="X1448">
        <v>0</v>
      </c>
      <c r="Y1448">
        <f t="shared" si="90"/>
        <v>112189.58333333333</v>
      </c>
      <c r="Z1448">
        <f t="shared" si="91"/>
        <v>0</v>
      </c>
      <c r="AA1448">
        <v>0</v>
      </c>
    </row>
    <row r="1449" spans="1:27" x14ac:dyDescent="0.25">
      <c r="A1449" s="1">
        <v>1448</v>
      </c>
      <c r="B1449" t="s">
        <v>1715</v>
      </c>
      <c r="C1449" t="s">
        <v>1136</v>
      </c>
      <c r="D1449" t="s">
        <v>1143</v>
      </c>
      <c r="E1449" t="s">
        <v>1147</v>
      </c>
      <c r="H1449" t="s">
        <v>1166</v>
      </c>
      <c r="I1449" t="s">
        <v>1166</v>
      </c>
      <c r="J1449" t="s">
        <v>1240</v>
      </c>
      <c r="K1449" t="s">
        <v>1212</v>
      </c>
      <c r="M1449" s="3">
        <f t="shared" si="88"/>
        <v>56</v>
      </c>
      <c r="N1449">
        <v>19</v>
      </c>
      <c r="O1449">
        <v>62</v>
      </c>
      <c r="P1449">
        <v>65</v>
      </c>
      <c r="Q1449">
        <v>69</v>
      </c>
      <c r="R1449">
        <v>70</v>
      </c>
      <c r="S1449">
        <v>75</v>
      </c>
      <c r="T1449">
        <v>32</v>
      </c>
      <c r="U1449">
        <v>0</v>
      </c>
      <c r="V1449" s="3">
        <f t="shared" si="89"/>
        <v>303306</v>
      </c>
      <c r="W1449">
        <v>25275.5</v>
      </c>
      <c r="X1449">
        <v>0</v>
      </c>
      <c r="Y1449">
        <f t="shared" si="90"/>
        <v>25275.5</v>
      </c>
      <c r="Z1449">
        <f t="shared" si="91"/>
        <v>0</v>
      </c>
      <c r="AA1449">
        <v>0</v>
      </c>
    </row>
    <row r="1450" spans="1:27" x14ac:dyDescent="0.25">
      <c r="A1450" s="1">
        <v>1449</v>
      </c>
      <c r="B1450" t="s">
        <v>741</v>
      </c>
      <c r="C1450" t="s">
        <v>1136</v>
      </c>
      <c r="D1450" t="s">
        <v>1146</v>
      </c>
      <c r="E1450" t="s">
        <v>1145</v>
      </c>
      <c r="F1450" t="s">
        <v>1144</v>
      </c>
      <c r="G1450" t="s">
        <v>1166</v>
      </c>
      <c r="H1450" t="s">
        <v>1166</v>
      </c>
      <c r="I1450" t="s">
        <v>1166</v>
      </c>
      <c r="J1450" t="s">
        <v>1240</v>
      </c>
      <c r="K1450" t="s">
        <v>1212</v>
      </c>
      <c r="M1450" s="3">
        <f t="shared" si="88"/>
        <v>68.857142857142861</v>
      </c>
      <c r="N1450">
        <v>35</v>
      </c>
      <c r="O1450">
        <v>83</v>
      </c>
      <c r="P1450">
        <v>75</v>
      </c>
      <c r="Q1450">
        <v>78</v>
      </c>
      <c r="R1450">
        <v>69</v>
      </c>
      <c r="S1450">
        <v>82</v>
      </c>
      <c r="T1450">
        <v>60</v>
      </c>
      <c r="U1450">
        <v>0</v>
      </c>
      <c r="V1450" s="3">
        <f t="shared" si="89"/>
        <v>2396018</v>
      </c>
      <c r="W1450">
        <v>199668.16666666666</v>
      </c>
      <c r="X1450">
        <v>0</v>
      </c>
      <c r="Y1450">
        <f t="shared" si="90"/>
        <v>199668.16666666666</v>
      </c>
      <c r="Z1450">
        <f t="shared" si="91"/>
        <v>0</v>
      </c>
      <c r="AA1450">
        <v>0</v>
      </c>
    </row>
    <row r="1451" spans="1:27" x14ac:dyDescent="0.25">
      <c r="A1451" s="1">
        <v>1450</v>
      </c>
      <c r="B1451" t="s">
        <v>737</v>
      </c>
      <c r="C1451" t="s">
        <v>1136</v>
      </c>
      <c r="D1451" t="s">
        <v>1147</v>
      </c>
      <c r="E1451" t="s">
        <v>1145</v>
      </c>
      <c r="G1451" t="s">
        <v>1166</v>
      </c>
      <c r="H1451" t="s">
        <v>1166</v>
      </c>
      <c r="I1451" t="s">
        <v>1166</v>
      </c>
      <c r="J1451" t="s">
        <v>1240</v>
      </c>
      <c r="K1451" t="s">
        <v>1212</v>
      </c>
      <c r="M1451" s="3">
        <f t="shared" si="88"/>
        <v>77.142857142857139</v>
      </c>
      <c r="N1451">
        <v>70</v>
      </c>
      <c r="O1451">
        <v>83</v>
      </c>
      <c r="P1451">
        <v>82</v>
      </c>
      <c r="Q1451">
        <v>80</v>
      </c>
      <c r="R1451">
        <v>74</v>
      </c>
      <c r="S1451">
        <v>80</v>
      </c>
      <c r="T1451">
        <v>71</v>
      </c>
      <c r="U1451">
        <v>24</v>
      </c>
      <c r="V1451" s="3">
        <f t="shared" si="89"/>
        <v>11195628</v>
      </c>
      <c r="W1451">
        <v>932969</v>
      </c>
      <c r="X1451">
        <v>0</v>
      </c>
      <c r="Y1451">
        <f t="shared" si="90"/>
        <v>932969</v>
      </c>
      <c r="Z1451">
        <f t="shared" si="91"/>
        <v>0</v>
      </c>
      <c r="AA1451">
        <v>0</v>
      </c>
    </row>
    <row r="1452" spans="1:27" x14ac:dyDescent="0.25">
      <c r="A1452" s="1">
        <v>1451</v>
      </c>
      <c r="B1452" t="s">
        <v>738</v>
      </c>
      <c r="C1452" t="s">
        <v>1136</v>
      </c>
      <c r="D1452" t="s">
        <v>1143</v>
      </c>
      <c r="E1452" t="s">
        <v>1147</v>
      </c>
      <c r="G1452" t="s">
        <v>1166</v>
      </c>
      <c r="H1452" t="s">
        <v>1166</v>
      </c>
      <c r="I1452" t="s">
        <v>1166</v>
      </c>
      <c r="J1452" t="s">
        <v>1240</v>
      </c>
      <c r="K1452" t="s">
        <v>1212</v>
      </c>
      <c r="M1452" s="3">
        <f t="shared" si="88"/>
        <v>66</v>
      </c>
      <c r="N1452">
        <v>43</v>
      </c>
      <c r="O1452">
        <v>74</v>
      </c>
      <c r="P1452">
        <v>74</v>
      </c>
      <c r="Q1452">
        <v>73</v>
      </c>
      <c r="R1452">
        <v>68</v>
      </c>
      <c r="S1452">
        <v>78</v>
      </c>
      <c r="T1452">
        <v>52</v>
      </c>
      <c r="U1452">
        <v>0</v>
      </c>
      <c r="V1452" s="3">
        <f t="shared" si="89"/>
        <v>1568337</v>
      </c>
      <c r="W1452">
        <v>130694.75</v>
      </c>
      <c r="X1452">
        <v>0</v>
      </c>
      <c r="Y1452">
        <f t="shared" si="90"/>
        <v>130694.75</v>
      </c>
      <c r="Z1452">
        <f t="shared" si="91"/>
        <v>0</v>
      </c>
      <c r="AA1452">
        <v>0</v>
      </c>
    </row>
    <row r="1453" spans="1:27" x14ac:dyDescent="0.25">
      <c r="A1453" s="1">
        <v>1452</v>
      </c>
      <c r="B1453" t="s">
        <v>1716</v>
      </c>
      <c r="C1453" t="s">
        <v>1137</v>
      </c>
      <c r="D1453" t="s">
        <v>1137</v>
      </c>
      <c r="H1453" t="s">
        <v>1166</v>
      </c>
      <c r="I1453" t="s">
        <v>1166</v>
      </c>
      <c r="J1453" t="s">
        <v>1240</v>
      </c>
      <c r="K1453" t="s">
        <v>1212</v>
      </c>
      <c r="M1453" s="3">
        <f t="shared" si="88"/>
        <v>61</v>
      </c>
      <c r="N1453">
        <v>24</v>
      </c>
      <c r="O1453">
        <v>72</v>
      </c>
      <c r="P1453">
        <v>67</v>
      </c>
      <c r="Q1453">
        <v>76</v>
      </c>
      <c r="R1453">
        <v>74</v>
      </c>
      <c r="S1453">
        <v>77</v>
      </c>
      <c r="T1453">
        <v>37</v>
      </c>
      <c r="U1453">
        <v>0</v>
      </c>
      <c r="V1453" s="3">
        <f t="shared" si="89"/>
        <v>713343</v>
      </c>
      <c r="W1453">
        <v>59445.25</v>
      </c>
      <c r="X1453">
        <v>0</v>
      </c>
      <c r="Y1453">
        <f t="shared" si="90"/>
        <v>59445.25</v>
      </c>
      <c r="Z1453">
        <f t="shared" si="91"/>
        <v>0</v>
      </c>
      <c r="AA1453">
        <v>0</v>
      </c>
    </row>
    <row r="1454" spans="1:27" x14ac:dyDescent="0.25">
      <c r="A1454" s="1">
        <v>1453</v>
      </c>
      <c r="B1454" t="s">
        <v>1789</v>
      </c>
      <c r="C1454" t="s">
        <v>1133</v>
      </c>
      <c r="D1454" t="s">
        <v>1133</v>
      </c>
      <c r="H1454" t="s">
        <v>1151</v>
      </c>
      <c r="I1454" t="s">
        <v>1151</v>
      </c>
      <c r="J1454" t="s">
        <v>1273</v>
      </c>
      <c r="K1454" t="s">
        <v>1212</v>
      </c>
      <c r="M1454" s="3">
        <f t="shared" si="88"/>
        <v>73.571428571428569</v>
      </c>
      <c r="N1454">
        <v>40</v>
      </c>
      <c r="O1454">
        <v>80</v>
      </c>
      <c r="P1454">
        <v>80</v>
      </c>
      <c r="Q1454">
        <v>86</v>
      </c>
      <c r="R1454">
        <v>90</v>
      </c>
      <c r="S1454">
        <v>79</v>
      </c>
      <c r="T1454">
        <v>60</v>
      </c>
      <c r="U1454">
        <v>30</v>
      </c>
      <c r="V1454" s="3">
        <f t="shared" si="89"/>
        <v>6969204</v>
      </c>
      <c r="W1454">
        <v>580767</v>
      </c>
      <c r="X1454">
        <v>0</v>
      </c>
      <c r="Y1454">
        <f t="shared" si="90"/>
        <v>580767</v>
      </c>
      <c r="Z1454">
        <f t="shared" si="91"/>
        <v>0</v>
      </c>
      <c r="AA1454">
        <v>0</v>
      </c>
    </row>
    <row r="1455" spans="1:27" x14ac:dyDescent="0.25">
      <c r="A1455" s="1">
        <v>1454</v>
      </c>
      <c r="B1455" t="s">
        <v>110</v>
      </c>
      <c r="C1455" t="s">
        <v>1133</v>
      </c>
      <c r="D1455" t="s">
        <v>1133</v>
      </c>
      <c r="G1455" t="s">
        <v>1209</v>
      </c>
      <c r="H1455" t="s">
        <v>1214</v>
      </c>
      <c r="I1455" t="s">
        <v>1214</v>
      </c>
      <c r="J1455" t="s">
        <v>1273</v>
      </c>
      <c r="K1455" t="s">
        <v>1212</v>
      </c>
      <c r="M1455" s="3">
        <f t="shared" si="88"/>
        <v>78.857142857142861</v>
      </c>
      <c r="N1455">
        <v>70</v>
      </c>
      <c r="O1455">
        <v>92</v>
      </c>
      <c r="P1455">
        <v>77</v>
      </c>
      <c r="Q1455">
        <v>82</v>
      </c>
      <c r="R1455">
        <v>80</v>
      </c>
      <c r="S1455">
        <v>82</v>
      </c>
      <c r="T1455">
        <v>69</v>
      </c>
      <c r="U1455">
        <v>31</v>
      </c>
      <c r="V1455" s="3">
        <f t="shared" si="89"/>
        <v>13947670</v>
      </c>
      <c r="W1455">
        <v>1162305.8333333333</v>
      </c>
      <c r="X1455">
        <v>0</v>
      </c>
      <c r="Y1455">
        <f t="shared" si="90"/>
        <v>1162305.8333333333</v>
      </c>
      <c r="Z1455">
        <f t="shared" si="91"/>
        <v>0</v>
      </c>
      <c r="AA1455">
        <v>0</v>
      </c>
    </row>
    <row r="1456" spans="1:27" x14ac:dyDescent="0.25">
      <c r="A1456" s="1">
        <v>1455</v>
      </c>
      <c r="B1456" t="s">
        <v>160</v>
      </c>
      <c r="C1456" t="s">
        <v>1134</v>
      </c>
      <c r="D1456" t="s">
        <v>1138</v>
      </c>
      <c r="G1456" t="s">
        <v>1156</v>
      </c>
      <c r="H1456" t="s">
        <v>1156</v>
      </c>
      <c r="I1456" t="s">
        <v>1156</v>
      </c>
      <c r="J1456" t="s">
        <v>1273</v>
      </c>
      <c r="K1456" t="s">
        <v>1212</v>
      </c>
      <c r="M1456" s="3">
        <f t="shared" si="88"/>
        <v>73.714285714285708</v>
      </c>
      <c r="N1456">
        <v>70</v>
      </c>
      <c r="O1456">
        <v>70</v>
      </c>
      <c r="P1456">
        <v>88</v>
      </c>
      <c r="Q1456">
        <v>75</v>
      </c>
      <c r="R1456">
        <v>70</v>
      </c>
      <c r="S1456">
        <v>88</v>
      </c>
      <c r="T1456">
        <v>55</v>
      </c>
      <c r="U1456">
        <v>0</v>
      </c>
      <c r="V1456" s="3">
        <f t="shared" si="89"/>
        <v>4737145</v>
      </c>
      <c r="W1456">
        <v>394762.08333333331</v>
      </c>
      <c r="X1456">
        <v>0</v>
      </c>
      <c r="Y1456">
        <f t="shared" si="90"/>
        <v>394762.08333333331</v>
      </c>
      <c r="Z1456">
        <f t="shared" si="91"/>
        <v>0</v>
      </c>
      <c r="AA1456">
        <v>0</v>
      </c>
    </row>
    <row r="1457" spans="1:27" x14ac:dyDescent="0.25">
      <c r="A1457" s="1">
        <v>1456</v>
      </c>
      <c r="B1457" t="s">
        <v>1792</v>
      </c>
      <c r="C1457" t="s">
        <v>1134</v>
      </c>
      <c r="D1457" t="s">
        <v>1140</v>
      </c>
      <c r="H1457" t="s">
        <v>1151</v>
      </c>
      <c r="I1457" t="s">
        <v>1151</v>
      </c>
      <c r="J1457" t="s">
        <v>1273</v>
      </c>
      <c r="K1457" t="s">
        <v>1212</v>
      </c>
      <c r="M1457" s="3">
        <f t="shared" si="88"/>
        <v>69.571428571428569</v>
      </c>
      <c r="N1457">
        <v>44</v>
      </c>
      <c r="O1457">
        <v>85</v>
      </c>
      <c r="P1457">
        <v>62</v>
      </c>
      <c r="Q1457">
        <v>80</v>
      </c>
      <c r="R1457">
        <v>82</v>
      </c>
      <c r="S1457">
        <v>84</v>
      </c>
      <c r="T1457">
        <v>50</v>
      </c>
      <c r="U1457">
        <v>0</v>
      </c>
      <c r="V1457" s="3">
        <f t="shared" si="89"/>
        <v>2656497</v>
      </c>
      <c r="W1457">
        <v>221374.75</v>
      </c>
      <c r="X1457">
        <v>0</v>
      </c>
      <c r="Y1457">
        <f t="shared" si="90"/>
        <v>221374.75</v>
      </c>
      <c r="Z1457">
        <f t="shared" si="91"/>
        <v>0</v>
      </c>
      <c r="AA1457">
        <v>0</v>
      </c>
    </row>
    <row r="1458" spans="1:27" x14ac:dyDescent="0.25">
      <c r="A1458" s="1">
        <v>1457</v>
      </c>
      <c r="B1458" t="s">
        <v>1791</v>
      </c>
      <c r="C1458" t="s">
        <v>1134</v>
      </c>
      <c r="D1458" t="s">
        <v>1138</v>
      </c>
      <c r="E1458" t="s">
        <v>1139</v>
      </c>
      <c r="H1458" t="s">
        <v>1151</v>
      </c>
      <c r="I1458" t="s">
        <v>1151</v>
      </c>
      <c r="J1458" t="s">
        <v>1273</v>
      </c>
      <c r="K1458" t="s">
        <v>1212</v>
      </c>
      <c r="M1458" s="3">
        <f t="shared" si="88"/>
        <v>66.285714285714292</v>
      </c>
      <c r="N1458">
        <v>23</v>
      </c>
      <c r="O1458">
        <v>76</v>
      </c>
      <c r="P1458">
        <v>70</v>
      </c>
      <c r="Q1458">
        <v>82</v>
      </c>
      <c r="R1458">
        <v>84</v>
      </c>
      <c r="S1458">
        <v>86</v>
      </c>
      <c r="T1458">
        <v>43</v>
      </c>
      <c r="U1458">
        <v>0</v>
      </c>
      <c r="V1458" s="3">
        <f t="shared" si="89"/>
        <v>1637569</v>
      </c>
      <c r="W1458">
        <v>136464.08333333334</v>
      </c>
      <c r="X1458">
        <v>0</v>
      </c>
      <c r="Y1458">
        <f t="shared" si="90"/>
        <v>136464.08333333334</v>
      </c>
      <c r="Z1458">
        <f t="shared" si="91"/>
        <v>0</v>
      </c>
      <c r="AA1458">
        <v>0</v>
      </c>
    </row>
    <row r="1459" spans="1:27" x14ac:dyDescent="0.25">
      <c r="A1459" s="1">
        <v>1458</v>
      </c>
      <c r="B1459" t="s">
        <v>1790</v>
      </c>
      <c r="C1459" t="s">
        <v>1134</v>
      </c>
      <c r="D1459" t="s">
        <v>1138</v>
      </c>
      <c r="H1459" t="s">
        <v>1151</v>
      </c>
      <c r="I1459" t="s">
        <v>1151</v>
      </c>
      <c r="J1459" t="s">
        <v>1273</v>
      </c>
      <c r="K1459" t="s">
        <v>1212</v>
      </c>
      <c r="M1459" s="3">
        <f t="shared" si="88"/>
        <v>51.571428571428569</v>
      </c>
      <c r="N1459">
        <v>15</v>
      </c>
      <c r="O1459">
        <v>55</v>
      </c>
      <c r="P1459">
        <v>58</v>
      </c>
      <c r="Q1459">
        <v>66</v>
      </c>
      <c r="R1459">
        <v>68</v>
      </c>
      <c r="S1459">
        <v>72</v>
      </c>
      <c r="T1459">
        <v>27</v>
      </c>
      <c r="U1459">
        <v>0</v>
      </c>
      <c r="V1459" s="3">
        <f t="shared" si="89"/>
        <v>133074</v>
      </c>
      <c r="W1459">
        <v>11089.5</v>
      </c>
      <c r="X1459">
        <v>0</v>
      </c>
      <c r="Y1459">
        <f t="shared" si="90"/>
        <v>11089.5</v>
      </c>
      <c r="Z1459">
        <f t="shared" si="91"/>
        <v>0</v>
      </c>
      <c r="AA1459">
        <v>0</v>
      </c>
    </row>
    <row r="1460" spans="1:27" x14ac:dyDescent="0.25">
      <c r="A1460" s="1">
        <v>1459</v>
      </c>
      <c r="B1460" t="s">
        <v>114</v>
      </c>
      <c r="C1460" t="s">
        <v>1134</v>
      </c>
      <c r="D1460" t="s">
        <v>1138</v>
      </c>
      <c r="G1460" t="s">
        <v>1148</v>
      </c>
      <c r="H1460" t="s">
        <v>1148</v>
      </c>
      <c r="I1460" t="s">
        <v>1148</v>
      </c>
      <c r="J1460" t="s">
        <v>1273</v>
      </c>
      <c r="K1460" t="s">
        <v>1212</v>
      </c>
      <c r="M1460" s="3">
        <f t="shared" si="88"/>
        <v>74.428571428571431</v>
      </c>
      <c r="N1460">
        <v>59</v>
      </c>
      <c r="O1460">
        <v>70</v>
      </c>
      <c r="P1460">
        <v>70</v>
      </c>
      <c r="Q1460">
        <v>89</v>
      </c>
      <c r="R1460">
        <v>81</v>
      </c>
      <c r="S1460">
        <v>82</v>
      </c>
      <c r="T1460">
        <v>70</v>
      </c>
      <c r="U1460">
        <v>0</v>
      </c>
      <c r="V1460" s="3">
        <f t="shared" si="89"/>
        <v>5216712</v>
      </c>
      <c r="W1460">
        <v>434726</v>
      </c>
      <c r="X1460">
        <v>0</v>
      </c>
      <c r="Y1460">
        <f t="shared" si="90"/>
        <v>434726</v>
      </c>
      <c r="Z1460">
        <f t="shared" si="91"/>
        <v>0</v>
      </c>
      <c r="AA1460">
        <v>0</v>
      </c>
    </row>
    <row r="1461" spans="1:27" x14ac:dyDescent="0.25">
      <c r="A1461" s="1">
        <v>1460</v>
      </c>
      <c r="B1461" t="s">
        <v>2593</v>
      </c>
      <c r="C1461" t="s">
        <v>1134</v>
      </c>
      <c r="D1461" t="s">
        <v>1138</v>
      </c>
      <c r="E1461" t="s">
        <v>1144</v>
      </c>
      <c r="H1461" t="s">
        <v>1151</v>
      </c>
      <c r="I1461" t="s">
        <v>1151</v>
      </c>
      <c r="J1461" t="s">
        <v>1273</v>
      </c>
      <c r="K1461" t="s">
        <v>1212</v>
      </c>
      <c r="M1461" s="3">
        <f t="shared" si="88"/>
        <v>59.571428571428569</v>
      </c>
      <c r="N1461">
        <v>16</v>
      </c>
      <c r="O1461">
        <v>66</v>
      </c>
      <c r="P1461">
        <v>64</v>
      </c>
      <c r="Q1461">
        <v>78</v>
      </c>
      <c r="R1461">
        <v>80</v>
      </c>
      <c r="S1461">
        <v>81</v>
      </c>
      <c r="T1461">
        <v>32</v>
      </c>
      <c r="U1461">
        <v>0</v>
      </c>
      <c r="V1461" s="3">
        <f t="shared" si="89"/>
        <v>562834</v>
      </c>
      <c r="W1461">
        <v>46902.833333333336</v>
      </c>
      <c r="X1461">
        <v>0</v>
      </c>
      <c r="Y1461">
        <f t="shared" si="90"/>
        <v>46902.833333333336</v>
      </c>
      <c r="Z1461">
        <f t="shared" si="91"/>
        <v>0</v>
      </c>
      <c r="AA1461">
        <v>0</v>
      </c>
    </row>
    <row r="1462" spans="1:27" x14ac:dyDescent="0.25">
      <c r="A1462" s="1">
        <v>1461</v>
      </c>
      <c r="B1462" t="s">
        <v>504</v>
      </c>
      <c r="C1462" t="s">
        <v>1135</v>
      </c>
      <c r="D1462" t="s">
        <v>1141</v>
      </c>
      <c r="E1462" t="s">
        <v>1145</v>
      </c>
      <c r="G1462" t="s">
        <v>1170</v>
      </c>
      <c r="H1462" t="s">
        <v>1170</v>
      </c>
      <c r="I1462" t="s">
        <v>1170</v>
      </c>
      <c r="J1462" t="s">
        <v>1273</v>
      </c>
      <c r="K1462" t="s">
        <v>1212</v>
      </c>
      <c r="M1462" s="3">
        <f t="shared" si="88"/>
        <v>70.571428571428569</v>
      </c>
      <c r="N1462">
        <v>52</v>
      </c>
      <c r="O1462">
        <v>81</v>
      </c>
      <c r="P1462">
        <v>80</v>
      </c>
      <c r="Q1462">
        <v>78</v>
      </c>
      <c r="R1462">
        <v>74</v>
      </c>
      <c r="S1462">
        <v>77</v>
      </c>
      <c r="T1462">
        <v>52</v>
      </c>
      <c r="U1462">
        <v>0</v>
      </c>
      <c r="V1462" s="3">
        <f t="shared" si="89"/>
        <v>3064003</v>
      </c>
      <c r="W1462">
        <v>255333.58333333334</v>
      </c>
      <c r="X1462">
        <v>0</v>
      </c>
      <c r="Y1462">
        <f t="shared" si="90"/>
        <v>255333.58333333334</v>
      </c>
      <c r="Z1462">
        <f t="shared" si="91"/>
        <v>0</v>
      </c>
      <c r="AA1462">
        <v>0</v>
      </c>
    </row>
    <row r="1463" spans="1:27" x14ac:dyDescent="0.25">
      <c r="A1463" s="1">
        <v>1462</v>
      </c>
      <c r="B1463" t="s">
        <v>1797</v>
      </c>
      <c r="C1463" t="s">
        <v>1135</v>
      </c>
      <c r="D1463" t="s">
        <v>1141</v>
      </c>
      <c r="E1463" t="s">
        <v>1145</v>
      </c>
      <c r="H1463" t="s">
        <v>1151</v>
      </c>
      <c r="I1463" t="s">
        <v>1151</v>
      </c>
      <c r="J1463" t="s">
        <v>1273</v>
      </c>
      <c r="K1463" t="s">
        <v>1212</v>
      </c>
      <c r="M1463" s="3">
        <f t="shared" si="88"/>
        <v>71.714285714285708</v>
      </c>
      <c r="N1463">
        <v>48</v>
      </c>
      <c r="O1463">
        <v>82</v>
      </c>
      <c r="P1463">
        <v>80</v>
      </c>
      <c r="Q1463">
        <v>81</v>
      </c>
      <c r="R1463">
        <v>82</v>
      </c>
      <c r="S1463">
        <v>85</v>
      </c>
      <c r="T1463">
        <v>44</v>
      </c>
      <c r="U1463">
        <v>7</v>
      </c>
      <c r="V1463" s="3">
        <f t="shared" si="89"/>
        <v>5396946</v>
      </c>
      <c r="W1463">
        <v>449745.5</v>
      </c>
      <c r="X1463">
        <v>0</v>
      </c>
      <c r="Y1463">
        <f t="shared" si="90"/>
        <v>449745.5</v>
      </c>
      <c r="Z1463">
        <f t="shared" si="91"/>
        <v>0</v>
      </c>
      <c r="AA1463">
        <v>0</v>
      </c>
    </row>
    <row r="1464" spans="1:27" x14ac:dyDescent="0.25">
      <c r="A1464" s="1">
        <v>1463</v>
      </c>
      <c r="B1464" t="s">
        <v>581</v>
      </c>
      <c r="C1464" t="s">
        <v>1135</v>
      </c>
      <c r="D1464" t="s">
        <v>1141</v>
      </c>
      <c r="G1464" t="s">
        <v>1195</v>
      </c>
      <c r="H1464" t="s">
        <v>1195</v>
      </c>
      <c r="I1464" t="s">
        <v>1195</v>
      </c>
      <c r="J1464" t="s">
        <v>1273</v>
      </c>
      <c r="K1464" t="s">
        <v>1212</v>
      </c>
      <c r="M1464" s="3">
        <f t="shared" si="88"/>
        <v>62</v>
      </c>
      <c r="N1464">
        <v>35</v>
      </c>
      <c r="O1464">
        <v>70</v>
      </c>
      <c r="P1464">
        <v>74</v>
      </c>
      <c r="Q1464">
        <v>70</v>
      </c>
      <c r="R1464">
        <v>68</v>
      </c>
      <c r="S1464">
        <v>77</v>
      </c>
      <c r="T1464">
        <v>40</v>
      </c>
      <c r="U1464">
        <v>0</v>
      </c>
      <c r="V1464" s="3">
        <f t="shared" si="89"/>
        <v>839300</v>
      </c>
      <c r="W1464">
        <v>69941.666666666672</v>
      </c>
      <c r="X1464">
        <v>0</v>
      </c>
      <c r="Y1464">
        <f t="shared" si="90"/>
        <v>69941.666666666672</v>
      </c>
      <c r="Z1464">
        <f t="shared" si="91"/>
        <v>0</v>
      </c>
      <c r="AA1464">
        <v>0</v>
      </c>
    </row>
    <row r="1465" spans="1:27" x14ac:dyDescent="0.25">
      <c r="A1465" s="1">
        <v>1464</v>
      </c>
      <c r="B1465" t="s">
        <v>1012</v>
      </c>
      <c r="C1465" t="s">
        <v>1136</v>
      </c>
      <c r="D1465" t="s">
        <v>1145</v>
      </c>
      <c r="E1465" t="s">
        <v>1143</v>
      </c>
      <c r="G1465" t="s">
        <v>1209</v>
      </c>
      <c r="H1465" t="s">
        <v>1209</v>
      </c>
      <c r="I1465" t="s">
        <v>1209</v>
      </c>
      <c r="J1465" t="s">
        <v>1273</v>
      </c>
      <c r="K1465" t="s">
        <v>1212</v>
      </c>
      <c r="M1465" s="3">
        <f t="shared" si="88"/>
        <v>58.285714285714285</v>
      </c>
      <c r="N1465">
        <v>42</v>
      </c>
      <c r="O1465">
        <v>57</v>
      </c>
      <c r="P1465">
        <v>73</v>
      </c>
      <c r="Q1465">
        <v>65</v>
      </c>
      <c r="R1465">
        <v>52</v>
      </c>
      <c r="S1465">
        <v>66</v>
      </c>
      <c r="T1465">
        <v>53</v>
      </c>
      <c r="U1465">
        <v>0</v>
      </c>
      <c r="V1465" s="3">
        <f t="shared" si="89"/>
        <v>452503</v>
      </c>
      <c r="W1465">
        <v>37708.583333333336</v>
      </c>
      <c r="X1465">
        <v>0</v>
      </c>
      <c r="Y1465">
        <f t="shared" si="90"/>
        <v>37708.583333333336</v>
      </c>
      <c r="Z1465">
        <f t="shared" si="91"/>
        <v>0</v>
      </c>
      <c r="AA1465">
        <v>0</v>
      </c>
    </row>
    <row r="1466" spans="1:27" x14ac:dyDescent="0.25">
      <c r="A1466" s="1">
        <v>1465</v>
      </c>
      <c r="B1466" t="s">
        <v>1793</v>
      </c>
      <c r="C1466" t="s">
        <v>1136</v>
      </c>
      <c r="D1466" t="s">
        <v>1143</v>
      </c>
      <c r="E1466" t="s">
        <v>1146</v>
      </c>
      <c r="H1466" t="s">
        <v>1151</v>
      </c>
      <c r="I1466" t="s">
        <v>1151</v>
      </c>
      <c r="J1466" t="s">
        <v>1273</v>
      </c>
      <c r="K1466" t="s">
        <v>1212</v>
      </c>
      <c r="M1466" s="3">
        <f t="shared" si="88"/>
        <v>65.571428571428569</v>
      </c>
      <c r="N1466">
        <v>24</v>
      </c>
      <c r="O1466">
        <v>78</v>
      </c>
      <c r="P1466">
        <v>74</v>
      </c>
      <c r="Q1466">
        <v>84</v>
      </c>
      <c r="R1466">
        <v>78</v>
      </c>
      <c r="S1466">
        <v>80</v>
      </c>
      <c r="T1466">
        <v>41</v>
      </c>
      <c r="U1466">
        <v>0</v>
      </c>
      <c r="V1466" s="3">
        <f t="shared" si="89"/>
        <v>1469422</v>
      </c>
      <c r="W1466">
        <v>122451.83333333333</v>
      </c>
      <c r="X1466">
        <v>0</v>
      </c>
      <c r="Y1466">
        <f t="shared" si="90"/>
        <v>122451.83333333333</v>
      </c>
      <c r="Z1466">
        <f t="shared" si="91"/>
        <v>0</v>
      </c>
      <c r="AA1466">
        <v>0</v>
      </c>
    </row>
    <row r="1467" spans="1:27" x14ac:dyDescent="0.25">
      <c r="A1467" s="1">
        <v>1466</v>
      </c>
      <c r="B1467" t="s">
        <v>655</v>
      </c>
      <c r="C1467" t="s">
        <v>1136</v>
      </c>
      <c r="D1467" t="s">
        <v>1147</v>
      </c>
      <c r="E1467" t="s">
        <v>1146</v>
      </c>
      <c r="G1467" t="s">
        <v>1151</v>
      </c>
      <c r="H1467" t="s">
        <v>1151</v>
      </c>
      <c r="I1467" t="s">
        <v>1151</v>
      </c>
      <c r="J1467" t="s">
        <v>1273</v>
      </c>
      <c r="K1467" t="s">
        <v>1212</v>
      </c>
      <c r="M1467" s="3">
        <f t="shared" si="88"/>
        <v>87</v>
      </c>
      <c r="N1467">
        <v>84</v>
      </c>
      <c r="O1467">
        <v>92</v>
      </c>
      <c r="P1467">
        <v>89</v>
      </c>
      <c r="Q1467">
        <v>90</v>
      </c>
      <c r="R1467">
        <v>83</v>
      </c>
      <c r="S1467">
        <v>83</v>
      </c>
      <c r="T1467">
        <v>88</v>
      </c>
      <c r="U1467">
        <v>23</v>
      </c>
      <c r="V1467" s="3">
        <f t="shared" si="89"/>
        <v>37263513</v>
      </c>
      <c r="W1467">
        <v>3105292.75</v>
      </c>
      <c r="X1467">
        <v>0</v>
      </c>
      <c r="Y1467">
        <f t="shared" si="90"/>
        <v>3105292.75</v>
      </c>
      <c r="Z1467">
        <f t="shared" si="91"/>
        <v>0</v>
      </c>
      <c r="AA1467">
        <v>0</v>
      </c>
    </row>
    <row r="1468" spans="1:27" x14ac:dyDescent="0.25">
      <c r="A1468" s="1">
        <v>1467</v>
      </c>
      <c r="B1468" t="s">
        <v>653</v>
      </c>
      <c r="C1468" t="s">
        <v>1136</v>
      </c>
      <c r="D1468" t="s">
        <v>1143</v>
      </c>
      <c r="E1468" t="s">
        <v>1146</v>
      </c>
      <c r="G1468" t="s">
        <v>1151</v>
      </c>
      <c r="H1468" t="s">
        <v>1151</v>
      </c>
      <c r="I1468" t="s">
        <v>1151</v>
      </c>
      <c r="J1468" t="s">
        <v>1273</v>
      </c>
      <c r="K1468" t="s">
        <v>1212</v>
      </c>
      <c r="M1468" s="3">
        <f t="shared" si="88"/>
        <v>88.285714285714292</v>
      </c>
      <c r="N1468">
        <v>86</v>
      </c>
      <c r="O1468">
        <v>91</v>
      </c>
      <c r="P1468">
        <v>87</v>
      </c>
      <c r="Q1468">
        <v>96</v>
      </c>
      <c r="R1468">
        <v>87</v>
      </c>
      <c r="S1468">
        <v>84</v>
      </c>
      <c r="T1468">
        <v>87</v>
      </c>
      <c r="U1468">
        <v>23</v>
      </c>
      <c r="V1468" s="3">
        <f t="shared" si="89"/>
        <v>43151472</v>
      </c>
      <c r="W1468">
        <v>3595956</v>
      </c>
      <c r="X1468">
        <v>0</v>
      </c>
      <c r="Y1468">
        <f t="shared" si="90"/>
        <v>3595956</v>
      </c>
      <c r="Z1468">
        <f t="shared" si="91"/>
        <v>0</v>
      </c>
      <c r="AA1468">
        <v>0</v>
      </c>
    </row>
    <row r="1469" spans="1:27" x14ac:dyDescent="0.25">
      <c r="A1469" s="1">
        <v>1468</v>
      </c>
      <c r="B1469" t="s">
        <v>676</v>
      </c>
      <c r="C1469" t="s">
        <v>1136</v>
      </c>
      <c r="D1469" t="s">
        <v>1143</v>
      </c>
      <c r="E1469" t="s">
        <v>1144</v>
      </c>
      <c r="F1469" t="s">
        <v>1145</v>
      </c>
      <c r="G1469" t="s">
        <v>1155</v>
      </c>
      <c r="H1469" t="s">
        <v>1155</v>
      </c>
      <c r="I1469" t="s">
        <v>1155</v>
      </c>
      <c r="J1469" t="s">
        <v>1273</v>
      </c>
      <c r="K1469" t="s">
        <v>1212</v>
      </c>
      <c r="M1469" s="3">
        <f t="shared" si="88"/>
        <v>84.428571428571431</v>
      </c>
      <c r="N1469">
        <v>78</v>
      </c>
      <c r="O1469">
        <v>81</v>
      </c>
      <c r="P1469">
        <v>81</v>
      </c>
      <c r="Q1469">
        <v>84</v>
      </c>
      <c r="R1469">
        <v>94</v>
      </c>
      <c r="S1469">
        <v>95</v>
      </c>
      <c r="T1469">
        <v>78</v>
      </c>
      <c r="U1469">
        <v>18</v>
      </c>
      <c r="V1469" s="3">
        <f t="shared" si="89"/>
        <v>27604868</v>
      </c>
      <c r="W1469">
        <v>2300405.6666666665</v>
      </c>
      <c r="X1469">
        <v>0</v>
      </c>
      <c r="Y1469">
        <f t="shared" si="90"/>
        <v>2300405.6666666665</v>
      </c>
      <c r="Z1469">
        <f t="shared" si="91"/>
        <v>0</v>
      </c>
      <c r="AA1469">
        <v>0</v>
      </c>
    </row>
    <row r="1470" spans="1:27" x14ac:dyDescent="0.25">
      <c r="A1470" s="1">
        <v>1469</v>
      </c>
      <c r="B1470" t="s">
        <v>1794</v>
      </c>
      <c r="C1470" t="s">
        <v>1136</v>
      </c>
      <c r="D1470" t="s">
        <v>1147</v>
      </c>
      <c r="E1470" t="s">
        <v>1146</v>
      </c>
      <c r="H1470" t="s">
        <v>1151</v>
      </c>
      <c r="I1470" t="s">
        <v>1151</v>
      </c>
      <c r="J1470" t="s">
        <v>1273</v>
      </c>
      <c r="K1470" t="s">
        <v>1212</v>
      </c>
      <c r="M1470" s="3">
        <f t="shared" si="88"/>
        <v>54.714285714285715</v>
      </c>
      <c r="N1470">
        <v>16</v>
      </c>
      <c r="O1470">
        <v>60</v>
      </c>
      <c r="P1470">
        <v>64</v>
      </c>
      <c r="Q1470">
        <v>72</v>
      </c>
      <c r="R1470">
        <v>70</v>
      </c>
      <c r="S1470">
        <v>73</v>
      </c>
      <c r="T1470">
        <v>28</v>
      </c>
      <c r="U1470">
        <v>0</v>
      </c>
      <c r="V1470" s="3">
        <f t="shared" si="89"/>
        <v>240441</v>
      </c>
      <c r="W1470">
        <v>20036.75</v>
      </c>
      <c r="X1470">
        <v>0</v>
      </c>
      <c r="Y1470">
        <f t="shared" si="90"/>
        <v>20036.75</v>
      </c>
      <c r="Z1470">
        <f t="shared" si="91"/>
        <v>0</v>
      </c>
      <c r="AA1470">
        <v>0</v>
      </c>
    </row>
    <row r="1471" spans="1:27" x14ac:dyDescent="0.25">
      <c r="A1471" s="1">
        <v>1470</v>
      </c>
      <c r="B1471" t="s">
        <v>1796</v>
      </c>
      <c r="C1471" t="s">
        <v>1136</v>
      </c>
      <c r="D1471" t="s">
        <v>1145</v>
      </c>
      <c r="E1471" t="s">
        <v>1143</v>
      </c>
      <c r="H1471" t="s">
        <v>1151</v>
      </c>
      <c r="I1471" t="s">
        <v>1151</v>
      </c>
      <c r="J1471" t="s">
        <v>1273</v>
      </c>
      <c r="K1471" t="s">
        <v>1212</v>
      </c>
      <c r="M1471" s="3">
        <f t="shared" si="88"/>
        <v>57.142857142857146</v>
      </c>
      <c r="N1471">
        <v>18</v>
      </c>
      <c r="O1471">
        <v>64</v>
      </c>
      <c r="P1471">
        <v>66</v>
      </c>
      <c r="Q1471">
        <v>74</v>
      </c>
      <c r="R1471">
        <v>72</v>
      </c>
      <c r="S1471">
        <v>75</v>
      </c>
      <c r="T1471">
        <v>31</v>
      </c>
      <c r="U1471">
        <v>0</v>
      </c>
      <c r="V1471" s="3">
        <f t="shared" si="89"/>
        <v>371210</v>
      </c>
      <c r="W1471">
        <v>30934.166666666668</v>
      </c>
      <c r="X1471">
        <v>0</v>
      </c>
      <c r="Y1471">
        <f t="shared" si="90"/>
        <v>30934.166666666668</v>
      </c>
      <c r="Z1471">
        <f t="shared" si="91"/>
        <v>0</v>
      </c>
      <c r="AA1471">
        <v>0</v>
      </c>
    </row>
    <row r="1472" spans="1:27" x14ac:dyDescent="0.25">
      <c r="A1472" s="1">
        <v>1471</v>
      </c>
      <c r="B1472" t="s">
        <v>1795</v>
      </c>
      <c r="C1472" t="s">
        <v>1136</v>
      </c>
      <c r="D1472" t="s">
        <v>1143</v>
      </c>
      <c r="E1472" t="s">
        <v>1144</v>
      </c>
      <c r="H1472" t="s">
        <v>1151</v>
      </c>
      <c r="I1472" t="s">
        <v>1151</v>
      </c>
      <c r="J1472" t="s">
        <v>1273</v>
      </c>
      <c r="K1472" t="s">
        <v>1212</v>
      </c>
      <c r="M1472" s="3">
        <f t="shared" si="88"/>
        <v>61.571428571428569</v>
      </c>
      <c r="N1472">
        <v>21</v>
      </c>
      <c r="O1472">
        <v>72</v>
      </c>
      <c r="P1472">
        <v>68</v>
      </c>
      <c r="Q1472">
        <v>80</v>
      </c>
      <c r="R1472">
        <v>76</v>
      </c>
      <c r="S1472">
        <v>78</v>
      </c>
      <c r="T1472">
        <v>36</v>
      </c>
      <c r="U1472">
        <v>0</v>
      </c>
      <c r="V1472" s="3">
        <f t="shared" si="89"/>
        <v>783056</v>
      </c>
      <c r="W1472">
        <v>65254.666666666664</v>
      </c>
      <c r="X1472">
        <v>0</v>
      </c>
      <c r="Y1472">
        <f t="shared" si="90"/>
        <v>65254.666666666664</v>
      </c>
      <c r="Z1472">
        <f t="shared" si="91"/>
        <v>0</v>
      </c>
      <c r="AA1472">
        <v>0</v>
      </c>
    </row>
    <row r="1473" spans="1:27" x14ac:dyDescent="0.25">
      <c r="A1473" s="1">
        <v>1472</v>
      </c>
      <c r="B1473" t="s">
        <v>1013</v>
      </c>
      <c r="C1473" t="s">
        <v>1136</v>
      </c>
      <c r="D1473" t="s">
        <v>1143</v>
      </c>
      <c r="E1473" t="s">
        <v>1147</v>
      </c>
      <c r="G1473" t="s">
        <v>1210</v>
      </c>
      <c r="H1473" t="s">
        <v>1210</v>
      </c>
      <c r="I1473" t="s">
        <v>1210</v>
      </c>
      <c r="J1473" t="s">
        <v>1273</v>
      </c>
      <c r="K1473" t="s">
        <v>1212</v>
      </c>
      <c r="M1473" s="3">
        <f t="shared" si="88"/>
        <v>52.142857142857146</v>
      </c>
      <c r="N1473">
        <v>32</v>
      </c>
      <c r="O1473">
        <v>59</v>
      </c>
      <c r="P1473">
        <v>66</v>
      </c>
      <c r="Q1473">
        <v>57</v>
      </c>
      <c r="R1473">
        <v>55</v>
      </c>
      <c r="S1473">
        <v>66</v>
      </c>
      <c r="T1473">
        <v>30</v>
      </c>
      <c r="U1473">
        <v>0</v>
      </c>
      <c r="V1473" s="3">
        <f t="shared" si="89"/>
        <v>148576</v>
      </c>
      <c r="W1473">
        <v>12381.333333333334</v>
      </c>
      <c r="X1473">
        <v>0</v>
      </c>
      <c r="Y1473">
        <f t="shared" si="90"/>
        <v>12381.333333333334</v>
      </c>
      <c r="Z1473">
        <f t="shared" si="91"/>
        <v>0</v>
      </c>
      <c r="AA1473">
        <v>0</v>
      </c>
    </row>
    <row r="1474" spans="1:27" x14ac:dyDescent="0.25">
      <c r="A1474" s="1">
        <v>1473</v>
      </c>
      <c r="B1474" t="s">
        <v>1093</v>
      </c>
      <c r="C1474" t="s">
        <v>1137</v>
      </c>
      <c r="D1474" t="s">
        <v>1137</v>
      </c>
      <c r="H1474" t="s">
        <v>1151</v>
      </c>
      <c r="I1474" t="s">
        <v>1151</v>
      </c>
      <c r="J1474" t="s">
        <v>1273</v>
      </c>
      <c r="K1474" t="s">
        <v>1212</v>
      </c>
      <c r="M1474" s="3">
        <f t="shared" ref="M1474:M1537" si="92">AVERAGE(N1474:T1474)</f>
        <v>73.428571428571431</v>
      </c>
      <c r="N1474">
        <v>63</v>
      </c>
      <c r="O1474">
        <v>79</v>
      </c>
      <c r="P1474">
        <v>84</v>
      </c>
      <c r="Q1474">
        <v>74</v>
      </c>
      <c r="R1474">
        <v>82</v>
      </c>
      <c r="S1474">
        <v>74</v>
      </c>
      <c r="T1474">
        <v>58</v>
      </c>
      <c r="U1474">
        <v>0</v>
      </c>
      <c r="V1474" s="3">
        <f t="shared" ref="V1474:V1537" si="93">ROUNDUP(M1474^10/1000000000000 * IF(U1474&gt;0,1.5,1),0)</f>
        <v>4556704</v>
      </c>
      <c r="W1474">
        <v>379725.33333333331</v>
      </c>
      <c r="X1474">
        <v>0</v>
      </c>
      <c r="Y1474">
        <f t="shared" ref="Y1474:Y1537" si="94">V1474/12</f>
        <v>379725.33333333331</v>
      </c>
      <c r="Z1474">
        <f t="shared" ref="Z1474:Z1537" si="95">ROUND(((W1474-Y1474)/Y1474)*100,2)</f>
        <v>0</v>
      </c>
      <c r="AA1474">
        <v>0</v>
      </c>
    </row>
    <row r="1475" spans="1:27" x14ac:dyDescent="0.25">
      <c r="A1475" s="1">
        <v>1474</v>
      </c>
      <c r="B1475" t="s">
        <v>1454</v>
      </c>
      <c r="C1475" t="s">
        <v>1133</v>
      </c>
      <c r="D1475" t="s">
        <v>1133</v>
      </c>
      <c r="H1475" t="s">
        <v>1179</v>
      </c>
      <c r="I1475" t="s">
        <v>1179</v>
      </c>
      <c r="J1475" t="s">
        <v>1232</v>
      </c>
      <c r="K1475" t="s">
        <v>1212</v>
      </c>
      <c r="M1475" s="3">
        <f t="shared" si="92"/>
        <v>75.285714285714292</v>
      </c>
      <c r="N1475">
        <v>70</v>
      </c>
      <c r="O1475">
        <v>74</v>
      </c>
      <c r="P1475">
        <v>73</v>
      </c>
      <c r="Q1475">
        <v>79</v>
      </c>
      <c r="R1475">
        <v>81</v>
      </c>
      <c r="S1475">
        <v>78</v>
      </c>
      <c r="T1475">
        <v>72</v>
      </c>
      <c r="U1475">
        <v>0</v>
      </c>
      <c r="V1475" s="3">
        <f t="shared" si="93"/>
        <v>5849595</v>
      </c>
      <c r="W1475">
        <v>487466.25</v>
      </c>
      <c r="X1475">
        <v>0</v>
      </c>
      <c r="Y1475">
        <f t="shared" si="94"/>
        <v>487466.25</v>
      </c>
      <c r="Z1475">
        <f t="shared" si="95"/>
        <v>0</v>
      </c>
      <c r="AA1475">
        <v>0</v>
      </c>
    </row>
    <row r="1476" spans="1:27" x14ac:dyDescent="0.25">
      <c r="A1476" s="1">
        <v>1475</v>
      </c>
      <c r="B1476" t="s">
        <v>34</v>
      </c>
      <c r="C1476" t="s">
        <v>1133</v>
      </c>
      <c r="D1476" t="s">
        <v>1133</v>
      </c>
      <c r="G1476" t="s">
        <v>1157</v>
      </c>
      <c r="H1476" t="s">
        <v>1157</v>
      </c>
      <c r="I1476" t="s">
        <v>1157</v>
      </c>
      <c r="J1476" t="s">
        <v>1232</v>
      </c>
      <c r="K1476" t="s">
        <v>1212</v>
      </c>
      <c r="M1476" s="3">
        <f t="shared" si="92"/>
        <v>87.142857142857139</v>
      </c>
      <c r="N1476">
        <v>83</v>
      </c>
      <c r="O1476">
        <v>84</v>
      </c>
      <c r="P1476">
        <v>82</v>
      </c>
      <c r="Q1476">
        <v>86</v>
      </c>
      <c r="R1476">
        <v>90</v>
      </c>
      <c r="S1476">
        <v>94</v>
      </c>
      <c r="T1476">
        <v>91</v>
      </c>
      <c r="U1476">
        <v>31</v>
      </c>
      <c r="V1476" s="3">
        <f t="shared" si="93"/>
        <v>37879934</v>
      </c>
      <c r="W1476">
        <v>3156661.1666666665</v>
      </c>
      <c r="X1476">
        <v>0</v>
      </c>
      <c r="Y1476">
        <f t="shared" si="94"/>
        <v>3156661.1666666665</v>
      </c>
      <c r="Z1476">
        <f t="shared" si="95"/>
        <v>0</v>
      </c>
      <c r="AA1476">
        <v>0</v>
      </c>
    </row>
    <row r="1477" spans="1:27" x14ac:dyDescent="0.25">
      <c r="A1477" s="1">
        <v>1476</v>
      </c>
      <c r="B1477" t="s">
        <v>342</v>
      </c>
      <c r="C1477" t="s">
        <v>1134</v>
      </c>
      <c r="D1477" t="s">
        <v>1138</v>
      </c>
      <c r="E1477" t="s">
        <v>1144</v>
      </c>
      <c r="G1477" t="s">
        <v>1193</v>
      </c>
      <c r="H1477" t="s">
        <v>1193</v>
      </c>
      <c r="I1477" t="s">
        <v>1193</v>
      </c>
      <c r="J1477" t="s">
        <v>1232</v>
      </c>
      <c r="K1477" t="s">
        <v>1212</v>
      </c>
      <c r="M1477" s="3">
        <f t="shared" si="92"/>
        <v>93.571428571428569</v>
      </c>
      <c r="N1477">
        <v>95</v>
      </c>
      <c r="O1477">
        <v>87</v>
      </c>
      <c r="P1477">
        <v>97</v>
      </c>
      <c r="Q1477">
        <v>97</v>
      </c>
      <c r="R1477">
        <v>94</v>
      </c>
      <c r="S1477">
        <v>90</v>
      </c>
      <c r="T1477">
        <v>95</v>
      </c>
      <c r="U1477">
        <v>1</v>
      </c>
      <c r="V1477" s="3">
        <f t="shared" si="93"/>
        <v>77183392</v>
      </c>
      <c r="W1477">
        <v>6431949.333333333</v>
      </c>
      <c r="X1477">
        <v>0</v>
      </c>
      <c r="Y1477">
        <f t="shared" si="94"/>
        <v>6431949.333333333</v>
      </c>
      <c r="Z1477">
        <f t="shared" si="95"/>
        <v>0</v>
      </c>
      <c r="AA1477">
        <v>0</v>
      </c>
    </row>
    <row r="1478" spans="1:27" x14ac:dyDescent="0.25">
      <c r="A1478" s="1">
        <v>1477</v>
      </c>
      <c r="B1478" t="s">
        <v>2659</v>
      </c>
      <c r="C1478" t="s">
        <v>1134</v>
      </c>
      <c r="D1478" t="s">
        <v>1140</v>
      </c>
      <c r="E1478" t="s">
        <v>1138</v>
      </c>
      <c r="H1478" t="s">
        <v>1179</v>
      </c>
      <c r="I1478" t="s">
        <v>1179</v>
      </c>
      <c r="J1478" t="s">
        <v>1232</v>
      </c>
      <c r="K1478" t="s">
        <v>1212</v>
      </c>
      <c r="M1478" s="3">
        <f t="shared" si="92"/>
        <v>76.285714285714292</v>
      </c>
      <c r="N1478">
        <v>72</v>
      </c>
      <c r="O1478">
        <v>75</v>
      </c>
      <c r="P1478">
        <v>80</v>
      </c>
      <c r="Q1478">
        <v>78</v>
      </c>
      <c r="R1478">
        <v>76</v>
      </c>
      <c r="S1478">
        <v>79</v>
      </c>
      <c r="T1478">
        <v>74</v>
      </c>
      <c r="U1478">
        <v>0</v>
      </c>
      <c r="V1478" s="3">
        <f t="shared" si="93"/>
        <v>6674707</v>
      </c>
      <c r="W1478">
        <v>556225.58333333337</v>
      </c>
      <c r="X1478">
        <v>0</v>
      </c>
      <c r="Y1478">
        <f t="shared" si="94"/>
        <v>556225.58333333337</v>
      </c>
      <c r="Z1478">
        <f t="shared" si="95"/>
        <v>0</v>
      </c>
      <c r="AA1478">
        <v>0</v>
      </c>
    </row>
    <row r="1479" spans="1:27" x14ac:dyDescent="0.25">
      <c r="A1479" s="1">
        <v>1478</v>
      </c>
      <c r="B1479" t="s">
        <v>219</v>
      </c>
      <c r="C1479" t="s">
        <v>1134</v>
      </c>
      <c r="D1479" t="s">
        <v>1139</v>
      </c>
      <c r="E1479" t="s">
        <v>1138</v>
      </c>
      <c r="F1479" t="s">
        <v>1144</v>
      </c>
      <c r="G1479" t="s">
        <v>1168</v>
      </c>
      <c r="H1479" t="s">
        <v>1168</v>
      </c>
      <c r="I1479" t="s">
        <v>1168</v>
      </c>
      <c r="J1479" t="s">
        <v>1232</v>
      </c>
      <c r="K1479" t="s">
        <v>1212</v>
      </c>
      <c r="M1479" s="3">
        <f t="shared" si="92"/>
        <v>93.571428571428569</v>
      </c>
      <c r="N1479">
        <v>92</v>
      </c>
      <c r="O1479">
        <v>95</v>
      </c>
      <c r="P1479">
        <v>92</v>
      </c>
      <c r="Q1479">
        <v>95</v>
      </c>
      <c r="R1479">
        <v>95</v>
      </c>
      <c r="S1479">
        <v>91</v>
      </c>
      <c r="T1479">
        <v>95</v>
      </c>
      <c r="U1479">
        <v>1</v>
      </c>
      <c r="V1479" s="3">
        <f t="shared" si="93"/>
        <v>77183392</v>
      </c>
      <c r="W1479">
        <v>6431949.333333333</v>
      </c>
      <c r="X1479">
        <v>0</v>
      </c>
      <c r="Y1479">
        <f t="shared" si="94"/>
        <v>6431949.333333333</v>
      </c>
      <c r="Z1479">
        <f t="shared" si="95"/>
        <v>0</v>
      </c>
      <c r="AA1479">
        <v>0</v>
      </c>
    </row>
    <row r="1480" spans="1:27" x14ac:dyDescent="0.25">
      <c r="A1480" s="1">
        <v>1479</v>
      </c>
      <c r="B1480" t="s">
        <v>1455</v>
      </c>
      <c r="C1480" t="s">
        <v>1134</v>
      </c>
      <c r="D1480" t="s">
        <v>1139</v>
      </c>
      <c r="E1480" t="s">
        <v>1138</v>
      </c>
      <c r="H1480" t="s">
        <v>1179</v>
      </c>
      <c r="I1480" t="s">
        <v>1179</v>
      </c>
      <c r="J1480" t="s">
        <v>1232</v>
      </c>
      <c r="K1480" t="s">
        <v>1212</v>
      </c>
      <c r="M1480" s="3">
        <f t="shared" si="92"/>
        <v>75.571428571428569</v>
      </c>
      <c r="N1480">
        <v>68</v>
      </c>
      <c r="O1480">
        <v>77</v>
      </c>
      <c r="P1480">
        <v>78</v>
      </c>
      <c r="Q1480">
        <v>80</v>
      </c>
      <c r="R1480">
        <v>75</v>
      </c>
      <c r="S1480">
        <v>81</v>
      </c>
      <c r="T1480">
        <v>70</v>
      </c>
      <c r="U1480">
        <v>0</v>
      </c>
      <c r="V1480" s="3">
        <f t="shared" si="93"/>
        <v>6075421</v>
      </c>
      <c r="W1480">
        <v>506285.08333333331</v>
      </c>
      <c r="X1480">
        <v>0</v>
      </c>
      <c r="Y1480">
        <f t="shared" si="94"/>
        <v>506285.08333333331</v>
      </c>
      <c r="Z1480">
        <f t="shared" si="95"/>
        <v>0</v>
      </c>
      <c r="AA1480">
        <v>0</v>
      </c>
    </row>
    <row r="1481" spans="1:27" x14ac:dyDescent="0.25">
      <c r="A1481" s="1">
        <v>1480</v>
      </c>
      <c r="B1481" t="s">
        <v>274</v>
      </c>
      <c r="C1481" t="s">
        <v>1134</v>
      </c>
      <c r="D1481" t="s">
        <v>1138</v>
      </c>
      <c r="E1481" t="s">
        <v>1139</v>
      </c>
      <c r="G1481" t="s">
        <v>1179</v>
      </c>
      <c r="H1481" t="s">
        <v>1179</v>
      </c>
      <c r="I1481" t="s">
        <v>1179</v>
      </c>
      <c r="J1481" t="s">
        <v>1232</v>
      </c>
      <c r="K1481" t="s">
        <v>1212</v>
      </c>
      <c r="M1481" s="3">
        <f t="shared" si="92"/>
        <v>85.571428571428569</v>
      </c>
      <c r="N1481">
        <v>88</v>
      </c>
      <c r="O1481">
        <v>81</v>
      </c>
      <c r="P1481">
        <v>85</v>
      </c>
      <c r="Q1481">
        <v>82</v>
      </c>
      <c r="R1481">
        <v>89</v>
      </c>
      <c r="S1481">
        <v>88</v>
      </c>
      <c r="T1481">
        <v>86</v>
      </c>
      <c r="U1481">
        <v>28</v>
      </c>
      <c r="V1481" s="3">
        <f t="shared" si="93"/>
        <v>31577598</v>
      </c>
      <c r="W1481">
        <v>2631466.5</v>
      </c>
      <c r="X1481">
        <v>0</v>
      </c>
      <c r="Y1481">
        <f t="shared" si="94"/>
        <v>2631466.5</v>
      </c>
      <c r="Z1481">
        <f t="shared" si="95"/>
        <v>0</v>
      </c>
      <c r="AA1481">
        <v>0</v>
      </c>
    </row>
    <row r="1482" spans="1:27" x14ac:dyDescent="0.25">
      <c r="A1482" s="1">
        <v>1481</v>
      </c>
      <c r="B1482" t="s">
        <v>273</v>
      </c>
      <c r="C1482" t="s">
        <v>1134</v>
      </c>
      <c r="D1482" t="s">
        <v>1138</v>
      </c>
      <c r="E1482" t="s">
        <v>1144</v>
      </c>
      <c r="F1482" t="s">
        <v>1139</v>
      </c>
      <c r="G1482" t="s">
        <v>1179</v>
      </c>
      <c r="H1482" t="s">
        <v>1218</v>
      </c>
      <c r="I1482" t="s">
        <v>1218</v>
      </c>
      <c r="J1482" t="s">
        <v>1232</v>
      </c>
      <c r="K1482" t="s">
        <v>1212</v>
      </c>
      <c r="M1482" s="3">
        <f t="shared" si="92"/>
        <v>81.857142857142861</v>
      </c>
      <c r="N1482">
        <v>84</v>
      </c>
      <c r="O1482">
        <v>82</v>
      </c>
      <c r="P1482">
        <v>80</v>
      </c>
      <c r="Q1482">
        <v>84</v>
      </c>
      <c r="R1482">
        <v>82</v>
      </c>
      <c r="S1482">
        <v>83</v>
      </c>
      <c r="T1482">
        <v>78</v>
      </c>
      <c r="U1482">
        <v>27</v>
      </c>
      <c r="V1482" s="3">
        <f t="shared" si="93"/>
        <v>20260823</v>
      </c>
      <c r="W1482">
        <v>1688401.9166666667</v>
      </c>
      <c r="X1482">
        <v>0</v>
      </c>
      <c r="Y1482">
        <f t="shared" si="94"/>
        <v>1688401.9166666667</v>
      </c>
      <c r="Z1482">
        <f t="shared" si="95"/>
        <v>0</v>
      </c>
      <c r="AA1482">
        <v>0</v>
      </c>
    </row>
    <row r="1483" spans="1:27" x14ac:dyDescent="0.25">
      <c r="A1483" s="1">
        <v>1482</v>
      </c>
      <c r="B1483" t="s">
        <v>1456</v>
      </c>
      <c r="C1483" t="s">
        <v>1134</v>
      </c>
      <c r="D1483" t="s">
        <v>1138</v>
      </c>
      <c r="E1483" t="s">
        <v>1144</v>
      </c>
      <c r="H1483" t="s">
        <v>1179</v>
      </c>
      <c r="I1483" t="s">
        <v>1179</v>
      </c>
      <c r="J1483" t="s">
        <v>1232</v>
      </c>
      <c r="K1483" t="s">
        <v>1212</v>
      </c>
      <c r="M1483" s="3">
        <f t="shared" si="92"/>
        <v>75.571428571428569</v>
      </c>
      <c r="N1483">
        <v>71</v>
      </c>
      <c r="O1483">
        <v>73</v>
      </c>
      <c r="P1483">
        <v>79</v>
      </c>
      <c r="Q1483">
        <v>77</v>
      </c>
      <c r="R1483">
        <v>80</v>
      </c>
      <c r="S1483">
        <v>78</v>
      </c>
      <c r="T1483">
        <v>71</v>
      </c>
      <c r="U1483">
        <v>0</v>
      </c>
      <c r="V1483" s="3">
        <f t="shared" si="93"/>
        <v>6075421</v>
      </c>
      <c r="W1483">
        <v>506285.08333333331</v>
      </c>
      <c r="X1483">
        <v>0</v>
      </c>
      <c r="Y1483">
        <f t="shared" si="94"/>
        <v>506285.08333333331</v>
      </c>
      <c r="Z1483">
        <f t="shared" si="95"/>
        <v>0</v>
      </c>
      <c r="AA1483">
        <v>0</v>
      </c>
    </row>
    <row r="1484" spans="1:27" x14ac:dyDescent="0.25">
      <c r="A1484" s="1">
        <v>1483</v>
      </c>
      <c r="B1484" t="s">
        <v>1462</v>
      </c>
      <c r="C1484" t="s">
        <v>1135</v>
      </c>
      <c r="D1484" t="s">
        <v>1142</v>
      </c>
      <c r="E1484" t="s">
        <v>1146</v>
      </c>
      <c r="H1484" t="s">
        <v>1179</v>
      </c>
      <c r="I1484" t="s">
        <v>1179</v>
      </c>
      <c r="J1484" t="s">
        <v>1232</v>
      </c>
      <c r="K1484" t="s">
        <v>1212</v>
      </c>
      <c r="M1484" s="3">
        <f t="shared" si="92"/>
        <v>75.142857142857139</v>
      </c>
      <c r="N1484">
        <v>70</v>
      </c>
      <c r="O1484">
        <v>80</v>
      </c>
      <c r="P1484">
        <v>76</v>
      </c>
      <c r="Q1484">
        <v>79</v>
      </c>
      <c r="R1484">
        <v>77</v>
      </c>
      <c r="S1484">
        <v>76</v>
      </c>
      <c r="T1484">
        <v>68</v>
      </c>
      <c r="U1484">
        <v>0</v>
      </c>
      <c r="V1484" s="3">
        <f t="shared" si="93"/>
        <v>5739540</v>
      </c>
      <c r="W1484">
        <v>478295</v>
      </c>
      <c r="X1484">
        <v>0</v>
      </c>
      <c r="Y1484">
        <f t="shared" si="94"/>
        <v>478295</v>
      </c>
      <c r="Z1484">
        <f t="shared" si="95"/>
        <v>0</v>
      </c>
      <c r="AA1484">
        <v>0</v>
      </c>
    </row>
    <row r="1485" spans="1:27" x14ac:dyDescent="0.25">
      <c r="A1485" s="1">
        <v>1484</v>
      </c>
      <c r="B1485" t="s">
        <v>533</v>
      </c>
      <c r="C1485" t="s">
        <v>1135</v>
      </c>
      <c r="D1485" t="s">
        <v>1141</v>
      </c>
      <c r="E1485" t="s">
        <v>1142</v>
      </c>
      <c r="G1485" t="s">
        <v>1179</v>
      </c>
      <c r="H1485" t="s">
        <v>1179</v>
      </c>
      <c r="I1485" t="s">
        <v>1179</v>
      </c>
      <c r="J1485" t="s">
        <v>1232</v>
      </c>
      <c r="K1485" t="s">
        <v>1212</v>
      </c>
      <c r="M1485" s="3">
        <f t="shared" si="92"/>
        <v>90.285714285714292</v>
      </c>
      <c r="N1485">
        <v>90</v>
      </c>
      <c r="O1485">
        <v>93</v>
      </c>
      <c r="P1485">
        <v>93</v>
      </c>
      <c r="Q1485">
        <v>92</v>
      </c>
      <c r="R1485">
        <v>82</v>
      </c>
      <c r="S1485">
        <v>88</v>
      </c>
      <c r="T1485">
        <v>94</v>
      </c>
      <c r="U1485">
        <v>12</v>
      </c>
      <c r="V1485" s="3">
        <f t="shared" si="93"/>
        <v>53986062</v>
      </c>
      <c r="W1485">
        <v>4498838.5</v>
      </c>
      <c r="X1485">
        <v>0</v>
      </c>
      <c r="Y1485">
        <f t="shared" si="94"/>
        <v>4498838.5</v>
      </c>
      <c r="Z1485">
        <f t="shared" si="95"/>
        <v>0</v>
      </c>
      <c r="AA1485">
        <v>0</v>
      </c>
    </row>
    <row r="1486" spans="1:27" x14ac:dyDescent="0.25">
      <c r="A1486" s="1">
        <v>1485</v>
      </c>
      <c r="B1486" t="s">
        <v>444</v>
      </c>
      <c r="C1486" t="s">
        <v>1135</v>
      </c>
      <c r="D1486" t="s">
        <v>1141</v>
      </c>
      <c r="E1486" t="s">
        <v>1145</v>
      </c>
      <c r="G1486" t="s">
        <v>1151</v>
      </c>
      <c r="H1486" t="s">
        <v>1151</v>
      </c>
      <c r="I1486" t="s">
        <v>1151</v>
      </c>
      <c r="J1486" t="s">
        <v>1232</v>
      </c>
      <c r="K1486" t="s">
        <v>1212</v>
      </c>
      <c r="M1486" s="3">
        <f t="shared" si="92"/>
        <v>91.285714285714292</v>
      </c>
      <c r="N1486">
        <v>92</v>
      </c>
      <c r="O1486">
        <v>90</v>
      </c>
      <c r="P1486">
        <v>95</v>
      </c>
      <c r="Q1486">
        <v>91</v>
      </c>
      <c r="R1486">
        <v>89</v>
      </c>
      <c r="S1486">
        <v>87</v>
      </c>
      <c r="T1486">
        <v>95</v>
      </c>
      <c r="U1486">
        <v>7</v>
      </c>
      <c r="V1486" s="3">
        <f t="shared" si="93"/>
        <v>60272533</v>
      </c>
      <c r="W1486">
        <v>5022711.083333333</v>
      </c>
      <c r="X1486">
        <v>0</v>
      </c>
      <c r="Y1486">
        <f t="shared" si="94"/>
        <v>5022711.083333333</v>
      </c>
      <c r="Z1486">
        <f t="shared" si="95"/>
        <v>0</v>
      </c>
      <c r="AA1486">
        <v>0</v>
      </c>
    </row>
    <row r="1487" spans="1:27" x14ac:dyDescent="0.25">
      <c r="A1487" s="1">
        <v>1486</v>
      </c>
      <c r="B1487" t="s">
        <v>532</v>
      </c>
      <c r="C1487" t="s">
        <v>1135</v>
      </c>
      <c r="D1487" t="s">
        <v>1141</v>
      </c>
      <c r="E1487" t="s">
        <v>1142</v>
      </c>
      <c r="G1487" t="s">
        <v>1179</v>
      </c>
      <c r="H1487" t="s">
        <v>1179</v>
      </c>
      <c r="I1487" t="s">
        <v>1179</v>
      </c>
      <c r="J1487" t="s">
        <v>1232</v>
      </c>
      <c r="K1487" t="s">
        <v>1212</v>
      </c>
      <c r="M1487" s="3">
        <f t="shared" si="92"/>
        <v>90.714285714285708</v>
      </c>
      <c r="N1487">
        <v>91</v>
      </c>
      <c r="O1487">
        <v>95</v>
      </c>
      <c r="P1487">
        <v>91</v>
      </c>
      <c r="Q1487">
        <v>91</v>
      </c>
      <c r="R1487">
        <v>85</v>
      </c>
      <c r="S1487">
        <v>89</v>
      </c>
      <c r="T1487">
        <v>93</v>
      </c>
      <c r="U1487">
        <v>12</v>
      </c>
      <c r="V1487" s="3">
        <f t="shared" si="93"/>
        <v>56604129</v>
      </c>
      <c r="W1487">
        <v>4717010.75</v>
      </c>
      <c r="X1487">
        <v>0</v>
      </c>
      <c r="Y1487">
        <f t="shared" si="94"/>
        <v>4717010.75</v>
      </c>
      <c r="Z1487">
        <f t="shared" si="95"/>
        <v>0</v>
      </c>
      <c r="AA1487">
        <v>0</v>
      </c>
    </row>
    <row r="1488" spans="1:27" x14ac:dyDescent="0.25">
      <c r="A1488" s="1">
        <v>1487</v>
      </c>
      <c r="B1488" t="s">
        <v>531</v>
      </c>
      <c r="C1488" t="s">
        <v>1135</v>
      </c>
      <c r="D1488" t="s">
        <v>1141</v>
      </c>
      <c r="G1488" t="s">
        <v>1179</v>
      </c>
      <c r="H1488" t="s">
        <v>1179</v>
      </c>
      <c r="I1488" t="s">
        <v>1179</v>
      </c>
      <c r="J1488" t="s">
        <v>1232</v>
      </c>
      <c r="K1488" t="s">
        <v>1212</v>
      </c>
      <c r="M1488" s="3">
        <f t="shared" si="92"/>
        <v>77</v>
      </c>
      <c r="N1488">
        <v>64</v>
      </c>
      <c r="O1488">
        <v>71</v>
      </c>
      <c r="P1488">
        <v>88</v>
      </c>
      <c r="Q1488">
        <v>80</v>
      </c>
      <c r="R1488">
        <v>84</v>
      </c>
      <c r="S1488">
        <v>92</v>
      </c>
      <c r="T1488">
        <v>60</v>
      </c>
      <c r="U1488">
        <v>6</v>
      </c>
      <c r="V1488" s="3">
        <f t="shared" si="93"/>
        <v>10990021</v>
      </c>
      <c r="W1488">
        <v>915835.08333333337</v>
      </c>
      <c r="X1488">
        <v>0</v>
      </c>
      <c r="Y1488">
        <f t="shared" si="94"/>
        <v>915835.08333333337</v>
      </c>
      <c r="Z1488">
        <f t="shared" si="95"/>
        <v>0</v>
      </c>
      <c r="AA1488">
        <v>0</v>
      </c>
    </row>
    <row r="1489" spans="1:27" x14ac:dyDescent="0.25">
      <c r="A1489" s="1">
        <v>1488</v>
      </c>
      <c r="B1489" t="s">
        <v>1461</v>
      </c>
      <c r="C1489" t="s">
        <v>1135</v>
      </c>
      <c r="D1489" t="s">
        <v>1141</v>
      </c>
      <c r="E1489" t="s">
        <v>1142</v>
      </c>
      <c r="H1489" t="s">
        <v>1179</v>
      </c>
      <c r="I1489" t="s">
        <v>1179</v>
      </c>
      <c r="J1489" t="s">
        <v>1232</v>
      </c>
      <c r="K1489" t="s">
        <v>1212</v>
      </c>
      <c r="M1489" s="3">
        <f t="shared" si="92"/>
        <v>76.285714285714292</v>
      </c>
      <c r="N1489">
        <v>74</v>
      </c>
      <c r="O1489">
        <v>75</v>
      </c>
      <c r="P1489">
        <v>80</v>
      </c>
      <c r="Q1489">
        <v>78</v>
      </c>
      <c r="R1489">
        <v>82</v>
      </c>
      <c r="S1489">
        <v>75</v>
      </c>
      <c r="T1489">
        <v>70</v>
      </c>
      <c r="U1489">
        <v>0</v>
      </c>
      <c r="V1489" s="3">
        <f t="shared" si="93"/>
        <v>6674707</v>
      </c>
      <c r="W1489">
        <v>556225.58333333337</v>
      </c>
      <c r="X1489">
        <v>0</v>
      </c>
      <c r="Y1489">
        <f t="shared" si="94"/>
        <v>556225.58333333337</v>
      </c>
      <c r="Z1489">
        <f t="shared" si="95"/>
        <v>0</v>
      </c>
      <c r="AA1489">
        <v>0</v>
      </c>
    </row>
    <row r="1490" spans="1:27" x14ac:dyDescent="0.25">
      <c r="A1490" s="1">
        <v>1489</v>
      </c>
      <c r="B1490" t="s">
        <v>1459</v>
      </c>
      <c r="C1490" t="s">
        <v>1136</v>
      </c>
      <c r="D1490" t="s">
        <v>1147</v>
      </c>
      <c r="E1490" t="s">
        <v>1145</v>
      </c>
      <c r="H1490" t="s">
        <v>1179</v>
      </c>
      <c r="I1490" t="s">
        <v>1179</v>
      </c>
      <c r="J1490" t="s">
        <v>1232</v>
      </c>
      <c r="K1490" t="s">
        <v>1212</v>
      </c>
      <c r="M1490" s="3">
        <f t="shared" si="92"/>
        <v>74</v>
      </c>
      <c r="N1490">
        <v>69</v>
      </c>
      <c r="O1490">
        <v>78</v>
      </c>
      <c r="P1490">
        <v>75</v>
      </c>
      <c r="Q1490">
        <v>80</v>
      </c>
      <c r="R1490">
        <v>73</v>
      </c>
      <c r="S1490">
        <v>77</v>
      </c>
      <c r="T1490">
        <v>66</v>
      </c>
      <c r="U1490">
        <v>0</v>
      </c>
      <c r="V1490" s="3">
        <f t="shared" si="93"/>
        <v>4923991</v>
      </c>
      <c r="W1490">
        <v>410332.58333333331</v>
      </c>
      <c r="X1490">
        <v>0</v>
      </c>
      <c r="Y1490">
        <f t="shared" si="94"/>
        <v>410332.58333333331</v>
      </c>
      <c r="Z1490">
        <f t="shared" si="95"/>
        <v>0</v>
      </c>
      <c r="AA1490">
        <v>0</v>
      </c>
    </row>
    <row r="1491" spans="1:27" x14ac:dyDescent="0.25">
      <c r="A1491" s="1">
        <v>1490</v>
      </c>
      <c r="B1491" t="s">
        <v>822</v>
      </c>
      <c r="C1491" t="s">
        <v>1136</v>
      </c>
      <c r="D1491" t="s">
        <v>1143</v>
      </c>
      <c r="E1491" t="s">
        <v>1147</v>
      </c>
      <c r="F1491" t="s">
        <v>1144</v>
      </c>
      <c r="G1491" t="s">
        <v>1179</v>
      </c>
      <c r="H1491" t="s">
        <v>1179</v>
      </c>
      <c r="I1491" t="s">
        <v>1179</v>
      </c>
      <c r="J1491" t="s">
        <v>1232</v>
      </c>
      <c r="K1491" t="s">
        <v>1212</v>
      </c>
      <c r="M1491" s="3">
        <f t="shared" si="92"/>
        <v>85.714285714285708</v>
      </c>
      <c r="N1491">
        <v>84</v>
      </c>
      <c r="O1491">
        <v>85</v>
      </c>
      <c r="P1491">
        <v>89</v>
      </c>
      <c r="Q1491">
        <v>82</v>
      </c>
      <c r="R1491">
        <v>87</v>
      </c>
      <c r="S1491">
        <v>93</v>
      </c>
      <c r="T1491">
        <v>80</v>
      </c>
      <c r="U1491">
        <v>26</v>
      </c>
      <c r="V1491" s="3">
        <f t="shared" si="93"/>
        <v>32108748</v>
      </c>
      <c r="W1491">
        <v>2675729</v>
      </c>
      <c r="X1491">
        <v>0</v>
      </c>
      <c r="Y1491">
        <f t="shared" si="94"/>
        <v>2675729</v>
      </c>
      <c r="Z1491">
        <f t="shared" si="95"/>
        <v>0</v>
      </c>
      <c r="AA1491">
        <v>0</v>
      </c>
    </row>
    <row r="1492" spans="1:27" x14ac:dyDescent="0.25">
      <c r="A1492" s="1">
        <v>1491</v>
      </c>
      <c r="B1492" t="s">
        <v>945</v>
      </c>
      <c r="C1492" t="s">
        <v>1136</v>
      </c>
      <c r="D1492" t="s">
        <v>1143</v>
      </c>
      <c r="E1492" t="s">
        <v>1146</v>
      </c>
      <c r="G1492" t="s">
        <v>1198</v>
      </c>
      <c r="H1492" t="s">
        <v>1198</v>
      </c>
      <c r="I1492" t="s">
        <v>1198</v>
      </c>
      <c r="J1492" t="s">
        <v>1232</v>
      </c>
      <c r="K1492" t="s">
        <v>1212</v>
      </c>
      <c r="M1492" s="3">
        <f t="shared" si="92"/>
        <v>65</v>
      </c>
      <c r="N1492">
        <v>36</v>
      </c>
      <c r="O1492">
        <v>64</v>
      </c>
      <c r="P1492">
        <v>73</v>
      </c>
      <c r="Q1492">
        <v>78</v>
      </c>
      <c r="R1492">
        <v>68</v>
      </c>
      <c r="S1492">
        <v>76</v>
      </c>
      <c r="T1492">
        <v>60</v>
      </c>
      <c r="U1492">
        <v>0</v>
      </c>
      <c r="V1492" s="3">
        <f t="shared" si="93"/>
        <v>1346275</v>
      </c>
      <c r="W1492">
        <v>112189.58333333333</v>
      </c>
      <c r="X1492">
        <v>0</v>
      </c>
      <c r="Y1492">
        <f t="shared" si="94"/>
        <v>112189.58333333333</v>
      </c>
      <c r="Z1492">
        <f t="shared" si="95"/>
        <v>0</v>
      </c>
      <c r="AA1492">
        <v>0</v>
      </c>
    </row>
    <row r="1493" spans="1:27" x14ac:dyDescent="0.25">
      <c r="A1493" s="1">
        <v>1492</v>
      </c>
      <c r="B1493" t="s">
        <v>1457</v>
      </c>
      <c r="C1493" t="s">
        <v>1136</v>
      </c>
      <c r="D1493" t="s">
        <v>1144</v>
      </c>
      <c r="E1493" t="s">
        <v>1143</v>
      </c>
      <c r="H1493" t="s">
        <v>1179</v>
      </c>
      <c r="I1493" t="s">
        <v>1179</v>
      </c>
      <c r="J1493" t="s">
        <v>1232</v>
      </c>
      <c r="K1493" t="s">
        <v>1212</v>
      </c>
      <c r="M1493" s="3">
        <f t="shared" si="92"/>
        <v>78.142857142857139</v>
      </c>
      <c r="N1493">
        <v>73</v>
      </c>
      <c r="O1493">
        <v>79</v>
      </c>
      <c r="P1493">
        <v>83</v>
      </c>
      <c r="Q1493">
        <v>81</v>
      </c>
      <c r="R1493">
        <v>80</v>
      </c>
      <c r="S1493">
        <v>79</v>
      </c>
      <c r="T1493">
        <v>72</v>
      </c>
      <c r="U1493">
        <v>0</v>
      </c>
      <c r="V1493" s="3">
        <f t="shared" si="93"/>
        <v>8489711</v>
      </c>
      <c r="W1493">
        <v>707475.91666666663</v>
      </c>
      <c r="X1493">
        <v>0</v>
      </c>
      <c r="Y1493">
        <f t="shared" si="94"/>
        <v>707475.91666666663</v>
      </c>
      <c r="Z1493">
        <f t="shared" si="95"/>
        <v>0</v>
      </c>
      <c r="AA1493">
        <v>0</v>
      </c>
    </row>
    <row r="1494" spans="1:27" x14ac:dyDescent="0.25">
      <c r="A1494" s="1">
        <v>1493</v>
      </c>
      <c r="B1494" t="s">
        <v>1460</v>
      </c>
      <c r="C1494" t="s">
        <v>1136</v>
      </c>
      <c r="D1494" t="s">
        <v>1146</v>
      </c>
      <c r="E1494" t="s">
        <v>1143</v>
      </c>
      <c r="H1494" t="s">
        <v>1179</v>
      </c>
      <c r="I1494" t="s">
        <v>1179</v>
      </c>
      <c r="J1494" t="s">
        <v>1232</v>
      </c>
      <c r="K1494" t="s">
        <v>1212</v>
      </c>
      <c r="M1494" s="3">
        <f t="shared" si="92"/>
        <v>74.714285714285708</v>
      </c>
      <c r="N1494">
        <v>70</v>
      </c>
      <c r="O1494">
        <v>79</v>
      </c>
      <c r="P1494">
        <v>76</v>
      </c>
      <c r="Q1494">
        <v>79</v>
      </c>
      <c r="R1494">
        <v>74</v>
      </c>
      <c r="S1494">
        <v>78</v>
      </c>
      <c r="T1494">
        <v>67</v>
      </c>
      <c r="U1494">
        <v>0</v>
      </c>
      <c r="V1494" s="3">
        <f t="shared" si="93"/>
        <v>5420465</v>
      </c>
      <c r="W1494">
        <v>451705.41666666669</v>
      </c>
      <c r="X1494">
        <v>0</v>
      </c>
      <c r="Y1494">
        <f t="shared" si="94"/>
        <v>451705.41666666669</v>
      </c>
      <c r="Z1494">
        <f t="shared" si="95"/>
        <v>0</v>
      </c>
      <c r="AA1494">
        <v>0</v>
      </c>
    </row>
    <row r="1495" spans="1:27" x14ac:dyDescent="0.25">
      <c r="A1495" s="1">
        <v>1494</v>
      </c>
      <c r="B1495" t="s">
        <v>820</v>
      </c>
      <c r="C1495" t="s">
        <v>1136</v>
      </c>
      <c r="D1495" t="s">
        <v>1147</v>
      </c>
      <c r="E1495" t="s">
        <v>1144</v>
      </c>
      <c r="F1495" t="s">
        <v>1145</v>
      </c>
      <c r="G1495" t="s">
        <v>1179</v>
      </c>
      <c r="H1495" t="s">
        <v>1179</v>
      </c>
      <c r="I1495" t="s">
        <v>1179</v>
      </c>
      <c r="J1495" t="s">
        <v>1232</v>
      </c>
      <c r="K1495" t="s">
        <v>1212</v>
      </c>
      <c r="M1495" s="3">
        <f t="shared" si="92"/>
        <v>89.714285714285708</v>
      </c>
      <c r="N1495">
        <v>88</v>
      </c>
      <c r="O1495">
        <v>96</v>
      </c>
      <c r="P1495">
        <v>88</v>
      </c>
      <c r="Q1495">
        <v>93</v>
      </c>
      <c r="R1495">
        <v>85</v>
      </c>
      <c r="S1495">
        <v>85</v>
      </c>
      <c r="T1495">
        <v>93</v>
      </c>
      <c r="U1495">
        <v>3</v>
      </c>
      <c r="V1495" s="3">
        <f t="shared" si="93"/>
        <v>50664913</v>
      </c>
      <c r="W1495">
        <v>4222076.083333333</v>
      </c>
      <c r="X1495">
        <v>0</v>
      </c>
      <c r="Y1495">
        <f t="shared" si="94"/>
        <v>4222076.083333333</v>
      </c>
      <c r="Z1495">
        <f t="shared" si="95"/>
        <v>0</v>
      </c>
      <c r="AA1495">
        <v>0</v>
      </c>
    </row>
    <row r="1496" spans="1:27" x14ac:dyDescent="0.25">
      <c r="A1496" s="1">
        <v>1495</v>
      </c>
      <c r="B1496" t="s">
        <v>819</v>
      </c>
      <c r="C1496" t="s">
        <v>1136</v>
      </c>
      <c r="D1496" t="s">
        <v>1145</v>
      </c>
      <c r="E1496" t="s">
        <v>1143</v>
      </c>
      <c r="F1496" t="s">
        <v>1141</v>
      </c>
      <c r="G1496" t="s">
        <v>1179</v>
      </c>
      <c r="H1496" t="s">
        <v>1179</v>
      </c>
      <c r="I1496" t="s">
        <v>1179</v>
      </c>
      <c r="J1496" t="s">
        <v>1232</v>
      </c>
      <c r="K1496" t="s">
        <v>1212</v>
      </c>
      <c r="M1496" s="3">
        <f t="shared" si="92"/>
        <v>88.714285714285708</v>
      </c>
      <c r="N1496">
        <v>86</v>
      </c>
      <c r="O1496">
        <v>84</v>
      </c>
      <c r="P1496">
        <v>94</v>
      </c>
      <c r="Q1496">
        <v>90</v>
      </c>
      <c r="R1496">
        <v>87</v>
      </c>
      <c r="S1496">
        <v>90</v>
      </c>
      <c r="T1496">
        <v>90</v>
      </c>
      <c r="U1496">
        <v>21</v>
      </c>
      <c r="V1496" s="3">
        <f t="shared" si="93"/>
        <v>45292560</v>
      </c>
      <c r="W1496">
        <v>3774380</v>
      </c>
      <c r="X1496">
        <v>0</v>
      </c>
      <c r="Y1496">
        <f t="shared" si="94"/>
        <v>3774380</v>
      </c>
      <c r="Z1496">
        <f t="shared" si="95"/>
        <v>0</v>
      </c>
      <c r="AA1496">
        <v>0</v>
      </c>
    </row>
    <row r="1497" spans="1:27" x14ac:dyDescent="0.25">
      <c r="A1497" s="1">
        <v>1496</v>
      </c>
      <c r="B1497" t="s">
        <v>1458</v>
      </c>
      <c r="C1497" t="s">
        <v>1136</v>
      </c>
      <c r="D1497" t="s">
        <v>1143</v>
      </c>
      <c r="E1497" t="s">
        <v>1145</v>
      </c>
      <c r="H1497" t="s">
        <v>1179</v>
      </c>
      <c r="I1497" t="s">
        <v>1179</v>
      </c>
      <c r="J1497" t="s">
        <v>1232</v>
      </c>
      <c r="K1497" t="s">
        <v>1212</v>
      </c>
      <c r="M1497" s="3">
        <f t="shared" si="92"/>
        <v>76</v>
      </c>
      <c r="N1497">
        <v>74</v>
      </c>
      <c r="O1497">
        <v>81</v>
      </c>
      <c r="P1497">
        <v>77</v>
      </c>
      <c r="Q1497">
        <v>80</v>
      </c>
      <c r="R1497">
        <v>74</v>
      </c>
      <c r="S1497">
        <v>77</v>
      </c>
      <c r="T1497">
        <v>69</v>
      </c>
      <c r="U1497">
        <v>0</v>
      </c>
      <c r="V1497" s="3">
        <f t="shared" si="93"/>
        <v>6428889</v>
      </c>
      <c r="W1497">
        <v>535740.75</v>
      </c>
      <c r="X1497">
        <v>0</v>
      </c>
      <c r="Y1497">
        <f t="shared" si="94"/>
        <v>535740.75</v>
      </c>
      <c r="Z1497">
        <f t="shared" si="95"/>
        <v>0</v>
      </c>
      <c r="AA1497">
        <v>0</v>
      </c>
    </row>
    <row r="1498" spans="1:27" x14ac:dyDescent="0.25">
      <c r="A1498" s="1">
        <v>1497</v>
      </c>
      <c r="B1498" t="s">
        <v>818</v>
      </c>
      <c r="C1498" t="s">
        <v>1136</v>
      </c>
      <c r="D1498" t="s">
        <v>1144</v>
      </c>
      <c r="E1498" t="s">
        <v>1143</v>
      </c>
      <c r="F1498" t="s">
        <v>1138</v>
      </c>
      <c r="G1498" t="s">
        <v>1179</v>
      </c>
      <c r="H1498" t="s">
        <v>1179</v>
      </c>
      <c r="I1498" t="s">
        <v>1179</v>
      </c>
      <c r="J1498" t="s">
        <v>1232</v>
      </c>
      <c r="K1498" t="s">
        <v>1212</v>
      </c>
      <c r="M1498" s="3">
        <f t="shared" si="92"/>
        <v>89.857142857142861</v>
      </c>
      <c r="N1498">
        <v>90</v>
      </c>
      <c r="O1498">
        <v>87</v>
      </c>
      <c r="P1498">
        <v>90</v>
      </c>
      <c r="Q1498">
        <v>88</v>
      </c>
      <c r="R1498">
        <v>89</v>
      </c>
      <c r="S1498">
        <v>95</v>
      </c>
      <c r="T1498">
        <v>90</v>
      </c>
      <c r="U1498">
        <v>18</v>
      </c>
      <c r="V1498" s="3">
        <f t="shared" si="93"/>
        <v>51477485</v>
      </c>
      <c r="W1498">
        <v>4289790.416666667</v>
      </c>
      <c r="X1498">
        <v>0</v>
      </c>
      <c r="Y1498">
        <f t="shared" si="94"/>
        <v>4289790.416666667</v>
      </c>
      <c r="Z1498">
        <f t="shared" si="95"/>
        <v>0</v>
      </c>
      <c r="AA1498">
        <v>0</v>
      </c>
    </row>
    <row r="1499" spans="1:27" x14ac:dyDescent="0.25">
      <c r="A1499" s="1">
        <v>1498</v>
      </c>
      <c r="B1499" t="s">
        <v>821</v>
      </c>
      <c r="C1499" t="s">
        <v>1136</v>
      </c>
      <c r="D1499" t="s">
        <v>1144</v>
      </c>
      <c r="E1499" t="s">
        <v>1143</v>
      </c>
      <c r="F1499" t="s">
        <v>1138</v>
      </c>
      <c r="G1499" t="s">
        <v>1179</v>
      </c>
      <c r="H1499" t="s">
        <v>1179</v>
      </c>
      <c r="I1499" t="s">
        <v>1179</v>
      </c>
      <c r="J1499" t="s">
        <v>1232</v>
      </c>
      <c r="K1499" t="s">
        <v>1212</v>
      </c>
      <c r="M1499" s="3">
        <f t="shared" si="92"/>
        <v>87.428571428571431</v>
      </c>
      <c r="N1499">
        <v>88</v>
      </c>
      <c r="O1499">
        <v>80</v>
      </c>
      <c r="P1499">
        <v>89</v>
      </c>
      <c r="Q1499">
        <v>87</v>
      </c>
      <c r="R1499">
        <v>90</v>
      </c>
      <c r="S1499">
        <v>90</v>
      </c>
      <c r="T1499">
        <v>88</v>
      </c>
      <c r="U1499">
        <v>26</v>
      </c>
      <c r="V1499" s="3">
        <f t="shared" si="93"/>
        <v>39140384</v>
      </c>
      <c r="W1499">
        <v>3261698.6666666665</v>
      </c>
      <c r="X1499">
        <v>0</v>
      </c>
      <c r="Y1499">
        <f t="shared" si="94"/>
        <v>3261698.6666666665</v>
      </c>
      <c r="Z1499">
        <f t="shared" si="95"/>
        <v>0</v>
      </c>
      <c r="AA1499">
        <v>0</v>
      </c>
    </row>
    <row r="1500" spans="1:27" x14ac:dyDescent="0.25">
      <c r="A1500" s="1">
        <v>1499</v>
      </c>
      <c r="B1500" t="s">
        <v>1099</v>
      </c>
      <c r="C1500" t="s">
        <v>1137</v>
      </c>
      <c r="D1500" t="s">
        <v>1137</v>
      </c>
      <c r="H1500" t="s">
        <v>1179</v>
      </c>
      <c r="I1500" t="s">
        <v>1179</v>
      </c>
      <c r="J1500" t="s">
        <v>1232</v>
      </c>
      <c r="K1500" t="s">
        <v>1212</v>
      </c>
      <c r="M1500" s="3">
        <f t="shared" si="92"/>
        <v>85.571428571428569</v>
      </c>
      <c r="N1500">
        <v>80</v>
      </c>
      <c r="O1500">
        <v>85</v>
      </c>
      <c r="P1500">
        <v>82</v>
      </c>
      <c r="Q1500">
        <v>92</v>
      </c>
      <c r="R1500">
        <v>83</v>
      </c>
      <c r="S1500">
        <v>93</v>
      </c>
      <c r="T1500">
        <v>84</v>
      </c>
      <c r="U1500">
        <v>0</v>
      </c>
      <c r="V1500" s="3">
        <f t="shared" si="93"/>
        <v>21051732</v>
      </c>
      <c r="W1500">
        <v>1754311</v>
      </c>
      <c r="X1500">
        <v>0</v>
      </c>
      <c r="Y1500">
        <f t="shared" si="94"/>
        <v>1754311</v>
      </c>
      <c r="Z1500">
        <f t="shared" si="95"/>
        <v>0</v>
      </c>
      <c r="AA1500">
        <v>0</v>
      </c>
    </row>
    <row r="1501" spans="1:27" x14ac:dyDescent="0.25">
      <c r="A1501" s="1">
        <v>1500</v>
      </c>
      <c r="B1501" t="s">
        <v>2428</v>
      </c>
      <c r="C1501" t="s">
        <v>1133</v>
      </c>
      <c r="D1501" t="s">
        <v>1133</v>
      </c>
      <c r="H1501" t="s">
        <v>1177</v>
      </c>
      <c r="I1501" t="s">
        <v>1153</v>
      </c>
      <c r="J1501" t="s">
        <v>1337</v>
      </c>
      <c r="K1501" t="s">
        <v>1212</v>
      </c>
      <c r="M1501" s="3">
        <f t="shared" si="92"/>
        <v>35.142857142857146</v>
      </c>
      <c r="N1501">
        <v>13</v>
      </c>
      <c r="O1501">
        <v>43</v>
      </c>
      <c r="P1501">
        <v>37</v>
      </c>
      <c r="Q1501">
        <v>41</v>
      </c>
      <c r="R1501">
        <v>43</v>
      </c>
      <c r="S1501">
        <v>45</v>
      </c>
      <c r="T1501">
        <v>24</v>
      </c>
      <c r="U1501">
        <v>0</v>
      </c>
      <c r="V1501" s="3">
        <f t="shared" si="93"/>
        <v>2874</v>
      </c>
      <c r="W1501">
        <v>239.5</v>
      </c>
      <c r="X1501">
        <v>0</v>
      </c>
      <c r="Y1501">
        <f t="shared" si="94"/>
        <v>239.5</v>
      </c>
      <c r="Z1501">
        <f t="shared" si="95"/>
        <v>0</v>
      </c>
      <c r="AA1501">
        <v>0</v>
      </c>
    </row>
    <row r="1502" spans="1:27" x14ac:dyDescent="0.25">
      <c r="A1502" s="1">
        <v>1501</v>
      </c>
      <c r="B1502" t="s">
        <v>2427</v>
      </c>
      <c r="C1502" t="s">
        <v>1133</v>
      </c>
      <c r="D1502" t="s">
        <v>1133</v>
      </c>
      <c r="H1502" t="s">
        <v>1177</v>
      </c>
      <c r="I1502" t="s">
        <v>1153</v>
      </c>
      <c r="J1502" t="s">
        <v>1337</v>
      </c>
      <c r="K1502" t="s">
        <v>1212</v>
      </c>
      <c r="M1502" s="3">
        <f t="shared" si="92"/>
        <v>39</v>
      </c>
      <c r="N1502">
        <v>15</v>
      </c>
      <c r="O1502">
        <v>49</v>
      </c>
      <c r="P1502">
        <v>41</v>
      </c>
      <c r="Q1502">
        <v>45</v>
      </c>
      <c r="R1502">
        <v>47</v>
      </c>
      <c r="S1502">
        <v>49</v>
      </c>
      <c r="T1502">
        <v>27</v>
      </c>
      <c r="U1502">
        <v>0</v>
      </c>
      <c r="V1502" s="3">
        <f t="shared" si="93"/>
        <v>8141</v>
      </c>
      <c r="W1502">
        <v>678.41666666666663</v>
      </c>
      <c r="X1502">
        <v>0</v>
      </c>
      <c r="Y1502">
        <f t="shared" si="94"/>
        <v>678.41666666666663</v>
      </c>
      <c r="Z1502">
        <f t="shared" si="95"/>
        <v>0</v>
      </c>
      <c r="AA1502">
        <v>0</v>
      </c>
    </row>
    <row r="1503" spans="1:27" x14ac:dyDescent="0.25">
      <c r="A1503" s="1">
        <v>1502</v>
      </c>
      <c r="B1503" t="s">
        <v>2444</v>
      </c>
      <c r="C1503" t="s">
        <v>1133</v>
      </c>
      <c r="D1503" t="s">
        <v>1133</v>
      </c>
      <c r="H1503" t="s">
        <v>1177</v>
      </c>
      <c r="I1503" t="s">
        <v>1153</v>
      </c>
      <c r="J1503" t="s">
        <v>1337</v>
      </c>
      <c r="K1503" t="s">
        <v>1212</v>
      </c>
      <c r="M1503" s="3">
        <f t="shared" si="92"/>
        <v>35.428571428571431</v>
      </c>
      <c r="N1503">
        <v>13</v>
      </c>
      <c r="O1503">
        <v>45</v>
      </c>
      <c r="P1503">
        <v>37</v>
      </c>
      <c r="Q1503">
        <v>41</v>
      </c>
      <c r="R1503">
        <v>43</v>
      </c>
      <c r="S1503">
        <v>45</v>
      </c>
      <c r="T1503">
        <v>24</v>
      </c>
      <c r="U1503">
        <v>0</v>
      </c>
      <c r="V1503" s="3">
        <f t="shared" si="93"/>
        <v>3116</v>
      </c>
      <c r="W1503">
        <v>259.66666666666669</v>
      </c>
      <c r="X1503">
        <v>0</v>
      </c>
      <c r="Y1503">
        <f t="shared" si="94"/>
        <v>259.66666666666669</v>
      </c>
      <c r="Z1503">
        <f t="shared" si="95"/>
        <v>0</v>
      </c>
      <c r="AA1503">
        <v>0</v>
      </c>
    </row>
    <row r="1504" spans="1:27" x14ac:dyDescent="0.25">
      <c r="A1504" s="1">
        <v>1503</v>
      </c>
      <c r="B1504" t="s">
        <v>2577</v>
      </c>
      <c r="C1504" t="s">
        <v>1134</v>
      </c>
      <c r="D1504" t="s">
        <v>1138</v>
      </c>
      <c r="E1504" t="s">
        <v>1144</v>
      </c>
      <c r="H1504" t="s">
        <v>1177</v>
      </c>
      <c r="I1504" t="s">
        <v>1153</v>
      </c>
      <c r="J1504" t="s">
        <v>1337</v>
      </c>
      <c r="K1504" t="s">
        <v>1212</v>
      </c>
      <c r="M1504" s="3">
        <f t="shared" si="92"/>
        <v>31.714285714285715</v>
      </c>
      <c r="N1504">
        <v>11</v>
      </c>
      <c r="O1504">
        <v>39</v>
      </c>
      <c r="P1504">
        <v>33</v>
      </c>
      <c r="Q1504">
        <v>37</v>
      </c>
      <c r="R1504">
        <v>39</v>
      </c>
      <c r="S1504">
        <v>41</v>
      </c>
      <c r="T1504">
        <v>22</v>
      </c>
      <c r="U1504">
        <v>0</v>
      </c>
      <c r="V1504" s="3">
        <f t="shared" si="93"/>
        <v>1030</v>
      </c>
      <c r="W1504">
        <v>85.833333333333329</v>
      </c>
      <c r="X1504">
        <v>0</v>
      </c>
      <c r="Y1504">
        <f t="shared" si="94"/>
        <v>85.833333333333329</v>
      </c>
      <c r="Z1504">
        <f t="shared" si="95"/>
        <v>0</v>
      </c>
      <c r="AA1504">
        <v>0</v>
      </c>
    </row>
    <row r="1505" spans="1:27" x14ac:dyDescent="0.25">
      <c r="A1505" s="1">
        <v>1504</v>
      </c>
      <c r="B1505" t="s">
        <v>2430</v>
      </c>
      <c r="C1505" t="s">
        <v>1134</v>
      </c>
      <c r="D1505" t="s">
        <v>1138</v>
      </c>
      <c r="E1505" t="s">
        <v>1139</v>
      </c>
      <c r="H1505" t="s">
        <v>1177</v>
      </c>
      <c r="I1505" t="s">
        <v>1153</v>
      </c>
      <c r="J1505" t="s">
        <v>1337</v>
      </c>
      <c r="K1505" t="s">
        <v>1212</v>
      </c>
      <c r="M1505" s="3">
        <f t="shared" si="92"/>
        <v>42.714285714285715</v>
      </c>
      <c r="N1505">
        <v>17</v>
      </c>
      <c r="O1505">
        <v>55</v>
      </c>
      <c r="P1505">
        <v>45</v>
      </c>
      <c r="Q1505">
        <v>49</v>
      </c>
      <c r="R1505">
        <v>51</v>
      </c>
      <c r="S1505">
        <v>53</v>
      </c>
      <c r="T1505">
        <v>29</v>
      </c>
      <c r="U1505">
        <v>0</v>
      </c>
      <c r="V1505" s="3">
        <f t="shared" si="93"/>
        <v>20218</v>
      </c>
      <c r="W1505">
        <v>1684.8333333333333</v>
      </c>
      <c r="X1505">
        <v>0</v>
      </c>
      <c r="Y1505">
        <f t="shared" si="94"/>
        <v>1684.8333333333333</v>
      </c>
      <c r="Z1505">
        <f t="shared" si="95"/>
        <v>0</v>
      </c>
      <c r="AA1505">
        <v>0</v>
      </c>
    </row>
    <row r="1506" spans="1:27" x14ac:dyDescent="0.25">
      <c r="A1506" s="1">
        <v>1505</v>
      </c>
      <c r="B1506" t="s">
        <v>2431</v>
      </c>
      <c r="C1506" t="s">
        <v>1134</v>
      </c>
      <c r="D1506" t="s">
        <v>1140</v>
      </c>
      <c r="E1506" t="s">
        <v>1138</v>
      </c>
      <c r="H1506" t="s">
        <v>1177</v>
      </c>
      <c r="I1506" t="s">
        <v>1153</v>
      </c>
      <c r="J1506" t="s">
        <v>1337</v>
      </c>
      <c r="K1506" t="s">
        <v>1212</v>
      </c>
      <c r="M1506" s="3">
        <f t="shared" si="92"/>
        <v>38.714285714285715</v>
      </c>
      <c r="N1506">
        <v>14</v>
      </c>
      <c r="O1506">
        <v>49</v>
      </c>
      <c r="P1506">
        <v>41</v>
      </c>
      <c r="Q1506">
        <v>45</v>
      </c>
      <c r="R1506">
        <v>47</v>
      </c>
      <c r="S1506">
        <v>49</v>
      </c>
      <c r="T1506">
        <v>26</v>
      </c>
      <c r="U1506">
        <v>0</v>
      </c>
      <c r="V1506" s="3">
        <f t="shared" si="93"/>
        <v>7564</v>
      </c>
      <c r="W1506">
        <v>630.33333333333337</v>
      </c>
      <c r="X1506">
        <v>0</v>
      </c>
      <c r="Y1506">
        <f t="shared" si="94"/>
        <v>630.33333333333337</v>
      </c>
      <c r="Z1506">
        <f t="shared" si="95"/>
        <v>0</v>
      </c>
      <c r="AA1506">
        <v>0</v>
      </c>
    </row>
    <row r="1507" spans="1:27" x14ac:dyDescent="0.25">
      <c r="A1507" s="1">
        <v>1506</v>
      </c>
      <c r="B1507" t="s">
        <v>2432</v>
      </c>
      <c r="C1507" t="s">
        <v>1134</v>
      </c>
      <c r="D1507" t="s">
        <v>1140</v>
      </c>
      <c r="E1507" t="s">
        <v>1139</v>
      </c>
      <c r="H1507" t="s">
        <v>1177</v>
      </c>
      <c r="I1507" t="s">
        <v>1153</v>
      </c>
      <c r="J1507" t="s">
        <v>1337</v>
      </c>
      <c r="K1507" t="s">
        <v>1212</v>
      </c>
      <c r="M1507" s="3">
        <f t="shared" si="92"/>
        <v>61.142857142857146</v>
      </c>
      <c r="N1507">
        <v>45</v>
      </c>
      <c r="O1507">
        <v>88</v>
      </c>
      <c r="P1507">
        <v>53</v>
      </c>
      <c r="Q1507">
        <v>65</v>
      </c>
      <c r="R1507">
        <v>67</v>
      </c>
      <c r="S1507">
        <v>53</v>
      </c>
      <c r="T1507">
        <v>57</v>
      </c>
      <c r="U1507">
        <v>0</v>
      </c>
      <c r="V1507" s="3">
        <f t="shared" si="93"/>
        <v>730226</v>
      </c>
      <c r="W1507">
        <v>60852.166666666664</v>
      </c>
      <c r="X1507">
        <v>0</v>
      </c>
      <c r="Y1507">
        <f t="shared" si="94"/>
        <v>60852.166666666664</v>
      </c>
      <c r="Z1507">
        <f t="shared" si="95"/>
        <v>0</v>
      </c>
      <c r="AA1507">
        <v>0</v>
      </c>
    </row>
    <row r="1508" spans="1:27" x14ac:dyDescent="0.25">
      <c r="A1508" s="1">
        <v>1507</v>
      </c>
      <c r="B1508" t="s">
        <v>2433</v>
      </c>
      <c r="C1508" t="s">
        <v>1134</v>
      </c>
      <c r="D1508" t="s">
        <v>1139</v>
      </c>
      <c r="E1508" t="s">
        <v>1138</v>
      </c>
      <c r="H1508" t="s">
        <v>1177</v>
      </c>
      <c r="I1508" t="s">
        <v>1153</v>
      </c>
      <c r="J1508" t="s">
        <v>1337</v>
      </c>
      <c r="K1508" t="s">
        <v>1212</v>
      </c>
      <c r="M1508" s="3">
        <f t="shared" si="92"/>
        <v>41</v>
      </c>
      <c r="N1508">
        <v>16</v>
      </c>
      <c r="O1508">
        <v>53</v>
      </c>
      <c r="P1508">
        <v>43</v>
      </c>
      <c r="Q1508">
        <v>47</v>
      </c>
      <c r="R1508">
        <v>49</v>
      </c>
      <c r="S1508">
        <v>51</v>
      </c>
      <c r="T1508">
        <v>28</v>
      </c>
      <c r="U1508">
        <v>0</v>
      </c>
      <c r="V1508" s="3">
        <f t="shared" si="93"/>
        <v>13423</v>
      </c>
      <c r="W1508">
        <v>1118.5833333333333</v>
      </c>
      <c r="X1508">
        <v>0</v>
      </c>
      <c r="Y1508">
        <f t="shared" si="94"/>
        <v>1118.5833333333333</v>
      </c>
      <c r="Z1508">
        <f t="shared" si="95"/>
        <v>0</v>
      </c>
      <c r="AA1508">
        <v>0</v>
      </c>
    </row>
    <row r="1509" spans="1:27" x14ac:dyDescent="0.25">
      <c r="A1509" s="1">
        <v>1508</v>
      </c>
      <c r="B1509" t="s">
        <v>2440</v>
      </c>
      <c r="C1509" t="s">
        <v>1135</v>
      </c>
      <c r="D1509" t="s">
        <v>1142</v>
      </c>
      <c r="E1509" t="s">
        <v>1141</v>
      </c>
      <c r="H1509" t="s">
        <v>1177</v>
      </c>
      <c r="I1509" t="s">
        <v>1153</v>
      </c>
      <c r="J1509" t="s">
        <v>1337</v>
      </c>
      <c r="K1509" t="s">
        <v>1212</v>
      </c>
      <c r="M1509" s="3">
        <f t="shared" si="92"/>
        <v>71.285714285714292</v>
      </c>
      <c r="N1509">
        <v>65</v>
      </c>
      <c r="O1509">
        <v>80</v>
      </c>
      <c r="P1509">
        <v>81</v>
      </c>
      <c r="Q1509">
        <v>75</v>
      </c>
      <c r="R1509">
        <v>70</v>
      </c>
      <c r="S1509">
        <v>73</v>
      </c>
      <c r="T1509">
        <v>55</v>
      </c>
      <c r="U1509">
        <v>7</v>
      </c>
      <c r="V1509" s="3">
        <f t="shared" si="93"/>
        <v>5082956</v>
      </c>
      <c r="W1509">
        <v>209150.66666666666</v>
      </c>
      <c r="X1509">
        <v>0</v>
      </c>
      <c r="Y1509">
        <f t="shared" si="94"/>
        <v>423579.66666666669</v>
      </c>
      <c r="Z1509">
        <f t="shared" si="95"/>
        <v>-50.62</v>
      </c>
      <c r="AA1509">
        <v>0</v>
      </c>
    </row>
    <row r="1510" spans="1:27" x14ac:dyDescent="0.25">
      <c r="A1510" s="1">
        <v>1509</v>
      </c>
      <c r="B1510" t="s">
        <v>2441</v>
      </c>
      <c r="C1510" t="s">
        <v>1135</v>
      </c>
      <c r="D1510" t="s">
        <v>1142</v>
      </c>
      <c r="E1510" t="s">
        <v>1141</v>
      </c>
      <c r="H1510" t="s">
        <v>1177</v>
      </c>
      <c r="I1510" t="s">
        <v>1153</v>
      </c>
      <c r="J1510" t="s">
        <v>1337</v>
      </c>
      <c r="K1510" t="s">
        <v>1212</v>
      </c>
      <c r="M1510" s="3">
        <f t="shared" si="92"/>
        <v>39.714285714285715</v>
      </c>
      <c r="N1510">
        <v>15</v>
      </c>
      <c r="O1510">
        <v>49</v>
      </c>
      <c r="P1510">
        <v>41</v>
      </c>
      <c r="Q1510">
        <v>47</v>
      </c>
      <c r="R1510">
        <v>49</v>
      </c>
      <c r="S1510">
        <v>51</v>
      </c>
      <c r="T1510">
        <v>26</v>
      </c>
      <c r="U1510">
        <v>0</v>
      </c>
      <c r="V1510" s="3">
        <f t="shared" si="93"/>
        <v>9761</v>
      </c>
      <c r="W1510">
        <v>813.41666666666663</v>
      </c>
      <c r="X1510">
        <v>0</v>
      </c>
      <c r="Y1510">
        <f t="shared" si="94"/>
        <v>813.41666666666663</v>
      </c>
      <c r="Z1510">
        <f t="shared" si="95"/>
        <v>0</v>
      </c>
      <c r="AA1510">
        <v>0</v>
      </c>
    </row>
    <row r="1511" spans="1:27" x14ac:dyDescent="0.25">
      <c r="A1511" s="1">
        <v>1510</v>
      </c>
      <c r="B1511" t="s">
        <v>2442</v>
      </c>
      <c r="C1511" t="s">
        <v>1135</v>
      </c>
      <c r="D1511" t="s">
        <v>1141</v>
      </c>
      <c r="E1511" t="s">
        <v>1142</v>
      </c>
      <c r="H1511" t="s">
        <v>1177</v>
      </c>
      <c r="I1511" t="s">
        <v>1153</v>
      </c>
      <c r="J1511" t="s">
        <v>1337</v>
      </c>
      <c r="K1511" t="s">
        <v>1212</v>
      </c>
      <c r="M1511" s="3">
        <f t="shared" si="92"/>
        <v>59</v>
      </c>
      <c r="N1511">
        <v>23</v>
      </c>
      <c r="O1511">
        <v>73</v>
      </c>
      <c r="P1511">
        <v>65</v>
      </c>
      <c r="Q1511">
        <v>67</v>
      </c>
      <c r="R1511">
        <v>69</v>
      </c>
      <c r="S1511">
        <v>71</v>
      </c>
      <c r="T1511">
        <v>45</v>
      </c>
      <c r="U1511">
        <v>0</v>
      </c>
      <c r="V1511" s="3">
        <f t="shared" si="93"/>
        <v>511117</v>
      </c>
      <c r="W1511">
        <v>42593.083333333336</v>
      </c>
      <c r="X1511">
        <v>0</v>
      </c>
      <c r="Y1511">
        <f t="shared" si="94"/>
        <v>42593.083333333336</v>
      </c>
      <c r="Z1511">
        <f t="shared" si="95"/>
        <v>0</v>
      </c>
      <c r="AA1511">
        <v>0</v>
      </c>
    </row>
    <row r="1512" spans="1:27" x14ac:dyDescent="0.25">
      <c r="A1512" s="1">
        <v>1511</v>
      </c>
      <c r="B1512" t="s">
        <v>1315</v>
      </c>
      <c r="C1512" t="s">
        <v>1136</v>
      </c>
      <c r="D1512" t="s">
        <v>1143</v>
      </c>
      <c r="E1512" t="s">
        <v>1145</v>
      </c>
      <c r="H1512" t="s">
        <v>1177</v>
      </c>
      <c r="I1512" t="s">
        <v>1153</v>
      </c>
      <c r="J1512" t="s">
        <v>1337</v>
      </c>
      <c r="K1512" t="s">
        <v>1212</v>
      </c>
      <c r="M1512" s="3">
        <f t="shared" si="92"/>
        <v>43.714285714285715</v>
      </c>
      <c r="N1512">
        <v>28</v>
      </c>
      <c r="O1512">
        <v>53</v>
      </c>
      <c r="P1512">
        <v>55</v>
      </c>
      <c r="Q1512">
        <v>53</v>
      </c>
      <c r="R1512">
        <v>43</v>
      </c>
      <c r="S1512">
        <v>48</v>
      </c>
      <c r="T1512">
        <v>26</v>
      </c>
      <c r="U1512">
        <v>0</v>
      </c>
      <c r="V1512" s="3">
        <f t="shared" si="93"/>
        <v>25483</v>
      </c>
      <c r="W1512">
        <v>2123.5833333333335</v>
      </c>
      <c r="X1512">
        <v>0</v>
      </c>
      <c r="Y1512">
        <f t="shared" si="94"/>
        <v>2123.5833333333335</v>
      </c>
      <c r="Z1512">
        <f t="shared" si="95"/>
        <v>0</v>
      </c>
      <c r="AA1512">
        <v>0</v>
      </c>
    </row>
    <row r="1513" spans="1:27" x14ac:dyDescent="0.25">
      <c r="A1513" s="1">
        <v>1512</v>
      </c>
      <c r="B1513" t="s">
        <v>2434</v>
      </c>
      <c r="C1513" t="s">
        <v>1136</v>
      </c>
      <c r="D1513" t="s">
        <v>1144</v>
      </c>
      <c r="E1513" t="s">
        <v>1143</v>
      </c>
      <c r="H1513" t="s">
        <v>1177</v>
      </c>
      <c r="I1513" t="s">
        <v>1153</v>
      </c>
      <c r="J1513" t="s">
        <v>1337</v>
      </c>
      <c r="K1513" t="s">
        <v>1212</v>
      </c>
      <c r="M1513" s="3">
        <f t="shared" si="92"/>
        <v>38</v>
      </c>
      <c r="N1513">
        <v>14</v>
      </c>
      <c r="O1513">
        <v>47</v>
      </c>
      <c r="P1513">
        <v>39</v>
      </c>
      <c r="Q1513">
        <v>45</v>
      </c>
      <c r="R1513">
        <v>47</v>
      </c>
      <c r="S1513">
        <v>49</v>
      </c>
      <c r="T1513">
        <v>25</v>
      </c>
      <c r="U1513">
        <v>0</v>
      </c>
      <c r="V1513" s="3">
        <f t="shared" si="93"/>
        <v>6279</v>
      </c>
      <c r="W1513">
        <v>523.25</v>
      </c>
      <c r="X1513">
        <v>0</v>
      </c>
      <c r="Y1513">
        <f t="shared" si="94"/>
        <v>523.25</v>
      </c>
      <c r="Z1513">
        <f t="shared" si="95"/>
        <v>0</v>
      </c>
      <c r="AA1513">
        <v>0</v>
      </c>
    </row>
    <row r="1514" spans="1:27" x14ac:dyDescent="0.25">
      <c r="A1514" s="1">
        <v>1513</v>
      </c>
      <c r="B1514" t="s">
        <v>2435</v>
      </c>
      <c r="C1514" t="s">
        <v>1136</v>
      </c>
      <c r="D1514" t="s">
        <v>1144</v>
      </c>
      <c r="E1514" t="s">
        <v>1138</v>
      </c>
      <c r="H1514" t="s">
        <v>1177</v>
      </c>
      <c r="I1514" t="s">
        <v>1153</v>
      </c>
      <c r="J1514" t="s">
        <v>1337</v>
      </c>
      <c r="K1514" t="s">
        <v>1212</v>
      </c>
      <c r="M1514" s="3">
        <f t="shared" si="92"/>
        <v>44.428571428571431</v>
      </c>
      <c r="N1514">
        <v>18</v>
      </c>
      <c r="O1514">
        <v>57</v>
      </c>
      <c r="P1514">
        <v>47</v>
      </c>
      <c r="Q1514">
        <v>51</v>
      </c>
      <c r="R1514">
        <v>53</v>
      </c>
      <c r="S1514">
        <v>55</v>
      </c>
      <c r="T1514">
        <v>30</v>
      </c>
      <c r="U1514">
        <v>0</v>
      </c>
      <c r="V1514" s="3">
        <f t="shared" si="93"/>
        <v>29966</v>
      </c>
      <c r="W1514">
        <v>2497.1666666666665</v>
      </c>
      <c r="X1514">
        <v>0</v>
      </c>
      <c r="Y1514">
        <f t="shared" si="94"/>
        <v>2497.1666666666665</v>
      </c>
      <c r="Z1514">
        <f t="shared" si="95"/>
        <v>0</v>
      </c>
      <c r="AA1514">
        <v>0</v>
      </c>
    </row>
    <row r="1515" spans="1:27" x14ac:dyDescent="0.25">
      <c r="A1515" s="1">
        <v>1514</v>
      </c>
      <c r="B1515" t="s">
        <v>2436</v>
      </c>
      <c r="C1515" t="s">
        <v>1136</v>
      </c>
      <c r="D1515" t="s">
        <v>1143</v>
      </c>
      <c r="E1515" t="s">
        <v>1144</v>
      </c>
      <c r="H1515" t="s">
        <v>1177</v>
      </c>
      <c r="I1515" t="s">
        <v>1153</v>
      </c>
      <c r="J1515" t="s">
        <v>1337</v>
      </c>
      <c r="K1515" t="s">
        <v>1212</v>
      </c>
      <c r="M1515" s="3">
        <f t="shared" si="92"/>
        <v>31.571428571428573</v>
      </c>
      <c r="N1515">
        <v>11</v>
      </c>
      <c r="O1515">
        <v>39</v>
      </c>
      <c r="P1515">
        <v>33</v>
      </c>
      <c r="Q1515">
        <v>37</v>
      </c>
      <c r="R1515">
        <v>39</v>
      </c>
      <c r="S1515">
        <v>41</v>
      </c>
      <c r="T1515">
        <v>21</v>
      </c>
      <c r="U1515">
        <v>0</v>
      </c>
      <c r="V1515" s="3">
        <f t="shared" si="93"/>
        <v>984</v>
      </c>
      <c r="W1515">
        <v>82</v>
      </c>
      <c r="X1515">
        <v>0</v>
      </c>
      <c r="Y1515">
        <f t="shared" si="94"/>
        <v>82</v>
      </c>
      <c r="Z1515">
        <f t="shared" si="95"/>
        <v>0</v>
      </c>
      <c r="AA1515">
        <v>0</v>
      </c>
    </row>
    <row r="1516" spans="1:27" x14ac:dyDescent="0.25">
      <c r="A1516" s="1">
        <v>1515</v>
      </c>
      <c r="B1516" t="s">
        <v>2437</v>
      </c>
      <c r="C1516" t="s">
        <v>1136</v>
      </c>
      <c r="D1516" t="s">
        <v>1146</v>
      </c>
      <c r="E1516" t="s">
        <v>1144</v>
      </c>
      <c r="H1516" t="s">
        <v>1177</v>
      </c>
      <c r="I1516" t="s">
        <v>1153</v>
      </c>
      <c r="J1516" t="s">
        <v>1337</v>
      </c>
      <c r="K1516" t="s">
        <v>1212</v>
      </c>
      <c r="M1516" s="3">
        <f t="shared" si="92"/>
        <v>40.142857142857146</v>
      </c>
      <c r="N1516">
        <v>15</v>
      </c>
      <c r="O1516">
        <v>51</v>
      </c>
      <c r="P1516">
        <v>41</v>
      </c>
      <c r="Q1516">
        <v>47</v>
      </c>
      <c r="R1516">
        <v>49</v>
      </c>
      <c r="S1516">
        <v>51</v>
      </c>
      <c r="T1516">
        <v>27</v>
      </c>
      <c r="U1516">
        <v>0</v>
      </c>
      <c r="V1516" s="3">
        <f t="shared" si="93"/>
        <v>10867</v>
      </c>
      <c r="W1516">
        <v>905.58333333333337</v>
      </c>
      <c r="X1516">
        <v>0</v>
      </c>
      <c r="Y1516">
        <f t="shared" si="94"/>
        <v>905.58333333333337</v>
      </c>
      <c r="Z1516">
        <f t="shared" si="95"/>
        <v>0</v>
      </c>
      <c r="AA1516">
        <v>0</v>
      </c>
    </row>
    <row r="1517" spans="1:27" x14ac:dyDescent="0.25">
      <c r="A1517" s="1">
        <v>1516</v>
      </c>
      <c r="B1517" t="s">
        <v>2438</v>
      </c>
      <c r="C1517" t="s">
        <v>1136</v>
      </c>
      <c r="D1517" t="s">
        <v>1147</v>
      </c>
      <c r="E1517" t="s">
        <v>1145</v>
      </c>
      <c r="H1517" t="s">
        <v>1177</v>
      </c>
      <c r="I1517" t="s">
        <v>1153</v>
      </c>
      <c r="J1517" t="s">
        <v>1337</v>
      </c>
      <c r="K1517" t="s">
        <v>1212</v>
      </c>
      <c r="M1517" s="3">
        <f t="shared" si="92"/>
        <v>33.428571428571431</v>
      </c>
      <c r="N1517">
        <v>12</v>
      </c>
      <c r="O1517">
        <v>41</v>
      </c>
      <c r="P1517">
        <v>35</v>
      </c>
      <c r="Q1517">
        <v>39</v>
      </c>
      <c r="R1517">
        <v>41</v>
      </c>
      <c r="S1517">
        <v>43</v>
      </c>
      <c r="T1517">
        <v>23</v>
      </c>
      <c r="U1517">
        <v>0</v>
      </c>
      <c r="V1517" s="3">
        <f t="shared" si="93"/>
        <v>1743</v>
      </c>
      <c r="W1517">
        <v>145.25</v>
      </c>
      <c r="X1517">
        <v>0</v>
      </c>
      <c r="Y1517">
        <f t="shared" si="94"/>
        <v>145.25</v>
      </c>
      <c r="Z1517">
        <f t="shared" si="95"/>
        <v>0</v>
      </c>
      <c r="AA1517">
        <v>0</v>
      </c>
    </row>
    <row r="1518" spans="1:27" x14ac:dyDescent="0.25">
      <c r="A1518" s="1">
        <v>1517</v>
      </c>
      <c r="B1518" t="s">
        <v>2439</v>
      </c>
      <c r="C1518" t="s">
        <v>1136</v>
      </c>
      <c r="D1518" t="s">
        <v>1147</v>
      </c>
      <c r="E1518" t="s">
        <v>1146</v>
      </c>
      <c r="H1518" t="s">
        <v>1177</v>
      </c>
      <c r="I1518" t="s">
        <v>1153</v>
      </c>
      <c r="J1518" t="s">
        <v>1337</v>
      </c>
      <c r="K1518" t="s">
        <v>1212</v>
      </c>
      <c r="M1518" s="3">
        <f t="shared" si="92"/>
        <v>41.857142857142854</v>
      </c>
      <c r="N1518">
        <v>16</v>
      </c>
      <c r="O1518">
        <v>53</v>
      </c>
      <c r="P1518">
        <v>43</v>
      </c>
      <c r="Q1518">
        <v>49</v>
      </c>
      <c r="R1518">
        <v>51</v>
      </c>
      <c r="S1518">
        <v>53</v>
      </c>
      <c r="T1518">
        <v>28</v>
      </c>
      <c r="U1518">
        <v>0</v>
      </c>
      <c r="V1518" s="3">
        <f t="shared" si="93"/>
        <v>16509</v>
      </c>
      <c r="W1518">
        <v>1375.75</v>
      </c>
      <c r="X1518">
        <v>0</v>
      </c>
      <c r="Y1518">
        <f t="shared" si="94"/>
        <v>1375.75</v>
      </c>
      <c r="Z1518">
        <f t="shared" si="95"/>
        <v>0</v>
      </c>
      <c r="AA1518">
        <v>0</v>
      </c>
    </row>
    <row r="1519" spans="1:27" x14ac:dyDescent="0.25">
      <c r="A1519" s="1">
        <v>1518</v>
      </c>
      <c r="B1519" t="s">
        <v>2443</v>
      </c>
      <c r="C1519" t="s">
        <v>1136</v>
      </c>
      <c r="D1519" t="s">
        <v>1147</v>
      </c>
      <c r="E1519" t="s">
        <v>1145</v>
      </c>
      <c r="H1519" t="s">
        <v>1177</v>
      </c>
      <c r="I1519" t="s">
        <v>1153</v>
      </c>
      <c r="J1519" t="s">
        <v>1337</v>
      </c>
      <c r="K1519" t="s">
        <v>1212</v>
      </c>
      <c r="M1519" s="3">
        <f t="shared" si="92"/>
        <v>55.714285714285715</v>
      </c>
      <c r="N1519">
        <v>20</v>
      </c>
      <c r="O1519">
        <v>67</v>
      </c>
      <c r="P1519">
        <v>61</v>
      </c>
      <c r="Q1519">
        <v>65</v>
      </c>
      <c r="R1519">
        <v>67</v>
      </c>
      <c r="S1519">
        <v>69</v>
      </c>
      <c r="T1519">
        <v>41</v>
      </c>
      <c r="U1519">
        <v>0</v>
      </c>
      <c r="V1519" s="3">
        <f t="shared" si="93"/>
        <v>288182</v>
      </c>
      <c r="W1519">
        <v>24015.166666666668</v>
      </c>
      <c r="X1519">
        <v>0</v>
      </c>
      <c r="Y1519">
        <f t="shared" si="94"/>
        <v>24015.166666666668</v>
      </c>
      <c r="Z1519">
        <f t="shared" si="95"/>
        <v>0</v>
      </c>
      <c r="AA1519">
        <v>0</v>
      </c>
    </row>
    <row r="1520" spans="1:27" x14ac:dyDescent="0.25">
      <c r="A1520" s="1">
        <v>1519</v>
      </c>
      <c r="B1520" t="s">
        <v>2429</v>
      </c>
      <c r="C1520" t="s">
        <v>1137</v>
      </c>
      <c r="D1520" t="s">
        <v>1137</v>
      </c>
      <c r="H1520" t="s">
        <v>1177</v>
      </c>
      <c r="I1520" t="s">
        <v>1153</v>
      </c>
      <c r="J1520" t="s">
        <v>1337</v>
      </c>
      <c r="K1520" t="s">
        <v>1212</v>
      </c>
      <c r="M1520" s="3">
        <f t="shared" si="92"/>
        <v>75.285714285714292</v>
      </c>
      <c r="N1520">
        <v>65</v>
      </c>
      <c r="O1520">
        <v>70</v>
      </c>
      <c r="P1520">
        <v>75</v>
      </c>
      <c r="Q1520">
        <v>80</v>
      </c>
      <c r="R1520">
        <v>82</v>
      </c>
      <c r="S1520">
        <v>80</v>
      </c>
      <c r="T1520">
        <v>75</v>
      </c>
      <c r="U1520">
        <v>0</v>
      </c>
      <c r="V1520" s="3">
        <f t="shared" si="93"/>
        <v>5849595</v>
      </c>
      <c r="W1520">
        <v>416.5</v>
      </c>
      <c r="X1520">
        <v>0</v>
      </c>
      <c r="Y1520">
        <f t="shared" si="94"/>
        <v>487466.25</v>
      </c>
      <c r="Z1520">
        <f t="shared" si="95"/>
        <v>-99.91</v>
      </c>
      <c r="AA1520">
        <v>0</v>
      </c>
    </row>
    <row r="1521" spans="1:27" x14ac:dyDescent="0.25">
      <c r="A1521" s="1">
        <v>1520</v>
      </c>
      <c r="B1521" t="s">
        <v>2003</v>
      </c>
      <c r="C1521" t="s">
        <v>1133</v>
      </c>
      <c r="D1521" t="s">
        <v>1133</v>
      </c>
      <c r="H1521" t="s">
        <v>1153</v>
      </c>
      <c r="I1521" t="s">
        <v>1153</v>
      </c>
      <c r="J1521" t="s">
        <v>1338</v>
      </c>
      <c r="K1521" t="s">
        <v>1212</v>
      </c>
      <c r="M1521" s="3">
        <f t="shared" si="92"/>
        <v>61</v>
      </c>
      <c r="N1521">
        <v>19</v>
      </c>
      <c r="O1521">
        <v>78</v>
      </c>
      <c r="P1521">
        <v>64</v>
      </c>
      <c r="Q1521">
        <v>74</v>
      </c>
      <c r="R1521">
        <v>76</v>
      </c>
      <c r="S1521">
        <v>78</v>
      </c>
      <c r="T1521">
        <v>38</v>
      </c>
      <c r="U1521">
        <v>0</v>
      </c>
      <c r="V1521" s="3">
        <f t="shared" si="93"/>
        <v>713343</v>
      </c>
      <c r="W1521">
        <v>59445.25</v>
      </c>
      <c r="X1521">
        <v>0</v>
      </c>
      <c r="Y1521">
        <f t="shared" si="94"/>
        <v>59445.25</v>
      </c>
      <c r="Z1521">
        <f t="shared" si="95"/>
        <v>0</v>
      </c>
      <c r="AA1521">
        <v>0</v>
      </c>
    </row>
    <row r="1522" spans="1:27" x14ac:dyDescent="0.25">
      <c r="A1522" s="1">
        <v>1521</v>
      </c>
      <c r="B1522" t="s">
        <v>27</v>
      </c>
      <c r="C1522" t="s">
        <v>1133</v>
      </c>
      <c r="D1522" t="s">
        <v>1133</v>
      </c>
      <c r="G1522" t="s">
        <v>1152</v>
      </c>
      <c r="H1522" t="s">
        <v>1152</v>
      </c>
      <c r="I1522" t="s">
        <v>1152</v>
      </c>
      <c r="J1522" t="s">
        <v>1338</v>
      </c>
      <c r="K1522" t="s">
        <v>1212</v>
      </c>
      <c r="M1522" s="3">
        <f t="shared" si="92"/>
        <v>58.428571428571431</v>
      </c>
      <c r="N1522">
        <v>20</v>
      </c>
      <c r="O1522">
        <v>69</v>
      </c>
      <c r="P1522">
        <v>54</v>
      </c>
      <c r="Q1522">
        <v>75</v>
      </c>
      <c r="R1522">
        <v>60</v>
      </c>
      <c r="S1522">
        <v>65</v>
      </c>
      <c r="T1522">
        <v>66</v>
      </c>
      <c r="U1522">
        <v>0</v>
      </c>
      <c r="V1522" s="3">
        <f t="shared" si="93"/>
        <v>463717</v>
      </c>
      <c r="W1522">
        <v>38643.083333333336</v>
      </c>
      <c r="X1522">
        <v>0</v>
      </c>
      <c r="Y1522">
        <f t="shared" si="94"/>
        <v>38643.083333333336</v>
      </c>
      <c r="Z1522">
        <f t="shared" si="95"/>
        <v>0</v>
      </c>
      <c r="AA1522">
        <v>0</v>
      </c>
    </row>
    <row r="1523" spans="1:27" x14ac:dyDescent="0.25">
      <c r="A1523" s="1">
        <v>1522</v>
      </c>
      <c r="B1523" t="s">
        <v>299</v>
      </c>
      <c r="C1523" t="s">
        <v>1134</v>
      </c>
      <c r="D1523" t="s">
        <v>1138</v>
      </c>
      <c r="G1523" t="s">
        <v>1184</v>
      </c>
      <c r="H1523" t="s">
        <v>1184</v>
      </c>
      <c r="I1523" t="s">
        <v>1184</v>
      </c>
      <c r="J1523" t="s">
        <v>1338</v>
      </c>
      <c r="K1523" t="s">
        <v>1212</v>
      </c>
      <c r="M1523" s="3">
        <f t="shared" si="92"/>
        <v>62.571428571428569</v>
      </c>
      <c r="N1523">
        <v>15</v>
      </c>
      <c r="O1523">
        <v>51</v>
      </c>
      <c r="P1523">
        <v>68</v>
      </c>
      <c r="Q1523">
        <v>74</v>
      </c>
      <c r="R1523">
        <v>83</v>
      </c>
      <c r="S1523">
        <v>96</v>
      </c>
      <c r="T1523">
        <v>51</v>
      </c>
      <c r="U1523">
        <v>0</v>
      </c>
      <c r="V1523" s="3">
        <f t="shared" si="93"/>
        <v>919943</v>
      </c>
      <c r="W1523">
        <v>76661.916666666672</v>
      </c>
      <c r="X1523">
        <v>0</v>
      </c>
      <c r="Y1523">
        <f t="shared" si="94"/>
        <v>76661.916666666672</v>
      </c>
      <c r="Z1523">
        <f t="shared" si="95"/>
        <v>0</v>
      </c>
      <c r="AA1523">
        <v>0</v>
      </c>
    </row>
    <row r="1524" spans="1:27" x14ac:dyDescent="0.25">
      <c r="A1524" s="1">
        <v>1523</v>
      </c>
      <c r="B1524" t="s">
        <v>2005</v>
      </c>
      <c r="C1524" t="s">
        <v>1134</v>
      </c>
      <c r="D1524" t="s">
        <v>1140</v>
      </c>
      <c r="E1524" t="s">
        <v>1138</v>
      </c>
      <c r="H1524" t="s">
        <v>1153</v>
      </c>
      <c r="I1524" t="s">
        <v>1153</v>
      </c>
      <c r="J1524" t="s">
        <v>1338</v>
      </c>
      <c r="K1524" t="s">
        <v>1212</v>
      </c>
      <c r="M1524" s="3">
        <f t="shared" si="92"/>
        <v>55</v>
      </c>
      <c r="N1524">
        <v>16</v>
      </c>
      <c r="O1524">
        <v>76</v>
      </c>
      <c r="P1524">
        <v>61</v>
      </c>
      <c r="Q1524">
        <v>65</v>
      </c>
      <c r="R1524">
        <v>67</v>
      </c>
      <c r="S1524">
        <v>70</v>
      </c>
      <c r="T1524">
        <v>30</v>
      </c>
      <c r="U1524">
        <v>0</v>
      </c>
      <c r="V1524" s="3">
        <f t="shared" si="93"/>
        <v>253296</v>
      </c>
      <c r="W1524">
        <v>21108</v>
      </c>
      <c r="X1524">
        <v>0</v>
      </c>
      <c r="Y1524">
        <f t="shared" si="94"/>
        <v>21108</v>
      </c>
      <c r="Z1524">
        <f t="shared" si="95"/>
        <v>0</v>
      </c>
      <c r="AA1524">
        <v>0</v>
      </c>
    </row>
    <row r="1525" spans="1:27" x14ac:dyDescent="0.25">
      <c r="A1525" s="1">
        <v>1524</v>
      </c>
      <c r="B1525" t="s">
        <v>2006</v>
      </c>
      <c r="C1525" t="s">
        <v>1134</v>
      </c>
      <c r="D1525" t="s">
        <v>1139</v>
      </c>
      <c r="E1525" t="s">
        <v>1138</v>
      </c>
      <c r="H1525" t="s">
        <v>1153</v>
      </c>
      <c r="I1525" t="s">
        <v>1153</v>
      </c>
      <c r="J1525" t="s">
        <v>1338</v>
      </c>
      <c r="K1525" t="s">
        <v>1212</v>
      </c>
      <c r="M1525" s="3">
        <f t="shared" si="92"/>
        <v>59.285714285714285</v>
      </c>
      <c r="N1525">
        <v>18</v>
      </c>
      <c r="O1525">
        <v>82</v>
      </c>
      <c r="P1525">
        <v>66</v>
      </c>
      <c r="Q1525">
        <v>70</v>
      </c>
      <c r="R1525">
        <v>72</v>
      </c>
      <c r="S1525">
        <v>74</v>
      </c>
      <c r="T1525">
        <v>33</v>
      </c>
      <c r="U1525">
        <v>0</v>
      </c>
      <c r="V1525" s="3">
        <f t="shared" si="93"/>
        <v>536415</v>
      </c>
      <c r="W1525">
        <v>44701.25</v>
      </c>
      <c r="X1525">
        <v>0</v>
      </c>
      <c r="Y1525">
        <f t="shared" si="94"/>
        <v>44701.25</v>
      </c>
      <c r="Z1525">
        <f t="shared" si="95"/>
        <v>0</v>
      </c>
      <c r="AA1525">
        <v>0</v>
      </c>
    </row>
    <row r="1526" spans="1:27" x14ac:dyDescent="0.25">
      <c r="A1526" s="1">
        <v>1525</v>
      </c>
      <c r="B1526" t="s">
        <v>2007</v>
      </c>
      <c r="C1526" t="s">
        <v>1134</v>
      </c>
      <c r="D1526" t="s">
        <v>1138</v>
      </c>
      <c r="E1526" t="s">
        <v>1144</v>
      </c>
      <c r="H1526" t="s">
        <v>1153</v>
      </c>
      <c r="I1526" t="s">
        <v>1153</v>
      </c>
      <c r="J1526" t="s">
        <v>1338</v>
      </c>
      <c r="K1526" t="s">
        <v>1212</v>
      </c>
      <c r="M1526" s="3">
        <f t="shared" si="92"/>
        <v>57.857142857142854</v>
      </c>
      <c r="N1526">
        <v>17</v>
      </c>
      <c r="O1526">
        <v>79</v>
      </c>
      <c r="P1526">
        <v>65</v>
      </c>
      <c r="Q1526">
        <v>73</v>
      </c>
      <c r="R1526">
        <v>69</v>
      </c>
      <c r="S1526">
        <v>71</v>
      </c>
      <c r="T1526">
        <v>31</v>
      </c>
      <c r="U1526">
        <v>0</v>
      </c>
      <c r="V1526" s="3">
        <f t="shared" si="93"/>
        <v>420311</v>
      </c>
      <c r="W1526">
        <v>35025.916666666664</v>
      </c>
      <c r="X1526">
        <v>0</v>
      </c>
      <c r="Y1526">
        <f t="shared" si="94"/>
        <v>35025.916666666664</v>
      </c>
      <c r="Z1526">
        <f t="shared" si="95"/>
        <v>0</v>
      </c>
      <c r="AA1526">
        <v>0</v>
      </c>
    </row>
    <row r="1527" spans="1:27" x14ac:dyDescent="0.25">
      <c r="A1527" s="1">
        <v>1526</v>
      </c>
      <c r="B1527" t="s">
        <v>2014</v>
      </c>
      <c r="C1527" t="s">
        <v>1135</v>
      </c>
      <c r="D1527" t="s">
        <v>1142</v>
      </c>
      <c r="E1527" t="s">
        <v>1141</v>
      </c>
      <c r="H1527" t="s">
        <v>1153</v>
      </c>
      <c r="I1527" t="s">
        <v>1153</v>
      </c>
      <c r="J1527" t="s">
        <v>1338</v>
      </c>
      <c r="K1527" t="s">
        <v>1212</v>
      </c>
      <c r="M1527" s="3">
        <f t="shared" si="92"/>
        <v>56.857142857142854</v>
      </c>
      <c r="N1527">
        <v>17</v>
      </c>
      <c r="O1527">
        <v>79</v>
      </c>
      <c r="P1527">
        <v>63</v>
      </c>
      <c r="Q1527">
        <v>71</v>
      </c>
      <c r="R1527">
        <v>69</v>
      </c>
      <c r="S1527">
        <v>71</v>
      </c>
      <c r="T1527">
        <v>28</v>
      </c>
      <c r="U1527">
        <v>0</v>
      </c>
      <c r="V1527" s="3">
        <f t="shared" si="93"/>
        <v>353062</v>
      </c>
      <c r="W1527">
        <v>29421.833333333332</v>
      </c>
      <c r="X1527">
        <v>0</v>
      </c>
      <c r="Y1527">
        <f t="shared" si="94"/>
        <v>29421.833333333332</v>
      </c>
      <c r="Z1527">
        <f t="shared" si="95"/>
        <v>0</v>
      </c>
      <c r="AA1527">
        <v>0</v>
      </c>
    </row>
    <row r="1528" spans="1:27" x14ac:dyDescent="0.25">
      <c r="A1528" s="1">
        <v>1527</v>
      </c>
      <c r="B1528" t="s">
        <v>514</v>
      </c>
      <c r="C1528" t="s">
        <v>1135</v>
      </c>
      <c r="D1528" t="s">
        <v>1141</v>
      </c>
      <c r="G1528" t="s">
        <v>1174</v>
      </c>
      <c r="H1528" t="s">
        <v>1174</v>
      </c>
      <c r="I1528" t="s">
        <v>1174</v>
      </c>
      <c r="J1528" t="s">
        <v>1338</v>
      </c>
      <c r="K1528" t="s">
        <v>1212</v>
      </c>
      <c r="M1528" s="3">
        <f t="shared" si="92"/>
        <v>64.142857142857139</v>
      </c>
      <c r="N1528">
        <v>38</v>
      </c>
      <c r="O1528">
        <v>73</v>
      </c>
      <c r="P1528">
        <v>68</v>
      </c>
      <c r="Q1528">
        <v>65</v>
      </c>
      <c r="R1528">
        <v>71</v>
      </c>
      <c r="S1528">
        <v>78</v>
      </c>
      <c r="T1528">
        <v>56</v>
      </c>
      <c r="U1528">
        <v>0</v>
      </c>
      <c r="V1528" s="3">
        <f t="shared" si="93"/>
        <v>1178917</v>
      </c>
      <c r="W1528">
        <v>98243.083333333328</v>
      </c>
      <c r="X1528">
        <v>0</v>
      </c>
      <c r="Y1528">
        <f t="shared" si="94"/>
        <v>98243.083333333328</v>
      </c>
      <c r="Z1528">
        <f t="shared" si="95"/>
        <v>0</v>
      </c>
      <c r="AA1528">
        <v>0</v>
      </c>
    </row>
    <row r="1529" spans="1:27" x14ac:dyDescent="0.25">
      <c r="A1529" s="1">
        <v>1528</v>
      </c>
      <c r="B1529" t="s">
        <v>466</v>
      </c>
      <c r="C1529" t="s">
        <v>1135</v>
      </c>
      <c r="D1529" t="s">
        <v>1141</v>
      </c>
      <c r="G1529" t="s">
        <v>1158</v>
      </c>
      <c r="H1529" t="s">
        <v>1158</v>
      </c>
      <c r="I1529" t="s">
        <v>1158</v>
      </c>
      <c r="J1529" t="s">
        <v>1338</v>
      </c>
      <c r="K1529" t="s">
        <v>1212</v>
      </c>
      <c r="M1529" s="3">
        <f t="shared" si="92"/>
        <v>60.428571428571431</v>
      </c>
      <c r="N1529">
        <v>25</v>
      </c>
      <c r="O1529">
        <v>68</v>
      </c>
      <c r="P1529">
        <v>71</v>
      </c>
      <c r="Q1529">
        <v>70</v>
      </c>
      <c r="R1529">
        <v>65</v>
      </c>
      <c r="S1529">
        <v>68</v>
      </c>
      <c r="T1529">
        <v>56</v>
      </c>
      <c r="U1529">
        <v>0</v>
      </c>
      <c r="V1529" s="3">
        <f t="shared" si="93"/>
        <v>649267</v>
      </c>
      <c r="W1529">
        <v>54105.583333333336</v>
      </c>
      <c r="X1529">
        <v>0</v>
      </c>
      <c r="Y1529">
        <f t="shared" si="94"/>
        <v>54105.583333333336</v>
      </c>
      <c r="Z1529">
        <f t="shared" si="95"/>
        <v>0</v>
      </c>
      <c r="AA1529">
        <v>0</v>
      </c>
    </row>
    <row r="1530" spans="1:27" x14ac:dyDescent="0.25">
      <c r="A1530" s="1">
        <v>1529</v>
      </c>
      <c r="B1530" t="s">
        <v>2015</v>
      </c>
      <c r="C1530" t="s">
        <v>1135</v>
      </c>
      <c r="D1530" t="s">
        <v>1142</v>
      </c>
      <c r="E1530" t="s">
        <v>1141</v>
      </c>
      <c r="H1530" t="s">
        <v>1153</v>
      </c>
      <c r="I1530" t="s">
        <v>1153</v>
      </c>
      <c r="J1530" t="s">
        <v>1338</v>
      </c>
      <c r="K1530" t="s">
        <v>1212</v>
      </c>
      <c r="M1530" s="3">
        <f t="shared" si="92"/>
        <v>65.571428571428569</v>
      </c>
      <c r="N1530">
        <v>35</v>
      </c>
      <c r="O1530">
        <v>74</v>
      </c>
      <c r="P1530">
        <v>80</v>
      </c>
      <c r="Q1530">
        <v>73</v>
      </c>
      <c r="R1530">
        <v>69</v>
      </c>
      <c r="S1530">
        <v>83</v>
      </c>
      <c r="T1530">
        <v>45</v>
      </c>
      <c r="U1530">
        <v>7</v>
      </c>
      <c r="V1530" s="3">
        <f t="shared" si="93"/>
        <v>2204133</v>
      </c>
      <c r="W1530">
        <v>183677.75</v>
      </c>
      <c r="X1530">
        <v>0</v>
      </c>
      <c r="Y1530">
        <f t="shared" si="94"/>
        <v>183677.75</v>
      </c>
      <c r="Z1530">
        <f t="shared" si="95"/>
        <v>0</v>
      </c>
      <c r="AA1530">
        <v>0</v>
      </c>
    </row>
    <row r="1531" spans="1:27" x14ac:dyDescent="0.25">
      <c r="A1531" s="1">
        <v>1530</v>
      </c>
      <c r="B1531" t="s">
        <v>2016</v>
      </c>
      <c r="C1531" t="s">
        <v>1135</v>
      </c>
      <c r="D1531" t="s">
        <v>1141</v>
      </c>
      <c r="E1531" t="s">
        <v>1142</v>
      </c>
      <c r="H1531" t="s">
        <v>1153</v>
      </c>
      <c r="I1531" t="s">
        <v>1153</v>
      </c>
      <c r="J1531" t="s">
        <v>1338</v>
      </c>
      <c r="K1531" t="s">
        <v>1212</v>
      </c>
      <c r="M1531" s="3">
        <f t="shared" si="92"/>
        <v>66.285714285714292</v>
      </c>
      <c r="N1531">
        <v>22</v>
      </c>
      <c r="O1531">
        <v>87</v>
      </c>
      <c r="P1531">
        <v>75</v>
      </c>
      <c r="Q1531">
        <v>79</v>
      </c>
      <c r="R1531">
        <v>81</v>
      </c>
      <c r="S1531">
        <v>84</v>
      </c>
      <c r="T1531">
        <v>36</v>
      </c>
      <c r="U1531">
        <v>0</v>
      </c>
      <c r="V1531" s="3">
        <f t="shared" si="93"/>
        <v>1637569</v>
      </c>
      <c r="W1531">
        <v>136464.08333333334</v>
      </c>
      <c r="X1531">
        <v>0</v>
      </c>
      <c r="Y1531">
        <f t="shared" si="94"/>
        <v>136464.08333333334</v>
      </c>
      <c r="Z1531">
        <f t="shared" si="95"/>
        <v>0</v>
      </c>
      <c r="AA1531">
        <v>0</v>
      </c>
    </row>
    <row r="1532" spans="1:27" x14ac:dyDescent="0.25">
      <c r="A1532" s="1">
        <v>1531</v>
      </c>
      <c r="B1532" t="s">
        <v>2013</v>
      </c>
      <c r="C1532" t="s">
        <v>1136</v>
      </c>
      <c r="D1532" t="s">
        <v>1147</v>
      </c>
      <c r="E1532" t="s">
        <v>1145</v>
      </c>
      <c r="H1532" t="s">
        <v>1153</v>
      </c>
      <c r="I1532" t="s">
        <v>1153</v>
      </c>
      <c r="J1532" t="s">
        <v>1338</v>
      </c>
      <c r="K1532" t="s">
        <v>1212</v>
      </c>
      <c r="M1532" s="3">
        <f t="shared" si="92"/>
        <v>68.571428571428569</v>
      </c>
      <c r="N1532">
        <v>23</v>
      </c>
      <c r="O1532">
        <v>88</v>
      </c>
      <c r="P1532">
        <v>76</v>
      </c>
      <c r="Q1532">
        <v>82</v>
      </c>
      <c r="R1532">
        <v>85</v>
      </c>
      <c r="S1532">
        <v>87</v>
      </c>
      <c r="T1532">
        <v>39</v>
      </c>
      <c r="U1532">
        <v>0</v>
      </c>
      <c r="V1532" s="3">
        <f t="shared" si="93"/>
        <v>2298434</v>
      </c>
      <c r="W1532">
        <v>191536.16666666666</v>
      </c>
      <c r="X1532">
        <v>0</v>
      </c>
      <c r="Y1532">
        <f t="shared" si="94"/>
        <v>191536.16666666666</v>
      </c>
      <c r="Z1532">
        <f t="shared" si="95"/>
        <v>0</v>
      </c>
      <c r="AA1532">
        <v>0</v>
      </c>
    </row>
    <row r="1533" spans="1:27" x14ac:dyDescent="0.25">
      <c r="A1533" s="1">
        <v>1532</v>
      </c>
      <c r="B1533" t="s">
        <v>2008</v>
      </c>
      <c r="C1533" t="s">
        <v>1136</v>
      </c>
      <c r="D1533" t="s">
        <v>1144</v>
      </c>
      <c r="E1533" t="s">
        <v>1143</v>
      </c>
      <c r="H1533" t="s">
        <v>1153</v>
      </c>
      <c r="I1533" t="s">
        <v>1153</v>
      </c>
      <c r="J1533" t="s">
        <v>1338</v>
      </c>
      <c r="K1533" t="s">
        <v>1212</v>
      </c>
      <c r="M1533" s="3">
        <f t="shared" si="92"/>
        <v>57</v>
      </c>
      <c r="N1533">
        <v>16</v>
      </c>
      <c r="O1533">
        <v>78</v>
      </c>
      <c r="P1533">
        <v>63</v>
      </c>
      <c r="Q1533">
        <v>69</v>
      </c>
      <c r="R1533">
        <v>71</v>
      </c>
      <c r="S1533">
        <v>73</v>
      </c>
      <c r="T1533">
        <v>29</v>
      </c>
      <c r="U1533">
        <v>0</v>
      </c>
      <c r="V1533" s="3">
        <f t="shared" si="93"/>
        <v>362034</v>
      </c>
      <c r="W1533">
        <v>30169.5</v>
      </c>
      <c r="X1533">
        <v>0</v>
      </c>
      <c r="Y1533">
        <f t="shared" si="94"/>
        <v>30169.5</v>
      </c>
      <c r="Z1533">
        <f t="shared" si="95"/>
        <v>0</v>
      </c>
      <c r="AA1533">
        <v>0</v>
      </c>
    </row>
    <row r="1534" spans="1:27" x14ac:dyDescent="0.25">
      <c r="A1534" s="1">
        <v>1533</v>
      </c>
      <c r="B1534" t="s">
        <v>2009</v>
      </c>
      <c r="C1534" t="s">
        <v>1136</v>
      </c>
      <c r="D1534" t="s">
        <v>1143</v>
      </c>
      <c r="E1534" t="s">
        <v>1144</v>
      </c>
      <c r="H1534" t="s">
        <v>1153</v>
      </c>
      <c r="I1534" t="s">
        <v>1153</v>
      </c>
      <c r="J1534" t="s">
        <v>1338</v>
      </c>
      <c r="K1534" t="s">
        <v>1212</v>
      </c>
      <c r="M1534" s="3">
        <f t="shared" si="92"/>
        <v>60</v>
      </c>
      <c r="N1534">
        <v>18</v>
      </c>
      <c r="O1534">
        <v>80</v>
      </c>
      <c r="P1534">
        <v>67</v>
      </c>
      <c r="Q1534">
        <v>75</v>
      </c>
      <c r="R1534">
        <v>73</v>
      </c>
      <c r="S1534">
        <v>75</v>
      </c>
      <c r="T1534">
        <v>32</v>
      </c>
      <c r="U1534">
        <v>0</v>
      </c>
      <c r="V1534" s="3">
        <f t="shared" si="93"/>
        <v>604662</v>
      </c>
      <c r="W1534">
        <v>50388.5</v>
      </c>
      <c r="X1534">
        <v>0</v>
      </c>
      <c r="Y1534">
        <f t="shared" si="94"/>
        <v>50388.5</v>
      </c>
      <c r="Z1534">
        <f t="shared" si="95"/>
        <v>0</v>
      </c>
      <c r="AA1534">
        <v>0</v>
      </c>
    </row>
    <row r="1535" spans="1:27" x14ac:dyDescent="0.25">
      <c r="A1535" s="1">
        <v>1534</v>
      </c>
      <c r="B1535" t="s">
        <v>2010</v>
      </c>
      <c r="C1535" t="s">
        <v>1136</v>
      </c>
      <c r="D1535" t="s">
        <v>1145</v>
      </c>
      <c r="E1535" t="s">
        <v>1143</v>
      </c>
      <c r="H1535" t="s">
        <v>1153</v>
      </c>
      <c r="I1535" t="s">
        <v>1153</v>
      </c>
      <c r="J1535" t="s">
        <v>1338</v>
      </c>
      <c r="K1535" t="s">
        <v>1212</v>
      </c>
      <c r="M1535" s="3">
        <f t="shared" si="92"/>
        <v>59</v>
      </c>
      <c r="N1535">
        <v>16</v>
      </c>
      <c r="O1535">
        <v>77</v>
      </c>
      <c r="P1535">
        <v>65</v>
      </c>
      <c r="Q1535">
        <v>73</v>
      </c>
      <c r="R1535">
        <v>75</v>
      </c>
      <c r="S1535">
        <v>77</v>
      </c>
      <c r="T1535">
        <v>30</v>
      </c>
      <c r="U1535">
        <v>0</v>
      </c>
      <c r="V1535" s="3">
        <f t="shared" si="93"/>
        <v>511117</v>
      </c>
      <c r="W1535">
        <v>42593.083333333336</v>
      </c>
      <c r="X1535">
        <v>0</v>
      </c>
      <c r="Y1535">
        <f t="shared" si="94"/>
        <v>42593.083333333336</v>
      </c>
      <c r="Z1535">
        <f t="shared" si="95"/>
        <v>0</v>
      </c>
      <c r="AA1535">
        <v>0</v>
      </c>
    </row>
    <row r="1536" spans="1:27" x14ac:dyDescent="0.25">
      <c r="A1536" s="1">
        <v>1535</v>
      </c>
      <c r="B1536" t="s">
        <v>2011</v>
      </c>
      <c r="C1536" t="s">
        <v>1136</v>
      </c>
      <c r="D1536" t="s">
        <v>1145</v>
      </c>
      <c r="E1536" t="s">
        <v>1147</v>
      </c>
      <c r="H1536" t="s">
        <v>1153</v>
      </c>
      <c r="I1536" t="s">
        <v>1153</v>
      </c>
      <c r="J1536" t="s">
        <v>1338</v>
      </c>
      <c r="K1536" t="s">
        <v>1212</v>
      </c>
      <c r="M1536" s="3">
        <f t="shared" si="92"/>
        <v>57.571428571428569</v>
      </c>
      <c r="N1536">
        <v>16</v>
      </c>
      <c r="O1536">
        <v>76</v>
      </c>
      <c r="P1536">
        <v>63</v>
      </c>
      <c r="Q1536">
        <v>71</v>
      </c>
      <c r="R1536">
        <v>73</v>
      </c>
      <c r="S1536">
        <v>75</v>
      </c>
      <c r="T1536">
        <v>29</v>
      </c>
      <c r="U1536">
        <v>0</v>
      </c>
      <c r="V1536" s="3">
        <f t="shared" si="93"/>
        <v>400010</v>
      </c>
      <c r="W1536">
        <v>33334.166666666664</v>
      </c>
      <c r="X1536">
        <v>0</v>
      </c>
      <c r="Y1536">
        <f t="shared" si="94"/>
        <v>33334.166666666664</v>
      </c>
      <c r="Z1536">
        <f t="shared" si="95"/>
        <v>0</v>
      </c>
      <c r="AA1536">
        <v>0</v>
      </c>
    </row>
    <row r="1537" spans="1:27" x14ac:dyDescent="0.25">
      <c r="A1537" s="1">
        <v>1536</v>
      </c>
      <c r="B1537" t="s">
        <v>2012</v>
      </c>
      <c r="C1537" t="s">
        <v>1136</v>
      </c>
      <c r="D1537" t="s">
        <v>1146</v>
      </c>
      <c r="E1537" t="s">
        <v>1144</v>
      </c>
      <c r="H1537" t="s">
        <v>1153</v>
      </c>
      <c r="I1537" t="s">
        <v>1153</v>
      </c>
      <c r="J1537" t="s">
        <v>1338</v>
      </c>
      <c r="K1537" t="s">
        <v>1212</v>
      </c>
      <c r="M1537" s="3">
        <f t="shared" si="92"/>
        <v>64.714285714285708</v>
      </c>
      <c r="N1537">
        <v>21</v>
      </c>
      <c r="O1537">
        <v>85</v>
      </c>
      <c r="P1537">
        <v>73</v>
      </c>
      <c r="Q1537">
        <v>77</v>
      </c>
      <c r="R1537">
        <v>79</v>
      </c>
      <c r="S1537">
        <v>81</v>
      </c>
      <c r="T1537">
        <v>37</v>
      </c>
      <c r="U1537">
        <v>0</v>
      </c>
      <c r="V1537" s="3">
        <f t="shared" si="93"/>
        <v>1288255</v>
      </c>
      <c r="W1537">
        <v>107354.58333333333</v>
      </c>
      <c r="X1537">
        <v>0</v>
      </c>
      <c r="Y1537">
        <f t="shared" si="94"/>
        <v>107354.58333333333</v>
      </c>
      <c r="Z1537">
        <f t="shared" si="95"/>
        <v>0</v>
      </c>
      <c r="AA1537">
        <v>0</v>
      </c>
    </row>
    <row r="1538" spans="1:27" x14ac:dyDescent="0.25">
      <c r="A1538" s="1">
        <v>1537</v>
      </c>
      <c r="B1538" t="s">
        <v>659</v>
      </c>
      <c r="C1538" t="s">
        <v>1136</v>
      </c>
      <c r="D1538" t="s">
        <v>1143</v>
      </c>
      <c r="G1538" t="s">
        <v>1152</v>
      </c>
      <c r="H1538" t="s">
        <v>1152</v>
      </c>
      <c r="I1538" t="s">
        <v>1152</v>
      </c>
      <c r="J1538" t="s">
        <v>1338</v>
      </c>
      <c r="K1538" t="s">
        <v>1212</v>
      </c>
      <c r="M1538" s="3">
        <f t="shared" ref="M1538:M1601" si="96">AVERAGE(N1538:T1538)</f>
        <v>57.428571428571431</v>
      </c>
      <c r="N1538">
        <v>20</v>
      </c>
      <c r="O1538">
        <v>55</v>
      </c>
      <c r="P1538">
        <v>70</v>
      </c>
      <c r="Q1538">
        <v>70</v>
      </c>
      <c r="R1538">
        <v>70</v>
      </c>
      <c r="S1538">
        <v>82</v>
      </c>
      <c r="T1538">
        <v>35</v>
      </c>
      <c r="U1538">
        <v>0</v>
      </c>
      <c r="V1538" s="3">
        <f t="shared" ref="V1538:V1601" si="97">ROUNDUP(M1538^10/1000000000000 * IF(U1538&gt;0,1.5,1),0)</f>
        <v>390194</v>
      </c>
      <c r="W1538">
        <v>32516.166666666668</v>
      </c>
      <c r="X1538">
        <v>0</v>
      </c>
      <c r="Y1538">
        <f t="shared" ref="Y1538:Y1601" si="98">V1538/12</f>
        <v>32516.166666666668</v>
      </c>
      <c r="Z1538">
        <f t="shared" ref="Z1538:Z1601" si="99">ROUND(((W1538-Y1538)/Y1538)*100,2)</f>
        <v>0</v>
      </c>
      <c r="AA1538">
        <v>0</v>
      </c>
    </row>
    <row r="1539" spans="1:27" x14ac:dyDescent="0.25">
      <c r="A1539" s="1">
        <v>1538</v>
      </c>
      <c r="B1539" t="s">
        <v>805</v>
      </c>
      <c r="C1539" t="s">
        <v>1136</v>
      </c>
      <c r="D1539" t="s">
        <v>1147</v>
      </c>
      <c r="E1539" t="s">
        <v>1144</v>
      </c>
      <c r="G1539" t="s">
        <v>1177</v>
      </c>
      <c r="H1539" t="s">
        <v>1153</v>
      </c>
      <c r="I1539" t="s">
        <v>1153</v>
      </c>
      <c r="J1539" t="s">
        <v>1338</v>
      </c>
      <c r="K1539" t="s">
        <v>1212</v>
      </c>
      <c r="M1539" s="3">
        <f t="shared" si="96"/>
        <v>76</v>
      </c>
      <c r="N1539">
        <v>50</v>
      </c>
      <c r="O1539">
        <v>86</v>
      </c>
      <c r="P1539">
        <v>81</v>
      </c>
      <c r="Q1539">
        <v>81</v>
      </c>
      <c r="R1539">
        <v>75</v>
      </c>
      <c r="S1539">
        <v>82</v>
      </c>
      <c r="T1539">
        <v>77</v>
      </c>
      <c r="U1539">
        <v>0</v>
      </c>
      <c r="V1539" s="3">
        <f t="shared" si="97"/>
        <v>6428889</v>
      </c>
      <c r="W1539">
        <v>535740.75</v>
      </c>
      <c r="X1539">
        <v>0</v>
      </c>
      <c r="Y1539">
        <f t="shared" si="98"/>
        <v>535740.75</v>
      </c>
      <c r="Z1539">
        <f t="shared" si="99"/>
        <v>0</v>
      </c>
      <c r="AA1539">
        <v>0</v>
      </c>
    </row>
    <row r="1540" spans="1:27" x14ac:dyDescent="0.25">
      <c r="A1540" s="1">
        <v>1539</v>
      </c>
      <c r="B1540" t="s">
        <v>2004</v>
      </c>
      <c r="C1540" t="s">
        <v>1137</v>
      </c>
      <c r="D1540" t="s">
        <v>1137</v>
      </c>
      <c r="H1540" t="s">
        <v>1153</v>
      </c>
      <c r="I1540" t="s">
        <v>1153</v>
      </c>
      <c r="J1540" t="s">
        <v>1338</v>
      </c>
      <c r="K1540" t="s">
        <v>1212</v>
      </c>
      <c r="M1540" s="3">
        <f t="shared" si="96"/>
        <v>58.142857142857146</v>
      </c>
      <c r="N1540">
        <v>17</v>
      </c>
      <c r="O1540">
        <v>75</v>
      </c>
      <c r="P1540">
        <v>61</v>
      </c>
      <c r="Q1540">
        <v>71</v>
      </c>
      <c r="R1540">
        <v>73</v>
      </c>
      <c r="S1540">
        <v>75</v>
      </c>
      <c r="T1540">
        <v>35</v>
      </c>
      <c r="U1540">
        <v>0</v>
      </c>
      <c r="V1540" s="3">
        <f t="shared" si="97"/>
        <v>441534</v>
      </c>
      <c r="W1540">
        <v>36794.5</v>
      </c>
      <c r="X1540">
        <v>0</v>
      </c>
      <c r="Y1540">
        <f t="shared" si="98"/>
        <v>36794.5</v>
      </c>
      <c r="Z1540">
        <f t="shared" si="99"/>
        <v>0</v>
      </c>
      <c r="AA1540">
        <v>0</v>
      </c>
    </row>
    <row r="1541" spans="1:27" x14ac:dyDescent="0.25">
      <c r="A1541" s="1">
        <v>1540</v>
      </c>
      <c r="B1541" t="s">
        <v>662</v>
      </c>
      <c r="C1541" t="s">
        <v>1136</v>
      </c>
      <c r="D1541" t="s">
        <v>1143</v>
      </c>
      <c r="E1541" t="s">
        <v>1144</v>
      </c>
      <c r="G1541" t="s">
        <v>1153</v>
      </c>
      <c r="H1541" t="s">
        <v>1153</v>
      </c>
      <c r="I1541" t="s">
        <v>1153</v>
      </c>
      <c r="J1541" t="s">
        <v>1291</v>
      </c>
      <c r="K1541" t="s">
        <v>1221</v>
      </c>
      <c r="M1541" s="3">
        <f t="shared" si="96"/>
        <v>96</v>
      </c>
      <c r="N1541">
        <v>98</v>
      </c>
      <c r="O1541">
        <v>95</v>
      </c>
      <c r="P1541">
        <v>98</v>
      </c>
      <c r="Q1541">
        <v>97</v>
      </c>
      <c r="R1541">
        <v>95</v>
      </c>
      <c r="S1541">
        <v>91</v>
      </c>
      <c r="T1541">
        <v>98</v>
      </c>
      <c r="U1541">
        <v>10</v>
      </c>
      <c r="V1541" s="3">
        <f t="shared" si="97"/>
        <v>99724896</v>
      </c>
      <c r="W1541">
        <v>8310408</v>
      </c>
      <c r="X1541">
        <v>0</v>
      </c>
      <c r="Y1541">
        <f t="shared" si="98"/>
        <v>8310408</v>
      </c>
      <c r="Z1541">
        <f t="shared" si="99"/>
        <v>0</v>
      </c>
      <c r="AA1541">
        <v>0</v>
      </c>
    </row>
    <row r="1542" spans="1:27" x14ac:dyDescent="0.25">
      <c r="A1542" s="1">
        <v>1541</v>
      </c>
      <c r="B1542" t="s">
        <v>2502</v>
      </c>
      <c r="C1542" t="s">
        <v>1133</v>
      </c>
      <c r="D1542" t="s">
        <v>1133</v>
      </c>
      <c r="H1542" t="s">
        <v>1153</v>
      </c>
      <c r="I1542" t="s">
        <v>1153</v>
      </c>
      <c r="J1542" t="s">
        <v>1316</v>
      </c>
      <c r="K1542" t="s">
        <v>1212</v>
      </c>
      <c r="M1542" s="3">
        <f t="shared" si="96"/>
        <v>47.428571428571431</v>
      </c>
      <c r="N1542">
        <v>27</v>
      </c>
      <c r="O1542">
        <v>56</v>
      </c>
      <c r="P1542">
        <v>48</v>
      </c>
      <c r="Q1542">
        <v>54</v>
      </c>
      <c r="R1542">
        <v>56</v>
      </c>
      <c r="S1542">
        <v>58</v>
      </c>
      <c r="T1542">
        <v>33</v>
      </c>
      <c r="U1542">
        <v>0</v>
      </c>
      <c r="V1542" s="3">
        <f t="shared" si="97"/>
        <v>57598</v>
      </c>
      <c r="W1542">
        <v>4799.833333333333</v>
      </c>
      <c r="X1542">
        <v>0</v>
      </c>
      <c r="Y1542">
        <f t="shared" si="98"/>
        <v>4799.833333333333</v>
      </c>
      <c r="Z1542">
        <f t="shared" si="99"/>
        <v>0</v>
      </c>
      <c r="AA1542">
        <v>0</v>
      </c>
    </row>
    <row r="1543" spans="1:27" x14ac:dyDescent="0.25">
      <c r="A1543" s="1">
        <v>1542</v>
      </c>
      <c r="B1543" t="s">
        <v>2503</v>
      </c>
      <c r="C1543" t="s">
        <v>1133</v>
      </c>
      <c r="D1543" t="s">
        <v>1133</v>
      </c>
      <c r="H1543" t="s">
        <v>1153</v>
      </c>
      <c r="I1543" t="s">
        <v>1153</v>
      </c>
      <c r="J1543" t="s">
        <v>1316</v>
      </c>
      <c r="K1543" t="s">
        <v>1212</v>
      </c>
      <c r="M1543" s="3">
        <f t="shared" si="96"/>
        <v>42.571428571428569</v>
      </c>
      <c r="N1543">
        <v>25</v>
      </c>
      <c r="O1543">
        <v>50</v>
      </c>
      <c r="P1543">
        <v>44</v>
      </c>
      <c r="Q1543">
        <v>48</v>
      </c>
      <c r="R1543">
        <v>50</v>
      </c>
      <c r="S1543">
        <v>52</v>
      </c>
      <c r="T1543">
        <v>29</v>
      </c>
      <c r="U1543">
        <v>0</v>
      </c>
      <c r="V1543" s="3">
        <f t="shared" si="97"/>
        <v>19552</v>
      </c>
      <c r="W1543">
        <v>1629.3333333333333</v>
      </c>
      <c r="X1543">
        <v>0</v>
      </c>
      <c r="Y1543">
        <f t="shared" si="98"/>
        <v>1629.3333333333333</v>
      </c>
      <c r="Z1543">
        <f t="shared" si="99"/>
        <v>0</v>
      </c>
      <c r="AA1543">
        <v>0</v>
      </c>
    </row>
    <row r="1544" spans="1:27" x14ac:dyDescent="0.25">
      <c r="A1544" s="1">
        <v>1543</v>
      </c>
      <c r="B1544" t="s">
        <v>2507</v>
      </c>
      <c r="C1544" t="s">
        <v>1134</v>
      </c>
      <c r="D1544" t="s">
        <v>1140</v>
      </c>
      <c r="E1544" t="s">
        <v>1138</v>
      </c>
      <c r="H1544" t="s">
        <v>1153</v>
      </c>
      <c r="I1544" t="s">
        <v>1153</v>
      </c>
      <c r="J1544" t="s">
        <v>1316</v>
      </c>
      <c r="K1544" t="s">
        <v>1212</v>
      </c>
      <c r="M1544" s="3">
        <f t="shared" si="96"/>
        <v>46</v>
      </c>
      <c r="N1544">
        <v>26</v>
      </c>
      <c r="O1544">
        <v>54</v>
      </c>
      <c r="P1544">
        <v>48</v>
      </c>
      <c r="Q1544">
        <v>52</v>
      </c>
      <c r="R1544">
        <v>54</v>
      </c>
      <c r="S1544">
        <v>56</v>
      </c>
      <c r="T1544">
        <v>32</v>
      </c>
      <c r="U1544">
        <v>0</v>
      </c>
      <c r="V1544" s="3">
        <f t="shared" si="97"/>
        <v>42421</v>
      </c>
      <c r="W1544">
        <v>3535.0833333333335</v>
      </c>
      <c r="X1544">
        <v>0</v>
      </c>
      <c r="Y1544">
        <f t="shared" si="98"/>
        <v>3535.0833333333335</v>
      </c>
      <c r="Z1544">
        <f t="shared" si="99"/>
        <v>0</v>
      </c>
      <c r="AA1544">
        <v>0</v>
      </c>
    </row>
    <row r="1545" spans="1:27" x14ac:dyDescent="0.25">
      <c r="A1545" s="1">
        <v>1544</v>
      </c>
      <c r="B1545" t="s">
        <v>2508</v>
      </c>
      <c r="C1545" t="s">
        <v>1134</v>
      </c>
      <c r="D1545" t="s">
        <v>1140</v>
      </c>
      <c r="E1545" t="s">
        <v>1138</v>
      </c>
      <c r="H1545" t="s">
        <v>1153</v>
      </c>
      <c r="I1545" t="s">
        <v>1153</v>
      </c>
      <c r="J1545" t="s">
        <v>1316</v>
      </c>
      <c r="K1545" t="s">
        <v>1212</v>
      </c>
      <c r="M1545" s="3">
        <f t="shared" si="96"/>
        <v>48.285714285714285</v>
      </c>
      <c r="N1545">
        <v>28</v>
      </c>
      <c r="O1545">
        <v>58</v>
      </c>
      <c r="P1545">
        <v>50</v>
      </c>
      <c r="Q1545">
        <v>54</v>
      </c>
      <c r="R1545">
        <v>56</v>
      </c>
      <c r="S1545">
        <v>58</v>
      </c>
      <c r="T1545">
        <v>34</v>
      </c>
      <c r="U1545">
        <v>0</v>
      </c>
      <c r="V1545" s="3">
        <f t="shared" si="97"/>
        <v>68895</v>
      </c>
      <c r="W1545">
        <v>5741.25</v>
      </c>
      <c r="X1545">
        <v>0</v>
      </c>
      <c r="Y1545">
        <f t="shared" si="98"/>
        <v>5741.25</v>
      </c>
      <c r="Z1545">
        <f t="shared" si="99"/>
        <v>0</v>
      </c>
      <c r="AA1545">
        <v>0</v>
      </c>
    </row>
    <row r="1546" spans="1:27" x14ac:dyDescent="0.25">
      <c r="A1546" s="1">
        <v>1545</v>
      </c>
      <c r="B1546" t="s">
        <v>2506</v>
      </c>
      <c r="C1546" t="s">
        <v>1134</v>
      </c>
      <c r="D1546" t="s">
        <v>1138</v>
      </c>
      <c r="E1546" t="s">
        <v>1139</v>
      </c>
      <c r="H1546" t="s">
        <v>1153</v>
      </c>
      <c r="I1546" t="s">
        <v>1153</v>
      </c>
      <c r="J1546" t="s">
        <v>1316</v>
      </c>
      <c r="K1546" t="s">
        <v>1212</v>
      </c>
      <c r="M1546" s="3">
        <f t="shared" si="96"/>
        <v>50</v>
      </c>
      <c r="N1546">
        <v>29</v>
      </c>
      <c r="O1546">
        <v>60</v>
      </c>
      <c r="P1546">
        <v>52</v>
      </c>
      <c r="Q1546">
        <v>56</v>
      </c>
      <c r="R1546">
        <v>58</v>
      </c>
      <c r="S1546">
        <v>60</v>
      </c>
      <c r="T1546">
        <v>35</v>
      </c>
      <c r="U1546">
        <v>0</v>
      </c>
      <c r="V1546" s="3">
        <f t="shared" si="97"/>
        <v>97657</v>
      </c>
      <c r="W1546">
        <v>8138.083333333333</v>
      </c>
      <c r="X1546">
        <v>0</v>
      </c>
      <c r="Y1546">
        <f t="shared" si="98"/>
        <v>8138.083333333333</v>
      </c>
      <c r="Z1546">
        <f t="shared" si="99"/>
        <v>0</v>
      </c>
      <c r="AA1546">
        <v>0</v>
      </c>
    </row>
    <row r="1547" spans="1:27" x14ac:dyDescent="0.25">
      <c r="A1547" s="1">
        <v>1546</v>
      </c>
      <c r="B1547" t="s">
        <v>2649</v>
      </c>
      <c r="C1547" t="s">
        <v>1134</v>
      </c>
      <c r="D1547" t="s">
        <v>1140</v>
      </c>
      <c r="E1547" t="s">
        <v>1139</v>
      </c>
      <c r="H1547" t="s">
        <v>1153</v>
      </c>
      <c r="I1547" t="s">
        <v>1153</v>
      </c>
      <c r="J1547" t="s">
        <v>1316</v>
      </c>
      <c r="K1547" t="s">
        <v>1212</v>
      </c>
      <c r="M1547" s="3">
        <f t="shared" si="96"/>
        <v>42.428571428571431</v>
      </c>
      <c r="N1547">
        <v>24</v>
      </c>
      <c r="O1547">
        <v>50</v>
      </c>
      <c r="P1547">
        <v>44</v>
      </c>
      <c r="Q1547">
        <v>48</v>
      </c>
      <c r="R1547">
        <v>50</v>
      </c>
      <c r="S1547">
        <v>52</v>
      </c>
      <c r="T1547">
        <v>29</v>
      </c>
      <c r="U1547">
        <v>0</v>
      </c>
      <c r="V1547" s="3">
        <f t="shared" si="97"/>
        <v>18906</v>
      </c>
      <c r="W1547">
        <v>1575.5</v>
      </c>
      <c r="X1547">
        <v>0</v>
      </c>
      <c r="Y1547">
        <f t="shared" si="98"/>
        <v>1575.5</v>
      </c>
      <c r="Z1547">
        <f t="shared" si="99"/>
        <v>0</v>
      </c>
      <c r="AA1547">
        <v>0</v>
      </c>
    </row>
    <row r="1548" spans="1:27" x14ac:dyDescent="0.25">
      <c r="A1548" s="1">
        <v>1547</v>
      </c>
      <c r="B1548" t="s">
        <v>2505</v>
      </c>
      <c r="C1548" t="s">
        <v>1134</v>
      </c>
      <c r="D1548" t="s">
        <v>1138</v>
      </c>
      <c r="E1548" t="s">
        <v>1144</v>
      </c>
      <c r="H1548" t="s">
        <v>1153</v>
      </c>
      <c r="I1548" t="s">
        <v>1153</v>
      </c>
      <c r="J1548" t="s">
        <v>1316</v>
      </c>
      <c r="K1548" t="s">
        <v>1212</v>
      </c>
      <c r="M1548" s="3">
        <f t="shared" si="96"/>
        <v>39.142857142857146</v>
      </c>
      <c r="N1548">
        <v>23</v>
      </c>
      <c r="O1548">
        <v>46</v>
      </c>
      <c r="P1548">
        <v>40</v>
      </c>
      <c r="Q1548">
        <v>44</v>
      </c>
      <c r="R1548">
        <v>46</v>
      </c>
      <c r="S1548">
        <v>48</v>
      </c>
      <c r="T1548">
        <v>27</v>
      </c>
      <c r="U1548">
        <v>0</v>
      </c>
      <c r="V1548" s="3">
        <f t="shared" si="97"/>
        <v>8444</v>
      </c>
      <c r="W1548">
        <v>703.66666666666663</v>
      </c>
      <c r="X1548">
        <v>0</v>
      </c>
      <c r="Y1548">
        <f t="shared" si="98"/>
        <v>703.66666666666663</v>
      </c>
      <c r="Z1548">
        <f t="shared" si="99"/>
        <v>0</v>
      </c>
      <c r="AA1548">
        <v>0</v>
      </c>
    </row>
    <row r="1549" spans="1:27" x14ac:dyDescent="0.25">
      <c r="A1549" s="1">
        <v>1548</v>
      </c>
      <c r="B1549" t="s">
        <v>1317</v>
      </c>
      <c r="C1549" t="s">
        <v>1135</v>
      </c>
      <c r="D1549" t="s">
        <v>1142</v>
      </c>
      <c r="E1549" t="s">
        <v>1145</v>
      </c>
      <c r="H1549" t="s">
        <v>1153</v>
      </c>
      <c r="I1549" t="s">
        <v>1153</v>
      </c>
      <c r="J1549" t="s">
        <v>1316</v>
      </c>
      <c r="K1549" t="s">
        <v>1212</v>
      </c>
      <c r="M1549" s="3">
        <f t="shared" si="96"/>
        <v>38.428571428571431</v>
      </c>
      <c r="N1549">
        <v>36</v>
      </c>
      <c r="O1549">
        <v>67</v>
      </c>
      <c r="P1549">
        <v>45</v>
      </c>
      <c r="Q1549">
        <v>42</v>
      </c>
      <c r="R1549">
        <v>31</v>
      </c>
      <c r="S1549">
        <v>32</v>
      </c>
      <c r="T1549">
        <v>16</v>
      </c>
      <c r="U1549">
        <v>0</v>
      </c>
      <c r="V1549" s="3">
        <f t="shared" si="97"/>
        <v>7024</v>
      </c>
      <c r="W1549">
        <v>585.33333333333337</v>
      </c>
      <c r="X1549">
        <v>0</v>
      </c>
      <c r="Y1549">
        <f t="shared" si="98"/>
        <v>585.33333333333337</v>
      </c>
      <c r="Z1549">
        <f t="shared" si="99"/>
        <v>0</v>
      </c>
      <c r="AA1549">
        <v>0</v>
      </c>
    </row>
    <row r="1550" spans="1:27" x14ac:dyDescent="0.25">
      <c r="A1550" s="1">
        <v>1549</v>
      </c>
      <c r="B1550" t="s">
        <v>2629</v>
      </c>
      <c r="C1550" t="s">
        <v>1135</v>
      </c>
      <c r="D1550" t="s">
        <v>1141</v>
      </c>
      <c r="E1550" t="s">
        <v>1142</v>
      </c>
      <c r="H1550" t="s">
        <v>1153</v>
      </c>
      <c r="I1550" t="s">
        <v>1153</v>
      </c>
      <c r="J1550" t="s">
        <v>1316</v>
      </c>
      <c r="K1550" t="s">
        <v>1212</v>
      </c>
      <c r="M1550" s="3">
        <f t="shared" si="96"/>
        <v>67.142857142857139</v>
      </c>
      <c r="N1550">
        <v>37</v>
      </c>
      <c r="O1550">
        <v>80</v>
      </c>
      <c r="P1550">
        <v>72</v>
      </c>
      <c r="Q1550">
        <v>74</v>
      </c>
      <c r="R1550">
        <v>76</v>
      </c>
      <c r="S1550">
        <v>78</v>
      </c>
      <c r="T1550">
        <v>53</v>
      </c>
      <c r="U1550">
        <v>0</v>
      </c>
      <c r="V1550" s="3">
        <f t="shared" si="97"/>
        <v>1862080</v>
      </c>
      <c r="W1550">
        <v>155173.33333333334</v>
      </c>
      <c r="X1550">
        <v>0</v>
      </c>
      <c r="Y1550">
        <f t="shared" si="98"/>
        <v>155173.33333333334</v>
      </c>
      <c r="Z1550">
        <f t="shared" si="99"/>
        <v>0</v>
      </c>
      <c r="AA1550">
        <v>0</v>
      </c>
    </row>
    <row r="1551" spans="1:27" x14ac:dyDescent="0.25">
      <c r="A1551" s="1">
        <v>1550</v>
      </c>
      <c r="B1551" t="s">
        <v>2516</v>
      </c>
      <c r="C1551" t="s">
        <v>1135</v>
      </c>
      <c r="D1551" t="s">
        <v>1142</v>
      </c>
      <c r="E1551" t="s">
        <v>1141</v>
      </c>
      <c r="H1551" t="s">
        <v>1153</v>
      </c>
      <c r="I1551" t="s">
        <v>1153</v>
      </c>
      <c r="J1551" t="s">
        <v>1316</v>
      </c>
      <c r="K1551" t="s">
        <v>1212</v>
      </c>
      <c r="M1551" s="3">
        <f t="shared" si="96"/>
        <v>47.428571428571431</v>
      </c>
      <c r="N1551">
        <v>27</v>
      </c>
      <c r="O1551">
        <v>56</v>
      </c>
      <c r="P1551">
        <v>48</v>
      </c>
      <c r="Q1551">
        <v>54</v>
      </c>
      <c r="R1551">
        <v>56</v>
      </c>
      <c r="S1551">
        <v>58</v>
      </c>
      <c r="T1551">
        <v>33</v>
      </c>
      <c r="U1551">
        <v>0</v>
      </c>
      <c r="V1551" s="3">
        <f t="shared" si="97"/>
        <v>57598</v>
      </c>
      <c r="W1551">
        <v>4799.833333333333</v>
      </c>
      <c r="X1551">
        <v>0</v>
      </c>
      <c r="Y1551">
        <f t="shared" si="98"/>
        <v>4799.833333333333</v>
      </c>
      <c r="Z1551">
        <f t="shared" si="99"/>
        <v>0</v>
      </c>
      <c r="AA1551">
        <v>0</v>
      </c>
    </row>
    <row r="1552" spans="1:27" x14ac:dyDescent="0.25">
      <c r="A1552" s="1">
        <v>1551</v>
      </c>
      <c r="B1552" t="s">
        <v>2511</v>
      </c>
      <c r="C1552" t="s">
        <v>1136</v>
      </c>
      <c r="D1552" t="s">
        <v>1143</v>
      </c>
      <c r="E1552" t="s">
        <v>1144</v>
      </c>
      <c r="H1552" t="s">
        <v>1153</v>
      </c>
      <c r="I1552" t="s">
        <v>1153</v>
      </c>
      <c r="J1552" t="s">
        <v>1316</v>
      </c>
      <c r="K1552" t="s">
        <v>1212</v>
      </c>
      <c r="M1552" s="3">
        <f t="shared" si="96"/>
        <v>37.714285714285715</v>
      </c>
      <c r="N1552">
        <v>22</v>
      </c>
      <c r="O1552">
        <v>46</v>
      </c>
      <c r="P1552">
        <v>38</v>
      </c>
      <c r="Q1552">
        <v>42</v>
      </c>
      <c r="R1552">
        <v>44</v>
      </c>
      <c r="S1552">
        <v>46</v>
      </c>
      <c r="T1552">
        <v>26</v>
      </c>
      <c r="U1552">
        <v>0</v>
      </c>
      <c r="V1552" s="3">
        <f t="shared" si="97"/>
        <v>5822</v>
      </c>
      <c r="W1552">
        <v>485.16666666666669</v>
      </c>
      <c r="X1552">
        <v>0</v>
      </c>
      <c r="Y1552">
        <f t="shared" si="98"/>
        <v>485.16666666666669</v>
      </c>
      <c r="Z1552">
        <f t="shared" si="99"/>
        <v>0</v>
      </c>
      <c r="AA1552">
        <v>0</v>
      </c>
    </row>
    <row r="1553" spans="1:27" x14ac:dyDescent="0.25">
      <c r="A1553" s="1">
        <v>1552</v>
      </c>
      <c r="B1553" t="s">
        <v>2517</v>
      </c>
      <c r="C1553" t="s">
        <v>1136</v>
      </c>
      <c r="D1553" t="s">
        <v>1147</v>
      </c>
      <c r="E1553" t="s">
        <v>1145</v>
      </c>
      <c r="H1553" t="s">
        <v>1153</v>
      </c>
      <c r="I1553" t="s">
        <v>1153</v>
      </c>
      <c r="J1553" t="s">
        <v>1316</v>
      </c>
      <c r="K1553" t="s">
        <v>1212</v>
      </c>
      <c r="M1553" s="3">
        <f t="shared" si="96"/>
        <v>63.857142857142854</v>
      </c>
      <c r="N1553">
        <v>34</v>
      </c>
      <c r="O1553">
        <v>74</v>
      </c>
      <c r="P1553">
        <v>68</v>
      </c>
      <c r="Q1553">
        <v>72</v>
      </c>
      <c r="R1553">
        <v>74</v>
      </c>
      <c r="S1553">
        <v>76</v>
      </c>
      <c r="T1553">
        <v>49</v>
      </c>
      <c r="U1553">
        <v>0</v>
      </c>
      <c r="V1553" s="3">
        <f t="shared" si="97"/>
        <v>1127444</v>
      </c>
      <c r="W1553">
        <v>93953.666666666672</v>
      </c>
      <c r="X1553">
        <v>0</v>
      </c>
      <c r="Y1553">
        <f t="shared" si="98"/>
        <v>93953.666666666672</v>
      </c>
      <c r="Z1553">
        <f t="shared" si="99"/>
        <v>0</v>
      </c>
      <c r="AA1553">
        <v>0</v>
      </c>
    </row>
    <row r="1554" spans="1:27" x14ac:dyDescent="0.25">
      <c r="A1554" s="1">
        <v>1553</v>
      </c>
      <c r="B1554" t="s">
        <v>2512</v>
      </c>
      <c r="C1554" t="s">
        <v>1136</v>
      </c>
      <c r="D1554" t="s">
        <v>1143</v>
      </c>
      <c r="E1554" t="s">
        <v>1146</v>
      </c>
      <c r="H1554" t="s">
        <v>1153</v>
      </c>
      <c r="I1554" t="s">
        <v>1153</v>
      </c>
      <c r="J1554" t="s">
        <v>1316</v>
      </c>
      <c r="K1554" t="s">
        <v>1212</v>
      </c>
      <c r="M1554" s="3">
        <f t="shared" si="96"/>
        <v>48.285714285714285</v>
      </c>
      <c r="N1554">
        <v>28</v>
      </c>
      <c r="O1554">
        <v>58</v>
      </c>
      <c r="P1554">
        <v>50</v>
      </c>
      <c r="Q1554">
        <v>54</v>
      </c>
      <c r="R1554">
        <v>56</v>
      </c>
      <c r="S1554">
        <v>58</v>
      </c>
      <c r="T1554">
        <v>34</v>
      </c>
      <c r="U1554">
        <v>0</v>
      </c>
      <c r="V1554" s="3">
        <f t="shared" si="97"/>
        <v>68895</v>
      </c>
      <c r="W1554">
        <v>5741.25</v>
      </c>
      <c r="X1554">
        <v>0</v>
      </c>
      <c r="Y1554">
        <f t="shared" si="98"/>
        <v>5741.25</v>
      </c>
      <c r="Z1554">
        <f t="shared" si="99"/>
        <v>0</v>
      </c>
      <c r="AA1554">
        <v>0</v>
      </c>
    </row>
    <row r="1555" spans="1:27" x14ac:dyDescent="0.25">
      <c r="A1555" s="1">
        <v>1554</v>
      </c>
      <c r="B1555" t="s">
        <v>2509</v>
      </c>
      <c r="C1555" t="s">
        <v>1136</v>
      </c>
      <c r="D1555" t="s">
        <v>1144</v>
      </c>
      <c r="E1555" t="s">
        <v>1143</v>
      </c>
      <c r="H1555" t="s">
        <v>1153</v>
      </c>
      <c r="I1555" t="s">
        <v>1153</v>
      </c>
      <c r="J1555" t="s">
        <v>1316</v>
      </c>
      <c r="K1555" t="s">
        <v>1212</v>
      </c>
      <c r="M1555" s="3">
        <f t="shared" si="96"/>
        <v>45.571428571428569</v>
      </c>
      <c r="N1555">
        <v>26</v>
      </c>
      <c r="O1555">
        <v>54</v>
      </c>
      <c r="P1555">
        <v>46</v>
      </c>
      <c r="Q1555">
        <v>52</v>
      </c>
      <c r="R1555">
        <v>54</v>
      </c>
      <c r="S1555">
        <v>56</v>
      </c>
      <c r="T1555">
        <v>31</v>
      </c>
      <c r="U1555">
        <v>0</v>
      </c>
      <c r="V1555" s="3">
        <f t="shared" si="97"/>
        <v>38631</v>
      </c>
      <c r="W1555">
        <v>3219.25</v>
      </c>
      <c r="X1555">
        <v>0</v>
      </c>
      <c r="Y1555">
        <f t="shared" si="98"/>
        <v>3219.25</v>
      </c>
      <c r="Z1555">
        <f t="shared" si="99"/>
        <v>0</v>
      </c>
      <c r="AA1555">
        <v>0</v>
      </c>
    </row>
    <row r="1556" spans="1:27" x14ac:dyDescent="0.25">
      <c r="A1556" s="1">
        <v>1555</v>
      </c>
      <c r="B1556" t="s">
        <v>2515</v>
      </c>
      <c r="C1556" t="s">
        <v>1136</v>
      </c>
      <c r="D1556" t="s">
        <v>1147</v>
      </c>
      <c r="E1556" t="s">
        <v>1145</v>
      </c>
      <c r="H1556" t="s">
        <v>1153</v>
      </c>
      <c r="I1556" t="s">
        <v>1153</v>
      </c>
      <c r="J1556" t="s">
        <v>1316</v>
      </c>
      <c r="K1556" t="s">
        <v>1212</v>
      </c>
      <c r="M1556" s="3">
        <f t="shared" si="96"/>
        <v>53.714285714285715</v>
      </c>
      <c r="N1556">
        <v>32</v>
      </c>
      <c r="O1556">
        <v>64</v>
      </c>
      <c r="P1556">
        <v>56</v>
      </c>
      <c r="Q1556">
        <v>60</v>
      </c>
      <c r="R1556">
        <v>62</v>
      </c>
      <c r="S1556">
        <v>64</v>
      </c>
      <c r="T1556">
        <v>38</v>
      </c>
      <c r="U1556">
        <v>0</v>
      </c>
      <c r="V1556" s="3">
        <f t="shared" si="97"/>
        <v>199940</v>
      </c>
      <c r="W1556">
        <v>16661.666666666668</v>
      </c>
      <c r="X1556">
        <v>0</v>
      </c>
      <c r="Y1556">
        <f t="shared" si="98"/>
        <v>16661.666666666668</v>
      </c>
      <c r="Z1556">
        <f t="shared" si="99"/>
        <v>0</v>
      </c>
      <c r="AA1556">
        <v>0</v>
      </c>
    </row>
    <row r="1557" spans="1:27" x14ac:dyDescent="0.25">
      <c r="A1557" s="1">
        <v>1556</v>
      </c>
      <c r="B1557" t="s">
        <v>2518</v>
      </c>
      <c r="C1557" t="s">
        <v>1136</v>
      </c>
      <c r="D1557" t="s">
        <v>1144</v>
      </c>
      <c r="E1557" t="s">
        <v>1143</v>
      </c>
      <c r="H1557" t="s">
        <v>1153</v>
      </c>
      <c r="I1557" t="s">
        <v>1153</v>
      </c>
      <c r="J1557" t="s">
        <v>1316</v>
      </c>
      <c r="K1557" t="s">
        <v>1212</v>
      </c>
      <c r="M1557" s="3">
        <f t="shared" si="96"/>
        <v>43</v>
      </c>
      <c r="N1557">
        <v>25</v>
      </c>
      <c r="O1557">
        <v>52</v>
      </c>
      <c r="P1557">
        <v>44</v>
      </c>
      <c r="Q1557">
        <v>48</v>
      </c>
      <c r="R1557">
        <v>50</v>
      </c>
      <c r="S1557">
        <v>52</v>
      </c>
      <c r="T1557">
        <v>30</v>
      </c>
      <c r="U1557">
        <v>0</v>
      </c>
      <c r="V1557" s="3">
        <f t="shared" si="97"/>
        <v>21612</v>
      </c>
      <c r="W1557">
        <v>1801</v>
      </c>
      <c r="X1557">
        <v>0</v>
      </c>
      <c r="Y1557">
        <f t="shared" si="98"/>
        <v>1801</v>
      </c>
      <c r="Z1557">
        <f t="shared" si="99"/>
        <v>0</v>
      </c>
      <c r="AA1557">
        <v>0</v>
      </c>
    </row>
    <row r="1558" spans="1:27" x14ac:dyDescent="0.25">
      <c r="A1558" s="1">
        <v>1557</v>
      </c>
      <c r="B1558" t="s">
        <v>2510</v>
      </c>
      <c r="C1558" t="s">
        <v>1136</v>
      </c>
      <c r="D1558" t="s">
        <v>1144</v>
      </c>
      <c r="E1558" t="s">
        <v>1138</v>
      </c>
      <c r="H1558" t="s">
        <v>1153</v>
      </c>
      <c r="I1558" t="s">
        <v>1153</v>
      </c>
      <c r="J1558" t="s">
        <v>1316</v>
      </c>
      <c r="K1558" t="s">
        <v>1212</v>
      </c>
      <c r="M1558" s="3">
        <f t="shared" si="96"/>
        <v>51.714285714285715</v>
      </c>
      <c r="N1558">
        <v>30</v>
      </c>
      <c r="O1558">
        <v>62</v>
      </c>
      <c r="P1558">
        <v>54</v>
      </c>
      <c r="Q1558">
        <v>58</v>
      </c>
      <c r="R1558">
        <v>60</v>
      </c>
      <c r="S1558">
        <v>62</v>
      </c>
      <c r="T1558">
        <v>36</v>
      </c>
      <c r="U1558">
        <v>0</v>
      </c>
      <c r="V1558" s="3">
        <f t="shared" si="97"/>
        <v>136807</v>
      </c>
      <c r="W1558">
        <v>11400.583333333334</v>
      </c>
      <c r="X1558">
        <v>0</v>
      </c>
      <c r="Y1558">
        <f t="shared" si="98"/>
        <v>11400.583333333334</v>
      </c>
      <c r="Z1558">
        <f t="shared" si="99"/>
        <v>0</v>
      </c>
      <c r="AA1558">
        <v>0</v>
      </c>
    </row>
    <row r="1559" spans="1:27" x14ac:dyDescent="0.25">
      <c r="A1559" s="1">
        <v>1558</v>
      </c>
      <c r="B1559" t="s">
        <v>2514</v>
      </c>
      <c r="C1559" t="s">
        <v>1136</v>
      </c>
      <c r="D1559" t="s">
        <v>1146</v>
      </c>
      <c r="E1559" t="s">
        <v>1144</v>
      </c>
      <c r="H1559" t="s">
        <v>1153</v>
      </c>
      <c r="I1559" t="s">
        <v>1153</v>
      </c>
      <c r="J1559" t="s">
        <v>1316</v>
      </c>
      <c r="K1559" t="s">
        <v>1212</v>
      </c>
      <c r="M1559" s="3">
        <f t="shared" si="96"/>
        <v>50</v>
      </c>
      <c r="N1559">
        <v>29</v>
      </c>
      <c r="O1559">
        <v>60</v>
      </c>
      <c r="P1559">
        <v>52</v>
      </c>
      <c r="Q1559">
        <v>56</v>
      </c>
      <c r="R1559">
        <v>58</v>
      </c>
      <c r="S1559">
        <v>60</v>
      </c>
      <c r="T1559">
        <v>35</v>
      </c>
      <c r="U1559">
        <v>0</v>
      </c>
      <c r="V1559" s="3">
        <f t="shared" si="97"/>
        <v>97657</v>
      </c>
      <c r="W1559">
        <v>8138.083333333333</v>
      </c>
      <c r="X1559">
        <v>0</v>
      </c>
      <c r="Y1559">
        <f t="shared" si="98"/>
        <v>8138.083333333333</v>
      </c>
      <c r="Z1559">
        <f t="shared" si="99"/>
        <v>0</v>
      </c>
      <c r="AA1559">
        <v>0</v>
      </c>
    </row>
    <row r="1560" spans="1:27" x14ac:dyDescent="0.25">
      <c r="A1560" s="1">
        <v>1559</v>
      </c>
      <c r="B1560" t="s">
        <v>2513</v>
      </c>
      <c r="C1560" t="s">
        <v>1136</v>
      </c>
      <c r="D1560" t="s">
        <v>1145</v>
      </c>
      <c r="E1560" t="s">
        <v>1143</v>
      </c>
      <c r="H1560" t="s">
        <v>1153</v>
      </c>
      <c r="I1560" t="s">
        <v>1153</v>
      </c>
      <c r="J1560" t="s">
        <v>1316</v>
      </c>
      <c r="K1560" t="s">
        <v>1212</v>
      </c>
      <c r="M1560" s="3">
        <f t="shared" si="96"/>
        <v>40.857142857142854</v>
      </c>
      <c r="N1560">
        <v>24</v>
      </c>
      <c r="O1560">
        <v>48</v>
      </c>
      <c r="P1560">
        <v>42</v>
      </c>
      <c r="Q1560">
        <v>46</v>
      </c>
      <c r="R1560">
        <v>48</v>
      </c>
      <c r="S1560">
        <v>50</v>
      </c>
      <c r="T1560">
        <v>28</v>
      </c>
      <c r="U1560">
        <v>0</v>
      </c>
      <c r="V1560" s="3">
        <f t="shared" si="97"/>
        <v>12963</v>
      </c>
      <c r="W1560">
        <v>1080.25</v>
      </c>
      <c r="X1560">
        <v>0</v>
      </c>
      <c r="Y1560">
        <f t="shared" si="98"/>
        <v>1080.25</v>
      </c>
      <c r="Z1560">
        <f t="shared" si="99"/>
        <v>0</v>
      </c>
      <c r="AA1560">
        <v>0</v>
      </c>
    </row>
    <row r="1561" spans="1:27" x14ac:dyDescent="0.25">
      <c r="A1561" s="1">
        <v>1560</v>
      </c>
      <c r="B1561" t="s">
        <v>2504</v>
      </c>
      <c r="C1561" t="s">
        <v>1137</v>
      </c>
      <c r="D1561" t="s">
        <v>1137</v>
      </c>
      <c r="H1561" t="s">
        <v>1153</v>
      </c>
      <c r="I1561" t="s">
        <v>1153</v>
      </c>
      <c r="J1561" t="s">
        <v>1316</v>
      </c>
      <c r="K1561" t="s">
        <v>1212</v>
      </c>
      <c r="M1561" s="3">
        <f t="shared" si="96"/>
        <v>44.714285714285715</v>
      </c>
      <c r="N1561">
        <v>26</v>
      </c>
      <c r="O1561">
        <v>54</v>
      </c>
      <c r="P1561">
        <v>46</v>
      </c>
      <c r="Q1561">
        <v>50</v>
      </c>
      <c r="R1561">
        <v>52</v>
      </c>
      <c r="S1561">
        <v>54</v>
      </c>
      <c r="T1561">
        <v>31</v>
      </c>
      <c r="U1561">
        <v>0</v>
      </c>
      <c r="V1561" s="3">
        <f t="shared" si="97"/>
        <v>31950</v>
      </c>
      <c r="W1561">
        <v>2662.5</v>
      </c>
      <c r="X1561">
        <v>0</v>
      </c>
      <c r="Y1561">
        <f t="shared" si="98"/>
        <v>2662.5</v>
      </c>
      <c r="Z1561">
        <f t="shared" si="99"/>
        <v>0</v>
      </c>
      <c r="AA1561">
        <v>0</v>
      </c>
    </row>
    <row r="1562" spans="1:27" x14ac:dyDescent="0.25">
      <c r="A1562" s="1">
        <v>1561</v>
      </c>
      <c r="B1562" t="s">
        <v>2017</v>
      </c>
      <c r="C1562" t="s">
        <v>1133</v>
      </c>
      <c r="D1562" t="s">
        <v>1133</v>
      </c>
      <c r="H1562" t="s">
        <v>1187</v>
      </c>
      <c r="I1562" t="s">
        <v>1187</v>
      </c>
      <c r="J1562" t="s">
        <v>1277</v>
      </c>
      <c r="K1562" t="s">
        <v>1212</v>
      </c>
      <c r="M1562" s="3">
        <f t="shared" si="96"/>
        <v>57.428571428571431</v>
      </c>
      <c r="N1562">
        <v>14</v>
      </c>
      <c r="O1562">
        <v>73</v>
      </c>
      <c r="P1562">
        <v>59</v>
      </c>
      <c r="Q1562">
        <v>69</v>
      </c>
      <c r="R1562">
        <v>81</v>
      </c>
      <c r="S1562">
        <v>73</v>
      </c>
      <c r="T1562">
        <v>33</v>
      </c>
      <c r="U1562">
        <v>0</v>
      </c>
      <c r="V1562" s="3">
        <f t="shared" si="97"/>
        <v>390194</v>
      </c>
      <c r="W1562">
        <v>32516.166666666668</v>
      </c>
      <c r="X1562">
        <v>0</v>
      </c>
      <c r="Y1562">
        <f t="shared" si="98"/>
        <v>32516.166666666668</v>
      </c>
      <c r="Z1562">
        <f t="shared" si="99"/>
        <v>0</v>
      </c>
      <c r="AA1562">
        <v>0</v>
      </c>
    </row>
    <row r="1563" spans="1:27" x14ac:dyDescent="0.25">
      <c r="A1563" s="1">
        <v>1562</v>
      </c>
      <c r="B1563" t="s">
        <v>173</v>
      </c>
      <c r="C1563" t="s">
        <v>1134</v>
      </c>
      <c r="D1563" t="s">
        <v>1138</v>
      </c>
      <c r="E1563" t="s">
        <v>1139</v>
      </c>
      <c r="G1563" t="s">
        <v>1158</v>
      </c>
      <c r="H1563" t="s">
        <v>1158</v>
      </c>
      <c r="I1563" t="s">
        <v>1158</v>
      </c>
      <c r="J1563" t="s">
        <v>1277</v>
      </c>
      <c r="K1563" t="s">
        <v>1212</v>
      </c>
      <c r="M1563" s="3">
        <f t="shared" si="96"/>
        <v>68.142857142857139</v>
      </c>
      <c r="N1563">
        <v>65</v>
      </c>
      <c r="O1563">
        <v>71</v>
      </c>
      <c r="P1563">
        <v>67</v>
      </c>
      <c r="Q1563">
        <v>60</v>
      </c>
      <c r="R1563">
        <v>67</v>
      </c>
      <c r="S1563">
        <v>77</v>
      </c>
      <c r="T1563">
        <v>70</v>
      </c>
      <c r="U1563">
        <v>0</v>
      </c>
      <c r="V1563" s="3">
        <f t="shared" si="97"/>
        <v>2158756</v>
      </c>
      <c r="W1563">
        <v>179896.33333333334</v>
      </c>
      <c r="X1563">
        <v>0</v>
      </c>
      <c r="Y1563">
        <f t="shared" si="98"/>
        <v>179896.33333333334</v>
      </c>
      <c r="Z1563">
        <f t="shared" si="99"/>
        <v>0</v>
      </c>
      <c r="AA1563">
        <v>0</v>
      </c>
    </row>
    <row r="1564" spans="1:27" x14ac:dyDescent="0.25">
      <c r="A1564" s="1">
        <v>1563</v>
      </c>
      <c r="B1564" t="s">
        <v>2019</v>
      </c>
      <c r="C1564" t="s">
        <v>1134</v>
      </c>
      <c r="D1564" t="s">
        <v>1140</v>
      </c>
      <c r="E1564" t="s">
        <v>1138</v>
      </c>
      <c r="H1564" t="s">
        <v>1187</v>
      </c>
      <c r="I1564" t="s">
        <v>1187</v>
      </c>
      <c r="J1564" t="s">
        <v>1277</v>
      </c>
      <c r="K1564" t="s">
        <v>1212</v>
      </c>
      <c r="M1564" s="3">
        <f t="shared" si="96"/>
        <v>55.714285714285715</v>
      </c>
      <c r="N1564">
        <v>13</v>
      </c>
      <c r="O1564">
        <v>77</v>
      </c>
      <c r="P1564">
        <v>61</v>
      </c>
      <c r="Q1564">
        <v>65</v>
      </c>
      <c r="R1564">
        <v>77</v>
      </c>
      <c r="S1564">
        <v>69</v>
      </c>
      <c r="T1564">
        <v>28</v>
      </c>
      <c r="U1564">
        <v>0</v>
      </c>
      <c r="V1564" s="3">
        <f t="shared" si="97"/>
        <v>288182</v>
      </c>
      <c r="W1564">
        <v>24015.166666666668</v>
      </c>
      <c r="X1564">
        <v>0</v>
      </c>
      <c r="Y1564">
        <f t="shared" si="98"/>
        <v>24015.166666666668</v>
      </c>
      <c r="Z1564">
        <f t="shared" si="99"/>
        <v>0</v>
      </c>
      <c r="AA1564">
        <v>0</v>
      </c>
    </row>
    <row r="1565" spans="1:27" x14ac:dyDescent="0.25">
      <c r="A1565" s="1">
        <v>1564</v>
      </c>
      <c r="B1565" t="s">
        <v>2020</v>
      </c>
      <c r="C1565" t="s">
        <v>1134</v>
      </c>
      <c r="D1565" t="s">
        <v>1138</v>
      </c>
      <c r="E1565" t="s">
        <v>1139</v>
      </c>
      <c r="H1565" t="s">
        <v>1187</v>
      </c>
      <c r="I1565" t="s">
        <v>1187</v>
      </c>
      <c r="J1565" t="s">
        <v>1277</v>
      </c>
      <c r="K1565" t="s">
        <v>1212</v>
      </c>
      <c r="M1565" s="3">
        <f t="shared" si="96"/>
        <v>54.285714285714285</v>
      </c>
      <c r="N1565">
        <v>12</v>
      </c>
      <c r="O1565">
        <v>74</v>
      </c>
      <c r="P1565">
        <v>60</v>
      </c>
      <c r="Q1565">
        <v>68</v>
      </c>
      <c r="R1565">
        <v>74</v>
      </c>
      <c r="S1565">
        <v>66</v>
      </c>
      <c r="T1565">
        <v>26</v>
      </c>
      <c r="U1565">
        <v>0</v>
      </c>
      <c r="V1565" s="3">
        <f t="shared" si="97"/>
        <v>222258</v>
      </c>
      <c r="W1565">
        <v>18521.5</v>
      </c>
      <c r="X1565">
        <v>0</v>
      </c>
      <c r="Y1565">
        <f t="shared" si="98"/>
        <v>18521.5</v>
      </c>
      <c r="Z1565">
        <f t="shared" si="99"/>
        <v>0</v>
      </c>
      <c r="AA1565">
        <v>0</v>
      </c>
    </row>
    <row r="1566" spans="1:27" x14ac:dyDescent="0.25">
      <c r="A1566" s="1">
        <v>1565</v>
      </c>
      <c r="B1566" t="s">
        <v>142</v>
      </c>
      <c r="C1566" t="s">
        <v>1134</v>
      </c>
      <c r="D1566" t="s">
        <v>1139</v>
      </c>
      <c r="G1566" t="s">
        <v>1152</v>
      </c>
      <c r="H1566" t="s">
        <v>1152</v>
      </c>
      <c r="I1566" t="s">
        <v>1152</v>
      </c>
      <c r="J1566" t="s">
        <v>1277</v>
      </c>
      <c r="K1566" t="s">
        <v>1212</v>
      </c>
      <c r="M1566" s="3">
        <f t="shared" si="96"/>
        <v>73.428571428571431</v>
      </c>
      <c r="N1566">
        <v>63</v>
      </c>
      <c r="O1566">
        <v>75</v>
      </c>
      <c r="P1566">
        <v>88</v>
      </c>
      <c r="Q1566">
        <v>72</v>
      </c>
      <c r="R1566">
        <v>65</v>
      </c>
      <c r="S1566">
        <v>68</v>
      </c>
      <c r="T1566">
        <v>83</v>
      </c>
      <c r="U1566">
        <v>0</v>
      </c>
      <c r="V1566" s="3">
        <f t="shared" si="97"/>
        <v>4556704</v>
      </c>
      <c r="W1566">
        <v>379725.33333333331</v>
      </c>
      <c r="X1566">
        <v>0</v>
      </c>
      <c r="Y1566">
        <f t="shared" si="98"/>
        <v>379725.33333333331</v>
      </c>
      <c r="Z1566">
        <f t="shared" si="99"/>
        <v>0</v>
      </c>
      <c r="AA1566">
        <v>0</v>
      </c>
    </row>
    <row r="1567" spans="1:27" x14ac:dyDescent="0.25">
      <c r="A1567" s="1">
        <v>1566</v>
      </c>
      <c r="B1567" t="s">
        <v>2018</v>
      </c>
      <c r="C1567" t="s">
        <v>1134</v>
      </c>
      <c r="D1567" t="s">
        <v>1140</v>
      </c>
      <c r="E1567" t="s">
        <v>1138</v>
      </c>
      <c r="H1567" t="s">
        <v>1187</v>
      </c>
      <c r="I1567" t="s">
        <v>1187</v>
      </c>
      <c r="J1567" t="s">
        <v>1277</v>
      </c>
      <c r="K1567" t="s">
        <v>1212</v>
      </c>
      <c r="M1567" s="3">
        <f t="shared" si="96"/>
        <v>51.428571428571431</v>
      </c>
      <c r="N1567">
        <v>11</v>
      </c>
      <c r="O1567">
        <v>71</v>
      </c>
      <c r="P1567">
        <v>56</v>
      </c>
      <c r="Q1567">
        <v>60</v>
      </c>
      <c r="R1567">
        <v>72</v>
      </c>
      <c r="S1567">
        <v>65</v>
      </c>
      <c r="T1567">
        <v>25</v>
      </c>
      <c r="U1567">
        <v>0</v>
      </c>
      <c r="V1567" s="3">
        <f t="shared" si="97"/>
        <v>129433</v>
      </c>
      <c r="W1567">
        <v>10786.083333333334</v>
      </c>
      <c r="X1567">
        <v>0</v>
      </c>
      <c r="Y1567">
        <f t="shared" si="98"/>
        <v>10786.083333333334</v>
      </c>
      <c r="Z1567">
        <f t="shared" si="99"/>
        <v>0</v>
      </c>
      <c r="AA1567">
        <v>0</v>
      </c>
    </row>
    <row r="1568" spans="1:27" x14ac:dyDescent="0.25">
      <c r="A1568" s="1">
        <v>1567</v>
      </c>
      <c r="B1568" t="s">
        <v>2026</v>
      </c>
      <c r="C1568" t="s">
        <v>1135</v>
      </c>
      <c r="D1568" t="s">
        <v>1142</v>
      </c>
      <c r="E1568" t="s">
        <v>1141</v>
      </c>
      <c r="H1568" t="s">
        <v>1187</v>
      </c>
      <c r="I1568" t="s">
        <v>1187</v>
      </c>
      <c r="J1568" t="s">
        <v>1277</v>
      </c>
      <c r="K1568" t="s">
        <v>1212</v>
      </c>
      <c r="M1568" s="3">
        <f t="shared" si="96"/>
        <v>53.285714285714285</v>
      </c>
      <c r="N1568">
        <v>12</v>
      </c>
      <c r="O1568">
        <v>74</v>
      </c>
      <c r="P1568">
        <v>58</v>
      </c>
      <c r="Q1568">
        <v>66</v>
      </c>
      <c r="R1568">
        <v>74</v>
      </c>
      <c r="S1568">
        <v>66</v>
      </c>
      <c r="T1568">
        <v>23</v>
      </c>
      <c r="U1568">
        <v>0</v>
      </c>
      <c r="V1568" s="3">
        <f t="shared" si="97"/>
        <v>184548</v>
      </c>
      <c r="W1568">
        <v>15379</v>
      </c>
      <c r="X1568">
        <v>0</v>
      </c>
      <c r="Y1568">
        <f t="shared" si="98"/>
        <v>15379</v>
      </c>
      <c r="Z1568">
        <f t="shared" si="99"/>
        <v>0</v>
      </c>
      <c r="AA1568">
        <v>0</v>
      </c>
    </row>
    <row r="1569" spans="1:27" x14ac:dyDescent="0.25">
      <c r="A1569" s="1">
        <v>1568</v>
      </c>
      <c r="B1569" t="s">
        <v>2029</v>
      </c>
      <c r="C1569" t="s">
        <v>1135</v>
      </c>
      <c r="D1569" t="s">
        <v>1141</v>
      </c>
      <c r="E1569" t="s">
        <v>1142</v>
      </c>
      <c r="H1569" t="s">
        <v>1187</v>
      </c>
      <c r="I1569" t="s">
        <v>1187</v>
      </c>
      <c r="J1569" t="s">
        <v>1277</v>
      </c>
      <c r="K1569" t="s">
        <v>1212</v>
      </c>
      <c r="M1569" s="3">
        <f t="shared" si="96"/>
        <v>53.714285714285715</v>
      </c>
      <c r="N1569">
        <v>11</v>
      </c>
      <c r="O1569">
        <v>71</v>
      </c>
      <c r="P1569">
        <v>58</v>
      </c>
      <c r="Q1569">
        <v>66</v>
      </c>
      <c r="R1569">
        <v>76</v>
      </c>
      <c r="S1569">
        <v>70</v>
      </c>
      <c r="T1569">
        <v>24</v>
      </c>
      <c r="U1569">
        <v>0</v>
      </c>
      <c r="V1569" s="3">
        <f t="shared" si="97"/>
        <v>199940</v>
      </c>
      <c r="W1569">
        <v>16661.666666666668</v>
      </c>
      <c r="X1569">
        <v>0</v>
      </c>
      <c r="Y1569">
        <f t="shared" si="98"/>
        <v>16661.666666666668</v>
      </c>
      <c r="Z1569">
        <f t="shared" si="99"/>
        <v>0</v>
      </c>
      <c r="AA1569">
        <v>0</v>
      </c>
    </row>
    <row r="1570" spans="1:27" x14ac:dyDescent="0.25">
      <c r="A1570" s="1">
        <v>1569</v>
      </c>
      <c r="B1570" t="s">
        <v>2027</v>
      </c>
      <c r="C1570" t="s">
        <v>1135</v>
      </c>
      <c r="D1570" t="s">
        <v>1142</v>
      </c>
      <c r="E1570" t="s">
        <v>1141</v>
      </c>
      <c r="H1570" t="s">
        <v>1187</v>
      </c>
      <c r="I1570" t="s">
        <v>1187</v>
      </c>
      <c r="J1570" t="s">
        <v>1277</v>
      </c>
      <c r="K1570" t="s">
        <v>1212</v>
      </c>
      <c r="M1570" s="3">
        <f t="shared" si="96"/>
        <v>50.714285714285715</v>
      </c>
      <c r="N1570">
        <v>10</v>
      </c>
      <c r="O1570">
        <v>69</v>
      </c>
      <c r="P1570">
        <v>54</v>
      </c>
      <c r="Q1570">
        <v>62</v>
      </c>
      <c r="R1570">
        <v>72</v>
      </c>
      <c r="S1570">
        <v>66</v>
      </c>
      <c r="T1570">
        <v>22</v>
      </c>
      <c r="U1570">
        <v>0</v>
      </c>
      <c r="V1570" s="3">
        <f t="shared" si="97"/>
        <v>112540</v>
      </c>
      <c r="W1570">
        <v>9378.3333333333339</v>
      </c>
      <c r="X1570">
        <v>0</v>
      </c>
      <c r="Y1570">
        <f t="shared" si="98"/>
        <v>9378.3333333333339</v>
      </c>
      <c r="Z1570">
        <f t="shared" si="99"/>
        <v>0</v>
      </c>
      <c r="AA1570">
        <v>0</v>
      </c>
    </row>
    <row r="1571" spans="1:27" x14ac:dyDescent="0.25">
      <c r="A1571" s="1">
        <v>1570</v>
      </c>
      <c r="B1571" t="s">
        <v>441</v>
      </c>
      <c r="C1571" t="s">
        <v>1135</v>
      </c>
      <c r="D1571" t="s">
        <v>1141</v>
      </c>
      <c r="G1571" t="s">
        <v>1150</v>
      </c>
      <c r="H1571" t="s">
        <v>1150</v>
      </c>
      <c r="I1571" t="s">
        <v>1150</v>
      </c>
      <c r="J1571" t="s">
        <v>1277</v>
      </c>
      <c r="K1571" t="s">
        <v>1212</v>
      </c>
      <c r="M1571" s="3">
        <f t="shared" si="96"/>
        <v>75.428571428571431</v>
      </c>
      <c r="N1571">
        <v>64</v>
      </c>
      <c r="O1571">
        <v>85</v>
      </c>
      <c r="P1571">
        <v>79</v>
      </c>
      <c r="Q1571">
        <v>72</v>
      </c>
      <c r="R1571">
        <v>76</v>
      </c>
      <c r="S1571">
        <v>77</v>
      </c>
      <c r="T1571">
        <v>75</v>
      </c>
      <c r="U1571">
        <v>3</v>
      </c>
      <c r="V1571" s="3">
        <f t="shared" si="97"/>
        <v>8942318</v>
      </c>
      <c r="W1571">
        <v>745193.16666666663</v>
      </c>
      <c r="X1571">
        <v>0</v>
      </c>
      <c r="Y1571">
        <f t="shared" si="98"/>
        <v>745193.16666666663</v>
      </c>
      <c r="Z1571">
        <f t="shared" si="99"/>
        <v>0</v>
      </c>
      <c r="AA1571">
        <v>0</v>
      </c>
    </row>
    <row r="1572" spans="1:27" x14ac:dyDescent="0.25">
      <c r="A1572" s="1">
        <v>1571</v>
      </c>
      <c r="B1572" t="s">
        <v>2028</v>
      </c>
      <c r="C1572" t="s">
        <v>1135</v>
      </c>
      <c r="D1572" t="s">
        <v>1141</v>
      </c>
      <c r="E1572" t="s">
        <v>1142</v>
      </c>
      <c r="H1572" t="s">
        <v>1187</v>
      </c>
      <c r="I1572" t="s">
        <v>1187</v>
      </c>
      <c r="J1572" t="s">
        <v>1277</v>
      </c>
      <c r="K1572" t="s">
        <v>1212</v>
      </c>
      <c r="M1572" s="3">
        <f t="shared" si="96"/>
        <v>62.714285714285715</v>
      </c>
      <c r="N1572">
        <v>17</v>
      </c>
      <c r="O1572">
        <v>82</v>
      </c>
      <c r="P1572">
        <v>70</v>
      </c>
      <c r="Q1572">
        <v>74</v>
      </c>
      <c r="R1572">
        <v>86</v>
      </c>
      <c r="S1572">
        <v>79</v>
      </c>
      <c r="T1572">
        <v>31</v>
      </c>
      <c r="U1572">
        <v>0</v>
      </c>
      <c r="V1572" s="3">
        <f t="shared" si="97"/>
        <v>941163</v>
      </c>
      <c r="W1572">
        <v>78430.25</v>
      </c>
      <c r="X1572">
        <v>0</v>
      </c>
      <c r="Y1572">
        <f t="shared" si="98"/>
        <v>78430.25</v>
      </c>
      <c r="Z1572">
        <f t="shared" si="99"/>
        <v>0</v>
      </c>
      <c r="AA1572">
        <v>0</v>
      </c>
    </row>
    <row r="1573" spans="1:27" x14ac:dyDescent="0.25">
      <c r="A1573" s="1">
        <v>1572</v>
      </c>
      <c r="B1573" t="s">
        <v>2024</v>
      </c>
      <c r="C1573" t="s">
        <v>1136</v>
      </c>
      <c r="D1573" t="s">
        <v>1146</v>
      </c>
      <c r="E1573" t="s">
        <v>1143</v>
      </c>
      <c r="H1573" t="s">
        <v>1187</v>
      </c>
      <c r="I1573" t="s">
        <v>1187</v>
      </c>
      <c r="J1573" t="s">
        <v>1277</v>
      </c>
      <c r="K1573" t="s">
        <v>1212</v>
      </c>
      <c r="M1573" s="3">
        <f t="shared" si="96"/>
        <v>53.714285714285715</v>
      </c>
      <c r="N1573">
        <v>11</v>
      </c>
      <c r="O1573">
        <v>71</v>
      </c>
      <c r="P1573">
        <v>58</v>
      </c>
      <c r="Q1573">
        <v>66</v>
      </c>
      <c r="R1573">
        <v>76</v>
      </c>
      <c r="S1573">
        <v>70</v>
      </c>
      <c r="T1573">
        <v>24</v>
      </c>
      <c r="U1573">
        <v>0</v>
      </c>
      <c r="V1573" s="3">
        <f t="shared" si="97"/>
        <v>199940</v>
      </c>
      <c r="W1573">
        <v>16661.666666666668</v>
      </c>
      <c r="X1573">
        <v>0</v>
      </c>
      <c r="Y1573">
        <f t="shared" si="98"/>
        <v>16661.666666666668</v>
      </c>
      <c r="Z1573">
        <f t="shared" si="99"/>
        <v>0</v>
      </c>
      <c r="AA1573">
        <v>0</v>
      </c>
    </row>
    <row r="1574" spans="1:27" x14ac:dyDescent="0.25">
      <c r="A1574" s="1">
        <v>1573</v>
      </c>
      <c r="B1574" t="s">
        <v>2025</v>
      </c>
      <c r="C1574" t="s">
        <v>1136</v>
      </c>
      <c r="D1574" t="s">
        <v>1147</v>
      </c>
      <c r="E1574" t="s">
        <v>1145</v>
      </c>
      <c r="H1574" t="s">
        <v>1187</v>
      </c>
      <c r="I1574" t="s">
        <v>1187</v>
      </c>
      <c r="J1574" t="s">
        <v>1277</v>
      </c>
      <c r="K1574" t="s">
        <v>1212</v>
      </c>
      <c r="M1574" s="3">
        <f t="shared" si="96"/>
        <v>61.142857142857146</v>
      </c>
      <c r="N1574">
        <v>16</v>
      </c>
      <c r="O1574">
        <v>80</v>
      </c>
      <c r="P1574">
        <v>68</v>
      </c>
      <c r="Q1574">
        <v>72</v>
      </c>
      <c r="R1574">
        <v>84</v>
      </c>
      <c r="S1574">
        <v>76</v>
      </c>
      <c r="T1574">
        <v>32</v>
      </c>
      <c r="U1574">
        <v>0</v>
      </c>
      <c r="V1574" s="3">
        <f t="shared" si="97"/>
        <v>730226</v>
      </c>
      <c r="W1574">
        <v>60852.166666666664</v>
      </c>
      <c r="X1574">
        <v>0</v>
      </c>
      <c r="Y1574">
        <f t="shared" si="98"/>
        <v>60852.166666666664</v>
      </c>
      <c r="Z1574">
        <f t="shared" si="99"/>
        <v>0</v>
      </c>
      <c r="AA1574">
        <v>0</v>
      </c>
    </row>
    <row r="1575" spans="1:27" x14ac:dyDescent="0.25">
      <c r="A1575" s="1">
        <v>1574</v>
      </c>
      <c r="B1575" t="s">
        <v>2022</v>
      </c>
      <c r="C1575" t="s">
        <v>1136</v>
      </c>
      <c r="D1575" t="s">
        <v>1145</v>
      </c>
      <c r="E1575" t="s">
        <v>1147</v>
      </c>
      <c r="H1575" t="s">
        <v>1187</v>
      </c>
      <c r="I1575" t="s">
        <v>1187</v>
      </c>
      <c r="J1575" t="s">
        <v>1277</v>
      </c>
      <c r="K1575" t="s">
        <v>1212</v>
      </c>
      <c r="M1575" s="3">
        <f t="shared" si="96"/>
        <v>56.428571428571431</v>
      </c>
      <c r="N1575">
        <v>13</v>
      </c>
      <c r="O1575">
        <v>75</v>
      </c>
      <c r="P1575">
        <v>62</v>
      </c>
      <c r="Q1575">
        <v>70</v>
      </c>
      <c r="R1575">
        <v>78</v>
      </c>
      <c r="S1575">
        <v>70</v>
      </c>
      <c r="T1575">
        <v>27</v>
      </c>
      <c r="U1575">
        <v>0</v>
      </c>
      <c r="V1575" s="3">
        <f t="shared" si="97"/>
        <v>327334</v>
      </c>
      <c r="W1575">
        <v>27277.833333333332</v>
      </c>
      <c r="X1575">
        <v>0</v>
      </c>
      <c r="Y1575">
        <f t="shared" si="98"/>
        <v>27277.833333333332</v>
      </c>
      <c r="Z1575">
        <f t="shared" si="99"/>
        <v>0</v>
      </c>
      <c r="AA1575">
        <v>0</v>
      </c>
    </row>
    <row r="1576" spans="1:27" x14ac:dyDescent="0.25">
      <c r="A1576" s="1">
        <v>1575</v>
      </c>
      <c r="B1576" t="s">
        <v>872</v>
      </c>
      <c r="C1576" t="s">
        <v>1136</v>
      </c>
      <c r="D1576" t="s">
        <v>1144</v>
      </c>
      <c r="E1576" t="s">
        <v>1143</v>
      </c>
      <c r="G1576" t="s">
        <v>1187</v>
      </c>
      <c r="H1576" t="s">
        <v>1187</v>
      </c>
      <c r="I1576" t="s">
        <v>1187</v>
      </c>
      <c r="J1576" t="s">
        <v>1277</v>
      </c>
      <c r="K1576" t="s">
        <v>1212</v>
      </c>
      <c r="M1576" s="3">
        <f t="shared" si="96"/>
        <v>67</v>
      </c>
      <c r="N1576">
        <v>46</v>
      </c>
      <c r="O1576">
        <v>65</v>
      </c>
      <c r="P1576">
        <v>76</v>
      </c>
      <c r="Q1576">
        <v>72</v>
      </c>
      <c r="R1576">
        <v>81</v>
      </c>
      <c r="S1576">
        <v>73</v>
      </c>
      <c r="T1576">
        <v>56</v>
      </c>
      <c r="U1576">
        <v>0</v>
      </c>
      <c r="V1576" s="3">
        <f t="shared" si="97"/>
        <v>1822838</v>
      </c>
      <c r="W1576">
        <v>151903.16666666666</v>
      </c>
      <c r="X1576">
        <v>0</v>
      </c>
      <c r="Y1576">
        <f t="shared" si="98"/>
        <v>151903.16666666666</v>
      </c>
      <c r="Z1576">
        <f t="shared" si="99"/>
        <v>0</v>
      </c>
      <c r="AA1576">
        <v>0</v>
      </c>
    </row>
    <row r="1577" spans="1:27" x14ac:dyDescent="0.25">
      <c r="A1577" s="1">
        <v>1576</v>
      </c>
      <c r="B1577" t="s">
        <v>2023</v>
      </c>
      <c r="C1577" t="s">
        <v>1136</v>
      </c>
      <c r="D1577" t="s">
        <v>1146</v>
      </c>
      <c r="E1577" t="s">
        <v>1144</v>
      </c>
      <c r="H1577" t="s">
        <v>1187</v>
      </c>
      <c r="I1577" t="s">
        <v>1187</v>
      </c>
      <c r="J1577" t="s">
        <v>1277</v>
      </c>
      <c r="K1577" t="s">
        <v>1212</v>
      </c>
      <c r="M1577" s="3">
        <f t="shared" si="96"/>
        <v>55.428571428571431</v>
      </c>
      <c r="N1577">
        <v>11</v>
      </c>
      <c r="O1577">
        <v>72</v>
      </c>
      <c r="P1577">
        <v>60</v>
      </c>
      <c r="Q1577">
        <v>68</v>
      </c>
      <c r="R1577">
        <v>80</v>
      </c>
      <c r="S1577">
        <v>72</v>
      </c>
      <c r="T1577">
        <v>25</v>
      </c>
      <c r="U1577">
        <v>0</v>
      </c>
      <c r="V1577" s="3">
        <f t="shared" si="97"/>
        <v>273740</v>
      </c>
      <c r="W1577">
        <v>22811.666666666668</v>
      </c>
      <c r="X1577">
        <v>0</v>
      </c>
      <c r="Y1577">
        <f t="shared" si="98"/>
        <v>22811.666666666668</v>
      </c>
      <c r="Z1577">
        <f t="shared" si="99"/>
        <v>0</v>
      </c>
      <c r="AA1577">
        <v>0</v>
      </c>
    </row>
    <row r="1578" spans="1:27" x14ac:dyDescent="0.25">
      <c r="A1578" s="1">
        <v>1577</v>
      </c>
      <c r="B1578" t="s">
        <v>2030</v>
      </c>
      <c r="C1578" t="s">
        <v>1136</v>
      </c>
      <c r="D1578" t="s">
        <v>1147</v>
      </c>
      <c r="E1578" t="s">
        <v>1146</v>
      </c>
      <c r="H1578" t="s">
        <v>1187</v>
      </c>
      <c r="I1578" t="s">
        <v>1187</v>
      </c>
      <c r="J1578" t="s">
        <v>1277</v>
      </c>
      <c r="K1578" t="s">
        <v>1212</v>
      </c>
      <c r="M1578" s="3">
        <f t="shared" si="96"/>
        <v>71.857142857142861</v>
      </c>
      <c r="N1578">
        <v>50</v>
      </c>
      <c r="O1578">
        <v>83</v>
      </c>
      <c r="P1578">
        <v>71</v>
      </c>
      <c r="Q1578">
        <v>77</v>
      </c>
      <c r="R1578">
        <v>90</v>
      </c>
      <c r="S1578">
        <v>82</v>
      </c>
      <c r="T1578">
        <v>50</v>
      </c>
      <c r="U1578">
        <v>18</v>
      </c>
      <c r="V1578" s="3">
        <f t="shared" si="97"/>
        <v>5505424</v>
      </c>
      <c r="W1578">
        <v>458785.33333333331</v>
      </c>
      <c r="X1578">
        <v>0</v>
      </c>
      <c r="Y1578">
        <f t="shared" si="98"/>
        <v>458785.33333333331</v>
      </c>
      <c r="Z1578">
        <f t="shared" si="99"/>
        <v>0</v>
      </c>
      <c r="AA1578">
        <v>0</v>
      </c>
    </row>
    <row r="1579" spans="1:27" x14ac:dyDescent="0.25">
      <c r="A1579" s="1">
        <v>1578</v>
      </c>
      <c r="B1579" t="s">
        <v>873</v>
      </c>
      <c r="C1579" t="s">
        <v>1136</v>
      </c>
      <c r="D1579" t="s">
        <v>1144</v>
      </c>
      <c r="E1579" t="s">
        <v>1138</v>
      </c>
      <c r="F1579" t="s">
        <v>1143</v>
      </c>
      <c r="G1579" t="s">
        <v>1187</v>
      </c>
      <c r="H1579" t="s">
        <v>1187</v>
      </c>
      <c r="I1579" t="s">
        <v>1187</v>
      </c>
      <c r="J1579" t="s">
        <v>1277</v>
      </c>
      <c r="K1579" t="s">
        <v>1212</v>
      </c>
      <c r="M1579" s="3">
        <f t="shared" si="96"/>
        <v>66.285714285714292</v>
      </c>
      <c r="N1579">
        <v>42</v>
      </c>
      <c r="O1579">
        <v>67</v>
      </c>
      <c r="P1579">
        <v>78</v>
      </c>
      <c r="Q1579">
        <v>71</v>
      </c>
      <c r="R1579">
        <v>83</v>
      </c>
      <c r="S1579">
        <v>75</v>
      </c>
      <c r="T1579">
        <v>48</v>
      </c>
      <c r="U1579">
        <v>0</v>
      </c>
      <c r="V1579" s="3">
        <f t="shared" si="97"/>
        <v>1637569</v>
      </c>
      <c r="W1579">
        <v>136464.08333333334</v>
      </c>
      <c r="X1579">
        <v>0</v>
      </c>
      <c r="Y1579">
        <f t="shared" si="98"/>
        <v>136464.08333333334</v>
      </c>
      <c r="Z1579">
        <f t="shared" si="99"/>
        <v>0</v>
      </c>
      <c r="AA1579">
        <v>0</v>
      </c>
    </row>
    <row r="1580" spans="1:27" x14ac:dyDescent="0.25">
      <c r="A1580" s="1">
        <v>1579</v>
      </c>
      <c r="B1580" t="s">
        <v>2021</v>
      </c>
      <c r="C1580" t="s">
        <v>1136</v>
      </c>
      <c r="D1580" t="s">
        <v>1145</v>
      </c>
      <c r="E1580" t="s">
        <v>1143</v>
      </c>
      <c r="H1580" t="s">
        <v>1187</v>
      </c>
      <c r="I1580" t="s">
        <v>1187</v>
      </c>
      <c r="J1580" t="s">
        <v>1277</v>
      </c>
      <c r="K1580" t="s">
        <v>1212</v>
      </c>
      <c r="M1580" s="3">
        <f t="shared" si="96"/>
        <v>66.285714285714292</v>
      </c>
      <c r="N1580">
        <v>30</v>
      </c>
      <c r="O1580">
        <v>80</v>
      </c>
      <c r="P1580">
        <v>69</v>
      </c>
      <c r="Q1580">
        <v>81</v>
      </c>
      <c r="R1580">
        <v>76</v>
      </c>
      <c r="S1580">
        <v>68</v>
      </c>
      <c r="T1580">
        <v>60</v>
      </c>
      <c r="U1580">
        <v>8</v>
      </c>
      <c r="V1580" s="3">
        <f t="shared" si="97"/>
        <v>2456353</v>
      </c>
      <c r="W1580">
        <v>204696.08333333334</v>
      </c>
      <c r="X1580">
        <v>0</v>
      </c>
      <c r="Y1580">
        <f t="shared" si="98"/>
        <v>204696.08333333334</v>
      </c>
      <c r="Z1580">
        <f t="shared" si="99"/>
        <v>0</v>
      </c>
      <c r="AA1580">
        <v>0</v>
      </c>
    </row>
    <row r="1581" spans="1:27" x14ac:dyDescent="0.25">
      <c r="A1581" s="1">
        <v>1580</v>
      </c>
      <c r="B1581" t="s">
        <v>2654</v>
      </c>
      <c r="C1581" t="s">
        <v>1137</v>
      </c>
      <c r="D1581" t="s">
        <v>1137</v>
      </c>
      <c r="H1581" t="s">
        <v>1187</v>
      </c>
      <c r="I1581" t="s">
        <v>1187</v>
      </c>
      <c r="J1581" t="s">
        <v>1277</v>
      </c>
      <c r="K1581" t="s">
        <v>1212</v>
      </c>
      <c r="M1581" s="3">
        <f t="shared" si="96"/>
        <v>54.571428571428569</v>
      </c>
      <c r="N1581">
        <v>12</v>
      </c>
      <c r="O1581">
        <v>70</v>
      </c>
      <c r="P1581">
        <v>56</v>
      </c>
      <c r="Q1581">
        <v>66</v>
      </c>
      <c r="R1581">
        <v>78</v>
      </c>
      <c r="S1581">
        <v>70</v>
      </c>
      <c r="T1581">
        <v>30</v>
      </c>
      <c r="U1581">
        <v>0</v>
      </c>
      <c r="V1581" s="3">
        <f t="shared" si="97"/>
        <v>234236</v>
      </c>
      <c r="W1581">
        <v>19519.666666666668</v>
      </c>
      <c r="X1581">
        <v>0</v>
      </c>
      <c r="Y1581">
        <f t="shared" si="98"/>
        <v>19519.666666666668</v>
      </c>
      <c r="Z1581">
        <f t="shared" si="99"/>
        <v>0</v>
      </c>
      <c r="AA1581">
        <v>0</v>
      </c>
    </row>
    <row r="1582" spans="1:27" x14ac:dyDescent="0.25">
      <c r="A1582" s="1">
        <v>1581</v>
      </c>
      <c r="B1582" t="s">
        <v>2159</v>
      </c>
      <c r="C1582" t="s">
        <v>1133</v>
      </c>
      <c r="D1582" t="s">
        <v>1133</v>
      </c>
      <c r="H1582" t="s">
        <v>1153</v>
      </c>
      <c r="I1582" t="s">
        <v>1153</v>
      </c>
      <c r="J1582" t="s">
        <v>2715</v>
      </c>
      <c r="K1582" t="s">
        <v>1212</v>
      </c>
      <c r="M1582" s="3">
        <f t="shared" si="96"/>
        <v>52.714285714285715</v>
      </c>
      <c r="N1582">
        <v>10</v>
      </c>
      <c r="O1582">
        <v>67</v>
      </c>
      <c r="P1582">
        <v>59</v>
      </c>
      <c r="Q1582">
        <v>65</v>
      </c>
      <c r="R1582">
        <v>67</v>
      </c>
      <c r="S1582">
        <v>69</v>
      </c>
      <c r="T1582">
        <v>32</v>
      </c>
      <c r="U1582">
        <v>0</v>
      </c>
      <c r="V1582" s="3">
        <f t="shared" si="97"/>
        <v>165686</v>
      </c>
      <c r="W1582">
        <v>13807.166666666666</v>
      </c>
      <c r="X1582">
        <v>0</v>
      </c>
      <c r="Y1582">
        <f t="shared" si="98"/>
        <v>13807.166666666666</v>
      </c>
      <c r="Z1582">
        <f t="shared" si="99"/>
        <v>0</v>
      </c>
      <c r="AA1582">
        <v>0</v>
      </c>
    </row>
    <row r="1583" spans="1:27" x14ac:dyDescent="0.25">
      <c r="A1583" s="1">
        <v>1582</v>
      </c>
      <c r="B1583" t="s">
        <v>2160</v>
      </c>
      <c r="C1583" t="s">
        <v>1133</v>
      </c>
      <c r="D1583" t="s">
        <v>1133</v>
      </c>
      <c r="H1583" t="s">
        <v>1153</v>
      </c>
      <c r="I1583" t="s">
        <v>1153</v>
      </c>
      <c r="J1583" t="s">
        <v>2715</v>
      </c>
      <c r="K1583" t="s">
        <v>1212</v>
      </c>
      <c r="M1583" s="3">
        <f t="shared" si="96"/>
        <v>50.285714285714285</v>
      </c>
      <c r="N1583">
        <v>8</v>
      </c>
      <c r="O1583">
        <v>64</v>
      </c>
      <c r="P1583">
        <v>56</v>
      </c>
      <c r="Q1583">
        <v>63</v>
      </c>
      <c r="R1583">
        <v>65</v>
      </c>
      <c r="S1583">
        <v>67</v>
      </c>
      <c r="T1583">
        <v>29</v>
      </c>
      <c r="U1583">
        <v>0</v>
      </c>
      <c r="V1583" s="3">
        <f t="shared" si="97"/>
        <v>103383</v>
      </c>
      <c r="W1583">
        <v>8615.25</v>
      </c>
      <c r="X1583">
        <v>0</v>
      </c>
      <c r="Y1583">
        <f t="shared" si="98"/>
        <v>8615.25</v>
      </c>
      <c r="Z1583">
        <f t="shared" si="99"/>
        <v>0</v>
      </c>
      <c r="AA1583">
        <v>0</v>
      </c>
    </row>
    <row r="1584" spans="1:27" x14ac:dyDescent="0.25">
      <c r="A1584" s="1">
        <v>1583</v>
      </c>
      <c r="B1584" t="s">
        <v>2168</v>
      </c>
      <c r="C1584" t="s">
        <v>1133</v>
      </c>
      <c r="D1584" t="s">
        <v>1133</v>
      </c>
      <c r="H1584" t="s">
        <v>1153</v>
      </c>
      <c r="I1584" t="s">
        <v>1153</v>
      </c>
      <c r="J1584" t="s">
        <v>2715</v>
      </c>
      <c r="K1584" t="s">
        <v>1212</v>
      </c>
      <c r="M1584" s="3">
        <f t="shared" si="96"/>
        <v>50.857142857142854</v>
      </c>
      <c r="N1584">
        <v>8</v>
      </c>
      <c r="O1584">
        <v>65</v>
      </c>
      <c r="P1584">
        <v>58</v>
      </c>
      <c r="Q1584">
        <v>63</v>
      </c>
      <c r="R1584">
        <v>65</v>
      </c>
      <c r="S1584">
        <v>67</v>
      </c>
      <c r="T1584">
        <v>30</v>
      </c>
      <c r="U1584">
        <v>0</v>
      </c>
      <c r="V1584" s="3">
        <f t="shared" si="97"/>
        <v>115750</v>
      </c>
      <c r="W1584">
        <v>9645.8333333333339</v>
      </c>
      <c r="X1584">
        <v>0</v>
      </c>
      <c r="Y1584">
        <f t="shared" si="98"/>
        <v>9645.8333333333339</v>
      </c>
      <c r="Z1584">
        <f t="shared" si="99"/>
        <v>0</v>
      </c>
      <c r="AA1584">
        <v>0</v>
      </c>
    </row>
    <row r="1585" spans="1:27" x14ac:dyDescent="0.25">
      <c r="A1585" s="1">
        <v>1584</v>
      </c>
      <c r="B1585" t="s">
        <v>2585</v>
      </c>
      <c r="C1585" t="s">
        <v>1134</v>
      </c>
      <c r="D1585" t="s">
        <v>1138</v>
      </c>
      <c r="E1585" t="s">
        <v>1144</v>
      </c>
      <c r="H1585" t="s">
        <v>1153</v>
      </c>
      <c r="I1585" t="s">
        <v>1153</v>
      </c>
      <c r="J1585" t="s">
        <v>2715</v>
      </c>
      <c r="K1585" t="s">
        <v>1212</v>
      </c>
      <c r="M1585" s="3">
        <f t="shared" si="96"/>
        <v>47.428571428571431</v>
      </c>
      <c r="N1585">
        <v>6</v>
      </c>
      <c r="O1585">
        <v>61</v>
      </c>
      <c r="P1585">
        <v>54</v>
      </c>
      <c r="Q1585">
        <v>60</v>
      </c>
      <c r="R1585">
        <v>62</v>
      </c>
      <c r="S1585">
        <v>64</v>
      </c>
      <c r="T1585">
        <v>25</v>
      </c>
      <c r="U1585">
        <v>0</v>
      </c>
      <c r="V1585" s="3">
        <f t="shared" si="97"/>
        <v>57598</v>
      </c>
      <c r="W1585">
        <v>4799.833333333333</v>
      </c>
      <c r="X1585">
        <v>0</v>
      </c>
      <c r="Y1585">
        <f t="shared" si="98"/>
        <v>4799.833333333333</v>
      </c>
      <c r="Z1585">
        <f t="shared" si="99"/>
        <v>0</v>
      </c>
      <c r="AA1585">
        <v>0</v>
      </c>
    </row>
    <row r="1586" spans="1:27" x14ac:dyDescent="0.25">
      <c r="A1586" s="1">
        <v>1585</v>
      </c>
      <c r="B1586" t="s">
        <v>2169</v>
      </c>
      <c r="C1586" t="s">
        <v>1134</v>
      </c>
      <c r="D1586" t="s">
        <v>1140</v>
      </c>
      <c r="E1586" t="s">
        <v>1139</v>
      </c>
      <c r="H1586" t="s">
        <v>1153</v>
      </c>
      <c r="I1586" t="s">
        <v>1153</v>
      </c>
      <c r="J1586" t="s">
        <v>2715</v>
      </c>
      <c r="K1586" t="s">
        <v>1212</v>
      </c>
      <c r="M1586" s="3">
        <f t="shared" si="96"/>
        <v>50.428571428571431</v>
      </c>
      <c r="N1586">
        <v>7</v>
      </c>
      <c r="O1586">
        <v>65</v>
      </c>
      <c r="P1586">
        <v>58</v>
      </c>
      <c r="Q1586">
        <v>63</v>
      </c>
      <c r="R1586">
        <v>65</v>
      </c>
      <c r="S1586">
        <v>67</v>
      </c>
      <c r="T1586">
        <v>28</v>
      </c>
      <c r="U1586">
        <v>0</v>
      </c>
      <c r="V1586" s="3">
        <f t="shared" si="97"/>
        <v>106358</v>
      </c>
      <c r="W1586">
        <v>8863.1666666666661</v>
      </c>
      <c r="X1586">
        <v>0</v>
      </c>
      <c r="Y1586">
        <f t="shared" si="98"/>
        <v>8863.1666666666661</v>
      </c>
      <c r="Z1586">
        <f t="shared" si="99"/>
        <v>0</v>
      </c>
      <c r="AA1586">
        <v>0</v>
      </c>
    </row>
    <row r="1587" spans="1:27" x14ac:dyDescent="0.25">
      <c r="A1587" s="1">
        <v>1586</v>
      </c>
      <c r="B1587" t="s">
        <v>2162</v>
      </c>
      <c r="C1587" t="s">
        <v>1134</v>
      </c>
      <c r="D1587" t="s">
        <v>1138</v>
      </c>
      <c r="E1587" t="s">
        <v>1139</v>
      </c>
      <c r="H1587" t="s">
        <v>1153</v>
      </c>
      <c r="I1587" t="s">
        <v>1153</v>
      </c>
      <c r="J1587" t="s">
        <v>2715</v>
      </c>
      <c r="K1587" t="s">
        <v>1212</v>
      </c>
      <c r="M1587" s="3">
        <f t="shared" si="96"/>
        <v>55.428571428571431</v>
      </c>
      <c r="N1587">
        <v>12</v>
      </c>
      <c r="O1587">
        <v>71</v>
      </c>
      <c r="P1587">
        <v>63</v>
      </c>
      <c r="Q1587">
        <v>67</v>
      </c>
      <c r="R1587">
        <v>69</v>
      </c>
      <c r="S1587">
        <v>71</v>
      </c>
      <c r="T1587">
        <v>35</v>
      </c>
      <c r="U1587">
        <v>0</v>
      </c>
      <c r="V1587" s="3">
        <f t="shared" si="97"/>
        <v>273740</v>
      </c>
      <c r="W1587">
        <v>22811.666666666668</v>
      </c>
      <c r="X1587">
        <v>0</v>
      </c>
      <c r="Y1587">
        <f t="shared" si="98"/>
        <v>22811.666666666668</v>
      </c>
      <c r="Z1587">
        <f t="shared" si="99"/>
        <v>0</v>
      </c>
      <c r="AA1587">
        <v>0</v>
      </c>
    </row>
    <row r="1588" spans="1:27" x14ac:dyDescent="0.25">
      <c r="A1588" s="1">
        <v>1587</v>
      </c>
      <c r="B1588" t="s">
        <v>2164</v>
      </c>
      <c r="C1588" t="s">
        <v>1134</v>
      </c>
      <c r="D1588" t="s">
        <v>1139</v>
      </c>
      <c r="E1588" t="s">
        <v>1138</v>
      </c>
      <c r="H1588" t="s">
        <v>1153</v>
      </c>
      <c r="I1588" t="s">
        <v>1153</v>
      </c>
      <c r="J1588" t="s">
        <v>2715</v>
      </c>
      <c r="K1588" t="s">
        <v>1212</v>
      </c>
      <c r="M1588" s="3">
        <f t="shared" si="96"/>
        <v>54.428571428571431</v>
      </c>
      <c r="N1588">
        <v>11</v>
      </c>
      <c r="O1588">
        <v>70</v>
      </c>
      <c r="P1588">
        <v>62</v>
      </c>
      <c r="Q1588">
        <v>66</v>
      </c>
      <c r="R1588">
        <v>68</v>
      </c>
      <c r="S1588">
        <v>70</v>
      </c>
      <c r="T1588">
        <v>34</v>
      </c>
      <c r="U1588">
        <v>0</v>
      </c>
      <c r="V1588" s="3">
        <f t="shared" si="97"/>
        <v>228176</v>
      </c>
      <c r="W1588">
        <v>19014.666666666668</v>
      </c>
      <c r="X1588">
        <v>0</v>
      </c>
      <c r="Y1588">
        <f t="shared" si="98"/>
        <v>19014.666666666668</v>
      </c>
      <c r="Z1588">
        <f t="shared" si="99"/>
        <v>0</v>
      </c>
      <c r="AA1588">
        <v>0</v>
      </c>
    </row>
    <row r="1589" spans="1:27" x14ac:dyDescent="0.25">
      <c r="A1589" s="1">
        <v>1588</v>
      </c>
      <c r="B1589" t="s">
        <v>2163</v>
      </c>
      <c r="C1589" t="s">
        <v>1134</v>
      </c>
      <c r="D1589" t="s">
        <v>1140</v>
      </c>
      <c r="E1589" t="s">
        <v>1138</v>
      </c>
      <c r="H1589" t="s">
        <v>1153</v>
      </c>
      <c r="I1589" t="s">
        <v>1153</v>
      </c>
      <c r="J1589" t="s">
        <v>2715</v>
      </c>
      <c r="K1589" t="s">
        <v>1212</v>
      </c>
      <c r="M1589" s="3">
        <f t="shared" si="96"/>
        <v>52.857142857142854</v>
      </c>
      <c r="N1589">
        <v>9</v>
      </c>
      <c r="O1589">
        <v>69</v>
      </c>
      <c r="P1589">
        <v>60</v>
      </c>
      <c r="Q1589">
        <v>65</v>
      </c>
      <c r="R1589">
        <v>67</v>
      </c>
      <c r="S1589">
        <v>69</v>
      </c>
      <c r="T1589">
        <v>31</v>
      </c>
      <c r="U1589">
        <v>0</v>
      </c>
      <c r="V1589" s="3">
        <f t="shared" si="97"/>
        <v>170231</v>
      </c>
      <c r="W1589">
        <v>14185.916666666666</v>
      </c>
      <c r="X1589">
        <v>0</v>
      </c>
      <c r="Y1589">
        <f t="shared" si="98"/>
        <v>14185.916666666666</v>
      </c>
      <c r="Z1589">
        <f t="shared" si="99"/>
        <v>0</v>
      </c>
      <c r="AA1589">
        <v>0</v>
      </c>
    </row>
    <row r="1590" spans="1:27" x14ac:dyDescent="0.25">
      <c r="A1590" s="1">
        <v>1589</v>
      </c>
      <c r="B1590" t="s">
        <v>2590</v>
      </c>
      <c r="C1590" t="s">
        <v>1135</v>
      </c>
      <c r="D1590" t="s">
        <v>1142</v>
      </c>
      <c r="E1590" t="s">
        <v>1141</v>
      </c>
      <c r="H1590" t="s">
        <v>1153</v>
      </c>
      <c r="I1590" t="s">
        <v>1153</v>
      </c>
      <c r="J1590" t="s">
        <v>2715</v>
      </c>
      <c r="K1590" t="s">
        <v>1212</v>
      </c>
      <c r="M1590" s="3">
        <f t="shared" si="96"/>
        <v>60</v>
      </c>
      <c r="N1590">
        <v>14</v>
      </c>
      <c r="O1590">
        <v>75</v>
      </c>
      <c r="P1590">
        <v>68</v>
      </c>
      <c r="Q1590">
        <v>73</v>
      </c>
      <c r="R1590">
        <v>75</v>
      </c>
      <c r="S1590">
        <v>77</v>
      </c>
      <c r="T1590">
        <v>38</v>
      </c>
      <c r="U1590">
        <v>0</v>
      </c>
      <c r="V1590" s="3">
        <f t="shared" si="97"/>
        <v>604662</v>
      </c>
      <c r="W1590">
        <v>50388.5</v>
      </c>
      <c r="X1590">
        <v>0</v>
      </c>
      <c r="Y1590">
        <f t="shared" si="98"/>
        <v>50388.5</v>
      </c>
      <c r="Z1590">
        <f t="shared" si="99"/>
        <v>0</v>
      </c>
      <c r="AA1590">
        <v>0</v>
      </c>
    </row>
    <row r="1591" spans="1:27" x14ac:dyDescent="0.25">
      <c r="A1591" s="1">
        <v>1590</v>
      </c>
      <c r="B1591" t="s">
        <v>2621</v>
      </c>
      <c r="C1591" t="s">
        <v>1135</v>
      </c>
      <c r="D1591" t="s">
        <v>1142</v>
      </c>
      <c r="E1591" t="s">
        <v>1141</v>
      </c>
      <c r="H1591" t="s">
        <v>1153</v>
      </c>
      <c r="I1591" t="s">
        <v>1153</v>
      </c>
      <c r="J1591" t="s">
        <v>2715</v>
      </c>
      <c r="K1591" t="s">
        <v>1212</v>
      </c>
      <c r="M1591" s="3">
        <f t="shared" si="96"/>
        <v>55</v>
      </c>
      <c r="N1591">
        <v>10</v>
      </c>
      <c r="O1591">
        <v>70</v>
      </c>
      <c r="P1591">
        <v>63</v>
      </c>
      <c r="Q1591">
        <v>68</v>
      </c>
      <c r="R1591">
        <v>70</v>
      </c>
      <c r="S1591">
        <v>72</v>
      </c>
      <c r="T1591">
        <v>32</v>
      </c>
      <c r="U1591">
        <v>0</v>
      </c>
      <c r="V1591" s="3">
        <f t="shared" si="97"/>
        <v>253296</v>
      </c>
      <c r="W1591">
        <v>21108</v>
      </c>
      <c r="X1591">
        <v>0</v>
      </c>
      <c r="Y1591">
        <f t="shared" si="98"/>
        <v>21108</v>
      </c>
      <c r="Z1591">
        <f t="shared" si="99"/>
        <v>0</v>
      </c>
      <c r="AA1591">
        <v>0</v>
      </c>
    </row>
    <row r="1592" spans="1:27" x14ac:dyDescent="0.25">
      <c r="A1592" s="1">
        <v>1591</v>
      </c>
      <c r="B1592" t="s">
        <v>2598</v>
      </c>
      <c r="C1592" t="s">
        <v>1135</v>
      </c>
      <c r="D1592" t="s">
        <v>1141</v>
      </c>
      <c r="E1592" t="s">
        <v>1142</v>
      </c>
      <c r="H1592" t="s">
        <v>1153</v>
      </c>
      <c r="I1592" t="s">
        <v>1153</v>
      </c>
      <c r="J1592" t="s">
        <v>2715</v>
      </c>
      <c r="K1592" t="s">
        <v>1212</v>
      </c>
      <c r="M1592" s="3">
        <f t="shared" si="96"/>
        <v>63.857142857142854</v>
      </c>
      <c r="N1592">
        <v>15</v>
      </c>
      <c r="O1592">
        <v>75</v>
      </c>
      <c r="P1592">
        <v>80</v>
      </c>
      <c r="Q1592">
        <v>75</v>
      </c>
      <c r="R1592">
        <v>77</v>
      </c>
      <c r="S1592">
        <v>80</v>
      </c>
      <c r="T1592">
        <v>45</v>
      </c>
      <c r="U1592">
        <v>0</v>
      </c>
      <c r="V1592" s="3">
        <f t="shared" si="97"/>
        <v>1127444</v>
      </c>
      <c r="W1592">
        <v>93953.666666666672</v>
      </c>
      <c r="X1592">
        <v>0</v>
      </c>
      <c r="Y1592">
        <f t="shared" si="98"/>
        <v>93953.666666666672</v>
      </c>
      <c r="Z1592">
        <f t="shared" si="99"/>
        <v>0</v>
      </c>
      <c r="AA1592">
        <v>0</v>
      </c>
    </row>
    <row r="1593" spans="1:27" x14ac:dyDescent="0.25">
      <c r="A1593" s="1">
        <v>1592</v>
      </c>
      <c r="B1593" t="s">
        <v>2566</v>
      </c>
      <c r="C1593" t="s">
        <v>1136</v>
      </c>
      <c r="D1593" t="s">
        <v>1145</v>
      </c>
      <c r="E1593" t="s">
        <v>1143</v>
      </c>
      <c r="H1593" t="s">
        <v>1153</v>
      </c>
      <c r="I1593" t="s">
        <v>1153</v>
      </c>
      <c r="J1593" t="s">
        <v>2715</v>
      </c>
      <c r="K1593" t="s">
        <v>1212</v>
      </c>
      <c r="M1593" s="3">
        <f t="shared" si="96"/>
        <v>48</v>
      </c>
      <c r="N1593">
        <v>6</v>
      </c>
      <c r="O1593">
        <v>60</v>
      </c>
      <c r="P1593">
        <v>54</v>
      </c>
      <c r="Q1593">
        <v>62</v>
      </c>
      <c r="R1593">
        <v>64</v>
      </c>
      <c r="S1593">
        <v>66</v>
      </c>
      <c r="T1593">
        <v>24</v>
      </c>
      <c r="U1593">
        <v>0</v>
      </c>
      <c r="V1593" s="3">
        <f t="shared" si="97"/>
        <v>64926</v>
      </c>
      <c r="W1593">
        <v>5410.5</v>
      </c>
      <c r="X1593">
        <v>0</v>
      </c>
      <c r="Y1593">
        <f t="shared" si="98"/>
        <v>5410.5</v>
      </c>
      <c r="Z1593">
        <f t="shared" si="99"/>
        <v>0</v>
      </c>
      <c r="AA1593">
        <v>0</v>
      </c>
    </row>
    <row r="1594" spans="1:27" x14ac:dyDescent="0.25">
      <c r="A1594" s="1">
        <v>1593</v>
      </c>
      <c r="B1594" t="s">
        <v>1129</v>
      </c>
      <c r="C1594" t="s">
        <v>1136</v>
      </c>
      <c r="D1594" t="s">
        <v>1144</v>
      </c>
      <c r="E1594" t="s">
        <v>1138</v>
      </c>
      <c r="F1594" t="s">
        <v>1143</v>
      </c>
      <c r="H1594" t="s">
        <v>1179</v>
      </c>
      <c r="I1594" t="s">
        <v>1179</v>
      </c>
      <c r="J1594" t="s">
        <v>2715</v>
      </c>
      <c r="K1594" t="s">
        <v>1212</v>
      </c>
      <c r="M1594" s="3">
        <f t="shared" si="96"/>
        <v>80</v>
      </c>
      <c r="N1594">
        <v>66</v>
      </c>
      <c r="O1594">
        <v>83</v>
      </c>
      <c r="P1594">
        <v>83</v>
      </c>
      <c r="Q1594">
        <v>84</v>
      </c>
      <c r="R1594">
        <v>85</v>
      </c>
      <c r="S1594">
        <v>90</v>
      </c>
      <c r="T1594">
        <v>69</v>
      </c>
      <c r="U1594">
        <v>26</v>
      </c>
      <c r="V1594" s="3">
        <f t="shared" si="97"/>
        <v>16106128</v>
      </c>
      <c r="W1594">
        <v>1041972</v>
      </c>
      <c r="X1594">
        <v>0</v>
      </c>
      <c r="Y1594">
        <f t="shared" si="98"/>
        <v>1342177.3333333333</v>
      </c>
      <c r="Z1594">
        <f t="shared" si="99"/>
        <v>-22.37</v>
      </c>
      <c r="AA1594">
        <v>0</v>
      </c>
    </row>
    <row r="1595" spans="1:27" x14ac:dyDescent="0.25">
      <c r="A1595" s="1">
        <v>1594</v>
      </c>
      <c r="B1595" t="s">
        <v>2571</v>
      </c>
      <c r="C1595" t="s">
        <v>1136</v>
      </c>
      <c r="D1595" t="s">
        <v>1143</v>
      </c>
      <c r="E1595" t="s">
        <v>1144</v>
      </c>
      <c r="H1595" t="s">
        <v>1153</v>
      </c>
      <c r="I1595" t="s">
        <v>1153</v>
      </c>
      <c r="J1595" t="s">
        <v>2715</v>
      </c>
      <c r="K1595" t="s">
        <v>1212</v>
      </c>
      <c r="M1595" s="3">
        <f t="shared" si="96"/>
        <v>58.285714285714285</v>
      </c>
      <c r="N1595">
        <v>13</v>
      </c>
      <c r="O1595">
        <v>73</v>
      </c>
      <c r="P1595">
        <v>66</v>
      </c>
      <c r="Q1595">
        <v>71</v>
      </c>
      <c r="R1595">
        <v>73</v>
      </c>
      <c r="S1595">
        <v>75</v>
      </c>
      <c r="T1595">
        <v>37</v>
      </c>
      <c r="U1595">
        <v>0</v>
      </c>
      <c r="V1595" s="3">
        <f t="shared" si="97"/>
        <v>452503</v>
      </c>
      <c r="W1595">
        <v>37708.583333333336</v>
      </c>
      <c r="X1595">
        <v>0</v>
      </c>
      <c r="Y1595">
        <f t="shared" si="98"/>
        <v>37708.583333333336</v>
      </c>
      <c r="Z1595">
        <f t="shared" si="99"/>
        <v>0</v>
      </c>
      <c r="AA1595">
        <v>0</v>
      </c>
    </row>
    <row r="1596" spans="1:27" x14ac:dyDescent="0.25">
      <c r="A1596" s="1">
        <v>1595</v>
      </c>
      <c r="B1596" t="s">
        <v>2579</v>
      </c>
      <c r="C1596" t="s">
        <v>1136</v>
      </c>
      <c r="D1596" t="s">
        <v>1145</v>
      </c>
      <c r="E1596" t="s">
        <v>1147</v>
      </c>
      <c r="H1596" t="s">
        <v>1153</v>
      </c>
      <c r="I1596" t="s">
        <v>1153</v>
      </c>
      <c r="J1596" t="s">
        <v>2715</v>
      </c>
      <c r="K1596" t="s">
        <v>1212</v>
      </c>
      <c r="M1596" s="3">
        <f t="shared" si="96"/>
        <v>54.428571428571431</v>
      </c>
      <c r="N1596">
        <v>10</v>
      </c>
      <c r="O1596">
        <v>69</v>
      </c>
      <c r="P1596">
        <v>62</v>
      </c>
      <c r="Q1596">
        <v>67</v>
      </c>
      <c r="R1596">
        <v>69</v>
      </c>
      <c r="S1596">
        <v>71</v>
      </c>
      <c r="T1596">
        <v>33</v>
      </c>
      <c r="U1596">
        <v>0</v>
      </c>
      <c r="V1596" s="3">
        <f t="shared" si="97"/>
        <v>228176</v>
      </c>
      <c r="W1596">
        <v>19014.666666666668</v>
      </c>
      <c r="X1596">
        <v>0</v>
      </c>
      <c r="Y1596">
        <f t="shared" si="98"/>
        <v>19014.666666666668</v>
      </c>
      <c r="Z1596">
        <f t="shared" si="99"/>
        <v>0</v>
      </c>
      <c r="AA1596">
        <v>0</v>
      </c>
    </row>
    <row r="1597" spans="1:27" x14ac:dyDescent="0.25">
      <c r="A1597" s="1">
        <v>1596</v>
      </c>
      <c r="B1597" t="s">
        <v>2165</v>
      </c>
      <c r="C1597" t="s">
        <v>1136</v>
      </c>
      <c r="D1597" t="s">
        <v>1144</v>
      </c>
      <c r="E1597" t="s">
        <v>1143</v>
      </c>
      <c r="H1597" t="s">
        <v>1153</v>
      </c>
      <c r="I1597" t="s">
        <v>1153</v>
      </c>
      <c r="J1597" t="s">
        <v>2715</v>
      </c>
      <c r="K1597" t="s">
        <v>1212</v>
      </c>
      <c r="M1597" s="3">
        <f t="shared" si="96"/>
        <v>53.428571428571431</v>
      </c>
      <c r="N1597">
        <v>9</v>
      </c>
      <c r="O1597">
        <v>68</v>
      </c>
      <c r="P1597">
        <v>60</v>
      </c>
      <c r="Q1597">
        <v>67</v>
      </c>
      <c r="R1597">
        <v>69</v>
      </c>
      <c r="S1597">
        <v>71</v>
      </c>
      <c r="T1597">
        <v>30</v>
      </c>
      <c r="U1597">
        <v>0</v>
      </c>
      <c r="V1597" s="3">
        <f t="shared" si="97"/>
        <v>189556</v>
      </c>
      <c r="W1597">
        <v>15796.333333333334</v>
      </c>
      <c r="X1597">
        <v>0</v>
      </c>
      <c r="Y1597">
        <f t="shared" si="98"/>
        <v>15796.333333333334</v>
      </c>
      <c r="Z1597">
        <f t="shared" si="99"/>
        <v>0</v>
      </c>
      <c r="AA1597">
        <v>0</v>
      </c>
    </row>
    <row r="1598" spans="1:27" x14ac:dyDescent="0.25">
      <c r="A1598" s="1">
        <v>1597</v>
      </c>
      <c r="B1598" t="s">
        <v>2167</v>
      </c>
      <c r="C1598" t="s">
        <v>1136</v>
      </c>
      <c r="D1598" t="s">
        <v>1147</v>
      </c>
      <c r="E1598" t="s">
        <v>1145</v>
      </c>
      <c r="H1598" t="s">
        <v>1153</v>
      </c>
      <c r="I1598" t="s">
        <v>1153</v>
      </c>
      <c r="J1598" t="s">
        <v>2715</v>
      </c>
      <c r="K1598" t="s">
        <v>1212</v>
      </c>
      <c r="M1598" s="3">
        <f t="shared" si="96"/>
        <v>56.142857142857146</v>
      </c>
      <c r="N1598">
        <v>11</v>
      </c>
      <c r="O1598">
        <v>71</v>
      </c>
      <c r="P1598">
        <v>64</v>
      </c>
      <c r="Q1598">
        <v>69</v>
      </c>
      <c r="R1598">
        <v>71</v>
      </c>
      <c r="S1598">
        <v>73</v>
      </c>
      <c r="T1598">
        <v>34</v>
      </c>
      <c r="U1598">
        <v>0</v>
      </c>
      <c r="V1598" s="3">
        <f t="shared" si="97"/>
        <v>311133</v>
      </c>
      <c r="W1598">
        <v>25927.75</v>
      </c>
      <c r="X1598">
        <v>0</v>
      </c>
      <c r="Y1598">
        <f t="shared" si="98"/>
        <v>25927.75</v>
      </c>
      <c r="Z1598">
        <f t="shared" si="99"/>
        <v>0</v>
      </c>
      <c r="AA1598">
        <v>0</v>
      </c>
    </row>
    <row r="1599" spans="1:27" x14ac:dyDescent="0.25">
      <c r="A1599" s="1">
        <v>1598</v>
      </c>
      <c r="B1599" t="s">
        <v>2602</v>
      </c>
      <c r="C1599" t="s">
        <v>1136</v>
      </c>
      <c r="D1599" t="s">
        <v>1146</v>
      </c>
      <c r="E1599" t="s">
        <v>1144</v>
      </c>
      <c r="H1599" t="s">
        <v>1153</v>
      </c>
      <c r="I1599" t="s">
        <v>1153</v>
      </c>
      <c r="J1599" t="s">
        <v>2715</v>
      </c>
      <c r="K1599" t="s">
        <v>1212</v>
      </c>
      <c r="M1599" s="3">
        <f t="shared" si="96"/>
        <v>49.857142857142854</v>
      </c>
      <c r="N1599">
        <v>7</v>
      </c>
      <c r="O1599">
        <v>64</v>
      </c>
      <c r="P1599">
        <v>57</v>
      </c>
      <c r="Q1599">
        <v>63</v>
      </c>
      <c r="R1599">
        <v>65</v>
      </c>
      <c r="S1599">
        <v>67</v>
      </c>
      <c r="T1599">
        <v>26</v>
      </c>
      <c r="U1599">
        <v>0</v>
      </c>
      <c r="V1599" s="3">
        <f t="shared" si="97"/>
        <v>94902</v>
      </c>
      <c r="W1599">
        <v>7908.5</v>
      </c>
      <c r="X1599">
        <v>0</v>
      </c>
      <c r="Y1599">
        <f t="shared" si="98"/>
        <v>7908.5</v>
      </c>
      <c r="Z1599">
        <f t="shared" si="99"/>
        <v>0</v>
      </c>
      <c r="AA1599">
        <v>0</v>
      </c>
    </row>
    <row r="1600" spans="1:27" x14ac:dyDescent="0.25">
      <c r="A1600" s="1">
        <v>1599</v>
      </c>
      <c r="B1600" t="s">
        <v>2170</v>
      </c>
      <c r="C1600" t="s">
        <v>1136</v>
      </c>
      <c r="D1600" t="s">
        <v>1147</v>
      </c>
      <c r="E1600" t="s">
        <v>1145</v>
      </c>
      <c r="H1600" t="s">
        <v>1153</v>
      </c>
      <c r="I1600" t="s">
        <v>1153</v>
      </c>
      <c r="J1600" t="s">
        <v>2715</v>
      </c>
      <c r="K1600" t="s">
        <v>1212</v>
      </c>
      <c r="M1600" s="3">
        <f t="shared" si="96"/>
        <v>62.571428571428569</v>
      </c>
      <c r="N1600">
        <v>14</v>
      </c>
      <c r="O1600">
        <v>73</v>
      </c>
      <c r="P1600">
        <v>77</v>
      </c>
      <c r="Q1600">
        <v>75</v>
      </c>
      <c r="R1600">
        <v>77</v>
      </c>
      <c r="S1600">
        <v>79</v>
      </c>
      <c r="T1600">
        <v>43</v>
      </c>
      <c r="U1600">
        <v>0</v>
      </c>
      <c r="V1600" s="3">
        <f t="shared" si="97"/>
        <v>919943</v>
      </c>
      <c r="W1600">
        <v>76661.916666666672</v>
      </c>
      <c r="X1600">
        <v>0</v>
      </c>
      <c r="Y1600">
        <f t="shared" si="98"/>
        <v>76661.916666666672</v>
      </c>
      <c r="Z1600">
        <f t="shared" si="99"/>
        <v>0</v>
      </c>
      <c r="AA1600">
        <v>0</v>
      </c>
    </row>
    <row r="1601" spans="1:27" x14ac:dyDescent="0.25">
      <c r="A1601" s="1">
        <v>1600</v>
      </c>
      <c r="B1601" t="s">
        <v>2161</v>
      </c>
      <c r="C1601" t="s">
        <v>1137</v>
      </c>
      <c r="D1601" t="s">
        <v>1137</v>
      </c>
      <c r="H1601" t="s">
        <v>1153</v>
      </c>
      <c r="I1601" t="s">
        <v>1153</v>
      </c>
      <c r="J1601" t="s">
        <v>2715</v>
      </c>
      <c r="K1601" t="s">
        <v>1212</v>
      </c>
      <c r="M1601" s="3">
        <f t="shared" si="96"/>
        <v>51.285714285714285</v>
      </c>
      <c r="N1601">
        <v>9</v>
      </c>
      <c r="O1601">
        <v>65</v>
      </c>
      <c r="P1601">
        <v>57</v>
      </c>
      <c r="Q1601">
        <v>64</v>
      </c>
      <c r="R1601">
        <v>66</v>
      </c>
      <c r="S1601">
        <v>68</v>
      </c>
      <c r="T1601">
        <v>30</v>
      </c>
      <c r="U1601">
        <v>0</v>
      </c>
      <c r="V1601" s="3">
        <f t="shared" si="97"/>
        <v>125883</v>
      </c>
      <c r="W1601">
        <v>10490.25</v>
      </c>
      <c r="X1601">
        <v>0</v>
      </c>
      <c r="Y1601">
        <f t="shared" si="98"/>
        <v>10490.25</v>
      </c>
      <c r="Z1601">
        <f t="shared" si="99"/>
        <v>0</v>
      </c>
      <c r="AA1601">
        <v>0</v>
      </c>
    </row>
    <row r="1602" spans="1:27" x14ac:dyDescent="0.25">
      <c r="A1602" s="1">
        <v>1601</v>
      </c>
      <c r="B1602" t="s">
        <v>430</v>
      </c>
      <c r="C1602" t="s">
        <v>1135</v>
      </c>
      <c r="D1602" t="s">
        <v>1141</v>
      </c>
      <c r="E1602" t="s">
        <v>1145</v>
      </c>
      <c r="G1602" t="s">
        <v>1148</v>
      </c>
      <c r="H1602" t="s">
        <v>1148</v>
      </c>
      <c r="I1602" t="s">
        <v>1148</v>
      </c>
      <c r="J1602" t="s">
        <v>1282</v>
      </c>
      <c r="K1602" t="s">
        <v>1326</v>
      </c>
      <c r="M1602" s="3">
        <f t="shared" ref="M1602:M1665" si="100">AVERAGE(N1602:T1602)</f>
        <v>80.714285714285708</v>
      </c>
      <c r="N1602">
        <v>75</v>
      </c>
      <c r="O1602">
        <v>83</v>
      </c>
      <c r="P1602">
        <v>90</v>
      </c>
      <c r="Q1602">
        <v>82</v>
      </c>
      <c r="R1602">
        <v>80</v>
      </c>
      <c r="S1602">
        <v>85</v>
      </c>
      <c r="T1602">
        <v>70</v>
      </c>
      <c r="U1602">
        <v>7</v>
      </c>
      <c r="V1602" s="3">
        <f t="shared" ref="V1602:V1665" si="101">ROUNDUP(M1602^10/1000000000000 * IF(U1602&gt;0,1.5,1),0)</f>
        <v>17603351</v>
      </c>
      <c r="W1602">
        <v>1466945.9166666667</v>
      </c>
      <c r="X1602">
        <v>0</v>
      </c>
      <c r="Y1602">
        <f t="shared" ref="Y1602:Y1665" si="102">V1602/12</f>
        <v>1466945.9166666667</v>
      </c>
      <c r="Z1602">
        <f t="shared" ref="Z1602:Z1665" si="103">ROUND(((W1602-Y1602)/Y1602)*100,2)</f>
        <v>0</v>
      </c>
      <c r="AA1602">
        <v>0</v>
      </c>
    </row>
    <row r="1603" spans="1:27" x14ac:dyDescent="0.25">
      <c r="A1603" s="1">
        <v>1602</v>
      </c>
      <c r="B1603" t="s">
        <v>2520</v>
      </c>
      <c r="C1603" t="s">
        <v>1133</v>
      </c>
      <c r="D1603" t="s">
        <v>1133</v>
      </c>
      <c r="H1603" t="s">
        <v>1152</v>
      </c>
      <c r="I1603" t="s">
        <v>1152</v>
      </c>
      <c r="J1603" t="s">
        <v>2519</v>
      </c>
      <c r="K1603" t="s">
        <v>1212</v>
      </c>
      <c r="M1603" s="3">
        <f t="shared" si="100"/>
        <v>31.857142857142858</v>
      </c>
      <c r="N1603">
        <v>10</v>
      </c>
      <c r="O1603">
        <v>41</v>
      </c>
      <c r="P1603">
        <v>33</v>
      </c>
      <c r="Q1603">
        <v>37</v>
      </c>
      <c r="R1603">
        <v>39</v>
      </c>
      <c r="S1603">
        <v>41</v>
      </c>
      <c r="T1603">
        <v>22</v>
      </c>
      <c r="U1603">
        <v>0</v>
      </c>
      <c r="V1603" s="3">
        <f t="shared" si="101"/>
        <v>1077</v>
      </c>
      <c r="W1603">
        <v>89.75</v>
      </c>
      <c r="X1603">
        <v>0</v>
      </c>
      <c r="Y1603">
        <f t="shared" si="102"/>
        <v>89.75</v>
      </c>
      <c r="Z1603">
        <f t="shared" si="103"/>
        <v>0</v>
      </c>
      <c r="AA1603">
        <v>0</v>
      </c>
    </row>
    <row r="1604" spans="1:27" x14ac:dyDescent="0.25">
      <c r="A1604" s="1">
        <v>1603</v>
      </c>
      <c r="B1604" t="s">
        <v>2521</v>
      </c>
      <c r="C1604" t="s">
        <v>1133</v>
      </c>
      <c r="D1604" t="s">
        <v>1133</v>
      </c>
      <c r="H1604" t="s">
        <v>1152</v>
      </c>
      <c r="I1604" t="s">
        <v>1152</v>
      </c>
      <c r="J1604" t="s">
        <v>2519</v>
      </c>
      <c r="K1604" t="s">
        <v>1212</v>
      </c>
      <c r="M1604" s="3">
        <f t="shared" si="100"/>
        <v>28</v>
      </c>
      <c r="N1604">
        <v>8</v>
      </c>
      <c r="O1604">
        <v>35</v>
      </c>
      <c r="P1604">
        <v>29</v>
      </c>
      <c r="Q1604">
        <v>33</v>
      </c>
      <c r="R1604">
        <v>35</v>
      </c>
      <c r="S1604">
        <v>37</v>
      </c>
      <c r="T1604">
        <v>19</v>
      </c>
      <c r="U1604">
        <v>0</v>
      </c>
      <c r="V1604" s="3">
        <f t="shared" si="101"/>
        <v>297</v>
      </c>
      <c r="W1604">
        <v>24.75</v>
      </c>
      <c r="X1604">
        <v>0</v>
      </c>
      <c r="Y1604">
        <f t="shared" si="102"/>
        <v>24.75</v>
      </c>
      <c r="Z1604">
        <f t="shared" si="103"/>
        <v>0</v>
      </c>
      <c r="AA1604">
        <v>0</v>
      </c>
    </row>
    <row r="1605" spans="1:27" x14ac:dyDescent="0.25">
      <c r="A1605" s="1">
        <v>1604</v>
      </c>
      <c r="B1605" t="s">
        <v>2525</v>
      </c>
      <c r="C1605" t="s">
        <v>1134</v>
      </c>
      <c r="D1605" t="s">
        <v>1140</v>
      </c>
      <c r="E1605" t="s">
        <v>1138</v>
      </c>
      <c r="H1605" t="s">
        <v>1152</v>
      </c>
      <c r="I1605" t="s">
        <v>1152</v>
      </c>
      <c r="J1605" t="s">
        <v>2519</v>
      </c>
      <c r="K1605" t="s">
        <v>1212</v>
      </c>
      <c r="M1605" s="3">
        <f t="shared" si="100"/>
        <v>31.571428571428573</v>
      </c>
      <c r="N1605">
        <v>9</v>
      </c>
      <c r="O1605">
        <v>41</v>
      </c>
      <c r="P1605">
        <v>33</v>
      </c>
      <c r="Q1605">
        <v>37</v>
      </c>
      <c r="R1605">
        <v>39</v>
      </c>
      <c r="S1605">
        <v>41</v>
      </c>
      <c r="T1605">
        <v>21</v>
      </c>
      <c r="U1605">
        <v>0</v>
      </c>
      <c r="V1605" s="3">
        <f t="shared" si="101"/>
        <v>984</v>
      </c>
      <c r="W1605">
        <v>82</v>
      </c>
      <c r="X1605">
        <v>0</v>
      </c>
      <c r="Y1605">
        <f t="shared" si="102"/>
        <v>82</v>
      </c>
      <c r="Z1605">
        <f t="shared" si="103"/>
        <v>0</v>
      </c>
      <c r="AA1605">
        <v>0</v>
      </c>
    </row>
    <row r="1606" spans="1:27" x14ac:dyDescent="0.25">
      <c r="A1606" s="1">
        <v>1605</v>
      </c>
      <c r="B1606" t="s">
        <v>2527</v>
      </c>
      <c r="C1606" t="s">
        <v>1134</v>
      </c>
      <c r="D1606" t="s">
        <v>1139</v>
      </c>
      <c r="E1606" t="s">
        <v>1138</v>
      </c>
      <c r="H1606" t="s">
        <v>1152</v>
      </c>
      <c r="I1606" t="s">
        <v>1152</v>
      </c>
      <c r="J1606" t="s">
        <v>2519</v>
      </c>
      <c r="K1606" t="s">
        <v>1212</v>
      </c>
      <c r="M1606" s="3">
        <f t="shared" si="100"/>
        <v>33.857142857142854</v>
      </c>
      <c r="N1606">
        <v>11</v>
      </c>
      <c r="O1606">
        <v>45</v>
      </c>
      <c r="P1606">
        <v>35</v>
      </c>
      <c r="Q1606">
        <v>39</v>
      </c>
      <c r="R1606">
        <v>41</v>
      </c>
      <c r="S1606">
        <v>43</v>
      </c>
      <c r="T1606">
        <v>23</v>
      </c>
      <c r="U1606">
        <v>0</v>
      </c>
      <c r="V1606" s="3">
        <f t="shared" si="101"/>
        <v>1980</v>
      </c>
      <c r="W1606">
        <v>165</v>
      </c>
      <c r="X1606">
        <v>0</v>
      </c>
      <c r="Y1606">
        <f t="shared" si="102"/>
        <v>165</v>
      </c>
      <c r="Z1606">
        <f t="shared" si="103"/>
        <v>0</v>
      </c>
      <c r="AA1606">
        <v>0</v>
      </c>
    </row>
    <row r="1607" spans="1:27" x14ac:dyDescent="0.25">
      <c r="A1607" s="1">
        <v>1606</v>
      </c>
      <c r="B1607" t="s">
        <v>2524</v>
      </c>
      <c r="C1607" t="s">
        <v>1134</v>
      </c>
      <c r="D1607" t="s">
        <v>1138</v>
      </c>
      <c r="E1607" t="s">
        <v>1139</v>
      </c>
      <c r="H1607" t="s">
        <v>1152</v>
      </c>
      <c r="I1607" t="s">
        <v>1152</v>
      </c>
      <c r="J1607" t="s">
        <v>2519</v>
      </c>
      <c r="K1607" t="s">
        <v>1212</v>
      </c>
      <c r="M1607" s="3">
        <f t="shared" si="100"/>
        <v>35.571428571428569</v>
      </c>
      <c r="N1607">
        <v>12</v>
      </c>
      <c r="O1607">
        <v>47</v>
      </c>
      <c r="P1607">
        <v>37</v>
      </c>
      <c r="Q1607">
        <v>41</v>
      </c>
      <c r="R1607">
        <v>43</v>
      </c>
      <c r="S1607">
        <v>45</v>
      </c>
      <c r="T1607">
        <v>24</v>
      </c>
      <c r="U1607">
        <v>0</v>
      </c>
      <c r="V1607" s="3">
        <f t="shared" si="101"/>
        <v>3244</v>
      </c>
      <c r="W1607">
        <v>270.33333333333331</v>
      </c>
      <c r="X1607">
        <v>0</v>
      </c>
      <c r="Y1607">
        <f t="shared" si="102"/>
        <v>270.33333333333331</v>
      </c>
      <c r="Z1607">
        <f t="shared" si="103"/>
        <v>0</v>
      </c>
      <c r="AA1607">
        <v>0</v>
      </c>
    </row>
    <row r="1608" spans="1:27" x14ac:dyDescent="0.25">
      <c r="A1608" s="1">
        <v>1607</v>
      </c>
      <c r="B1608" t="s">
        <v>2526</v>
      </c>
      <c r="C1608" t="s">
        <v>1134</v>
      </c>
      <c r="D1608" t="s">
        <v>1140</v>
      </c>
      <c r="E1608" t="s">
        <v>1139</v>
      </c>
      <c r="H1608" t="s">
        <v>1152</v>
      </c>
      <c r="I1608" t="s">
        <v>1152</v>
      </c>
      <c r="J1608" t="s">
        <v>2519</v>
      </c>
      <c r="K1608" t="s">
        <v>1212</v>
      </c>
      <c r="M1608" s="3">
        <f t="shared" si="100"/>
        <v>27.714285714285715</v>
      </c>
      <c r="N1608">
        <v>7</v>
      </c>
      <c r="O1608">
        <v>35</v>
      </c>
      <c r="P1608">
        <v>29</v>
      </c>
      <c r="Q1608">
        <v>33</v>
      </c>
      <c r="R1608">
        <v>35</v>
      </c>
      <c r="S1608">
        <v>37</v>
      </c>
      <c r="T1608">
        <v>18</v>
      </c>
      <c r="U1608">
        <v>0</v>
      </c>
      <c r="V1608" s="3">
        <f t="shared" si="101"/>
        <v>268</v>
      </c>
      <c r="W1608">
        <v>22.333333333333332</v>
      </c>
      <c r="X1608">
        <v>0</v>
      </c>
      <c r="Y1608">
        <f t="shared" si="102"/>
        <v>22.333333333333332</v>
      </c>
      <c r="Z1608">
        <f t="shared" si="103"/>
        <v>0</v>
      </c>
      <c r="AA1608">
        <v>0</v>
      </c>
    </row>
    <row r="1609" spans="1:27" x14ac:dyDescent="0.25">
      <c r="A1609" s="1">
        <v>1608</v>
      </c>
      <c r="B1609" t="s">
        <v>1318</v>
      </c>
      <c r="C1609" t="s">
        <v>1134</v>
      </c>
      <c r="D1609" t="s">
        <v>1138</v>
      </c>
      <c r="H1609" t="s">
        <v>1152</v>
      </c>
      <c r="I1609" t="s">
        <v>1152</v>
      </c>
      <c r="J1609" t="s">
        <v>2519</v>
      </c>
      <c r="K1609" t="s">
        <v>1212</v>
      </c>
      <c r="M1609" s="3">
        <f t="shared" si="100"/>
        <v>29.714285714285715</v>
      </c>
      <c r="N1609">
        <v>13</v>
      </c>
      <c r="O1609">
        <v>25</v>
      </c>
      <c r="P1609">
        <v>37</v>
      </c>
      <c r="Q1609">
        <v>26</v>
      </c>
      <c r="R1609">
        <v>36</v>
      </c>
      <c r="S1609">
        <v>50</v>
      </c>
      <c r="T1609">
        <v>21</v>
      </c>
      <c r="U1609">
        <v>0</v>
      </c>
      <c r="V1609" s="3">
        <f t="shared" si="101"/>
        <v>537</v>
      </c>
      <c r="W1609">
        <v>44.75</v>
      </c>
      <c r="X1609">
        <v>0</v>
      </c>
      <c r="Y1609">
        <f t="shared" si="102"/>
        <v>44.75</v>
      </c>
      <c r="Z1609">
        <f t="shared" si="103"/>
        <v>0</v>
      </c>
      <c r="AA1609">
        <v>0</v>
      </c>
    </row>
    <row r="1610" spans="1:27" x14ac:dyDescent="0.25">
      <c r="A1610" s="1">
        <v>1609</v>
      </c>
      <c r="B1610" t="s">
        <v>2523</v>
      </c>
      <c r="C1610" t="s">
        <v>1134</v>
      </c>
      <c r="D1610" t="s">
        <v>1138</v>
      </c>
      <c r="E1610" t="s">
        <v>1144</v>
      </c>
      <c r="H1610" t="s">
        <v>1152</v>
      </c>
      <c r="I1610" t="s">
        <v>1152</v>
      </c>
      <c r="J1610" t="s">
        <v>2519</v>
      </c>
      <c r="K1610" t="s">
        <v>1212</v>
      </c>
      <c r="M1610" s="3">
        <f t="shared" si="100"/>
        <v>24.571428571428573</v>
      </c>
      <c r="N1610">
        <v>6</v>
      </c>
      <c r="O1610">
        <v>31</v>
      </c>
      <c r="P1610">
        <v>25</v>
      </c>
      <c r="Q1610">
        <v>29</v>
      </c>
      <c r="R1610">
        <v>31</v>
      </c>
      <c r="S1610">
        <v>33</v>
      </c>
      <c r="T1610">
        <v>17</v>
      </c>
      <c r="U1610">
        <v>0</v>
      </c>
      <c r="V1610" s="3">
        <f t="shared" si="101"/>
        <v>81</v>
      </c>
      <c r="W1610">
        <v>6.75</v>
      </c>
      <c r="X1610">
        <v>0</v>
      </c>
      <c r="Y1610">
        <f t="shared" si="102"/>
        <v>6.75</v>
      </c>
      <c r="Z1610">
        <f t="shared" si="103"/>
        <v>0</v>
      </c>
      <c r="AA1610">
        <v>0</v>
      </c>
    </row>
    <row r="1611" spans="1:27" x14ac:dyDescent="0.25">
      <c r="A1611" s="1">
        <v>1610</v>
      </c>
      <c r="B1611" t="s">
        <v>2536</v>
      </c>
      <c r="C1611" t="s">
        <v>1135</v>
      </c>
      <c r="D1611" t="s">
        <v>1141</v>
      </c>
      <c r="E1611" t="s">
        <v>1142</v>
      </c>
      <c r="H1611" t="s">
        <v>1152</v>
      </c>
      <c r="I1611" t="s">
        <v>1152</v>
      </c>
      <c r="J1611" t="s">
        <v>2519</v>
      </c>
      <c r="K1611" t="s">
        <v>1212</v>
      </c>
      <c r="M1611" s="3">
        <f t="shared" si="100"/>
        <v>51.857142857142854</v>
      </c>
      <c r="N1611">
        <v>18</v>
      </c>
      <c r="O1611">
        <v>65</v>
      </c>
      <c r="P1611">
        <v>57</v>
      </c>
      <c r="Q1611">
        <v>59</v>
      </c>
      <c r="R1611">
        <v>61</v>
      </c>
      <c r="S1611">
        <v>63</v>
      </c>
      <c r="T1611">
        <v>40</v>
      </c>
      <c r="U1611">
        <v>0</v>
      </c>
      <c r="V1611" s="3">
        <f t="shared" si="101"/>
        <v>140633</v>
      </c>
      <c r="W1611">
        <v>11719.416666666666</v>
      </c>
      <c r="X1611">
        <v>0</v>
      </c>
      <c r="Y1611">
        <f t="shared" si="102"/>
        <v>11719.416666666666</v>
      </c>
      <c r="Z1611">
        <f t="shared" si="103"/>
        <v>0</v>
      </c>
      <c r="AA1611">
        <v>0</v>
      </c>
    </row>
    <row r="1612" spans="1:27" x14ac:dyDescent="0.25">
      <c r="A1612" s="1">
        <v>1611</v>
      </c>
      <c r="B1612" t="s">
        <v>2535</v>
      </c>
      <c r="C1612" t="s">
        <v>1135</v>
      </c>
      <c r="D1612" t="s">
        <v>1142</v>
      </c>
      <c r="E1612" t="s">
        <v>1141</v>
      </c>
      <c r="H1612" t="s">
        <v>1152</v>
      </c>
      <c r="I1612" t="s">
        <v>1152</v>
      </c>
      <c r="J1612" t="s">
        <v>2519</v>
      </c>
      <c r="K1612" t="s">
        <v>1212</v>
      </c>
      <c r="M1612" s="3">
        <f t="shared" si="100"/>
        <v>32.571428571428569</v>
      </c>
      <c r="N1612">
        <v>10</v>
      </c>
      <c r="O1612">
        <v>41</v>
      </c>
      <c r="P1612">
        <v>33</v>
      </c>
      <c r="Q1612">
        <v>39</v>
      </c>
      <c r="R1612">
        <v>41</v>
      </c>
      <c r="S1612">
        <v>43</v>
      </c>
      <c r="T1612">
        <v>21</v>
      </c>
      <c r="U1612">
        <v>0</v>
      </c>
      <c r="V1612" s="3">
        <f t="shared" si="101"/>
        <v>1344</v>
      </c>
      <c r="W1612">
        <v>112</v>
      </c>
      <c r="X1612">
        <v>0</v>
      </c>
      <c r="Y1612">
        <f t="shared" si="102"/>
        <v>112</v>
      </c>
      <c r="Z1612">
        <f t="shared" si="103"/>
        <v>0</v>
      </c>
      <c r="AA1612">
        <v>0</v>
      </c>
    </row>
    <row r="1613" spans="1:27" x14ac:dyDescent="0.25">
      <c r="A1613" s="1">
        <v>1612</v>
      </c>
      <c r="B1613" t="s">
        <v>2531</v>
      </c>
      <c r="C1613" t="s">
        <v>1136</v>
      </c>
      <c r="D1613" t="s">
        <v>1143</v>
      </c>
      <c r="E1613" t="s">
        <v>1146</v>
      </c>
      <c r="H1613" t="s">
        <v>1152</v>
      </c>
      <c r="I1613" t="s">
        <v>1152</v>
      </c>
      <c r="J1613" t="s">
        <v>2519</v>
      </c>
      <c r="K1613" t="s">
        <v>1212</v>
      </c>
      <c r="M1613" s="3">
        <f t="shared" si="100"/>
        <v>33</v>
      </c>
      <c r="N1613">
        <v>10</v>
      </c>
      <c r="O1613">
        <v>43</v>
      </c>
      <c r="P1613">
        <v>33</v>
      </c>
      <c r="Q1613">
        <v>39</v>
      </c>
      <c r="R1613">
        <v>41</v>
      </c>
      <c r="S1613">
        <v>43</v>
      </c>
      <c r="T1613">
        <v>22</v>
      </c>
      <c r="U1613">
        <v>0</v>
      </c>
      <c r="V1613" s="3">
        <f t="shared" si="101"/>
        <v>1532</v>
      </c>
      <c r="W1613">
        <v>127.66666666666667</v>
      </c>
      <c r="X1613">
        <v>0</v>
      </c>
      <c r="Y1613">
        <f t="shared" si="102"/>
        <v>127.66666666666667</v>
      </c>
      <c r="Z1613">
        <f t="shared" si="103"/>
        <v>0</v>
      </c>
      <c r="AA1613">
        <v>0</v>
      </c>
    </row>
    <row r="1614" spans="1:27" x14ac:dyDescent="0.25">
      <c r="A1614" s="1">
        <v>1613</v>
      </c>
      <c r="B1614" t="s">
        <v>2533</v>
      </c>
      <c r="C1614" t="s">
        <v>1136</v>
      </c>
      <c r="D1614" t="s">
        <v>1145</v>
      </c>
      <c r="E1614" t="s">
        <v>1147</v>
      </c>
      <c r="H1614" t="s">
        <v>1152</v>
      </c>
      <c r="I1614" t="s">
        <v>1152</v>
      </c>
      <c r="J1614" t="s">
        <v>2519</v>
      </c>
      <c r="K1614" t="s">
        <v>1212</v>
      </c>
      <c r="M1614" s="3">
        <f t="shared" si="100"/>
        <v>34.714285714285715</v>
      </c>
      <c r="N1614">
        <v>11</v>
      </c>
      <c r="O1614">
        <v>45</v>
      </c>
      <c r="P1614">
        <v>35</v>
      </c>
      <c r="Q1614">
        <v>41</v>
      </c>
      <c r="R1614">
        <v>43</v>
      </c>
      <c r="S1614">
        <v>45</v>
      </c>
      <c r="T1614">
        <v>23</v>
      </c>
      <c r="U1614">
        <v>0</v>
      </c>
      <c r="V1614" s="3">
        <f t="shared" si="101"/>
        <v>2542</v>
      </c>
      <c r="W1614">
        <v>211.83333333333334</v>
      </c>
      <c r="X1614">
        <v>0</v>
      </c>
      <c r="Y1614">
        <f t="shared" si="102"/>
        <v>211.83333333333334</v>
      </c>
      <c r="Z1614">
        <f t="shared" si="103"/>
        <v>0</v>
      </c>
      <c r="AA1614">
        <v>0</v>
      </c>
    </row>
    <row r="1615" spans="1:27" x14ac:dyDescent="0.25">
      <c r="A1615" s="1">
        <v>1614</v>
      </c>
      <c r="B1615" t="s">
        <v>2528</v>
      </c>
      <c r="C1615" t="s">
        <v>1136</v>
      </c>
      <c r="D1615" t="s">
        <v>1144</v>
      </c>
      <c r="E1615" t="s">
        <v>1143</v>
      </c>
      <c r="H1615" t="s">
        <v>1152</v>
      </c>
      <c r="I1615" t="s">
        <v>1152</v>
      </c>
      <c r="J1615" t="s">
        <v>2519</v>
      </c>
      <c r="K1615" t="s">
        <v>1212</v>
      </c>
      <c r="M1615" s="3">
        <f t="shared" si="100"/>
        <v>30.857142857142858</v>
      </c>
      <c r="N1615">
        <v>9</v>
      </c>
      <c r="O1615">
        <v>39</v>
      </c>
      <c r="P1615">
        <v>31</v>
      </c>
      <c r="Q1615">
        <v>37</v>
      </c>
      <c r="R1615">
        <v>39</v>
      </c>
      <c r="S1615">
        <v>41</v>
      </c>
      <c r="T1615">
        <v>20</v>
      </c>
      <c r="U1615">
        <v>0</v>
      </c>
      <c r="V1615" s="3">
        <f t="shared" si="101"/>
        <v>783</v>
      </c>
      <c r="W1615">
        <v>65.25</v>
      </c>
      <c r="X1615">
        <v>0</v>
      </c>
      <c r="Y1615">
        <f t="shared" si="102"/>
        <v>65.25</v>
      </c>
      <c r="Z1615">
        <f t="shared" si="103"/>
        <v>0</v>
      </c>
      <c r="AA1615">
        <v>0</v>
      </c>
    </row>
    <row r="1616" spans="1:27" x14ac:dyDescent="0.25">
      <c r="A1616" s="1">
        <v>1615</v>
      </c>
      <c r="B1616" t="s">
        <v>2537</v>
      </c>
      <c r="C1616" t="s">
        <v>1136</v>
      </c>
      <c r="D1616" t="s">
        <v>1147</v>
      </c>
      <c r="E1616" t="s">
        <v>1145</v>
      </c>
      <c r="H1616" t="s">
        <v>1152</v>
      </c>
      <c r="I1616" t="s">
        <v>1152</v>
      </c>
      <c r="J1616" t="s">
        <v>2519</v>
      </c>
      <c r="K1616" t="s">
        <v>1212</v>
      </c>
      <c r="M1616" s="3">
        <f t="shared" si="100"/>
        <v>48.571428571428569</v>
      </c>
      <c r="N1616">
        <v>15</v>
      </c>
      <c r="O1616">
        <v>59</v>
      </c>
      <c r="P1616">
        <v>53</v>
      </c>
      <c r="Q1616">
        <v>57</v>
      </c>
      <c r="R1616">
        <v>59</v>
      </c>
      <c r="S1616">
        <v>61</v>
      </c>
      <c r="T1616">
        <v>36</v>
      </c>
      <c r="U1616">
        <v>0</v>
      </c>
      <c r="V1616" s="3">
        <f t="shared" si="101"/>
        <v>73082</v>
      </c>
      <c r="W1616">
        <v>6090.166666666667</v>
      </c>
      <c r="X1616">
        <v>0</v>
      </c>
      <c r="Y1616">
        <f t="shared" si="102"/>
        <v>6090.166666666667</v>
      </c>
      <c r="Z1616">
        <f t="shared" si="103"/>
        <v>0</v>
      </c>
      <c r="AA1616">
        <v>0</v>
      </c>
    </row>
    <row r="1617" spans="1:27" x14ac:dyDescent="0.25">
      <c r="A1617" s="1">
        <v>1616</v>
      </c>
      <c r="B1617" t="s">
        <v>2538</v>
      </c>
      <c r="C1617" t="s">
        <v>1136</v>
      </c>
      <c r="D1617" t="s">
        <v>1144</v>
      </c>
      <c r="E1617" t="s">
        <v>1143</v>
      </c>
      <c r="H1617" t="s">
        <v>1152</v>
      </c>
      <c r="I1617" t="s">
        <v>1152</v>
      </c>
      <c r="J1617" t="s">
        <v>2519</v>
      </c>
      <c r="K1617" t="s">
        <v>1212</v>
      </c>
      <c r="M1617" s="3">
        <f t="shared" si="100"/>
        <v>28.285714285714285</v>
      </c>
      <c r="N1617">
        <v>8</v>
      </c>
      <c r="O1617">
        <v>37</v>
      </c>
      <c r="P1617">
        <v>29</v>
      </c>
      <c r="Q1617">
        <v>33</v>
      </c>
      <c r="R1617">
        <v>35</v>
      </c>
      <c r="S1617">
        <v>37</v>
      </c>
      <c r="T1617">
        <v>19</v>
      </c>
      <c r="U1617">
        <v>0</v>
      </c>
      <c r="V1617" s="3">
        <f t="shared" si="101"/>
        <v>328</v>
      </c>
      <c r="W1617">
        <v>27.333333333333332</v>
      </c>
      <c r="X1617">
        <v>0</v>
      </c>
      <c r="Y1617">
        <f t="shared" si="102"/>
        <v>27.333333333333332</v>
      </c>
      <c r="Z1617">
        <f t="shared" si="103"/>
        <v>0</v>
      </c>
      <c r="AA1617">
        <v>0</v>
      </c>
    </row>
    <row r="1618" spans="1:27" x14ac:dyDescent="0.25">
      <c r="A1618" s="1">
        <v>1617</v>
      </c>
      <c r="B1618" t="s">
        <v>2532</v>
      </c>
      <c r="C1618" t="s">
        <v>1136</v>
      </c>
      <c r="D1618" t="s">
        <v>1145</v>
      </c>
      <c r="E1618" t="s">
        <v>1143</v>
      </c>
      <c r="H1618" t="s">
        <v>1152</v>
      </c>
      <c r="I1618" t="s">
        <v>1152</v>
      </c>
      <c r="J1618" t="s">
        <v>2519</v>
      </c>
      <c r="K1618" t="s">
        <v>1212</v>
      </c>
      <c r="M1618" s="3">
        <f t="shared" si="100"/>
        <v>26.285714285714285</v>
      </c>
      <c r="N1618">
        <v>7</v>
      </c>
      <c r="O1618">
        <v>33</v>
      </c>
      <c r="P1618">
        <v>27</v>
      </c>
      <c r="Q1618">
        <v>31</v>
      </c>
      <c r="R1618">
        <v>33</v>
      </c>
      <c r="S1618">
        <v>35</v>
      </c>
      <c r="T1618">
        <v>18</v>
      </c>
      <c r="U1618">
        <v>0</v>
      </c>
      <c r="V1618" s="3">
        <f t="shared" si="101"/>
        <v>158</v>
      </c>
      <c r="W1618">
        <v>13.166666666666666</v>
      </c>
      <c r="X1618">
        <v>0</v>
      </c>
      <c r="Y1618">
        <f t="shared" si="102"/>
        <v>13.166666666666666</v>
      </c>
      <c r="Z1618">
        <f t="shared" si="103"/>
        <v>0</v>
      </c>
      <c r="AA1618">
        <v>0</v>
      </c>
    </row>
    <row r="1619" spans="1:27" x14ac:dyDescent="0.25">
      <c r="A1619" s="1">
        <v>1618</v>
      </c>
      <c r="B1619" t="s">
        <v>2529</v>
      </c>
      <c r="C1619" t="s">
        <v>1136</v>
      </c>
      <c r="D1619" t="s">
        <v>1144</v>
      </c>
      <c r="E1619" t="s">
        <v>1138</v>
      </c>
      <c r="H1619" t="s">
        <v>1152</v>
      </c>
      <c r="I1619" t="s">
        <v>1152</v>
      </c>
      <c r="J1619" t="s">
        <v>2519</v>
      </c>
      <c r="K1619" t="s">
        <v>1212</v>
      </c>
      <c r="M1619" s="3">
        <f t="shared" si="100"/>
        <v>37.285714285714285</v>
      </c>
      <c r="N1619">
        <v>13</v>
      </c>
      <c r="O1619">
        <v>49</v>
      </c>
      <c r="P1619">
        <v>39</v>
      </c>
      <c r="Q1619">
        <v>43</v>
      </c>
      <c r="R1619">
        <v>45</v>
      </c>
      <c r="S1619">
        <v>47</v>
      </c>
      <c r="T1619">
        <v>25</v>
      </c>
      <c r="U1619">
        <v>0</v>
      </c>
      <c r="V1619" s="3">
        <f t="shared" si="101"/>
        <v>5194</v>
      </c>
      <c r="W1619">
        <v>432.83333333333331</v>
      </c>
      <c r="X1619">
        <v>0</v>
      </c>
      <c r="Y1619">
        <f t="shared" si="102"/>
        <v>432.83333333333331</v>
      </c>
      <c r="Z1619">
        <f t="shared" si="103"/>
        <v>0</v>
      </c>
      <c r="AA1619">
        <v>0</v>
      </c>
    </row>
    <row r="1620" spans="1:27" x14ac:dyDescent="0.25">
      <c r="A1620" s="1">
        <v>1619</v>
      </c>
      <c r="B1620" t="s">
        <v>2534</v>
      </c>
      <c r="C1620" t="s">
        <v>1136</v>
      </c>
      <c r="D1620" t="s">
        <v>1146</v>
      </c>
      <c r="E1620" t="s">
        <v>1144</v>
      </c>
      <c r="H1620" t="s">
        <v>1152</v>
      </c>
      <c r="I1620" t="s">
        <v>1152</v>
      </c>
      <c r="J1620" t="s">
        <v>2519</v>
      </c>
      <c r="K1620" t="s">
        <v>1212</v>
      </c>
      <c r="M1620" s="3">
        <f t="shared" si="100"/>
        <v>39</v>
      </c>
      <c r="N1620">
        <v>14</v>
      </c>
      <c r="O1620">
        <v>51</v>
      </c>
      <c r="P1620">
        <v>41</v>
      </c>
      <c r="Q1620">
        <v>45</v>
      </c>
      <c r="R1620">
        <v>47</v>
      </c>
      <c r="S1620">
        <v>49</v>
      </c>
      <c r="T1620">
        <v>26</v>
      </c>
      <c r="U1620">
        <v>0</v>
      </c>
      <c r="V1620" s="3">
        <f t="shared" si="101"/>
        <v>8141</v>
      </c>
      <c r="W1620">
        <v>678.41666666666663</v>
      </c>
      <c r="X1620">
        <v>0</v>
      </c>
      <c r="Y1620">
        <f t="shared" si="102"/>
        <v>678.41666666666663</v>
      </c>
      <c r="Z1620">
        <f t="shared" si="103"/>
        <v>0</v>
      </c>
      <c r="AA1620">
        <v>0</v>
      </c>
    </row>
    <row r="1621" spans="1:27" x14ac:dyDescent="0.25">
      <c r="A1621" s="1">
        <v>1620</v>
      </c>
      <c r="B1621" t="s">
        <v>2530</v>
      </c>
      <c r="C1621" t="s">
        <v>1136</v>
      </c>
      <c r="D1621" t="s">
        <v>1143</v>
      </c>
      <c r="E1621" t="s">
        <v>1144</v>
      </c>
      <c r="H1621" t="s">
        <v>1152</v>
      </c>
      <c r="I1621" t="s">
        <v>1152</v>
      </c>
      <c r="J1621" t="s">
        <v>2519</v>
      </c>
      <c r="K1621" t="s">
        <v>1212</v>
      </c>
      <c r="M1621" s="3">
        <f t="shared" si="100"/>
        <v>24.428571428571427</v>
      </c>
      <c r="N1621">
        <v>6</v>
      </c>
      <c r="O1621">
        <v>31</v>
      </c>
      <c r="P1621">
        <v>25</v>
      </c>
      <c r="Q1621">
        <v>29</v>
      </c>
      <c r="R1621">
        <v>31</v>
      </c>
      <c r="S1621">
        <v>33</v>
      </c>
      <c r="T1621">
        <v>16</v>
      </c>
      <c r="U1621">
        <v>0</v>
      </c>
      <c r="V1621" s="3">
        <f t="shared" si="101"/>
        <v>76</v>
      </c>
      <c r="W1621">
        <v>6.333333333333333</v>
      </c>
      <c r="X1621">
        <v>0</v>
      </c>
      <c r="Y1621">
        <f t="shared" si="102"/>
        <v>6.333333333333333</v>
      </c>
      <c r="Z1621">
        <f t="shared" si="103"/>
        <v>0</v>
      </c>
      <c r="AA1621">
        <v>0</v>
      </c>
    </row>
    <row r="1622" spans="1:27" x14ac:dyDescent="0.25">
      <c r="A1622" s="1">
        <v>1621</v>
      </c>
      <c r="B1622" t="s">
        <v>2522</v>
      </c>
      <c r="C1622" t="s">
        <v>1137</v>
      </c>
      <c r="D1622" t="s">
        <v>1137</v>
      </c>
      <c r="H1622" t="s">
        <v>1152</v>
      </c>
      <c r="I1622" t="s">
        <v>1152</v>
      </c>
      <c r="J1622" t="s">
        <v>2519</v>
      </c>
      <c r="K1622" t="s">
        <v>1212</v>
      </c>
      <c r="M1622" s="3">
        <f t="shared" si="100"/>
        <v>30</v>
      </c>
      <c r="N1622">
        <v>9</v>
      </c>
      <c r="O1622">
        <v>39</v>
      </c>
      <c r="P1622">
        <v>31</v>
      </c>
      <c r="Q1622">
        <v>35</v>
      </c>
      <c r="R1622">
        <v>37</v>
      </c>
      <c r="S1622">
        <v>39</v>
      </c>
      <c r="T1622">
        <v>20</v>
      </c>
      <c r="U1622">
        <v>0</v>
      </c>
      <c r="V1622" s="3">
        <f t="shared" si="101"/>
        <v>591</v>
      </c>
      <c r="W1622">
        <v>49.25</v>
      </c>
      <c r="X1622">
        <v>0</v>
      </c>
      <c r="Y1622">
        <f t="shared" si="102"/>
        <v>49.25</v>
      </c>
      <c r="Z1622">
        <f t="shared" si="103"/>
        <v>0</v>
      </c>
      <c r="AA1622">
        <v>0</v>
      </c>
    </row>
    <row r="1623" spans="1:27" x14ac:dyDescent="0.25">
      <c r="A1623" s="1">
        <v>1622</v>
      </c>
      <c r="B1623" t="s">
        <v>1448</v>
      </c>
      <c r="C1623" t="s">
        <v>1133</v>
      </c>
      <c r="D1623" t="s">
        <v>1133</v>
      </c>
      <c r="H1623" t="s">
        <v>1153</v>
      </c>
      <c r="I1623" t="s">
        <v>1153</v>
      </c>
      <c r="J1623" t="s">
        <v>1340</v>
      </c>
      <c r="K1623" t="s">
        <v>1212</v>
      </c>
      <c r="M1623" s="3">
        <f t="shared" si="100"/>
        <v>74.428571428571431</v>
      </c>
      <c r="N1623">
        <v>68</v>
      </c>
      <c r="O1623">
        <v>72</v>
      </c>
      <c r="P1623">
        <v>75</v>
      </c>
      <c r="Q1623">
        <v>78</v>
      </c>
      <c r="R1623">
        <v>82</v>
      </c>
      <c r="S1623">
        <v>76</v>
      </c>
      <c r="T1623">
        <v>70</v>
      </c>
      <c r="U1623">
        <v>0</v>
      </c>
      <c r="V1623" s="3">
        <f t="shared" si="101"/>
        <v>5216712</v>
      </c>
      <c r="W1623">
        <v>434726</v>
      </c>
      <c r="X1623">
        <v>0</v>
      </c>
      <c r="Y1623">
        <f t="shared" si="102"/>
        <v>434726</v>
      </c>
      <c r="Z1623">
        <f t="shared" si="103"/>
        <v>0</v>
      </c>
      <c r="AA1623">
        <v>0</v>
      </c>
    </row>
    <row r="1624" spans="1:27" x14ac:dyDescent="0.25">
      <c r="A1624" s="1">
        <v>1623</v>
      </c>
      <c r="B1624" t="s">
        <v>93</v>
      </c>
      <c r="C1624" t="s">
        <v>1133</v>
      </c>
      <c r="D1624" t="s">
        <v>1133</v>
      </c>
      <c r="G1624" t="s">
        <v>1199</v>
      </c>
      <c r="H1624" t="s">
        <v>1153</v>
      </c>
      <c r="I1624" t="s">
        <v>1153</v>
      </c>
      <c r="J1624" t="s">
        <v>1340</v>
      </c>
      <c r="K1624" t="s">
        <v>1212</v>
      </c>
      <c r="M1624" s="3">
        <f t="shared" si="100"/>
        <v>91.714285714285708</v>
      </c>
      <c r="N1624">
        <v>92</v>
      </c>
      <c r="O1624">
        <v>98</v>
      </c>
      <c r="P1624">
        <v>90</v>
      </c>
      <c r="Q1624">
        <v>94</v>
      </c>
      <c r="R1624">
        <v>92</v>
      </c>
      <c r="S1624">
        <v>91</v>
      </c>
      <c r="T1624">
        <v>85</v>
      </c>
      <c r="U1624">
        <v>30</v>
      </c>
      <c r="V1624" s="3">
        <f t="shared" si="101"/>
        <v>63162766</v>
      </c>
      <c r="W1624">
        <v>5263563.833333333</v>
      </c>
      <c r="X1624">
        <v>0</v>
      </c>
      <c r="Y1624">
        <f t="shared" si="102"/>
        <v>5263563.833333333</v>
      </c>
      <c r="Z1624">
        <f t="shared" si="103"/>
        <v>0</v>
      </c>
      <c r="AA1624">
        <v>0</v>
      </c>
    </row>
    <row r="1625" spans="1:27" x14ac:dyDescent="0.25">
      <c r="A1625" s="1">
        <v>1624</v>
      </c>
      <c r="B1625" t="s">
        <v>300</v>
      </c>
      <c r="C1625" t="s">
        <v>1134</v>
      </c>
      <c r="D1625" t="s">
        <v>1138</v>
      </c>
      <c r="E1625" t="s">
        <v>1140</v>
      </c>
      <c r="G1625" t="s">
        <v>1184</v>
      </c>
      <c r="H1625" t="s">
        <v>1213</v>
      </c>
      <c r="I1625" t="s">
        <v>1213</v>
      </c>
      <c r="J1625" t="s">
        <v>1340</v>
      </c>
      <c r="K1625" t="s">
        <v>1212</v>
      </c>
      <c r="M1625" s="3">
        <f t="shared" si="100"/>
        <v>83.285714285714292</v>
      </c>
      <c r="N1625">
        <v>82</v>
      </c>
      <c r="O1625">
        <v>81</v>
      </c>
      <c r="P1625">
        <v>82</v>
      </c>
      <c r="Q1625">
        <v>85</v>
      </c>
      <c r="R1625">
        <v>88</v>
      </c>
      <c r="S1625">
        <v>84</v>
      </c>
      <c r="T1625">
        <v>81</v>
      </c>
      <c r="U1625">
        <v>26</v>
      </c>
      <c r="V1625" s="3">
        <f t="shared" si="101"/>
        <v>24087760</v>
      </c>
      <c r="W1625">
        <v>2007313.3333333333</v>
      </c>
      <c r="X1625">
        <v>0</v>
      </c>
      <c r="Y1625">
        <f t="shared" si="102"/>
        <v>2007313.3333333333</v>
      </c>
      <c r="Z1625">
        <f t="shared" si="103"/>
        <v>0</v>
      </c>
      <c r="AA1625">
        <v>0</v>
      </c>
    </row>
    <row r="1626" spans="1:27" x14ac:dyDescent="0.25">
      <c r="A1626" s="1">
        <v>1625</v>
      </c>
      <c r="B1626" t="s">
        <v>370</v>
      </c>
      <c r="C1626" t="s">
        <v>1134</v>
      </c>
      <c r="D1626" t="s">
        <v>1138</v>
      </c>
      <c r="E1626" t="s">
        <v>1144</v>
      </c>
      <c r="G1626" t="s">
        <v>1199</v>
      </c>
      <c r="H1626" t="s">
        <v>1153</v>
      </c>
      <c r="I1626" t="s">
        <v>1153</v>
      </c>
      <c r="J1626" t="s">
        <v>1340</v>
      </c>
      <c r="K1626" t="s">
        <v>1212</v>
      </c>
      <c r="M1626" s="3">
        <f t="shared" si="100"/>
        <v>84.142857142857139</v>
      </c>
      <c r="N1626">
        <v>70</v>
      </c>
      <c r="O1626">
        <v>80</v>
      </c>
      <c r="P1626">
        <v>90</v>
      </c>
      <c r="Q1626">
        <v>87</v>
      </c>
      <c r="R1626">
        <v>93</v>
      </c>
      <c r="S1626">
        <v>98</v>
      </c>
      <c r="T1626">
        <v>71</v>
      </c>
      <c r="U1626">
        <v>28</v>
      </c>
      <c r="V1626" s="3">
        <f t="shared" si="101"/>
        <v>26684792</v>
      </c>
      <c r="W1626">
        <v>2223732.6666666665</v>
      </c>
      <c r="X1626">
        <v>0</v>
      </c>
      <c r="Y1626">
        <f t="shared" si="102"/>
        <v>2223732.6666666665</v>
      </c>
      <c r="Z1626">
        <f t="shared" si="103"/>
        <v>0</v>
      </c>
      <c r="AA1626">
        <v>0</v>
      </c>
    </row>
    <row r="1627" spans="1:27" x14ac:dyDescent="0.25">
      <c r="A1627" s="1">
        <v>1626</v>
      </c>
      <c r="B1627" t="s">
        <v>371</v>
      </c>
      <c r="C1627" t="s">
        <v>1134</v>
      </c>
      <c r="D1627" t="s">
        <v>1139</v>
      </c>
      <c r="E1627" t="s">
        <v>1140</v>
      </c>
      <c r="F1627" t="s">
        <v>1144</v>
      </c>
      <c r="G1627" t="s">
        <v>1199</v>
      </c>
      <c r="H1627" t="s">
        <v>1153</v>
      </c>
      <c r="I1627" t="s">
        <v>1153</v>
      </c>
      <c r="J1627" t="s">
        <v>1340</v>
      </c>
      <c r="K1627" t="s">
        <v>1212</v>
      </c>
      <c r="M1627" s="3">
        <f t="shared" si="100"/>
        <v>84.571428571428569</v>
      </c>
      <c r="N1627">
        <v>85</v>
      </c>
      <c r="O1627">
        <v>90</v>
      </c>
      <c r="P1627">
        <v>85</v>
      </c>
      <c r="Q1627">
        <v>88</v>
      </c>
      <c r="R1627">
        <v>80</v>
      </c>
      <c r="S1627">
        <v>84</v>
      </c>
      <c r="T1627">
        <v>80</v>
      </c>
      <c r="U1627">
        <v>28</v>
      </c>
      <c r="V1627" s="3">
        <f t="shared" si="101"/>
        <v>28075528</v>
      </c>
      <c r="W1627">
        <v>2339627.3333333335</v>
      </c>
      <c r="X1627">
        <v>0</v>
      </c>
      <c r="Y1627">
        <f t="shared" si="102"/>
        <v>2339627.3333333335</v>
      </c>
      <c r="Z1627">
        <f t="shared" si="103"/>
        <v>0</v>
      </c>
      <c r="AA1627">
        <v>0</v>
      </c>
    </row>
    <row r="1628" spans="1:27" x14ac:dyDescent="0.25">
      <c r="A1628" s="1">
        <v>1627</v>
      </c>
      <c r="B1628" t="s">
        <v>161</v>
      </c>
      <c r="C1628" t="s">
        <v>1134</v>
      </c>
      <c r="D1628" t="s">
        <v>1138</v>
      </c>
      <c r="E1628" t="s">
        <v>1139</v>
      </c>
      <c r="G1628" t="s">
        <v>1156</v>
      </c>
      <c r="H1628" t="s">
        <v>1156</v>
      </c>
      <c r="I1628" t="s">
        <v>1156</v>
      </c>
      <c r="J1628" t="s">
        <v>1340</v>
      </c>
      <c r="K1628" t="s">
        <v>1212</v>
      </c>
      <c r="M1628" s="3">
        <f t="shared" si="100"/>
        <v>83.428571428571431</v>
      </c>
      <c r="N1628">
        <v>71</v>
      </c>
      <c r="O1628">
        <v>80</v>
      </c>
      <c r="P1628">
        <v>90</v>
      </c>
      <c r="Q1628">
        <v>85</v>
      </c>
      <c r="R1628">
        <v>80</v>
      </c>
      <c r="S1628">
        <v>98</v>
      </c>
      <c r="T1628">
        <v>80</v>
      </c>
      <c r="U1628">
        <v>0</v>
      </c>
      <c r="V1628" s="3">
        <f t="shared" si="101"/>
        <v>16336089</v>
      </c>
      <c r="W1628">
        <v>1361340.75</v>
      </c>
      <c r="X1628">
        <v>0</v>
      </c>
      <c r="Y1628">
        <f t="shared" si="102"/>
        <v>1361340.75</v>
      </c>
      <c r="Z1628">
        <f t="shared" si="103"/>
        <v>0</v>
      </c>
      <c r="AA1628">
        <v>0</v>
      </c>
    </row>
    <row r="1629" spans="1:27" x14ac:dyDescent="0.25">
      <c r="A1629" s="1">
        <v>1628</v>
      </c>
      <c r="B1629" t="s">
        <v>2640</v>
      </c>
      <c r="C1629" t="s">
        <v>1134</v>
      </c>
      <c r="D1629" t="s">
        <v>1140</v>
      </c>
      <c r="E1629" t="s">
        <v>1138</v>
      </c>
      <c r="H1629" t="s">
        <v>1153</v>
      </c>
      <c r="I1629" t="s">
        <v>1153</v>
      </c>
      <c r="J1629" t="s">
        <v>1340</v>
      </c>
      <c r="K1629" t="s">
        <v>1212</v>
      </c>
      <c r="M1629" s="3">
        <f t="shared" si="100"/>
        <v>74.857142857142861</v>
      </c>
      <c r="N1629">
        <v>70</v>
      </c>
      <c r="O1629">
        <v>74</v>
      </c>
      <c r="P1629">
        <v>79</v>
      </c>
      <c r="Q1629">
        <v>76</v>
      </c>
      <c r="R1629">
        <v>75</v>
      </c>
      <c r="S1629">
        <v>78</v>
      </c>
      <c r="T1629">
        <v>72</v>
      </c>
      <c r="U1629">
        <v>0</v>
      </c>
      <c r="V1629" s="3">
        <f t="shared" si="101"/>
        <v>5525003</v>
      </c>
      <c r="W1629">
        <v>460416.91666666669</v>
      </c>
      <c r="X1629">
        <v>0</v>
      </c>
      <c r="Y1629">
        <f t="shared" si="102"/>
        <v>460416.91666666669</v>
      </c>
      <c r="Z1629">
        <f t="shared" si="103"/>
        <v>0</v>
      </c>
      <c r="AA1629">
        <v>0</v>
      </c>
    </row>
    <row r="1630" spans="1:27" x14ac:dyDescent="0.25">
      <c r="A1630" s="1">
        <v>1629</v>
      </c>
      <c r="B1630" t="s">
        <v>310</v>
      </c>
      <c r="C1630" t="s">
        <v>1134</v>
      </c>
      <c r="D1630" t="s">
        <v>1138</v>
      </c>
      <c r="E1630" t="s">
        <v>1139</v>
      </c>
      <c r="G1630" t="s">
        <v>1186</v>
      </c>
      <c r="H1630" t="s">
        <v>1186</v>
      </c>
      <c r="I1630" t="s">
        <v>1186</v>
      </c>
      <c r="J1630" t="s">
        <v>1340</v>
      </c>
      <c r="K1630" t="s">
        <v>1212</v>
      </c>
      <c r="M1630" s="3">
        <f t="shared" si="100"/>
        <v>78.571428571428569</v>
      </c>
      <c r="N1630">
        <v>70</v>
      </c>
      <c r="O1630">
        <v>78</v>
      </c>
      <c r="P1630">
        <v>80</v>
      </c>
      <c r="Q1630">
        <v>81</v>
      </c>
      <c r="R1630">
        <v>80</v>
      </c>
      <c r="S1630">
        <v>86</v>
      </c>
      <c r="T1630">
        <v>75</v>
      </c>
      <c r="U1630">
        <v>0</v>
      </c>
      <c r="V1630" s="3">
        <f t="shared" si="101"/>
        <v>8966987</v>
      </c>
      <c r="W1630">
        <v>747248.91666666663</v>
      </c>
      <c r="X1630">
        <v>0</v>
      </c>
      <c r="Y1630">
        <f t="shared" si="102"/>
        <v>747248.91666666663</v>
      </c>
      <c r="Z1630">
        <f t="shared" si="103"/>
        <v>0</v>
      </c>
      <c r="AA1630">
        <v>0</v>
      </c>
    </row>
    <row r="1631" spans="1:27" x14ac:dyDescent="0.25">
      <c r="A1631" s="1">
        <v>1630</v>
      </c>
      <c r="B1631" t="s">
        <v>1449</v>
      </c>
      <c r="C1631" t="s">
        <v>1134</v>
      </c>
      <c r="D1631" t="s">
        <v>1139</v>
      </c>
      <c r="E1631" t="s">
        <v>1138</v>
      </c>
      <c r="H1631" t="s">
        <v>1153</v>
      </c>
      <c r="I1631" t="s">
        <v>1153</v>
      </c>
      <c r="J1631" t="s">
        <v>1340</v>
      </c>
      <c r="K1631" t="s">
        <v>1212</v>
      </c>
      <c r="M1631" s="3">
        <f t="shared" si="100"/>
        <v>74.285714285714292</v>
      </c>
      <c r="N1631">
        <v>66</v>
      </c>
      <c r="O1631">
        <v>76</v>
      </c>
      <c r="P1631">
        <v>77</v>
      </c>
      <c r="Q1631">
        <v>79</v>
      </c>
      <c r="R1631">
        <v>74</v>
      </c>
      <c r="S1631">
        <v>80</v>
      </c>
      <c r="T1631">
        <v>68</v>
      </c>
      <c r="U1631">
        <v>0</v>
      </c>
      <c r="V1631" s="3">
        <f t="shared" si="101"/>
        <v>5117444</v>
      </c>
      <c r="W1631">
        <v>426453.66666666669</v>
      </c>
      <c r="X1631">
        <v>0</v>
      </c>
      <c r="Y1631">
        <f t="shared" si="102"/>
        <v>426453.66666666669</v>
      </c>
      <c r="Z1631">
        <f t="shared" si="103"/>
        <v>0</v>
      </c>
      <c r="AA1631">
        <v>0</v>
      </c>
    </row>
    <row r="1632" spans="1:27" x14ac:dyDescent="0.25">
      <c r="A1632" s="1">
        <v>1631</v>
      </c>
      <c r="B1632" t="s">
        <v>1453</v>
      </c>
      <c r="C1632" t="s">
        <v>1135</v>
      </c>
      <c r="D1632" t="s">
        <v>1141</v>
      </c>
      <c r="E1632" t="s">
        <v>1142</v>
      </c>
      <c r="H1632" t="s">
        <v>1153</v>
      </c>
      <c r="I1632" t="s">
        <v>1153</v>
      </c>
      <c r="J1632" t="s">
        <v>1340</v>
      </c>
      <c r="K1632" t="s">
        <v>1212</v>
      </c>
      <c r="M1632" s="3">
        <f t="shared" si="100"/>
        <v>74.714285714285708</v>
      </c>
      <c r="N1632">
        <v>73</v>
      </c>
      <c r="O1632">
        <v>74</v>
      </c>
      <c r="P1632">
        <v>78</v>
      </c>
      <c r="Q1632">
        <v>77</v>
      </c>
      <c r="R1632">
        <v>80</v>
      </c>
      <c r="S1632">
        <v>73</v>
      </c>
      <c r="T1632">
        <v>68</v>
      </c>
      <c r="U1632">
        <v>0</v>
      </c>
      <c r="V1632" s="3">
        <f t="shared" si="101"/>
        <v>5420465</v>
      </c>
      <c r="W1632">
        <v>451705.41666666669</v>
      </c>
      <c r="X1632">
        <v>0</v>
      </c>
      <c r="Y1632">
        <f t="shared" si="102"/>
        <v>451705.41666666669</v>
      </c>
      <c r="Z1632">
        <f t="shared" si="103"/>
        <v>0</v>
      </c>
      <c r="AA1632">
        <v>0</v>
      </c>
    </row>
    <row r="1633" spans="1:27" x14ac:dyDescent="0.25">
      <c r="A1633" s="1">
        <v>1632</v>
      </c>
      <c r="B1633" t="s">
        <v>550</v>
      </c>
      <c r="C1633" t="s">
        <v>1135</v>
      </c>
      <c r="D1633" t="s">
        <v>1142</v>
      </c>
      <c r="G1633" t="s">
        <v>1184</v>
      </c>
      <c r="H1633" t="s">
        <v>1153</v>
      </c>
      <c r="I1633" t="s">
        <v>1153</v>
      </c>
      <c r="J1633" t="s">
        <v>1340</v>
      </c>
      <c r="K1633" t="s">
        <v>1212</v>
      </c>
      <c r="M1633" s="3">
        <f t="shared" si="100"/>
        <v>81</v>
      </c>
      <c r="N1633">
        <v>75</v>
      </c>
      <c r="O1633">
        <v>96</v>
      </c>
      <c r="P1633">
        <v>80</v>
      </c>
      <c r="Q1633">
        <v>84</v>
      </c>
      <c r="R1633">
        <v>76</v>
      </c>
      <c r="S1633">
        <v>76</v>
      </c>
      <c r="T1633">
        <v>80</v>
      </c>
      <c r="U1633">
        <v>3</v>
      </c>
      <c r="V1633" s="3">
        <f t="shared" si="101"/>
        <v>18236499</v>
      </c>
      <c r="W1633">
        <v>1519708.25</v>
      </c>
      <c r="X1633">
        <v>0</v>
      </c>
      <c r="Y1633">
        <f t="shared" si="102"/>
        <v>1519708.25</v>
      </c>
      <c r="Z1633">
        <f t="shared" si="103"/>
        <v>0</v>
      </c>
      <c r="AA1633">
        <v>0</v>
      </c>
    </row>
    <row r="1634" spans="1:27" x14ac:dyDescent="0.25">
      <c r="A1634" s="1">
        <v>1633</v>
      </c>
      <c r="B1634" t="s">
        <v>594</v>
      </c>
      <c r="C1634" t="s">
        <v>1135</v>
      </c>
      <c r="D1634" t="s">
        <v>1141</v>
      </c>
      <c r="E1634" t="s">
        <v>1145</v>
      </c>
      <c r="F1634" t="s">
        <v>1142</v>
      </c>
      <c r="G1634" t="s">
        <v>1199</v>
      </c>
      <c r="H1634" t="s">
        <v>1153</v>
      </c>
      <c r="I1634" t="s">
        <v>1153</v>
      </c>
      <c r="J1634" t="s">
        <v>1340</v>
      </c>
      <c r="K1634" t="s">
        <v>1212</v>
      </c>
      <c r="M1634" s="3">
        <f t="shared" si="100"/>
        <v>81.714285714285708</v>
      </c>
      <c r="N1634">
        <v>72</v>
      </c>
      <c r="O1634">
        <v>81</v>
      </c>
      <c r="P1634">
        <v>86</v>
      </c>
      <c r="Q1634">
        <v>80</v>
      </c>
      <c r="R1634">
        <v>88</v>
      </c>
      <c r="S1634">
        <v>94</v>
      </c>
      <c r="T1634">
        <v>71</v>
      </c>
      <c r="U1634">
        <v>6</v>
      </c>
      <c r="V1634" s="3">
        <f t="shared" si="101"/>
        <v>19909995</v>
      </c>
      <c r="W1634">
        <v>1659166.25</v>
      </c>
      <c r="X1634">
        <v>0</v>
      </c>
      <c r="Y1634">
        <f t="shared" si="102"/>
        <v>1659166.25</v>
      </c>
      <c r="Z1634">
        <f t="shared" si="103"/>
        <v>0</v>
      </c>
      <c r="AA1634">
        <v>0</v>
      </c>
    </row>
    <row r="1635" spans="1:27" x14ac:dyDescent="0.25">
      <c r="A1635" s="1">
        <v>1634</v>
      </c>
      <c r="B1635" t="s">
        <v>486</v>
      </c>
      <c r="C1635" t="s">
        <v>1135</v>
      </c>
      <c r="D1635" t="s">
        <v>1141</v>
      </c>
      <c r="E1635" t="s">
        <v>1145</v>
      </c>
      <c r="G1635" t="s">
        <v>1164</v>
      </c>
      <c r="H1635" t="s">
        <v>1164</v>
      </c>
      <c r="I1635" t="s">
        <v>1164</v>
      </c>
      <c r="J1635" t="s">
        <v>1340</v>
      </c>
      <c r="K1635" t="s">
        <v>1212</v>
      </c>
      <c r="M1635" s="3">
        <f t="shared" si="100"/>
        <v>87.714285714285708</v>
      </c>
      <c r="N1635">
        <v>84</v>
      </c>
      <c r="O1635">
        <v>88</v>
      </c>
      <c r="P1635">
        <v>92</v>
      </c>
      <c r="Q1635">
        <v>86</v>
      </c>
      <c r="R1635">
        <v>90</v>
      </c>
      <c r="S1635">
        <v>84</v>
      </c>
      <c r="T1635">
        <v>90</v>
      </c>
      <c r="U1635">
        <v>5</v>
      </c>
      <c r="V1635" s="3">
        <f t="shared" si="101"/>
        <v>40438457</v>
      </c>
      <c r="W1635">
        <v>3369871.4166666665</v>
      </c>
      <c r="X1635">
        <v>0</v>
      </c>
      <c r="Y1635">
        <f t="shared" si="102"/>
        <v>3369871.4166666665</v>
      </c>
      <c r="Z1635">
        <f t="shared" si="103"/>
        <v>0</v>
      </c>
      <c r="AA1635">
        <v>0</v>
      </c>
    </row>
    <row r="1636" spans="1:27" x14ac:dyDescent="0.25">
      <c r="A1636" s="1">
        <v>1635</v>
      </c>
      <c r="B1636" t="s">
        <v>593</v>
      </c>
      <c r="C1636" t="s">
        <v>1135</v>
      </c>
      <c r="D1636" t="s">
        <v>1142</v>
      </c>
      <c r="E1636" t="s">
        <v>1147</v>
      </c>
      <c r="G1636" t="s">
        <v>1199</v>
      </c>
      <c r="H1636" t="s">
        <v>1153</v>
      </c>
      <c r="I1636" t="s">
        <v>1153</v>
      </c>
      <c r="J1636" t="s">
        <v>1340</v>
      </c>
      <c r="K1636" t="s">
        <v>1212</v>
      </c>
      <c r="M1636" s="3">
        <f t="shared" si="100"/>
        <v>80.428571428571431</v>
      </c>
      <c r="N1636">
        <v>70</v>
      </c>
      <c r="O1636">
        <v>90</v>
      </c>
      <c r="P1636">
        <v>77</v>
      </c>
      <c r="Q1636">
        <v>83</v>
      </c>
      <c r="R1636">
        <v>85</v>
      </c>
      <c r="S1636">
        <v>80</v>
      </c>
      <c r="T1636">
        <v>78</v>
      </c>
      <c r="U1636">
        <v>3</v>
      </c>
      <c r="V1636" s="3">
        <f t="shared" si="101"/>
        <v>16990056</v>
      </c>
      <c r="W1636">
        <v>1415838</v>
      </c>
      <c r="X1636">
        <v>0</v>
      </c>
      <c r="Y1636">
        <f t="shared" si="102"/>
        <v>1415838</v>
      </c>
      <c r="Z1636">
        <f t="shared" si="103"/>
        <v>0</v>
      </c>
      <c r="AA1636">
        <v>0</v>
      </c>
    </row>
    <row r="1637" spans="1:27" x14ac:dyDescent="0.25">
      <c r="A1637" s="1">
        <v>1636</v>
      </c>
      <c r="B1637" t="s">
        <v>454</v>
      </c>
      <c r="C1637" t="s">
        <v>1135</v>
      </c>
      <c r="D1637" t="s">
        <v>1142</v>
      </c>
      <c r="E1637" t="s">
        <v>1146</v>
      </c>
      <c r="G1637" t="s">
        <v>1154</v>
      </c>
      <c r="H1637" t="s">
        <v>1154</v>
      </c>
      <c r="I1637" t="s">
        <v>1154</v>
      </c>
      <c r="J1637" t="s">
        <v>1340</v>
      </c>
      <c r="K1637" t="s">
        <v>1212</v>
      </c>
      <c r="M1637" s="3">
        <f t="shared" si="100"/>
        <v>81.142857142857139</v>
      </c>
      <c r="N1637">
        <v>75</v>
      </c>
      <c r="O1637">
        <v>96</v>
      </c>
      <c r="P1637">
        <v>83</v>
      </c>
      <c r="Q1637">
        <v>84</v>
      </c>
      <c r="R1637">
        <v>75</v>
      </c>
      <c r="S1637">
        <v>75</v>
      </c>
      <c r="T1637">
        <v>80</v>
      </c>
      <c r="U1637">
        <v>19</v>
      </c>
      <c r="V1637" s="3">
        <f t="shared" si="101"/>
        <v>18560695</v>
      </c>
      <c r="W1637">
        <v>1546724.5833333333</v>
      </c>
      <c r="X1637">
        <v>0</v>
      </c>
      <c r="Y1637">
        <f t="shared" si="102"/>
        <v>1546724.5833333333</v>
      </c>
      <c r="Z1637">
        <f t="shared" si="103"/>
        <v>0</v>
      </c>
      <c r="AA1637">
        <v>0</v>
      </c>
    </row>
    <row r="1638" spans="1:27" x14ac:dyDescent="0.25">
      <c r="A1638" s="1">
        <v>1637</v>
      </c>
      <c r="B1638" t="s">
        <v>807</v>
      </c>
      <c r="C1638" t="s">
        <v>1136</v>
      </c>
      <c r="D1638" t="s">
        <v>1144</v>
      </c>
      <c r="E1638" t="s">
        <v>1138</v>
      </c>
      <c r="G1638" t="s">
        <v>1177</v>
      </c>
      <c r="H1638" t="s">
        <v>1153</v>
      </c>
      <c r="I1638" t="s">
        <v>1153</v>
      </c>
      <c r="J1638" t="s">
        <v>1340</v>
      </c>
      <c r="K1638" t="s">
        <v>1212</v>
      </c>
      <c r="M1638" s="3">
        <f t="shared" si="100"/>
        <v>75.571428571428569</v>
      </c>
      <c r="N1638">
        <v>51</v>
      </c>
      <c r="O1638">
        <v>85</v>
      </c>
      <c r="P1638">
        <v>77</v>
      </c>
      <c r="Q1638">
        <v>81</v>
      </c>
      <c r="R1638">
        <v>77</v>
      </c>
      <c r="S1638">
        <v>90</v>
      </c>
      <c r="T1638">
        <v>68</v>
      </c>
      <c r="U1638">
        <v>0</v>
      </c>
      <c r="V1638" s="3">
        <f t="shared" si="101"/>
        <v>6075421</v>
      </c>
      <c r="W1638">
        <v>506285.08333333331</v>
      </c>
      <c r="X1638">
        <v>0</v>
      </c>
      <c r="Y1638">
        <f t="shared" si="102"/>
        <v>506285.08333333331</v>
      </c>
      <c r="Z1638">
        <f t="shared" si="103"/>
        <v>0</v>
      </c>
      <c r="AA1638">
        <v>0</v>
      </c>
    </row>
    <row r="1639" spans="1:27" x14ac:dyDescent="0.25">
      <c r="A1639" s="1">
        <v>1638</v>
      </c>
      <c r="B1639" t="s">
        <v>855</v>
      </c>
      <c r="C1639" t="s">
        <v>1136</v>
      </c>
      <c r="D1639" t="s">
        <v>1143</v>
      </c>
      <c r="E1639" t="s">
        <v>1147</v>
      </c>
      <c r="G1639" t="s">
        <v>1184</v>
      </c>
      <c r="H1639" t="s">
        <v>1184</v>
      </c>
      <c r="I1639" t="s">
        <v>1184</v>
      </c>
      <c r="J1639" t="s">
        <v>1340</v>
      </c>
      <c r="K1639" t="s">
        <v>1212</v>
      </c>
      <c r="M1639" s="3">
        <f t="shared" si="100"/>
        <v>73.857142857142861</v>
      </c>
      <c r="N1639">
        <v>67</v>
      </c>
      <c r="O1639">
        <v>75</v>
      </c>
      <c r="P1639">
        <v>83</v>
      </c>
      <c r="Q1639">
        <v>84</v>
      </c>
      <c r="R1639">
        <v>73</v>
      </c>
      <c r="S1639">
        <v>79</v>
      </c>
      <c r="T1639">
        <v>56</v>
      </c>
      <c r="U1639">
        <v>0</v>
      </c>
      <c r="V1639" s="3">
        <f t="shared" si="101"/>
        <v>4829755</v>
      </c>
      <c r="W1639">
        <v>402479.58333333331</v>
      </c>
      <c r="X1639">
        <v>0</v>
      </c>
      <c r="Y1639">
        <f t="shared" si="102"/>
        <v>402479.58333333331</v>
      </c>
      <c r="Z1639">
        <f t="shared" si="103"/>
        <v>0</v>
      </c>
      <c r="AA1639">
        <v>0</v>
      </c>
    </row>
    <row r="1640" spans="1:27" x14ac:dyDescent="0.25">
      <c r="A1640" s="1">
        <v>1639</v>
      </c>
      <c r="B1640" t="s">
        <v>695</v>
      </c>
      <c r="C1640" t="s">
        <v>1136</v>
      </c>
      <c r="D1640" t="s">
        <v>1145</v>
      </c>
      <c r="E1640" t="s">
        <v>1143</v>
      </c>
      <c r="F1640" t="s">
        <v>1147</v>
      </c>
      <c r="G1640" t="s">
        <v>1158</v>
      </c>
      <c r="H1640" t="s">
        <v>1158</v>
      </c>
      <c r="I1640" t="s">
        <v>1158</v>
      </c>
      <c r="J1640" t="s">
        <v>1340</v>
      </c>
      <c r="K1640" t="s">
        <v>1212</v>
      </c>
      <c r="M1640" s="3">
        <f t="shared" si="100"/>
        <v>82.857142857142861</v>
      </c>
      <c r="N1640">
        <v>80</v>
      </c>
      <c r="O1640">
        <v>84</v>
      </c>
      <c r="P1640">
        <v>88</v>
      </c>
      <c r="Q1640">
        <v>84</v>
      </c>
      <c r="R1640">
        <v>85</v>
      </c>
      <c r="S1640">
        <v>84</v>
      </c>
      <c r="T1640">
        <v>75</v>
      </c>
      <c r="U1640">
        <v>12</v>
      </c>
      <c r="V1640" s="3">
        <f t="shared" si="101"/>
        <v>22876564</v>
      </c>
      <c r="W1640">
        <v>1906380.3333333333</v>
      </c>
      <c r="X1640">
        <v>0</v>
      </c>
      <c r="Y1640">
        <f t="shared" si="102"/>
        <v>1906380.3333333333</v>
      </c>
      <c r="Z1640">
        <f t="shared" si="103"/>
        <v>0</v>
      </c>
      <c r="AA1640">
        <v>0</v>
      </c>
    </row>
    <row r="1641" spans="1:27" x14ac:dyDescent="0.25">
      <c r="A1641" s="1">
        <v>1640</v>
      </c>
      <c r="B1641" t="s">
        <v>1450</v>
      </c>
      <c r="C1641" t="s">
        <v>1136</v>
      </c>
      <c r="D1641" t="s">
        <v>1144</v>
      </c>
      <c r="E1641" t="s">
        <v>1143</v>
      </c>
      <c r="H1641" t="s">
        <v>1153</v>
      </c>
      <c r="I1641" t="s">
        <v>1153</v>
      </c>
      <c r="J1641" t="s">
        <v>1340</v>
      </c>
      <c r="K1641" t="s">
        <v>1212</v>
      </c>
      <c r="M1641" s="3">
        <f t="shared" si="100"/>
        <v>76.428571428571431</v>
      </c>
      <c r="N1641">
        <v>69</v>
      </c>
      <c r="O1641">
        <v>78</v>
      </c>
      <c r="P1641">
        <v>82</v>
      </c>
      <c r="Q1641">
        <v>80</v>
      </c>
      <c r="R1641">
        <v>79</v>
      </c>
      <c r="S1641">
        <v>77</v>
      </c>
      <c r="T1641">
        <v>70</v>
      </c>
      <c r="U1641">
        <v>0</v>
      </c>
      <c r="V1641" s="3">
        <f t="shared" si="101"/>
        <v>6800760</v>
      </c>
      <c r="W1641">
        <v>566730</v>
      </c>
      <c r="X1641">
        <v>0</v>
      </c>
      <c r="Y1641">
        <f t="shared" si="102"/>
        <v>566730</v>
      </c>
      <c r="Z1641">
        <f t="shared" si="103"/>
        <v>0</v>
      </c>
      <c r="AA1641">
        <v>0</v>
      </c>
    </row>
    <row r="1642" spans="1:27" x14ac:dyDescent="0.25">
      <c r="A1642" s="1">
        <v>1641</v>
      </c>
      <c r="B1642" t="s">
        <v>905</v>
      </c>
      <c r="C1642" t="s">
        <v>1136</v>
      </c>
      <c r="D1642" t="s">
        <v>1143</v>
      </c>
      <c r="E1642" t="s">
        <v>1144</v>
      </c>
      <c r="F1642" t="s">
        <v>1145</v>
      </c>
      <c r="G1642" t="s">
        <v>1193</v>
      </c>
      <c r="H1642" t="s">
        <v>1193</v>
      </c>
      <c r="I1642" t="s">
        <v>1193</v>
      </c>
      <c r="J1642" t="s">
        <v>1340</v>
      </c>
      <c r="K1642" t="s">
        <v>1212</v>
      </c>
      <c r="M1642" s="3">
        <f t="shared" si="100"/>
        <v>93.714285714285708</v>
      </c>
      <c r="N1642">
        <v>95</v>
      </c>
      <c r="O1642">
        <v>94</v>
      </c>
      <c r="P1642">
        <v>94</v>
      </c>
      <c r="Q1642">
        <v>97</v>
      </c>
      <c r="R1642">
        <v>91</v>
      </c>
      <c r="S1642">
        <v>90</v>
      </c>
      <c r="T1642">
        <v>95</v>
      </c>
      <c r="U1642">
        <v>10</v>
      </c>
      <c r="V1642" s="3">
        <f t="shared" si="101"/>
        <v>78369893</v>
      </c>
      <c r="W1642">
        <v>6530824.416666667</v>
      </c>
      <c r="X1642">
        <v>0</v>
      </c>
      <c r="Y1642">
        <f t="shared" si="102"/>
        <v>6530824.416666667</v>
      </c>
      <c r="Z1642">
        <f t="shared" si="103"/>
        <v>0</v>
      </c>
      <c r="AA1642">
        <v>0</v>
      </c>
    </row>
    <row r="1643" spans="1:27" x14ac:dyDescent="0.25">
      <c r="A1643" s="1">
        <v>1642</v>
      </c>
      <c r="B1643" t="s">
        <v>806</v>
      </c>
      <c r="C1643" t="s">
        <v>1136</v>
      </c>
      <c r="D1643" t="s">
        <v>1147</v>
      </c>
      <c r="E1643" t="s">
        <v>1145</v>
      </c>
      <c r="F1643" t="s">
        <v>1143</v>
      </c>
      <c r="G1643" t="s">
        <v>1177</v>
      </c>
      <c r="H1643" t="s">
        <v>1153</v>
      </c>
      <c r="I1643" t="s">
        <v>1153</v>
      </c>
      <c r="J1643" t="s">
        <v>1340</v>
      </c>
      <c r="K1643" t="s">
        <v>1212</v>
      </c>
      <c r="M1643" s="3">
        <f t="shared" si="100"/>
        <v>74.142857142857139</v>
      </c>
      <c r="N1643">
        <v>52</v>
      </c>
      <c r="O1643">
        <v>83</v>
      </c>
      <c r="P1643">
        <v>78</v>
      </c>
      <c r="Q1643">
        <v>80</v>
      </c>
      <c r="R1643">
        <v>78</v>
      </c>
      <c r="S1643">
        <v>78</v>
      </c>
      <c r="T1643">
        <v>70</v>
      </c>
      <c r="U1643">
        <v>0</v>
      </c>
      <c r="V1643" s="3">
        <f t="shared" si="101"/>
        <v>5019879</v>
      </c>
      <c r="W1643">
        <v>418323.25</v>
      </c>
      <c r="X1643">
        <v>0</v>
      </c>
      <c r="Y1643">
        <f t="shared" si="102"/>
        <v>418323.25</v>
      </c>
      <c r="Z1643">
        <f t="shared" si="103"/>
        <v>0</v>
      </c>
      <c r="AA1643">
        <v>0</v>
      </c>
    </row>
    <row r="1644" spans="1:27" x14ac:dyDescent="0.25">
      <c r="A1644" s="1">
        <v>1643</v>
      </c>
      <c r="B1644" t="s">
        <v>1452</v>
      </c>
      <c r="C1644" t="s">
        <v>1136</v>
      </c>
      <c r="D1644" t="s">
        <v>1147</v>
      </c>
      <c r="E1644" t="s">
        <v>1145</v>
      </c>
      <c r="H1644" t="s">
        <v>1153</v>
      </c>
      <c r="I1644" t="s">
        <v>1153</v>
      </c>
      <c r="J1644" t="s">
        <v>1340</v>
      </c>
      <c r="K1644" t="s">
        <v>1212</v>
      </c>
      <c r="M1644" s="3">
        <f t="shared" si="100"/>
        <v>72.857142857142861</v>
      </c>
      <c r="N1644">
        <v>68</v>
      </c>
      <c r="O1644">
        <v>77</v>
      </c>
      <c r="P1644">
        <v>74</v>
      </c>
      <c r="Q1644">
        <v>79</v>
      </c>
      <c r="R1644">
        <v>72</v>
      </c>
      <c r="S1644">
        <v>76</v>
      </c>
      <c r="T1644">
        <v>64</v>
      </c>
      <c r="U1644">
        <v>0</v>
      </c>
      <c r="V1644" s="3">
        <f t="shared" si="101"/>
        <v>4214261</v>
      </c>
      <c r="W1644">
        <v>351188.41666666669</v>
      </c>
      <c r="X1644">
        <v>0</v>
      </c>
      <c r="Y1644">
        <f t="shared" si="102"/>
        <v>351188.41666666669</v>
      </c>
      <c r="Z1644">
        <f t="shared" si="103"/>
        <v>0</v>
      </c>
      <c r="AA1644">
        <v>0</v>
      </c>
    </row>
    <row r="1645" spans="1:27" x14ac:dyDescent="0.25">
      <c r="A1645" s="1">
        <v>1644</v>
      </c>
      <c r="B1645" t="s">
        <v>1451</v>
      </c>
      <c r="C1645" t="s">
        <v>1136</v>
      </c>
      <c r="D1645" t="s">
        <v>1143</v>
      </c>
      <c r="E1645" t="s">
        <v>1145</v>
      </c>
      <c r="H1645" t="s">
        <v>1153</v>
      </c>
      <c r="I1645" t="s">
        <v>1153</v>
      </c>
      <c r="J1645" t="s">
        <v>1340</v>
      </c>
      <c r="K1645" t="s">
        <v>1212</v>
      </c>
      <c r="M1645" s="3">
        <f t="shared" si="100"/>
        <v>74.285714285714292</v>
      </c>
      <c r="N1645">
        <v>72</v>
      </c>
      <c r="O1645">
        <v>80</v>
      </c>
      <c r="P1645">
        <v>76</v>
      </c>
      <c r="Q1645">
        <v>78</v>
      </c>
      <c r="R1645">
        <v>73</v>
      </c>
      <c r="S1645">
        <v>75</v>
      </c>
      <c r="T1645">
        <v>66</v>
      </c>
      <c r="U1645">
        <v>0</v>
      </c>
      <c r="V1645" s="3">
        <f t="shared" si="101"/>
        <v>5117444</v>
      </c>
      <c r="W1645">
        <v>426453.66666666669</v>
      </c>
      <c r="X1645">
        <v>0</v>
      </c>
      <c r="Y1645">
        <f t="shared" si="102"/>
        <v>426453.66666666669</v>
      </c>
      <c r="Z1645">
        <f t="shared" si="103"/>
        <v>0</v>
      </c>
      <c r="AA1645">
        <v>0</v>
      </c>
    </row>
    <row r="1646" spans="1:27" x14ac:dyDescent="0.25">
      <c r="A1646" s="1">
        <v>1645</v>
      </c>
      <c r="B1646" t="s">
        <v>1105</v>
      </c>
      <c r="C1646" t="s">
        <v>1137</v>
      </c>
      <c r="D1646" t="s">
        <v>1137</v>
      </c>
      <c r="H1646" t="s">
        <v>1153</v>
      </c>
      <c r="I1646" t="s">
        <v>1153</v>
      </c>
      <c r="J1646" t="s">
        <v>1340</v>
      </c>
      <c r="K1646" t="s">
        <v>1212</v>
      </c>
      <c r="M1646" s="3">
        <f t="shared" si="100"/>
        <v>82.714285714285708</v>
      </c>
      <c r="N1646">
        <v>63</v>
      </c>
      <c r="O1646">
        <v>98</v>
      </c>
      <c r="P1646">
        <v>86</v>
      </c>
      <c r="Q1646">
        <v>88</v>
      </c>
      <c r="R1646">
        <v>81</v>
      </c>
      <c r="S1646">
        <v>85</v>
      </c>
      <c r="T1646">
        <v>78</v>
      </c>
      <c r="U1646">
        <v>0</v>
      </c>
      <c r="V1646" s="3">
        <f t="shared" si="101"/>
        <v>14990125</v>
      </c>
      <c r="W1646">
        <v>1249177.0833333333</v>
      </c>
      <c r="X1646">
        <v>0</v>
      </c>
      <c r="Y1646">
        <f t="shared" si="102"/>
        <v>1249177.0833333333</v>
      </c>
      <c r="Z1646">
        <f t="shared" si="103"/>
        <v>0</v>
      </c>
      <c r="AA1646">
        <v>0</v>
      </c>
    </row>
    <row r="1647" spans="1:27" x14ac:dyDescent="0.25">
      <c r="A1647" s="1">
        <v>1646</v>
      </c>
      <c r="B1647" t="s">
        <v>1579</v>
      </c>
      <c r="C1647" t="s">
        <v>1133</v>
      </c>
      <c r="D1647" t="s">
        <v>1133</v>
      </c>
      <c r="H1647" t="s">
        <v>1198</v>
      </c>
      <c r="I1647" t="s">
        <v>1198</v>
      </c>
      <c r="J1647" t="s">
        <v>1266</v>
      </c>
      <c r="K1647" t="s">
        <v>1212</v>
      </c>
      <c r="M1647" s="3">
        <f t="shared" si="100"/>
        <v>62</v>
      </c>
      <c r="N1647">
        <v>16</v>
      </c>
      <c r="O1647">
        <v>62</v>
      </c>
      <c r="P1647">
        <v>68</v>
      </c>
      <c r="Q1647">
        <v>72</v>
      </c>
      <c r="R1647">
        <v>80</v>
      </c>
      <c r="S1647">
        <v>87</v>
      </c>
      <c r="T1647">
        <v>49</v>
      </c>
      <c r="U1647">
        <v>0</v>
      </c>
      <c r="V1647" s="3">
        <f t="shared" si="101"/>
        <v>839300</v>
      </c>
      <c r="W1647">
        <v>69941.666666666672</v>
      </c>
      <c r="X1647">
        <v>0</v>
      </c>
      <c r="Y1647">
        <f t="shared" si="102"/>
        <v>69941.666666666672</v>
      </c>
      <c r="Z1647">
        <f t="shared" si="103"/>
        <v>0</v>
      </c>
      <c r="AA1647">
        <v>0</v>
      </c>
    </row>
    <row r="1648" spans="1:27" x14ac:dyDescent="0.25">
      <c r="A1648" s="1">
        <v>1647</v>
      </c>
      <c r="B1648" t="s">
        <v>91</v>
      </c>
      <c r="C1648" t="s">
        <v>1133</v>
      </c>
      <c r="D1648" t="s">
        <v>1133</v>
      </c>
      <c r="G1648" t="s">
        <v>1198</v>
      </c>
      <c r="H1648" t="s">
        <v>1198</v>
      </c>
      <c r="I1648" t="s">
        <v>1198</v>
      </c>
      <c r="J1648" t="s">
        <v>1266</v>
      </c>
      <c r="K1648" t="s">
        <v>1212</v>
      </c>
      <c r="M1648" s="3">
        <f t="shared" si="100"/>
        <v>63.142857142857146</v>
      </c>
      <c r="N1648">
        <v>15</v>
      </c>
      <c r="O1648">
        <v>60</v>
      </c>
      <c r="P1648">
        <v>70</v>
      </c>
      <c r="Q1648">
        <v>74</v>
      </c>
      <c r="R1648">
        <v>83</v>
      </c>
      <c r="S1648">
        <v>90</v>
      </c>
      <c r="T1648">
        <v>50</v>
      </c>
      <c r="U1648">
        <v>0</v>
      </c>
      <c r="V1648" s="3">
        <f t="shared" si="101"/>
        <v>1007494</v>
      </c>
      <c r="W1648">
        <v>83957.833333333328</v>
      </c>
      <c r="X1648">
        <v>0</v>
      </c>
      <c r="Y1648">
        <f t="shared" si="102"/>
        <v>83957.833333333328</v>
      </c>
      <c r="Z1648">
        <f t="shared" si="103"/>
        <v>0</v>
      </c>
      <c r="AA1648">
        <v>0</v>
      </c>
    </row>
    <row r="1649" spans="1:27" x14ac:dyDescent="0.25">
      <c r="A1649" s="1">
        <v>1648</v>
      </c>
      <c r="B1649" t="s">
        <v>92</v>
      </c>
      <c r="C1649" t="s">
        <v>1133</v>
      </c>
      <c r="D1649" t="s">
        <v>1133</v>
      </c>
      <c r="G1649" t="s">
        <v>1198</v>
      </c>
      <c r="H1649" t="s">
        <v>1198</v>
      </c>
      <c r="I1649" t="s">
        <v>1198</v>
      </c>
      <c r="J1649" t="s">
        <v>1266</v>
      </c>
      <c r="K1649" t="s">
        <v>1212</v>
      </c>
      <c r="M1649" s="3">
        <f t="shared" si="100"/>
        <v>63.285714285714285</v>
      </c>
      <c r="N1649">
        <v>18</v>
      </c>
      <c r="O1649">
        <v>71</v>
      </c>
      <c r="P1649">
        <v>67</v>
      </c>
      <c r="Q1649">
        <v>70</v>
      </c>
      <c r="R1649">
        <v>74</v>
      </c>
      <c r="S1649">
        <v>91</v>
      </c>
      <c r="T1649">
        <v>52</v>
      </c>
      <c r="U1649">
        <v>0</v>
      </c>
      <c r="V1649" s="3">
        <f t="shared" si="101"/>
        <v>1030522</v>
      </c>
      <c r="W1649">
        <v>85876.833333333328</v>
      </c>
      <c r="X1649">
        <v>0</v>
      </c>
      <c r="Y1649">
        <f t="shared" si="102"/>
        <v>85876.833333333328</v>
      </c>
      <c r="Z1649">
        <f t="shared" si="103"/>
        <v>0</v>
      </c>
      <c r="AA1649">
        <v>0</v>
      </c>
    </row>
    <row r="1650" spans="1:27" x14ac:dyDescent="0.25">
      <c r="A1650" s="1">
        <v>1649</v>
      </c>
      <c r="B1650" t="s">
        <v>1580</v>
      </c>
      <c r="C1650" t="s">
        <v>1134</v>
      </c>
      <c r="D1650" t="s">
        <v>1138</v>
      </c>
      <c r="E1650" t="s">
        <v>1139</v>
      </c>
      <c r="H1650" t="s">
        <v>1198</v>
      </c>
      <c r="I1650" t="s">
        <v>1198</v>
      </c>
      <c r="J1650" t="s">
        <v>1266</v>
      </c>
      <c r="K1650" t="s">
        <v>1212</v>
      </c>
      <c r="M1650" s="3">
        <f t="shared" si="100"/>
        <v>63.285714285714285</v>
      </c>
      <c r="N1650">
        <v>27</v>
      </c>
      <c r="O1650">
        <v>78</v>
      </c>
      <c r="P1650">
        <v>55</v>
      </c>
      <c r="Q1650">
        <v>74</v>
      </c>
      <c r="R1650">
        <v>76</v>
      </c>
      <c r="S1650">
        <v>79</v>
      </c>
      <c r="T1650">
        <v>54</v>
      </c>
      <c r="U1650">
        <v>0</v>
      </c>
      <c r="V1650" s="3">
        <f t="shared" si="101"/>
        <v>1030522</v>
      </c>
      <c r="W1650">
        <v>85876.833333333328</v>
      </c>
      <c r="X1650">
        <v>0</v>
      </c>
      <c r="Y1650">
        <f t="shared" si="102"/>
        <v>85876.833333333328</v>
      </c>
      <c r="Z1650">
        <f t="shared" si="103"/>
        <v>0</v>
      </c>
      <c r="AA1650">
        <v>0</v>
      </c>
    </row>
    <row r="1651" spans="1:27" x14ac:dyDescent="0.25">
      <c r="A1651" s="1">
        <v>1650</v>
      </c>
      <c r="B1651" t="s">
        <v>363</v>
      </c>
      <c r="C1651" t="s">
        <v>1134</v>
      </c>
      <c r="D1651" t="s">
        <v>1138</v>
      </c>
      <c r="E1651" t="s">
        <v>1144</v>
      </c>
      <c r="G1651" t="s">
        <v>1198</v>
      </c>
      <c r="H1651" t="s">
        <v>1219</v>
      </c>
      <c r="I1651" t="s">
        <v>1219</v>
      </c>
      <c r="J1651" t="s">
        <v>1266</v>
      </c>
      <c r="K1651" t="s">
        <v>1212</v>
      </c>
      <c r="M1651" s="3">
        <f t="shared" si="100"/>
        <v>84.142857142857139</v>
      </c>
      <c r="N1651">
        <v>80</v>
      </c>
      <c r="O1651">
        <v>80</v>
      </c>
      <c r="P1651">
        <v>87</v>
      </c>
      <c r="Q1651">
        <v>84</v>
      </c>
      <c r="R1651">
        <v>89</v>
      </c>
      <c r="S1651">
        <v>88</v>
      </c>
      <c r="T1651">
        <v>81</v>
      </c>
      <c r="U1651">
        <v>26</v>
      </c>
      <c r="V1651" s="3">
        <f t="shared" si="101"/>
        <v>26684792</v>
      </c>
      <c r="W1651">
        <v>2223732.6666666665</v>
      </c>
      <c r="X1651">
        <v>0</v>
      </c>
      <c r="Y1651">
        <f t="shared" si="102"/>
        <v>2223732.6666666665</v>
      </c>
      <c r="Z1651">
        <f t="shared" si="103"/>
        <v>0</v>
      </c>
      <c r="AA1651">
        <v>0</v>
      </c>
    </row>
    <row r="1652" spans="1:27" x14ac:dyDescent="0.25">
      <c r="A1652" s="1">
        <v>1651</v>
      </c>
      <c r="B1652" t="s">
        <v>366</v>
      </c>
      <c r="C1652" t="s">
        <v>1134</v>
      </c>
      <c r="D1652" t="s">
        <v>1139</v>
      </c>
      <c r="E1652" t="s">
        <v>1144</v>
      </c>
      <c r="G1652" t="s">
        <v>1198</v>
      </c>
      <c r="H1652" t="s">
        <v>1198</v>
      </c>
      <c r="I1652" t="s">
        <v>1198</v>
      </c>
      <c r="J1652" t="s">
        <v>1266</v>
      </c>
      <c r="K1652" t="s">
        <v>1212</v>
      </c>
      <c r="M1652" s="3">
        <f t="shared" si="100"/>
        <v>69.571428571428569</v>
      </c>
      <c r="N1652">
        <v>40</v>
      </c>
      <c r="O1652">
        <v>92</v>
      </c>
      <c r="P1652">
        <v>65</v>
      </c>
      <c r="Q1652">
        <v>74</v>
      </c>
      <c r="R1652">
        <v>73</v>
      </c>
      <c r="S1652">
        <v>75</v>
      </c>
      <c r="T1652">
        <v>68</v>
      </c>
      <c r="U1652">
        <v>0</v>
      </c>
      <c r="V1652" s="3">
        <f t="shared" si="101"/>
        <v>2656497</v>
      </c>
      <c r="W1652">
        <v>221374.75</v>
      </c>
      <c r="X1652">
        <v>0</v>
      </c>
      <c r="Y1652">
        <f t="shared" si="102"/>
        <v>221374.75</v>
      </c>
      <c r="Z1652">
        <f t="shared" si="103"/>
        <v>0</v>
      </c>
      <c r="AA1652">
        <v>0</v>
      </c>
    </row>
    <row r="1653" spans="1:27" x14ac:dyDescent="0.25">
      <c r="A1653" s="1">
        <v>1652</v>
      </c>
      <c r="B1653" t="s">
        <v>364</v>
      </c>
      <c r="C1653" t="s">
        <v>1134</v>
      </c>
      <c r="D1653" t="s">
        <v>1138</v>
      </c>
      <c r="G1653" t="s">
        <v>1198</v>
      </c>
      <c r="H1653" t="s">
        <v>1198</v>
      </c>
      <c r="I1653" t="s">
        <v>1198</v>
      </c>
      <c r="J1653" t="s">
        <v>1266</v>
      </c>
      <c r="K1653" t="s">
        <v>1212</v>
      </c>
      <c r="M1653" s="3">
        <f t="shared" si="100"/>
        <v>76</v>
      </c>
      <c r="N1653">
        <v>60</v>
      </c>
      <c r="O1653">
        <v>76</v>
      </c>
      <c r="P1653">
        <v>78</v>
      </c>
      <c r="Q1653">
        <v>78</v>
      </c>
      <c r="R1653">
        <v>81</v>
      </c>
      <c r="S1653">
        <v>84</v>
      </c>
      <c r="T1653">
        <v>75</v>
      </c>
      <c r="U1653">
        <v>0</v>
      </c>
      <c r="V1653" s="3">
        <f t="shared" si="101"/>
        <v>6428889</v>
      </c>
      <c r="W1653">
        <v>535740.75</v>
      </c>
      <c r="X1653">
        <v>0</v>
      </c>
      <c r="Y1653">
        <f t="shared" si="102"/>
        <v>535740.75</v>
      </c>
      <c r="Z1653">
        <f t="shared" si="103"/>
        <v>0</v>
      </c>
      <c r="AA1653">
        <v>0</v>
      </c>
    </row>
    <row r="1654" spans="1:27" x14ac:dyDescent="0.25">
      <c r="A1654" s="1">
        <v>1653</v>
      </c>
      <c r="B1654" t="s">
        <v>1581</v>
      </c>
      <c r="C1654" t="s">
        <v>1134</v>
      </c>
      <c r="D1654" t="s">
        <v>1139</v>
      </c>
      <c r="E1654" t="s">
        <v>1144</v>
      </c>
      <c r="H1654" t="s">
        <v>1198</v>
      </c>
      <c r="I1654" t="s">
        <v>1198</v>
      </c>
      <c r="J1654" t="s">
        <v>1266</v>
      </c>
      <c r="K1654" t="s">
        <v>1212</v>
      </c>
      <c r="M1654" s="3">
        <f t="shared" si="100"/>
        <v>59.285714285714285</v>
      </c>
      <c r="N1654">
        <v>21</v>
      </c>
      <c r="O1654">
        <v>83</v>
      </c>
      <c r="P1654">
        <v>48</v>
      </c>
      <c r="Q1654">
        <v>68</v>
      </c>
      <c r="R1654">
        <v>71</v>
      </c>
      <c r="S1654">
        <v>73</v>
      </c>
      <c r="T1654">
        <v>51</v>
      </c>
      <c r="U1654">
        <v>0</v>
      </c>
      <c r="V1654" s="3">
        <f t="shared" si="101"/>
        <v>536415</v>
      </c>
      <c r="W1654">
        <v>44701.25</v>
      </c>
      <c r="X1654">
        <v>0</v>
      </c>
      <c r="Y1654">
        <f t="shared" si="102"/>
        <v>44701.25</v>
      </c>
      <c r="Z1654">
        <f t="shared" si="103"/>
        <v>0</v>
      </c>
      <c r="AA1654">
        <v>0</v>
      </c>
    </row>
    <row r="1655" spans="1:27" x14ac:dyDescent="0.25">
      <c r="A1655" s="1">
        <v>1654</v>
      </c>
      <c r="B1655" t="s">
        <v>365</v>
      </c>
      <c r="C1655" t="s">
        <v>1134</v>
      </c>
      <c r="D1655" t="s">
        <v>1138</v>
      </c>
      <c r="G1655" t="s">
        <v>1198</v>
      </c>
      <c r="H1655" t="s">
        <v>1198</v>
      </c>
      <c r="I1655" t="s">
        <v>1198</v>
      </c>
      <c r="J1655" t="s">
        <v>1266</v>
      </c>
      <c r="K1655" t="s">
        <v>1212</v>
      </c>
      <c r="M1655" s="3">
        <f t="shared" si="100"/>
        <v>76.285714285714292</v>
      </c>
      <c r="N1655">
        <v>60</v>
      </c>
      <c r="O1655">
        <v>74</v>
      </c>
      <c r="P1655">
        <v>80</v>
      </c>
      <c r="Q1655">
        <v>77</v>
      </c>
      <c r="R1655">
        <v>82</v>
      </c>
      <c r="S1655">
        <v>88</v>
      </c>
      <c r="T1655">
        <v>73</v>
      </c>
      <c r="U1655">
        <v>0</v>
      </c>
      <c r="V1655" s="3">
        <f t="shared" si="101"/>
        <v>6674707</v>
      </c>
      <c r="W1655">
        <v>556225.58333333337</v>
      </c>
      <c r="X1655">
        <v>0</v>
      </c>
      <c r="Y1655">
        <f t="shared" si="102"/>
        <v>556225.58333333337</v>
      </c>
      <c r="Z1655">
        <f t="shared" si="103"/>
        <v>0</v>
      </c>
      <c r="AA1655">
        <v>0</v>
      </c>
    </row>
    <row r="1656" spans="1:27" x14ac:dyDescent="0.25">
      <c r="A1656" s="1">
        <v>1655</v>
      </c>
      <c r="B1656" t="s">
        <v>2603</v>
      </c>
      <c r="C1656" t="s">
        <v>1134</v>
      </c>
      <c r="D1656" t="s">
        <v>1138</v>
      </c>
      <c r="E1656" t="s">
        <v>1144</v>
      </c>
      <c r="H1656" t="s">
        <v>1198</v>
      </c>
      <c r="I1656" t="s">
        <v>1198</v>
      </c>
      <c r="J1656" t="s">
        <v>1266</v>
      </c>
      <c r="K1656" t="s">
        <v>1212</v>
      </c>
      <c r="M1656" s="3">
        <f t="shared" si="100"/>
        <v>66.714285714285708</v>
      </c>
      <c r="N1656">
        <v>34</v>
      </c>
      <c r="O1656">
        <v>71</v>
      </c>
      <c r="P1656">
        <v>63</v>
      </c>
      <c r="Q1656">
        <v>79</v>
      </c>
      <c r="R1656">
        <v>80</v>
      </c>
      <c r="S1656">
        <v>82</v>
      </c>
      <c r="T1656">
        <v>58</v>
      </c>
      <c r="U1656">
        <v>0</v>
      </c>
      <c r="V1656" s="3">
        <f t="shared" si="101"/>
        <v>1746580</v>
      </c>
      <c r="W1656">
        <v>145548.33333333334</v>
      </c>
      <c r="X1656">
        <v>0</v>
      </c>
      <c r="Y1656">
        <f t="shared" si="102"/>
        <v>145548.33333333334</v>
      </c>
      <c r="Z1656">
        <f t="shared" si="103"/>
        <v>0</v>
      </c>
      <c r="AA1656">
        <v>0</v>
      </c>
    </row>
    <row r="1657" spans="1:27" x14ac:dyDescent="0.25">
      <c r="A1657" s="1">
        <v>1656</v>
      </c>
      <c r="B1657" t="s">
        <v>1582</v>
      </c>
      <c r="C1657" t="s">
        <v>1134</v>
      </c>
      <c r="D1657" t="s">
        <v>1138</v>
      </c>
      <c r="H1657" t="s">
        <v>1198</v>
      </c>
      <c r="I1657" t="s">
        <v>1198</v>
      </c>
      <c r="J1657" t="s">
        <v>1266</v>
      </c>
      <c r="K1657" t="s">
        <v>1212</v>
      </c>
      <c r="M1657" s="3">
        <f t="shared" si="100"/>
        <v>65.857142857142861</v>
      </c>
      <c r="N1657">
        <v>40</v>
      </c>
      <c r="O1657">
        <v>64</v>
      </c>
      <c r="P1657">
        <v>66</v>
      </c>
      <c r="Q1657">
        <v>73</v>
      </c>
      <c r="R1657">
        <v>82</v>
      </c>
      <c r="S1657">
        <v>77</v>
      </c>
      <c r="T1657">
        <v>59</v>
      </c>
      <c r="U1657">
        <v>0</v>
      </c>
      <c r="V1657" s="3">
        <f t="shared" si="101"/>
        <v>1534719</v>
      </c>
      <c r="W1657">
        <v>127893.25</v>
      </c>
      <c r="X1657">
        <v>0</v>
      </c>
      <c r="Y1657">
        <f t="shared" si="102"/>
        <v>127893.25</v>
      </c>
      <c r="Z1657">
        <f t="shared" si="103"/>
        <v>0</v>
      </c>
      <c r="AA1657">
        <v>0</v>
      </c>
    </row>
    <row r="1658" spans="1:27" x14ac:dyDescent="0.25">
      <c r="A1658" s="1">
        <v>1657</v>
      </c>
      <c r="B1658" t="s">
        <v>2548</v>
      </c>
      <c r="C1658" t="s">
        <v>1135</v>
      </c>
      <c r="D1658" t="s">
        <v>1141</v>
      </c>
      <c r="G1658" t="s">
        <v>1152</v>
      </c>
      <c r="H1658" t="s">
        <v>1152</v>
      </c>
      <c r="I1658" t="s">
        <v>1152</v>
      </c>
      <c r="J1658" t="s">
        <v>1266</v>
      </c>
      <c r="K1658" t="s">
        <v>1212</v>
      </c>
      <c r="M1658" s="3">
        <f t="shared" si="100"/>
        <v>60.428571428571431</v>
      </c>
      <c r="N1658">
        <v>40</v>
      </c>
      <c r="O1658">
        <v>91</v>
      </c>
      <c r="P1658">
        <v>80</v>
      </c>
      <c r="Q1658">
        <v>70</v>
      </c>
      <c r="R1658">
        <v>50</v>
      </c>
      <c r="S1658">
        <v>52</v>
      </c>
      <c r="T1658">
        <v>40</v>
      </c>
      <c r="U1658">
        <v>0</v>
      </c>
      <c r="V1658" s="3">
        <f t="shared" si="101"/>
        <v>649267</v>
      </c>
      <c r="W1658">
        <v>54105.583333333336</v>
      </c>
      <c r="X1658">
        <v>0</v>
      </c>
      <c r="Y1658">
        <f t="shared" si="102"/>
        <v>54105.583333333336</v>
      </c>
      <c r="Z1658">
        <f t="shared" si="103"/>
        <v>0</v>
      </c>
      <c r="AA1658">
        <v>0</v>
      </c>
    </row>
    <row r="1659" spans="1:27" x14ac:dyDescent="0.25">
      <c r="A1659" s="1">
        <v>1658</v>
      </c>
      <c r="B1659" t="s">
        <v>465</v>
      </c>
      <c r="C1659" t="s">
        <v>1135</v>
      </c>
      <c r="D1659" t="s">
        <v>1141</v>
      </c>
      <c r="G1659" t="s">
        <v>1158</v>
      </c>
      <c r="H1659" t="s">
        <v>1158</v>
      </c>
      <c r="I1659" t="s">
        <v>1158</v>
      </c>
      <c r="J1659" t="s">
        <v>1266</v>
      </c>
      <c r="K1659" t="s">
        <v>1212</v>
      </c>
      <c r="M1659" s="3">
        <f t="shared" si="100"/>
        <v>71.857142857142861</v>
      </c>
      <c r="N1659">
        <v>40</v>
      </c>
      <c r="O1659">
        <v>76</v>
      </c>
      <c r="P1659">
        <v>83</v>
      </c>
      <c r="Q1659">
        <v>75</v>
      </c>
      <c r="R1659">
        <v>80</v>
      </c>
      <c r="S1659">
        <v>84</v>
      </c>
      <c r="T1659">
        <v>65</v>
      </c>
      <c r="U1659">
        <v>0</v>
      </c>
      <c r="V1659" s="3">
        <f t="shared" si="101"/>
        <v>3670283</v>
      </c>
      <c r="W1659">
        <v>305856.91666666669</v>
      </c>
      <c r="X1659">
        <v>0</v>
      </c>
      <c r="Y1659">
        <f t="shared" si="102"/>
        <v>305856.91666666669</v>
      </c>
      <c r="Z1659">
        <f t="shared" si="103"/>
        <v>0</v>
      </c>
      <c r="AA1659">
        <v>0</v>
      </c>
    </row>
    <row r="1660" spans="1:27" x14ac:dyDescent="0.25">
      <c r="A1660" s="1">
        <v>1659</v>
      </c>
      <c r="B1660" t="s">
        <v>1587</v>
      </c>
      <c r="C1660" t="s">
        <v>1135</v>
      </c>
      <c r="D1660" t="s">
        <v>1141</v>
      </c>
      <c r="E1660" t="s">
        <v>1142</v>
      </c>
      <c r="H1660" t="s">
        <v>1198</v>
      </c>
      <c r="I1660" t="s">
        <v>1198</v>
      </c>
      <c r="J1660" t="s">
        <v>1266</v>
      </c>
      <c r="K1660" t="s">
        <v>1212</v>
      </c>
      <c r="M1660" s="3">
        <f t="shared" si="100"/>
        <v>62.857142857142854</v>
      </c>
      <c r="N1660">
        <v>29</v>
      </c>
      <c r="O1660">
        <v>75</v>
      </c>
      <c r="P1660">
        <v>61</v>
      </c>
      <c r="Q1660">
        <v>70</v>
      </c>
      <c r="R1660">
        <v>79</v>
      </c>
      <c r="S1660">
        <v>74</v>
      </c>
      <c r="T1660">
        <v>52</v>
      </c>
      <c r="U1660">
        <v>0</v>
      </c>
      <c r="V1660" s="3">
        <f t="shared" si="101"/>
        <v>962823</v>
      </c>
      <c r="W1660">
        <v>80235.25</v>
      </c>
      <c r="X1660">
        <v>0</v>
      </c>
      <c r="Y1660">
        <f t="shared" si="102"/>
        <v>80235.25</v>
      </c>
      <c r="Z1660">
        <f t="shared" si="103"/>
        <v>0</v>
      </c>
      <c r="AA1660">
        <v>0</v>
      </c>
    </row>
    <row r="1661" spans="1:27" x14ac:dyDescent="0.25">
      <c r="A1661" s="1">
        <v>1660</v>
      </c>
      <c r="B1661" t="s">
        <v>589</v>
      </c>
      <c r="C1661" t="s">
        <v>1135</v>
      </c>
      <c r="D1661" t="s">
        <v>1141</v>
      </c>
      <c r="E1661" t="s">
        <v>1142</v>
      </c>
      <c r="G1661" t="s">
        <v>1198</v>
      </c>
      <c r="H1661" t="s">
        <v>1198</v>
      </c>
      <c r="I1661" t="s">
        <v>1198</v>
      </c>
      <c r="J1661" t="s">
        <v>1266</v>
      </c>
      <c r="K1661" t="s">
        <v>1212</v>
      </c>
      <c r="M1661" s="3">
        <f t="shared" si="100"/>
        <v>68.142857142857139</v>
      </c>
      <c r="N1661">
        <v>50</v>
      </c>
      <c r="O1661">
        <v>80</v>
      </c>
      <c r="P1661">
        <v>81</v>
      </c>
      <c r="Q1661">
        <v>68</v>
      </c>
      <c r="R1661">
        <v>70</v>
      </c>
      <c r="S1661">
        <v>78</v>
      </c>
      <c r="T1661">
        <v>50</v>
      </c>
      <c r="U1661">
        <v>0</v>
      </c>
      <c r="V1661" s="3">
        <f t="shared" si="101"/>
        <v>2158756</v>
      </c>
      <c r="W1661">
        <v>179896.33333333334</v>
      </c>
      <c r="X1661">
        <v>0</v>
      </c>
      <c r="Y1661">
        <f t="shared" si="102"/>
        <v>179896.33333333334</v>
      </c>
      <c r="Z1661">
        <f t="shared" si="103"/>
        <v>0</v>
      </c>
      <c r="AA1661">
        <v>0</v>
      </c>
    </row>
    <row r="1662" spans="1:27" x14ac:dyDescent="0.25">
      <c r="A1662" s="1">
        <v>1661</v>
      </c>
      <c r="B1662" t="s">
        <v>940</v>
      </c>
      <c r="C1662" t="s">
        <v>1136</v>
      </c>
      <c r="D1662" t="s">
        <v>1144</v>
      </c>
      <c r="G1662" t="s">
        <v>1198</v>
      </c>
      <c r="H1662" t="s">
        <v>1198</v>
      </c>
      <c r="I1662" t="s">
        <v>1198</v>
      </c>
      <c r="J1662" t="s">
        <v>1266</v>
      </c>
      <c r="K1662" t="s">
        <v>1212</v>
      </c>
      <c r="M1662" s="3">
        <f t="shared" si="100"/>
        <v>60.571428571428569</v>
      </c>
      <c r="N1662">
        <v>47</v>
      </c>
      <c r="O1662">
        <v>61</v>
      </c>
      <c r="P1662">
        <v>64</v>
      </c>
      <c r="Q1662">
        <v>65</v>
      </c>
      <c r="R1662">
        <v>72</v>
      </c>
      <c r="S1662">
        <v>72</v>
      </c>
      <c r="T1662">
        <v>43</v>
      </c>
      <c r="U1662">
        <v>0</v>
      </c>
      <c r="V1662" s="3">
        <f t="shared" si="101"/>
        <v>664781</v>
      </c>
      <c r="W1662">
        <v>55398.416666666664</v>
      </c>
      <c r="X1662">
        <v>0</v>
      </c>
      <c r="Y1662">
        <f t="shared" si="102"/>
        <v>55398.416666666664</v>
      </c>
      <c r="Z1662">
        <f t="shared" si="103"/>
        <v>0</v>
      </c>
      <c r="AA1662">
        <v>0</v>
      </c>
    </row>
    <row r="1663" spans="1:27" x14ac:dyDescent="0.25">
      <c r="A1663" s="1">
        <v>1662</v>
      </c>
      <c r="B1663" t="s">
        <v>1583</v>
      </c>
      <c r="C1663" t="s">
        <v>1136</v>
      </c>
      <c r="D1663" t="s">
        <v>1144</v>
      </c>
      <c r="E1663" t="s">
        <v>1143</v>
      </c>
      <c r="H1663" t="s">
        <v>1198</v>
      </c>
      <c r="I1663" t="s">
        <v>1198</v>
      </c>
      <c r="J1663" t="s">
        <v>1266</v>
      </c>
      <c r="K1663" t="s">
        <v>1212</v>
      </c>
      <c r="M1663" s="3">
        <f t="shared" si="100"/>
        <v>65.857142857142861</v>
      </c>
      <c r="N1663">
        <v>40</v>
      </c>
      <c r="O1663">
        <v>64</v>
      </c>
      <c r="P1663">
        <v>66</v>
      </c>
      <c r="Q1663">
        <v>73</v>
      </c>
      <c r="R1663">
        <v>82</v>
      </c>
      <c r="S1663">
        <v>77</v>
      </c>
      <c r="T1663">
        <v>59</v>
      </c>
      <c r="U1663">
        <v>0</v>
      </c>
      <c r="V1663" s="3">
        <f t="shared" si="101"/>
        <v>1534719</v>
      </c>
      <c r="W1663">
        <v>127893.25</v>
      </c>
      <c r="X1663">
        <v>0</v>
      </c>
      <c r="Y1663">
        <f t="shared" si="102"/>
        <v>127893.25</v>
      </c>
      <c r="Z1663">
        <f t="shared" si="103"/>
        <v>0</v>
      </c>
      <c r="AA1663">
        <v>0</v>
      </c>
    </row>
    <row r="1664" spans="1:27" x14ac:dyDescent="0.25">
      <c r="A1664" s="1">
        <v>1663</v>
      </c>
      <c r="B1664" t="s">
        <v>1585</v>
      </c>
      <c r="C1664" t="s">
        <v>1136</v>
      </c>
      <c r="D1664" t="s">
        <v>1147</v>
      </c>
      <c r="E1664" t="s">
        <v>1145</v>
      </c>
      <c r="H1664" t="s">
        <v>1198</v>
      </c>
      <c r="I1664" t="s">
        <v>1198</v>
      </c>
      <c r="J1664" t="s">
        <v>1266</v>
      </c>
      <c r="K1664" t="s">
        <v>1212</v>
      </c>
      <c r="M1664" s="3">
        <f t="shared" si="100"/>
        <v>58.428571428571431</v>
      </c>
      <c r="N1664">
        <v>24</v>
      </c>
      <c r="O1664">
        <v>77</v>
      </c>
      <c r="P1664">
        <v>52</v>
      </c>
      <c r="Q1664">
        <v>66</v>
      </c>
      <c r="R1664">
        <v>70</v>
      </c>
      <c r="S1664">
        <v>70</v>
      </c>
      <c r="T1664">
        <v>50</v>
      </c>
      <c r="U1664">
        <v>0</v>
      </c>
      <c r="V1664" s="3">
        <f t="shared" si="101"/>
        <v>463717</v>
      </c>
      <c r="W1664">
        <v>38643.083333333336</v>
      </c>
      <c r="X1664">
        <v>0</v>
      </c>
      <c r="Y1664">
        <f t="shared" si="102"/>
        <v>38643.083333333336</v>
      </c>
      <c r="Z1664">
        <f t="shared" si="103"/>
        <v>0</v>
      </c>
      <c r="AA1664">
        <v>0</v>
      </c>
    </row>
    <row r="1665" spans="1:27" x14ac:dyDescent="0.25">
      <c r="A1665" s="1">
        <v>1664</v>
      </c>
      <c r="B1665" t="s">
        <v>1586</v>
      </c>
      <c r="C1665" t="s">
        <v>1136</v>
      </c>
      <c r="D1665" t="s">
        <v>1146</v>
      </c>
      <c r="E1665" t="s">
        <v>1143</v>
      </c>
      <c r="H1665" t="s">
        <v>1198</v>
      </c>
      <c r="I1665" t="s">
        <v>1198</v>
      </c>
      <c r="J1665" t="s">
        <v>1266</v>
      </c>
      <c r="K1665" t="s">
        <v>1212</v>
      </c>
      <c r="M1665" s="3">
        <f t="shared" si="100"/>
        <v>62.142857142857146</v>
      </c>
      <c r="N1665">
        <v>36</v>
      </c>
      <c r="O1665">
        <v>73</v>
      </c>
      <c r="P1665">
        <v>58</v>
      </c>
      <c r="Q1665">
        <v>71</v>
      </c>
      <c r="R1665">
        <v>73</v>
      </c>
      <c r="S1665">
        <v>69</v>
      </c>
      <c r="T1665">
        <v>55</v>
      </c>
      <c r="U1665">
        <v>0</v>
      </c>
      <c r="V1665" s="3">
        <f t="shared" si="101"/>
        <v>858840</v>
      </c>
      <c r="W1665">
        <v>71570</v>
      </c>
      <c r="X1665">
        <v>0</v>
      </c>
      <c r="Y1665">
        <f t="shared" si="102"/>
        <v>71570</v>
      </c>
      <c r="Z1665">
        <f t="shared" si="103"/>
        <v>0</v>
      </c>
      <c r="AA1665">
        <v>0</v>
      </c>
    </row>
    <row r="1666" spans="1:27" x14ac:dyDescent="0.25">
      <c r="A1666" s="1">
        <v>1665</v>
      </c>
      <c r="B1666" t="s">
        <v>944</v>
      </c>
      <c r="C1666" t="s">
        <v>1136</v>
      </c>
      <c r="D1666" t="s">
        <v>1147</v>
      </c>
      <c r="E1666" t="s">
        <v>1143</v>
      </c>
      <c r="G1666" t="s">
        <v>1198</v>
      </c>
      <c r="H1666" t="s">
        <v>1198</v>
      </c>
      <c r="I1666" t="s">
        <v>1198</v>
      </c>
      <c r="J1666" t="s">
        <v>1266</v>
      </c>
      <c r="K1666" t="s">
        <v>1212</v>
      </c>
      <c r="M1666" s="3">
        <f t="shared" ref="M1666:M1729" si="104">AVERAGE(N1666:T1666)</f>
        <v>61.857142857142854</v>
      </c>
      <c r="N1666">
        <v>36</v>
      </c>
      <c r="O1666">
        <v>75</v>
      </c>
      <c r="P1666">
        <v>60</v>
      </c>
      <c r="Q1666">
        <v>65</v>
      </c>
      <c r="R1666">
        <v>72</v>
      </c>
      <c r="S1666">
        <v>70</v>
      </c>
      <c r="T1666">
        <v>55</v>
      </c>
      <c r="U1666">
        <v>0</v>
      </c>
      <c r="V1666" s="3">
        <f t="shared" ref="V1666:V1729" si="105">ROUNDUP(M1666^10/1000000000000 * IF(U1666&gt;0,1.5,1),0)</f>
        <v>820160</v>
      </c>
      <c r="W1666">
        <v>68346.666666666672</v>
      </c>
      <c r="X1666">
        <v>0</v>
      </c>
      <c r="Y1666">
        <f t="shared" ref="Y1666:Y1729" si="106">V1666/12</f>
        <v>68346.666666666672</v>
      </c>
      <c r="Z1666">
        <f t="shared" ref="Z1666:Z1729" si="107">ROUND(((W1666-Y1666)/Y1666)*100,2)</f>
        <v>0</v>
      </c>
      <c r="AA1666">
        <v>0</v>
      </c>
    </row>
    <row r="1667" spans="1:27" x14ac:dyDescent="0.25">
      <c r="A1667" s="1">
        <v>1666</v>
      </c>
      <c r="B1667" t="s">
        <v>969</v>
      </c>
      <c r="C1667" t="s">
        <v>1136</v>
      </c>
      <c r="D1667" t="s">
        <v>1144</v>
      </c>
      <c r="E1667" t="s">
        <v>1143</v>
      </c>
      <c r="G1667" t="s">
        <v>1202</v>
      </c>
      <c r="H1667" t="s">
        <v>1202</v>
      </c>
      <c r="I1667" t="s">
        <v>1202</v>
      </c>
      <c r="J1667" t="s">
        <v>1266</v>
      </c>
      <c r="K1667" t="s">
        <v>1212</v>
      </c>
      <c r="M1667" s="3">
        <f t="shared" si="104"/>
        <v>57.428571428571431</v>
      </c>
      <c r="N1667">
        <v>34</v>
      </c>
      <c r="O1667">
        <v>55</v>
      </c>
      <c r="P1667">
        <v>67</v>
      </c>
      <c r="Q1667">
        <v>62</v>
      </c>
      <c r="R1667">
        <v>67</v>
      </c>
      <c r="S1667">
        <v>73</v>
      </c>
      <c r="T1667">
        <v>44</v>
      </c>
      <c r="U1667">
        <v>0</v>
      </c>
      <c r="V1667" s="3">
        <f t="shared" si="105"/>
        <v>390194</v>
      </c>
      <c r="W1667">
        <v>32516.166666666668</v>
      </c>
      <c r="X1667">
        <v>0</v>
      </c>
      <c r="Y1667">
        <f t="shared" si="106"/>
        <v>32516.166666666668</v>
      </c>
      <c r="Z1667">
        <f t="shared" si="107"/>
        <v>0</v>
      </c>
      <c r="AA1667">
        <v>0</v>
      </c>
    </row>
    <row r="1668" spans="1:27" x14ac:dyDescent="0.25">
      <c r="A1668" s="1">
        <v>1667</v>
      </c>
      <c r="B1668" t="s">
        <v>2680</v>
      </c>
      <c r="C1668" t="s">
        <v>1136</v>
      </c>
      <c r="D1668" t="s">
        <v>1144</v>
      </c>
      <c r="G1668" t="s">
        <v>1198</v>
      </c>
      <c r="H1668" t="s">
        <v>1222</v>
      </c>
      <c r="I1668" t="s">
        <v>1222</v>
      </c>
      <c r="J1668" t="s">
        <v>1266</v>
      </c>
      <c r="K1668" t="s">
        <v>1212</v>
      </c>
      <c r="M1668" s="3">
        <f t="shared" si="104"/>
        <v>70</v>
      </c>
      <c r="N1668">
        <v>64</v>
      </c>
      <c r="O1668">
        <v>75</v>
      </c>
      <c r="P1668">
        <v>62</v>
      </c>
      <c r="Q1668">
        <v>70</v>
      </c>
      <c r="R1668">
        <v>74</v>
      </c>
      <c r="S1668">
        <v>90</v>
      </c>
      <c r="T1668">
        <v>55</v>
      </c>
      <c r="U1668">
        <v>0</v>
      </c>
      <c r="V1668" s="3">
        <f t="shared" si="105"/>
        <v>2824753</v>
      </c>
      <c r="W1668">
        <v>80235.25</v>
      </c>
      <c r="X1668">
        <v>0</v>
      </c>
      <c r="Y1668">
        <f t="shared" si="106"/>
        <v>235396.08333333334</v>
      </c>
      <c r="Z1668">
        <f t="shared" si="107"/>
        <v>-65.91</v>
      </c>
      <c r="AA1668">
        <v>0</v>
      </c>
    </row>
    <row r="1669" spans="1:27" x14ac:dyDescent="0.25">
      <c r="A1669" s="1">
        <v>1668</v>
      </c>
      <c r="B1669" t="s">
        <v>943</v>
      </c>
      <c r="C1669" t="s">
        <v>1136</v>
      </c>
      <c r="D1669" t="s">
        <v>1147</v>
      </c>
      <c r="E1669" t="s">
        <v>1144</v>
      </c>
      <c r="G1669" t="s">
        <v>1198</v>
      </c>
      <c r="H1669" t="s">
        <v>1198</v>
      </c>
      <c r="I1669" t="s">
        <v>1198</v>
      </c>
      <c r="J1669" t="s">
        <v>1266</v>
      </c>
      <c r="K1669" t="s">
        <v>1212</v>
      </c>
      <c r="M1669" s="3">
        <f t="shared" si="104"/>
        <v>64</v>
      </c>
      <c r="N1669">
        <v>54</v>
      </c>
      <c r="O1669">
        <v>76</v>
      </c>
      <c r="P1669">
        <v>69</v>
      </c>
      <c r="Q1669">
        <v>74</v>
      </c>
      <c r="R1669">
        <v>66</v>
      </c>
      <c r="S1669">
        <v>70</v>
      </c>
      <c r="T1669">
        <v>39</v>
      </c>
      <c r="U1669">
        <v>0</v>
      </c>
      <c r="V1669" s="3">
        <f t="shared" si="105"/>
        <v>1152922</v>
      </c>
      <c r="W1669">
        <v>96076.833333333328</v>
      </c>
      <c r="X1669">
        <v>0</v>
      </c>
      <c r="Y1669">
        <f t="shared" si="106"/>
        <v>96076.833333333328</v>
      </c>
      <c r="Z1669">
        <f t="shared" si="107"/>
        <v>0</v>
      </c>
      <c r="AA1669">
        <v>0</v>
      </c>
    </row>
    <row r="1670" spans="1:27" x14ac:dyDescent="0.25">
      <c r="A1670" s="1">
        <v>1669</v>
      </c>
      <c r="B1670" t="s">
        <v>941</v>
      </c>
      <c r="C1670" t="s">
        <v>1136</v>
      </c>
      <c r="D1670" t="s">
        <v>1143</v>
      </c>
      <c r="E1670" t="s">
        <v>1145</v>
      </c>
      <c r="G1670" t="s">
        <v>1198</v>
      </c>
      <c r="H1670" t="s">
        <v>1198</v>
      </c>
      <c r="I1670" t="s">
        <v>1198</v>
      </c>
      <c r="J1670" t="s">
        <v>1266</v>
      </c>
      <c r="K1670" t="s">
        <v>1212</v>
      </c>
      <c r="M1670" s="3">
        <f t="shared" si="104"/>
        <v>59.142857142857146</v>
      </c>
      <c r="N1670">
        <v>49</v>
      </c>
      <c r="O1670">
        <v>66</v>
      </c>
      <c r="P1670">
        <v>55</v>
      </c>
      <c r="Q1670">
        <v>63</v>
      </c>
      <c r="R1670">
        <v>69</v>
      </c>
      <c r="S1670">
        <v>80</v>
      </c>
      <c r="T1670">
        <v>32</v>
      </c>
      <c r="U1670">
        <v>0</v>
      </c>
      <c r="V1670" s="3">
        <f t="shared" si="105"/>
        <v>523629</v>
      </c>
      <c r="W1670">
        <v>43635.75</v>
      </c>
      <c r="X1670">
        <v>0</v>
      </c>
      <c r="Y1670">
        <f t="shared" si="106"/>
        <v>43635.75</v>
      </c>
      <c r="Z1670">
        <f t="shared" si="107"/>
        <v>0</v>
      </c>
      <c r="AA1670">
        <v>0</v>
      </c>
    </row>
    <row r="1671" spans="1:27" x14ac:dyDescent="0.25">
      <c r="A1671" s="1">
        <v>1670</v>
      </c>
      <c r="B1671" t="s">
        <v>1584</v>
      </c>
      <c r="C1671" t="s">
        <v>1136</v>
      </c>
      <c r="D1671" t="s">
        <v>1143</v>
      </c>
      <c r="E1671" t="s">
        <v>1145</v>
      </c>
      <c r="H1671" t="s">
        <v>1198</v>
      </c>
      <c r="I1671" t="s">
        <v>1198</v>
      </c>
      <c r="J1671" t="s">
        <v>1266</v>
      </c>
      <c r="K1671" t="s">
        <v>1212</v>
      </c>
      <c r="M1671" s="3">
        <f t="shared" si="104"/>
        <v>60.714285714285715</v>
      </c>
      <c r="N1671">
        <v>31</v>
      </c>
      <c r="O1671">
        <v>70</v>
      </c>
      <c r="P1671">
        <v>56</v>
      </c>
      <c r="Q1671">
        <v>75</v>
      </c>
      <c r="R1671">
        <v>68</v>
      </c>
      <c r="S1671">
        <v>72</v>
      </c>
      <c r="T1671">
        <v>53</v>
      </c>
      <c r="U1671">
        <v>0</v>
      </c>
      <c r="V1671" s="3">
        <f t="shared" si="105"/>
        <v>680627</v>
      </c>
      <c r="W1671">
        <v>56718.916666666664</v>
      </c>
      <c r="X1671">
        <v>0</v>
      </c>
      <c r="Y1671">
        <f t="shared" si="106"/>
        <v>56718.916666666664</v>
      </c>
      <c r="Z1671">
        <f t="shared" si="107"/>
        <v>0</v>
      </c>
      <c r="AA1671">
        <v>0</v>
      </c>
    </row>
    <row r="1672" spans="1:27" x14ac:dyDescent="0.25">
      <c r="A1672" s="1">
        <v>1671</v>
      </c>
      <c r="B1672" t="s">
        <v>942</v>
      </c>
      <c r="C1672" t="s">
        <v>1136</v>
      </c>
      <c r="D1672" t="s">
        <v>1143</v>
      </c>
      <c r="E1672" t="s">
        <v>1147</v>
      </c>
      <c r="G1672" t="s">
        <v>1198</v>
      </c>
      <c r="H1672" t="s">
        <v>1198</v>
      </c>
      <c r="I1672" t="s">
        <v>1198</v>
      </c>
      <c r="J1672" t="s">
        <v>1266</v>
      </c>
      <c r="K1672" t="s">
        <v>1212</v>
      </c>
      <c r="M1672" s="3">
        <f t="shared" si="104"/>
        <v>59.714285714285715</v>
      </c>
      <c r="N1672">
        <v>47</v>
      </c>
      <c r="O1672">
        <v>57</v>
      </c>
      <c r="P1672">
        <v>57</v>
      </c>
      <c r="Q1672">
        <v>76</v>
      </c>
      <c r="R1672">
        <v>76</v>
      </c>
      <c r="S1672">
        <v>74</v>
      </c>
      <c r="T1672">
        <v>31</v>
      </c>
      <c r="U1672">
        <v>0</v>
      </c>
      <c r="V1672" s="3">
        <f t="shared" si="105"/>
        <v>576478</v>
      </c>
      <c r="W1672">
        <v>48039.833333333336</v>
      </c>
      <c r="X1672">
        <v>0</v>
      </c>
      <c r="Y1672">
        <f t="shared" si="106"/>
        <v>48039.833333333336</v>
      </c>
      <c r="Z1672">
        <f t="shared" si="107"/>
        <v>0</v>
      </c>
      <c r="AA1672">
        <v>0</v>
      </c>
    </row>
    <row r="1673" spans="1:27" x14ac:dyDescent="0.25">
      <c r="A1673" s="1">
        <v>1672</v>
      </c>
      <c r="B1673" t="s">
        <v>41</v>
      </c>
      <c r="C1673" t="s">
        <v>1133</v>
      </c>
      <c r="D1673" t="s">
        <v>1133</v>
      </c>
      <c r="G1673" t="s">
        <v>1161</v>
      </c>
      <c r="H1673" t="s">
        <v>1161</v>
      </c>
      <c r="I1673" t="s">
        <v>1161</v>
      </c>
      <c r="J1673" t="s">
        <v>2682</v>
      </c>
      <c r="K1673" t="s">
        <v>1212</v>
      </c>
      <c r="M1673" s="3">
        <f t="shared" si="104"/>
        <v>59.714285714285715</v>
      </c>
      <c r="N1673">
        <v>33</v>
      </c>
      <c r="O1673">
        <v>62</v>
      </c>
      <c r="P1673">
        <v>87</v>
      </c>
      <c r="Q1673">
        <v>26</v>
      </c>
      <c r="R1673">
        <v>75</v>
      </c>
      <c r="S1673">
        <v>80</v>
      </c>
      <c r="T1673">
        <v>55</v>
      </c>
      <c r="U1673">
        <v>0</v>
      </c>
      <c r="V1673" s="3">
        <f t="shared" si="105"/>
        <v>576478</v>
      </c>
      <c r="W1673">
        <v>48039.833333333336</v>
      </c>
      <c r="X1673">
        <v>0</v>
      </c>
      <c r="Y1673">
        <f t="shared" si="106"/>
        <v>48039.833333333336</v>
      </c>
      <c r="Z1673">
        <f t="shared" si="107"/>
        <v>0</v>
      </c>
      <c r="AA1673">
        <v>0</v>
      </c>
    </row>
    <row r="1674" spans="1:27" x14ac:dyDescent="0.25">
      <c r="A1674" s="1">
        <v>1673</v>
      </c>
      <c r="B1674" t="s">
        <v>79</v>
      </c>
      <c r="C1674" t="s">
        <v>1133</v>
      </c>
      <c r="D1674" t="s">
        <v>1133</v>
      </c>
      <c r="G1674" t="s">
        <v>1190</v>
      </c>
      <c r="H1674" t="s">
        <v>1190</v>
      </c>
      <c r="I1674" t="s">
        <v>1190</v>
      </c>
      <c r="J1674" t="s">
        <v>2682</v>
      </c>
      <c r="K1674" t="s">
        <v>1212</v>
      </c>
      <c r="M1674" s="3">
        <f t="shared" si="104"/>
        <v>65.714285714285708</v>
      </c>
      <c r="N1674">
        <v>38</v>
      </c>
      <c r="O1674">
        <v>65</v>
      </c>
      <c r="P1674">
        <v>86</v>
      </c>
      <c r="Q1674">
        <v>54</v>
      </c>
      <c r="R1674">
        <v>74</v>
      </c>
      <c r="S1674">
        <v>84</v>
      </c>
      <c r="T1674">
        <v>59</v>
      </c>
      <c r="U1674">
        <v>0</v>
      </c>
      <c r="V1674" s="3">
        <f t="shared" si="105"/>
        <v>1501751</v>
      </c>
      <c r="W1674">
        <v>125145.91666666667</v>
      </c>
      <c r="X1674">
        <v>0</v>
      </c>
      <c r="Y1674">
        <f t="shared" si="106"/>
        <v>125145.91666666667</v>
      </c>
      <c r="Z1674">
        <f t="shared" si="107"/>
        <v>0</v>
      </c>
      <c r="AA1674">
        <v>0</v>
      </c>
    </row>
    <row r="1675" spans="1:27" x14ac:dyDescent="0.25">
      <c r="A1675" s="1">
        <v>1674</v>
      </c>
      <c r="B1675" t="s">
        <v>330</v>
      </c>
      <c r="C1675" t="s">
        <v>1134</v>
      </c>
      <c r="D1675" t="s">
        <v>1138</v>
      </c>
      <c r="G1675" t="s">
        <v>1190</v>
      </c>
      <c r="H1675" t="s">
        <v>1190</v>
      </c>
      <c r="I1675" t="s">
        <v>1190</v>
      </c>
      <c r="J1675" t="s">
        <v>2682</v>
      </c>
      <c r="K1675" t="s">
        <v>1212</v>
      </c>
      <c r="M1675" s="3">
        <f t="shared" si="104"/>
        <v>65.714285714285708</v>
      </c>
      <c r="N1675">
        <v>42</v>
      </c>
      <c r="O1675">
        <v>59</v>
      </c>
      <c r="P1675">
        <v>69</v>
      </c>
      <c r="Q1675">
        <v>80</v>
      </c>
      <c r="R1675">
        <v>82</v>
      </c>
      <c r="S1675">
        <v>88</v>
      </c>
      <c r="T1675">
        <v>40</v>
      </c>
      <c r="U1675">
        <v>0</v>
      </c>
      <c r="V1675" s="3">
        <f t="shared" si="105"/>
        <v>1501751</v>
      </c>
      <c r="W1675">
        <v>125145.91666666667</v>
      </c>
      <c r="X1675">
        <v>0</v>
      </c>
      <c r="Y1675">
        <f t="shared" si="106"/>
        <v>125145.91666666667</v>
      </c>
      <c r="Z1675">
        <f t="shared" si="107"/>
        <v>0</v>
      </c>
      <c r="AA1675">
        <v>0</v>
      </c>
    </row>
    <row r="1676" spans="1:27" x14ac:dyDescent="0.25">
      <c r="A1676" s="1">
        <v>1675</v>
      </c>
      <c r="B1676" t="s">
        <v>329</v>
      </c>
      <c r="C1676" t="s">
        <v>1134</v>
      </c>
      <c r="D1676" t="s">
        <v>1138</v>
      </c>
      <c r="G1676" t="s">
        <v>1190</v>
      </c>
      <c r="H1676" t="s">
        <v>1190</v>
      </c>
      <c r="I1676" t="s">
        <v>1190</v>
      </c>
      <c r="J1676" t="s">
        <v>2682</v>
      </c>
      <c r="K1676" t="s">
        <v>1212</v>
      </c>
      <c r="M1676" s="3">
        <f t="shared" si="104"/>
        <v>63.285714285714285</v>
      </c>
      <c r="N1676">
        <v>37</v>
      </c>
      <c r="O1676">
        <v>71</v>
      </c>
      <c r="P1676">
        <v>65</v>
      </c>
      <c r="Q1676">
        <v>74</v>
      </c>
      <c r="R1676">
        <v>74</v>
      </c>
      <c r="S1676">
        <v>89</v>
      </c>
      <c r="T1676">
        <v>33</v>
      </c>
      <c r="U1676">
        <v>0</v>
      </c>
      <c r="V1676" s="3">
        <f t="shared" si="105"/>
        <v>1030522</v>
      </c>
      <c r="W1676">
        <v>85876.833333333328</v>
      </c>
      <c r="X1676">
        <v>0</v>
      </c>
      <c r="Y1676">
        <f t="shared" si="106"/>
        <v>85876.833333333328</v>
      </c>
      <c r="Z1676">
        <f t="shared" si="107"/>
        <v>0</v>
      </c>
      <c r="AA1676">
        <v>0</v>
      </c>
    </row>
    <row r="1677" spans="1:27" x14ac:dyDescent="0.25">
      <c r="A1677" s="1">
        <v>1676</v>
      </c>
      <c r="B1677" t="s">
        <v>327</v>
      </c>
      <c r="C1677" t="s">
        <v>1134</v>
      </c>
      <c r="D1677" t="s">
        <v>1138</v>
      </c>
      <c r="G1677" t="s">
        <v>1190</v>
      </c>
      <c r="H1677" t="s">
        <v>1190</v>
      </c>
      <c r="I1677" t="s">
        <v>1190</v>
      </c>
      <c r="J1677" t="s">
        <v>2682</v>
      </c>
      <c r="K1677" t="s">
        <v>1212</v>
      </c>
      <c r="M1677" s="3">
        <f t="shared" si="104"/>
        <v>63.428571428571431</v>
      </c>
      <c r="N1677">
        <v>38</v>
      </c>
      <c r="O1677">
        <v>62</v>
      </c>
      <c r="P1677">
        <v>76</v>
      </c>
      <c r="Q1677">
        <v>71</v>
      </c>
      <c r="R1677">
        <v>77</v>
      </c>
      <c r="S1677">
        <v>78</v>
      </c>
      <c r="T1677">
        <v>42</v>
      </c>
      <c r="U1677">
        <v>0</v>
      </c>
      <c r="V1677" s="3">
        <f t="shared" si="105"/>
        <v>1054022</v>
      </c>
      <c r="W1677">
        <v>87835.166666666672</v>
      </c>
      <c r="X1677">
        <v>0</v>
      </c>
      <c r="Y1677">
        <f t="shared" si="106"/>
        <v>87835.166666666672</v>
      </c>
      <c r="Z1677">
        <f t="shared" si="107"/>
        <v>0</v>
      </c>
      <c r="AA1677">
        <v>0</v>
      </c>
    </row>
    <row r="1678" spans="1:27" x14ac:dyDescent="0.25">
      <c r="A1678" s="1">
        <v>1677</v>
      </c>
      <c r="B1678" t="s">
        <v>328</v>
      </c>
      <c r="C1678" t="s">
        <v>1134</v>
      </c>
      <c r="D1678" t="s">
        <v>1138</v>
      </c>
      <c r="G1678" t="s">
        <v>1190</v>
      </c>
      <c r="H1678" t="s">
        <v>1190</v>
      </c>
      <c r="I1678" t="s">
        <v>1190</v>
      </c>
      <c r="J1678" t="s">
        <v>2682</v>
      </c>
      <c r="K1678" t="s">
        <v>1212</v>
      </c>
      <c r="M1678" s="3">
        <f t="shared" si="104"/>
        <v>62.857142857142854</v>
      </c>
      <c r="N1678">
        <v>30</v>
      </c>
      <c r="O1678">
        <v>61</v>
      </c>
      <c r="P1678">
        <v>59</v>
      </c>
      <c r="Q1678">
        <v>81</v>
      </c>
      <c r="R1678">
        <v>82</v>
      </c>
      <c r="S1678">
        <v>83</v>
      </c>
      <c r="T1678">
        <v>44</v>
      </c>
      <c r="U1678">
        <v>0</v>
      </c>
      <c r="V1678" s="3">
        <f t="shared" si="105"/>
        <v>962823</v>
      </c>
      <c r="W1678">
        <v>80235.25</v>
      </c>
      <c r="X1678">
        <v>0</v>
      </c>
      <c r="Y1678">
        <f t="shared" si="106"/>
        <v>80235.25</v>
      </c>
      <c r="Z1678">
        <f t="shared" si="107"/>
        <v>0</v>
      </c>
      <c r="AA1678">
        <v>0</v>
      </c>
    </row>
    <row r="1679" spans="1:27" x14ac:dyDescent="0.25">
      <c r="A1679" s="1">
        <v>1678</v>
      </c>
      <c r="B1679" t="s">
        <v>326</v>
      </c>
      <c r="C1679" t="s">
        <v>1134</v>
      </c>
      <c r="D1679" t="s">
        <v>1138</v>
      </c>
      <c r="E1679" t="s">
        <v>1139</v>
      </c>
      <c r="G1679" t="s">
        <v>1190</v>
      </c>
      <c r="H1679" t="s">
        <v>1190</v>
      </c>
      <c r="I1679" t="s">
        <v>1190</v>
      </c>
      <c r="J1679" t="s">
        <v>2682</v>
      </c>
      <c r="K1679" t="s">
        <v>1212</v>
      </c>
      <c r="M1679" s="3">
        <f t="shared" si="104"/>
        <v>64.142857142857139</v>
      </c>
      <c r="N1679">
        <v>41</v>
      </c>
      <c r="O1679">
        <v>66</v>
      </c>
      <c r="P1679">
        <v>68</v>
      </c>
      <c r="Q1679">
        <v>72</v>
      </c>
      <c r="R1679">
        <v>81</v>
      </c>
      <c r="S1679">
        <v>81</v>
      </c>
      <c r="T1679">
        <v>40</v>
      </c>
      <c r="U1679">
        <v>0</v>
      </c>
      <c r="V1679" s="3">
        <f t="shared" si="105"/>
        <v>1178917</v>
      </c>
      <c r="W1679">
        <v>98243.083333333328</v>
      </c>
      <c r="X1679">
        <v>0</v>
      </c>
      <c r="Y1679">
        <f t="shared" si="106"/>
        <v>98243.083333333328</v>
      </c>
      <c r="Z1679">
        <f t="shared" si="107"/>
        <v>0</v>
      </c>
      <c r="AA1679">
        <v>0</v>
      </c>
    </row>
    <row r="1680" spans="1:27" x14ac:dyDescent="0.25">
      <c r="A1680" s="1">
        <v>1679</v>
      </c>
      <c r="B1680" t="s">
        <v>456</v>
      </c>
      <c r="C1680" t="s">
        <v>1135</v>
      </c>
      <c r="D1680" t="s">
        <v>1141</v>
      </c>
      <c r="E1680" t="s">
        <v>1142</v>
      </c>
      <c r="G1680" t="s">
        <v>1154</v>
      </c>
      <c r="H1680" t="s">
        <v>1154</v>
      </c>
      <c r="I1680" t="s">
        <v>1154</v>
      </c>
      <c r="J1680" t="s">
        <v>2682</v>
      </c>
      <c r="K1680" t="s">
        <v>1212</v>
      </c>
      <c r="M1680" s="3">
        <f t="shared" si="104"/>
        <v>73.714285714285708</v>
      </c>
      <c r="N1680">
        <v>60</v>
      </c>
      <c r="O1680">
        <v>94</v>
      </c>
      <c r="P1680">
        <v>79</v>
      </c>
      <c r="Q1680">
        <v>73</v>
      </c>
      <c r="R1680">
        <v>71</v>
      </c>
      <c r="S1680">
        <v>70</v>
      </c>
      <c r="T1680">
        <v>69</v>
      </c>
      <c r="U1680">
        <v>0</v>
      </c>
      <c r="V1680" s="3">
        <f t="shared" si="105"/>
        <v>4737145</v>
      </c>
      <c r="W1680">
        <v>394762.08333333331</v>
      </c>
      <c r="X1680">
        <v>0</v>
      </c>
      <c r="Y1680">
        <f t="shared" si="106"/>
        <v>394762.08333333331</v>
      </c>
      <c r="Z1680">
        <f t="shared" si="107"/>
        <v>0</v>
      </c>
      <c r="AA1680">
        <v>0</v>
      </c>
    </row>
    <row r="1681" spans="1:27" x14ac:dyDescent="0.25">
      <c r="A1681" s="1">
        <v>1680</v>
      </c>
      <c r="B1681" t="s">
        <v>565</v>
      </c>
      <c r="C1681" t="s">
        <v>1135</v>
      </c>
      <c r="D1681" t="s">
        <v>1141</v>
      </c>
      <c r="G1681" t="s">
        <v>1190</v>
      </c>
      <c r="H1681" t="s">
        <v>1190</v>
      </c>
      <c r="I1681" t="s">
        <v>1190</v>
      </c>
      <c r="J1681" t="s">
        <v>2682</v>
      </c>
      <c r="K1681" t="s">
        <v>1212</v>
      </c>
      <c r="M1681" s="3">
        <f t="shared" si="104"/>
        <v>66.857142857142861</v>
      </c>
      <c r="N1681">
        <v>31</v>
      </c>
      <c r="O1681">
        <v>77</v>
      </c>
      <c r="P1681">
        <v>83</v>
      </c>
      <c r="Q1681">
        <v>76</v>
      </c>
      <c r="R1681">
        <v>77</v>
      </c>
      <c r="S1681">
        <v>80</v>
      </c>
      <c r="T1681">
        <v>44</v>
      </c>
      <c r="U1681">
        <v>0</v>
      </c>
      <c r="V1681" s="3">
        <f t="shared" si="105"/>
        <v>1784343</v>
      </c>
      <c r="W1681">
        <v>148695.25</v>
      </c>
      <c r="X1681">
        <v>0</v>
      </c>
      <c r="Y1681">
        <f t="shared" si="106"/>
        <v>148695.25</v>
      </c>
      <c r="Z1681">
        <f t="shared" si="107"/>
        <v>0</v>
      </c>
      <c r="AA1681">
        <v>0</v>
      </c>
    </row>
    <row r="1682" spans="1:27" x14ac:dyDescent="0.25">
      <c r="A1682" s="1">
        <v>1681</v>
      </c>
      <c r="B1682" t="s">
        <v>566</v>
      </c>
      <c r="C1682" t="s">
        <v>1135</v>
      </c>
      <c r="D1682" t="s">
        <v>1141</v>
      </c>
      <c r="G1682" t="s">
        <v>1190</v>
      </c>
      <c r="H1682" t="s">
        <v>1190</v>
      </c>
      <c r="I1682" t="s">
        <v>1190</v>
      </c>
      <c r="J1682" t="s">
        <v>2682</v>
      </c>
      <c r="K1682" t="s">
        <v>1212</v>
      </c>
      <c r="M1682" s="3">
        <f t="shared" si="104"/>
        <v>64.428571428571431</v>
      </c>
      <c r="N1682">
        <v>26</v>
      </c>
      <c r="O1682">
        <v>70</v>
      </c>
      <c r="P1682">
        <v>81</v>
      </c>
      <c r="Q1682">
        <v>70</v>
      </c>
      <c r="R1682">
        <v>78</v>
      </c>
      <c r="S1682">
        <v>85</v>
      </c>
      <c r="T1682">
        <v>41</v>
      </c>
      <c r="U1682">
        <v>0</v>
      </c>
      <c r="V1682" s="3">
        <f t="shared" si="105"/>
        <v>1232495</v>
      </c>
      <c r="W1682">
        <v>102707.91666666667</v>
      </c>
      <c r="X1682">
        <v>0</v>
      </c>
      <c r="Y1682">
        <f t="shared" si="106"/>
        <v>102707.91666666667</v>
      </c>
      <c r="Z1682">
        <f t="shared" si="107"/>
        <v>0</v>
      </c>
      <c r="AA1682">
        <v>0</v>
      </c>
    </row>
    <row r="1683" spans="1:27" x14ac:dyDescent="0.25">
      <c r="A1683" s="1">
        <v>1682</v>
      </c>
      <c r="B1683" t="s">
        <v>889</v>
      </c>
      <c r="C1683" t="s">
        <v>1136</v>
      </c>
      <c r="D1683" t="s">
        <v>1147</v>
      </c>
      <c r="E1683" t="s">
        <v>1145</v>
      </c>
      <c r="G1683" t="s">
        <v>1190</v>
      </c>
      <c r="H1683" t="s">
        <v>1190</v>
      </c>
      <c r="I1683" t="s">
        <v>1190</v>
      </c>
      <c r="J1683" t="s">
        <v>2682</v>
      </c>
      <c r="K1683" t="s">
        <v>1212</v>
      </c>
      <c r="M1683" s="3">
        <f t="shared" si="104"/>
        <v>68</v>
      </c>
      <c r="N1683">
        <v>46</v>
      </c>
      <c r="O1683">
        <v>80</v>
      </c>
      <c r="P1683">
        <v>79</v>
      </c>
      <c r="Q1683">
        <v>74</v>
      </c>
      <c r="R1683">
        <v>72</v>
      </c>
      <c r="S1683">
        <v>73</v>
      </c>
      <c r="T1683">
        <v>52</v>
      </c>
      <c r="U1683">
        <v>0</v>
      </c>
      <c r="V1683" s="3">
        <f t="shared" si="105"/>
        <v>2113923</v>
      </c>
      <c r="W1683">
        <v>176160.25</v>
      </c>
      <c r="X1683">
        <v>0</v>
      </c>
      <c r="Y1683">
        <f t="shared" si="106"/>
        <v>176160.25</v>
      </c>
      <c r="Z1683">
        <f t="shared" si="107"/>
        <v>0</v>
      </c>
      <c r="AA1683">
        <v>0</v>
      </c>
    </row>
    <row r="1684" spans="1:27" x14ac:dyDescent="0.25">
      <c r="A1684" s="1">
        <v>1683</v>
      </c>
      <c r="B1684" t="s">
        <v>886</v>
      </c>
      <c r="C1684" t="s">
        <v>1136</v>
      </c>
      <c r="D1684" t="s">
        <v>1143</v>
      </c>
      <c r="G1684" t="s">
        <v>1190</v>
      </c>
      <c r="H1684" t="s">
        <v>1190</v>
      </c>
      <c r="I1684" t="s">
        <v>1190</v>
      </c>
      <c r="J1684" t="s">
        <v>2682</v>
      </c>
      <c r="K1684" t="s">
        <v>1212</v>
      </c>
      <c r="M1684" s="3">
        <f t="shared" si="104"/>
        <v>62.428571428571431</v>
      </c>
      <c r="N1684">
        <v>60</v>
      </c>
      <c r="O1684">
        <v>67</v>
      </c>
      <c r="P1684">
        <v>66</v>
      </c>
      <c r="Q1684">
        <v>73</v>
      </c>
      <c r="R1684">
        <v>65</v>
      </c>
      <c r="S1684">
        <v>62</v>
      </c>
      <c r="T1684">
        <v>44</v>
      </c>
      <c r="U1684">
        <v>0</v>
      </c>
      <c r="V1684" s="3">
        <f t="shared" si="105"/>
        <v>899154</v>
      </c>
      <c r="W1684">
        <v>74929.5</v>
      </c>
      <c r="X1684">
        <v>0</v>
      </c>
      <c r="Y1684">
        <f t="shared" si="106"/>
        <v>74929.5</v>
      </c>
      <c r="Z1684">
        <f t="shared" si="107"/>
        <v>0</v>
      </c>
      <c r="AA1684">
        <v>0</v>
      </c>
    </row>
    <row r="1685" spans="1:27" x14ac:dyDescent="0.25">
      <c r="A1685" s="1">
        <v>1684</v>
      </c>
      <c r="B1685" t="s">
        <v>932</v>
      </c>
      <c r="C1685" t="s">
        <v>1136</v>
      </c>
      <c r="D1685" t="s">
        <v>1143</v>
      </c>
      <c r="G1685" t="s">
        <v>1196</v>
      </c>
      <c r="H1685" t="s">
        <v>1196</v>
      </c>
      <c r="I1685" t="s">
        <v>1196</v>
      </c>
      <c r="J1685" t="s">
        <v>2682</v>
      </c>
      <c r="K1685" t="s">
        <v>1212</v>
      </c>
      <c r="M1685" s="3">
        <f t="shared" si="104"/>
        <v>61.142857142857146</v>
      </c>
      <c r="N1685">
        <v>41</v>
      </c>
      <c r="O1685">
        <v>61</v>
      </c>
      <c r="P1685">
        <v>79</v>
      </c>
      <c r="Q1685">
        <v>72</v>
      </c>
      <c r="R1685">
        <v>72</v>
      </c>
      <c r="S1685">
        <v>65</v>
      </c>
      <c r="T1685">
        <v>38</v>
      </c>
      <c r="U1685">
        <v>0</v>
      </c>
      <c r="V1685" s="3">
        <f t="shared" si="105"/>
        <v>730226</v>
      </c>
      <c r="W1685">
        <v>60852.166666666664</v>
      </c>
      <c r="X1685">
        <v>0</v>
      </c>
      <c r="Y1685">
        <f t="shared" si="106"/>
        <v>60852.166666666664</v>
      </c>
      <c r="Z1685">
        <f t="shared" si="107"/>
        <v>0</v>
      </c>
      <c r="AA1685">
        <v>0</v>
      </c>
    </row>
    <row r="1686" spans="1:27" x14ac:dyDescent="0.25">
      <c r="A1686" s="1">
        <v>1685</v>
      </c>
      <c r="B1686" t="s">
        <v>885</v>
      </c>
      <c r="C1686" t="s">
        <v>1136</v>
      </c>
      <c r="D1686" t="s">
        <v>1144</v>
      </c>
      <c r="E1686" t="s">
        <v>1143</v>
      </c>
      <c r="G1686" t="s">
        <v>1190</v>
      </c>
      <c r="H1686" t="s">
        <v>1190</v>
      </c>
      <c r="I1686" t="s">
        <v>1190</v>
      </c>
      <c r="J1686" t="s">
        <v>2682</v>
      </c>
      <c r="K1686" t="s">
        <v>1212</v>
      </c>
      <c r="M1686" s="3">
        <f t="shared" si="104"/>
        <v>78.857142857142861</v>
      </c>
      <c r="N1686">
        <v>65</v>
      </c>
      <c r="O1686">
        <v>75</v>
      </c>
      <c r="P1686">
        <v>80</v>
      </c>
      <c r="Q1686">
        <v>81</v>
      </c>
      <c r="R1686">
        <v>85</v>
      </c>
      <c r="S1686">
        <v>86</v>
      </c>
      <c r="T1686">
        <v>80</v>
      </c>
      <c r="U1686">
        <v>17</v>
      </c>
      <c r="V1686" s="3">
        <f t="shared" si="105"/>
        <v>13947670</v>
      </c>
      <c r="W1686">
        <v>1162305.8333333333</v>
      </c>
      <c r="X1686">
        <v>0</v>
      </c>
      <c r="Y1686">
        <f t="shared" si="106"/>
        <v>1162305.8333333333</v>
      </c>
      <c r="Z1686">
        <f t="shared" si="107"/>
        <v>0</v>
      </c>
      <c r="AA1686">
        <v>0</v>
      </c>
    </row>
    <row r="1687" spans="1:27" x14ac:dyDescent="0.25">
      <c r="A1687" s="1">
        <v>1686</v>
      </c>
      <c r="B1687" t="s">
        <v>887</v>
      </c>
      <c r="C1687" t="s">
        <v>1136</v>
      </c>
      <c r="D1687" t="s">
        <v>1143</v>
      </c>
      <c r="E1687" t="s">
        <v>1146</v>
      </c>
      <c r="G1687" t="s">
        <v>1190</v>
      </c>
      <c r="H1687" t="s">
        <v>1190</v>
      </c>
      <c r="I1687" t="s">
        <v>1190</v>
      </c>
      <c r="J1687" t="s">
        <v>2682</v>
      </c>
      <c r="K1687" t="s">
        <v>1212</v>
      </c>
      <c r="M1687" s="3">
        <f t="shared" si="104"/>
        <v>67.142857142857139</v>
      </c>
      <c r="N1687">
        <v>56</v>
      </c>
      <c r="O1687">
        <v>65</v>
      </c>
      <c r="P1687">
        <v>76</v>
      </c>
      <c r="Q1687">
        <v>78</v>
      </c>
      <c r="R1687">
        <v>66</v>
      </c>
      <c r="S1687">
        <v>69</v>
      </c>
      <c r="T1687">
        <v>60</v>
      </c>
      <c r="U1687">
        <v>0</v>
      </c>
      <c r="V1687" s="3">
        <f t="shared" si="105"/>
        <v>1862080</v>
      </c>
      <c r="W1687">
        <v>155173.33333333334</v>
      </c>
      <c r="X1687">
        <v>0</v>
      </c>
      <c r="Y1687">
        <f t="shared" si="106"/>
        <v>155173.33333333334</v>
      </c>
      <c r="Z1687">
        <f t="shared" si="107"/>
        <v>0</v>
      </c>
      <c r="AA1687">
        <v>0</v>
      </c>
    </row>
    <row r="1688" spans="1:27" x14ac:dyDescent="0.25">
      <c r="A1688" s="1">
        <v>1687</v>
      </c>
      <c r="B1688" t="s">
        <v>914</v>
      </c>
      <c r="C1688" t="s">
        <v>1136</v>
      </c>
      <c r="D1688" t="s">
        <v>1143</v>
      </c>
      <c r="E1688" t="s">
        <v>1145</v>
      </c>
      <c r="F1688" t="s">
        <v>1144</v>
      </c>
      <c r="G1688" t="s">
        <v>1193</v>
      </c>
      <c r="H1688" t="s">
        <v>1193</v>
      </c>
      <c r="I1688" t="s">
        <v>1193</v>
      </c>
      <c r="J1688" t="s">
        <v>2682</v>
      </c>
      <c r="K1688" t="s">
        <v>1212</v>
      </c>
      <c r="M1688" s="3">
        <f t="shared" si="104"/>
        <v>83.428571428571431</v>
      </c>
      <c r="N1688">
        <v>70</v>
      </c>
      <c r="O1688">
        <v>85</v>
      </c>
      <c r="P1688">
        <v>88</v>
      </c>
      <c r="Q1688">
        <v>85</v>
      </c>
      <c r="R1688">
        <v>90</v>
      </c>
      <c r="S1688">
        <v>96</v>
      </c>
      <c r="T1688">
        <v>70</v>
      </c>
      <c r="U1688">
        <v>26</v>
      </c>
      <c r="V1688" s="3">
        <f t="shared" si="105"/>
        <v>24504133</v>
      </c>
      <c r="W1688">
        <v>2042011.0833333333</v>
      </c>
      <c r="X1688">
        <v>0</v>
      </c>
      <c r="Y1688">
        <f t="shared" si="106"/>
        <v>2042011.0833333333</v>
      </c>
      <c r="Z1688">
        <f t="shared" si="107"/>
        <v>0</v>
      </c>
      <c r="AA1688">
        <v>0</v>
      </c>
    </row>
    <row r="1689" spans="1:27" x14ac:dyDescent="0.25">
      <c r="A1689" s="1">
        <v>1688</v>
      </c>
      <c r="B1689" t="s">
        <v>743</v>
      </c>
      <c r="C1689" t="s">
        <v>1136</v>
      </c>
      <c r="D1689" t="s">
        <v>1143</v>
      </c>
      <c r="G1689" t="s">
        <v>1166</v>
      </c>
      <c r="H1689" t="s">
        <v>1166</v>
      </c>
      <c r="I1689" t="s">
        <v>1166</v>
      </c>
      <c r="J1689" t="s">
        <v>2682</v>
      </c>
      <c r="K1689" t="s">
        <v>1212</v>
      </c>
      <c r="M1689" s="3">
        <f t="shared" si="104"/>
        <v>71.142857142857139</v>
      </c>
      <c r="N1689">
        <v>45</v>
      </c>
      <c r="O1689">
        <v>82</v>
      </c>
      <c r="P1689">
        <v>78</v>
      </c>
      <c r="Q1689">
        <v>76</v>
      </c>
      <c r="R1689">
        <v>72</v>
      </c>
      <c r="S1689">
        <v>83</v>
      </c>
      <c r="T1689">
        <v>62</v>
      </c>
      <c r="U1689">
        <v>0</v>
      </c>
      <c r="V1689" s="3">
        <f t="shared" si="105"/>
        <v>3321338</v>
      </c>
      <c r="W1689">
        <v>276778.16666666669</v>
      </c>
      <c r="X1689">
        <v>0</v>
      </c>
      <c r="Y1689">
        <f t="shared" si="106"/>
        <v>276778.16666666669</v>
      </c>
      <c r="Z1689">
        <f t="shared" si="107"/>
        <v>0</v>
      </c>
      <c r="AA1689">
        <v>0</v>
      </c>
    </row>
    <row r="1690" spans="1:27" x14ac:dyDescent="0.25">
      <c r="A1690" s="1">
        <v>1689</v>
      </c>
      <c r="B1690" t="s">
        <v>888</v>
      </c>
      <c r="C1690" t="s">
        <v>1136</v>
      </c>
      <c r="D1690" t="s">
        <v>1146</v>
      </c>
      <c r="G1690" t="s">
        <v>1190</v>
      </c>
      <c r="H1690" t="s">
        <v>1190</v>
      </c>
      <c r="I1690" t="s">
        <v>1190</v>
      </c>
      <c r="J1690" t="s">
        <v>2682</v>
      </c>
      <c r="K1690" t="s">
        <v>1212</v>
      </c>
      <c r="M1690" s="3">
        <f t="shared" si="104"/>
        <v>61</v>
      </c>
      <c r="N1690">
        <v>31</v>
      </c>
      <c r="O1690">
        <v>79</v>
      </c>
      <c r="P1690">
        <v>72</v>
      </c>
      <c r="Q1690">
        <v>75</v>
      </c>
      <c r="R1690">
        <v>64</v>
      </c>
      <c r="S1690">
        <v>67</v>
      </c>
      <c r="T1690">
        <v>39</v>
      </c>
      <c r="U1690">
        <v>0</v>
      </c>
      <c r="V1690" s="3">
        <f t="shared" si="105"/>
        <v>713343</v>
      </c>
      <c r="W1690">
        <v>59445.25</v>
      </c>
      <c r="X1690">
        <v>0</v>
      </c>
      <c r="Y1690">
        <f t="shared" si="106"/>
        <v>59445.25</v>
      </c>
      <c r="Z1690">
        <f t="shared" si="107"/>
        <v>0</v>
      </c>
      <c r="AA1690">
        <v>0</v>
      </c>
    </row>
    <row r="1691" spans="1:27" x14ac:dyDescent="0.25">
      <c r="A1691" s="1">
        <v>1690</v>
      </c>
      <c r="B1691" t="s">
        <v>1115</v>
      </c>
      <c r="C1691" t="s">
        <v>1137</v>
      </c>
      <c r="D1691" t="s">
        <v>1137</v>
      </c>
      <c r="H1691" t="s">
        <v>1190</v>
      </c>
      <c r="I1691" t="s">
        <v>1190</v>
      </c>
      <c r="J1691" t="s">
        <v>2682</v>
      </c>
      <c r="K1691" t="s">
        <v>1212</v>
      </c>
      <c r="M1691" s="3">
        <f t="shared" si="104"/>
        <v>71.714285714285708</v>
      </c>
      <c r="N1691">
        <v>61</v>
      </c>
      <c r="O1691">
        <v>66</v>
      </c>
      <c r="P1691">
        <v>81</v>
      </c>
      <c r="Q1691">
        <v>67</v>
      </c>
      <c r="R1691">
        <v>80</v>
      </c>
      <c r="S1691">
        <v>82</v>
      </c>
      <c r="T1691">
        <v>65</v>
      </c>
      <c r="U1691">
        <v>0</v>
      </c>
      <c r="V1691" s="3">
        <f t="shared" si="105"/>
        <v>3597964</v>
      </c>
      <c r="W1691">
        <v>299830.33333333331</v>
      </c>
      <c r="X1691">
        <v>0</v>
      </c>
      <c r="Y1691">
        <f t="shared" si="106"/>
        <v>299830.33333333331</v>
      </c>
      <c r="Z1691">
        <f t="shared" si="107"/>
        <v>0</v>
      </c>
      <c r="AA1691">
        <v>0</v>
      </c>
    </row>
    <row r="1692" spans="1:27" x14ac:dyDescent="0.25">
      <c r="A1692" s="1">
        <v>1691</v>
      </c>
      <c r="B1692" t="s">
        <v>96</v>
      </c>
      <c r="C1692" t="s">
        <v>1133</v>
      </c>
      <c r="D1692" t="s">
        <v>1133</v>
      </c>
      <c r="G1692" t="s">
        <v>1200</v>
      </c>
      <c r="H1692" t="s">
        <v>1200</v>
      </c>
      <c r="I1692" t="s">
        <v>1200</v>
      </c>
      <c r="J1692" t="s">
        <v>1268</v>
      </c>
      <c r="K1692" t="s">
        <v>1212</v>
      </c>
      <c r="M1692" s="3">
        <f t="shared" si="104"/>
        <v>95</v>
      </c>
      <c r="N1692">
        <v>95</v>
      </c>
      <c r="O1692">
        <v>96</v>
      </c>
      <c r="P1692">
        <v>94</v>
      </c>
      <c r="Q1692">
        <v>92</v>
      </c>
      <c r="R1692">
        <v>95</v>
      </c>
      <c r="S1692">
        <v>100</v>
      </c>
      <c r="T1692">
        <v>93</v>
      </c>
      <c r="U1692">
        <v>29</v>
      </c>
      <c r="V1692" s="3">
        <f t="shared" si="105"/>
        <v>89810541</v>
      </c>
      <c r="W1692">
        <v>7484211.75</v>
      </c>
      <c r="X1692">
        <v>0</v>
      </c>
      <c r="Y1692">
        <f t="shared" si="106"/>
        <v>7484211.75</v>
      </c>
      <c r="Z1692">
        <f t="shared" si="107"/>
        <v>0</v>
      </c>
      <c r="AA1692">
        <v>0</v>
      </c>
    </row>
    <row r="1693" spans="1:27" x14ac:dyDescent="0.25">
      <c r="A1693" s="1">
        <v>1692</v>
      </c>
      <c r="B1693" t="s">
        <v>1346</v>
      </c>
      <c r="C1693" t="s">
        <v>1134</v>
      </c>
      <c r="D1693" t="s">
        <v>1139</v>
      </c>
      <c r="G1693" t="s">
        <v>1200</v>
      </c>
      <c r="H1693" t="s">
        <v>1200</v>
      </c>
      <c r="I1693" t="s">
        <v>1200</v>
      </c>
      <c r="J1693" t="s">
        <v>1268</v>
      </c>
      <c r="K1693" t="s">
        <v>1212</v>
      </c>
      <c r="M1693" s="3">
        <f t="shared" si="104"/>
        <v>76</v>
      </c>
      <c r="N1693">
        <v>40</v>
      </c>
      <c r="O1693">
        <v>78</v>
      </c>
      <c r="P1693">
        <v>78</v>
      </c>
      <c r="Q1693">
        <v>82</v>
      </c>
      <c r="R1693">
        <v>82</v>
      </c>
      <c r="S1693">
        <v>92</v>
      </c>
      <c r="T1693">
        <v>80</v>
      </c>
      <c r="U1693">
        <v>0</v>
      </c>
      <c r="V1693" s="3">
        <f t="shared" si="105"/>
        <v>6428889</v>
      </c>
      <c r="W1693">
        <v>535740.75</v>
      </c>
      <c r="X1693">
        <v>0</v>
      </c>
      <c r="Y1693">
        <f t="shared" si="106"/>
        <v>535740.75</v>
      </c>
      <c r="Z1693">
        <f t="shared" si="107"/>
        <v>0</v>
      </c>
      <c r="AA1693">
        <v>0</v>
      </c>
    </row>
    <row r="1694" spans="1:27" x14ac:dyDescent="0.25">
      <c r="A1694" s="1">
        <v>1693</v>
      </c>
      <c r="B1694" t="s">
        <v>2541</v>
      </c>
      <c r="C1694" t="s">
        <v>1134</v>
      </c>
      <c r="D1694" t="s">
        <v>1139</v>
      </c>
      <c r="E1694" t="s">
        <v>1138</v>
      </c>
      <c r="H1694" t="s">
        <v>1200</v>
      </c>
      <c r="I1694" t="s">
        <v>1200</v>
      </c>
      <c r="J1694" t="s">
        <v>1268</v>
      </c>
      <c r="K1694" t="s">
        <v>1212</v>
      </c>
      <c r="M1694" s="3">
        <f t="shared" si="104"/>
        <v>74.857142857142861</v>
      </c>
      <c r="N1694">
        <v>43</v>
      </c>
      <c r="O1694">
        <v>80</v>
      </c>
      <c r="P1694">
        <v>78</v>
      </c>
      <c r="Q1694">
        <v>81</v>
      </c>
      <c r="R1694">
        <v>85</v>
      </c>
      <c r="S1694">
        <v>85</v>
      </c>
      <c r="T1694">
        <v>72</v>
      </c>
      <c r="U1694">
        <v>0</v>
      </c>
      <c r="V1694" s="3">
        <f t="shared" si="105"/>
        <v>5525003</v>
      </c>
      <c r="W1694">
        <v>460416.91666666669</v>
      </c>
      <c r="X1694">
        <v>0</v>
      </c>
      <c r="Y1694">
        <f t="shared" si="106"/>
        <v>460416.91666666669</v>
      </c>
      <c r="Z1694">
        <f t="shared" si="107"/>
        <v>0</v>
      </c>
      <c r="AA1694">
        <v>0</v>
      </c>
    </row>
    <row r="1695" spans="1:27" x14ac:dyDescent="0.25">
      <c r="A1695" s="1">
        <v>1694</v>
      </c>
      <c r="B1695" t="s">
        <v>376</v>
      </c>
      <c r="C1695" t="s">
        <v>1134</v>
      </c>
      <c r="D1695" t="s">
        <v>1138</v>
      </c>
      <c r="E1695" t="s">
        <v>1144</v>
      </c>
      <c r="F1695" t="s">
        <v>1139</v>
      </c>
      <c r="G1695" t="s">
        <v>1200</v>
      </c>
      <c r="H1695" t="s">
        <v>1200</v>
      </c>
      <c r="I1695" t="s">
        <v>1200</v>
      </c>
      <c r="J1695" t="s">
        <v>1268</v>
      </c>
      <c r="K1695" t="s">
        <v>1212</v>
      </c>
      <c r="M1695" s="3">
        <f t="shared" si="104"/>
        <v>90.714285714285708</v>
      </c>
      <c r="N1695">
        <v>80</v>
      </c>
      <c r="O1695">
        <v>85</v>
      </c>
      <c r="P1695">
        <v>91</v>
      </c>
      <c r="Q1695">
        <v>94</v>
      </c>
      <c r="R1695">
        <v>92</v>
      </c>
      <c r="S1695">
        <v>99</v>
      </c>
      <c r="T1695">
        <v>94</v>
      </c>
      <c r="U1695">
        <v>27</v>
      </c>
      <c r="V1695" s="3">
        <f t="shared" si="105"/>
        <v>56604129</v>
      </c>
      <c r="W1695">
        <v>4717010.75</v>
      </c>
      <c r="X1695">
        <v>0</v>
      </c>
      <c r="Y1695">
        <f t="shared" si="106"/>
        <v>4717010.75</v>
      </c>
      <c r="Z1695">
        <f t="shared" si="107"/>
        <v>0</v>
      </c>
      <c r="AA1695">
        <v>0</v>
      </c>
    </row>
    <row r="1696" spans="1:27" x14ac:dyDescent="0.25">
      <c r="A1696" s="1">
        <v>1695</v>
      </c>
      <c r="B1696" t="s">
        <v>375</v>
      </c>
      <c r="C1696" t="s">
        <v>1134</v>
      </c>
      <c r="D1696" t="s">
        <v>1138</v>
      </c>
      <c r="E1696" t="s">
        <v>1140</v>
      </c>
      <c r="G1696" t="s">
        <v>1200</v>
      </c>
      <c r="H1696" t="s">
        <v>1214</v>
      </c>
      <c r="I1696" t="s">
        <v>1214</v>
      </c>
      <c r="J1696" t="s">
        <v>1268</v>
      </c>
      <c r="K1696" t="s">
        <v>1212</v>
      </c>
      <c r="M1696" s="3">
        <f t="shared" si="104"/>
        <v>92.714285714285708</v>
      </c>
      <c r="N1696">
        <v>90</v>
      </c>
      <c r="O1696">
        <v>88</v>
      </c>
      <c r="P1696">
        <v>94</v>
      </c>
      <c r="Q1696">
        <v>95</v>
      </c>
      <c r="R1696">
        <v>91</v>
      </c>
      <c r="S1696">
        <v>94</v>
      </c>
      <c r="T1696">
        <v>97</v>
      </c>
      <c r="U1696">
        <v>26</v>
      </c>
      <c r="V1696" s="3">
        <f t="shared" si="105"/>
        <v>70397596</v>
      </c>
      <c r="W1696">
        <v>5866466.333333333</v>
      </c>
      <c r="X1696">
        <v>0</v>
      </c>
      <c r="Y1696">
        <f t="shared" si="106"/>
        <v>5866466.333333333</v>
      </c>
      <c r="Z1696">
        <f t="shared" si="107"/>
        <v>0</v>
      </c>
      <c r="AA1696">
        <v>0</v>
      </c>
    </row>
    <row r="1697" spans="1:27" x14ac:dyDescent="0.25">
      <c r="A1697" s="1">
        <v>1696</v>
      </c>
      <c r="B1697" t="s">
        <v>377</v>
      </c>
      <c r="C1697" t="s">
        <v>1134</v>
      </c>
      <c r="D1697" t="s">
        <v>1138</v>
      </c>
      <c r="E1697" t="s">
        <v>1144</v>
      </c>
      <c r="G1697" t="s">
        <v>1200</v>
      </c>
      <c r="H1697" t="s">
        <v>1200</v>
      </c>
      <c r="I1697" t="s">
        <v>1200</v>
      </c>
      <c r="J1697" t="s">
        <v>1268</v>
      </c>
      <c r="K1697" t="s">
        <v>1212</v>
      </c>
      <c r="M1697" s="3">
        <f t="shared" si="104"/>
        <v>92.571428571428569</v>
      </c>
      <c r="N1697">
        <v>86</v>
      </c>
      <c r="O1697">
        <v>83</v>
      </c>
      <c r="P1697">
        <v>94</v>
      </c>
      <c r="Q1697">
        <v>98</v>
      </c>
      <c r="R1697">
        <v>93</v>
      </c>
      <c r="S1697">
        <v>99</v>
      </c>
      <c r="T1697">
        <v>95</v>
      </c>
      <c r="U1697">
        <v>28</v>
      </c>
      <c r="V1697" s="3">
        <f t="shared" si="105"/>
        <v>69320378</v>
      </c>
      <c r="W1697">
        <v>5776698.166666667</v>
      </c>
      <c r="X1697">
        <v>0</v>
      </c>
      <c r="Y1697">
        <f t="shared" si="106"/>
        <v>5776698.166666667</v>
      </c>
      <c r="Z1697">
        <f t="shared" si="107"/>
        <v>0</v>
      </c>
      <c r="AA1697">
        <v>0</v>
      </c>
    </row>
    <row r="1698" spans="1:27" x14ac:dyDescent="0.25">
      <c r="A1698" s="1">
        <v>1697</v>
      </c>
      <c r="B1698" t="s">
        <v>1347</v>
      </c>
      <c r="C1698" t="s">
        <v>1134</v>
      </c>
      <c r="D1698" t="s">
        <v>1138</v>
      </c>
      <c r="G1698" t="s">
        <v>1200</v>
      </c>
      <c r="H1698" t="s">
        <v>1200</v>
      </c>
      <c r="I1698" t="s">
        <v>1200</v>
      </c>
      <c r="J1698" t="s">
        <v>1268</v>
      </c>
      <c r="K1698" t="s">
        <v>1212</v>
      </c>
      <c r="M1698" s="3">
        <f t="shared" si="104"/>
        <v>75.714285714285708</v>
      </c>
      <c r="N1698">
        <v>40</v>
      </c>
      <c r="O1698">
        <v>75</v>
      </c>
      <c r="P1698">
        <v>80</v>
      </c>
      <c r="Q1698">
        <v>81</v>
      </c>
      <c r="R1698">
        <v>84</v>
      </c>
      <c r="S1698">
        <v>95</v>
      </c>
      <c r="T1698">
        <v>75</v>
      </c>
      <c r="U1698">
        <v>0</v>
      </c>
      <c r="V1698" s="3">
        <f t="shared" si="105"/>
        <v>6191250</v>
      </c>
      <c r="W1698">
        <v>515937.5</v>
      </c>
      <c r="X1698">
        <v>0</v>
      </c>
      <c r="Y1698">
        <f t="shared" si="106"/>
        <v>515937.5</v>
      </c>
      <c r="Z1698">
        <f t="shared" si="107"/>
        <v>0</v>
      </c>
      <c r="AA1698">
        <v>0</v>
      </c>
    </row>
    <row r="1699" spans="1:27" x14ac:dyDescent="0.25">
      <c r="A1699" s="1">
        <v>1698</v>
      </c>
      <c r="B1699" t="s">
        <v>1348</v>
      </c>
      <c r="C1699" t="s">
        <v>1134</v>
      </c>
      <c r="D1699" t="s">
        <v>1140</v>
      </c>
      <c r="G1699" t="s">
        <v>1200</v>
      </c>
      <c r="H1699" t="s">
        <v>1200</v>
      </c>
      <c r="I1699" t="s">
        <v>1200</v>
      </c>
      <c r="J1699" t="s">
        <v>1268</v>
      </c>
      <c r="K1699" t="s">
        <v>1212</v>
      </c>
      <c r="M1699" s="3">
        <f t="shared" si="104"/>
        <v>73.285714285714292</v>
      </c>
      <c r="N1699">
        <v>35</v>
      </c>
      <c r="O1699">
        <v>79</v>
      </c>
      <c r="P1699">
        <v>78</v>
      </c>
      <c r="Q1699">
        <v>80</v>
      </c>
      <c r="R1699">
        <v>80</v>
      </c>
      <c r="S1699">
        <v>90</v>
      </c>
      <c r="T1699">
        <v>71</v>
      </c>
      <c r="U1699">
        <v>0</v>
      </c>
      <c r="V1699" s="3">
        <f t="shared" si="105"/>
        <v>4468825</v>
      </c>
      <c r="W1699">
        <v>372402.08333333331</v>
      </c>
      <c r="X1699">
        <v>0</v>
      </c>
      <c r="Y1699">
        <f t="shared" si="106"/>
        <v>372402.08333333331</v>
      </c>
      <c r="Z1699">
        <f t="shared" si="107"/>
        <v>0</v>
      </c>
      <c r="AA1699">
        <v>0</v>
      </c>
    </row>
    <row r="1700" spans="1:27" x14ac:dyDescent="0.25">
      <c r="A1700" s="1">
        <v>1699</v>
      </c>
      <c r="B1700" t="s">
        <v>2542</v>
      </c>
      <c r="C1700" t="s">
        <v>1134</v>
      </c>
      <c r="D1700" t="s">
        <v>1140</v>
      </c>
      <c r="E1700" t="s">
        <v>1138</v>
      </c>
      <c r="H1700" t="s">
        <v>1200</v>
      </c>
      <c r="I1700" t="s">
        <v>1200</v>
      </c>
      <c r="J1700" t="s">
        <v>1268</v>
      </c>
      <c r="K1700" t="s">
        <v>1212</v>
      </c>
      <c r="M1700" s="3">
        <f t="shared" si="104"/>
        <v>73.857142857142861</v>
      </c>
      <c r="N1700">
        <v>34</v>
      </c>
      <c r="O1700">
        <v>78</v>
      </c>
      <c r="P1700">
        <v>84</v>
      </c>
      <c r="Q1700">
        <v>80</v>
      </c>
      <c r="R1700">
        <v>84</v>
      </c>
      <c r="S1700">
        <v>86</v>
      </c>
      <c r="T1700">
        <v>71</v>
      </c>
      <c r="U1700">
        <v>0</v>
      </c>
      <c r="V1700" s="3">
        <f t="shared" si="105"/>
        <v>4829755</v>
      </c>
      <c r="W1700">
        <v>402479.58333333331</v>
      </c>
      <c r="X1700">
        <v>0</v>
      </c>
      <c r="Y1700">
        <f t="shared" si="106"/>
        <v>402479.58333333331</v>
      </c>
      <c r="Z1700">
        <f t="shared" si="107"/>
        <v>0</v>
      </c>
      <c r="AA1700">
        <v>0</v>
      </c>
    </row>
    <row r="1701" spans="1:27" x14ac:dyDescent="0.25">
      <c r="A1701" s="1">
        <v>1700</v>
      </c>
      <c r="B1701" t="s">
        <v>598</v>
      </c>
      <c r="C1701" t="s">
        <v>1135</v>
      </c>
      <c r="D1701" t="s">
        <v>1142</v>
      </c>
      <c r="E1701" t="s">
        <v>1141</v>
      </c>
      <c r="F1701" t="s">
        <v>1146</v>
      </c>
      <c r="G1701" t="s">
        <v>1200</v>
      </c>
      <c r="H1701" t="s">
        <v>1200</v>
      </c>
      <c r="I1701" t="s">
        <v>1200</v>
      </c>
      <c r="J1701" t="s">
        <v>1268</v>
      </c>
      <c r="K1701" t="s">
        <v>1212</v>
      </c>
      <c r="M1701" s="3">
        <f t="shared" si="104"/>
        <v>94.428571428571431</v>
      </c>
      <c r="N1701">
        <v>95</v>
      </c>
      <c r="O1701">
        <v>96</v>
      </c>
      <c r="P1701">
        <v>96</v>
      </c>
      <c r="Q1701">
        <v>99</v>
      </c>
      <c r="R1701">
        <v>90</v>
      </c>
      <c r="S1701">
        <v>86</v>
      </c>
      <c r="T1701">
        <v>99</v>
      </c>
      <c r="U1701">
        <v>10</v>
      </c>
      <c r="V1701" s="3">
        <f t="shared" si="105"/>
        <v>84552306</v>
      </c>
      <c r="W1701">
        <v>7046025.5</v>
      </c>
      <c r="X1701">
        <v>0</v>
      </c>
      <c r="Y1701">
        <f t="shared" si="106"/>
        <v>7046025.5</v>
      </c>
      <c r="Z1701">
        <f t="shared" si="107"/>
        <v>0</v>
      </c>
      <c r="AA1701">
        <v>0</v>
      </c>
    </row>
    <row r="1702" spans="1:27" x14ac:dyDescent="0.25">
      <c r="A1702" s="1">
        <v>1701</v>
      </c>
      <c r="B1702" t="s">
        <v>1349</v>
      </c>
      <c r="C1702" t="s">
        <v>1135</v>
      </c>
      <c r="D1702" t="s">
        <v>1141</v>
      </c>
      <c r="G1702" t="s">
        <v>1195</v>
      </c>
      <c r="H1702" t="s">
        <v>1195</v>
      </c>
      <c r="I1702" t="s">
        <v>1195</v>
      </c>
      <c r="J1702" t="s">
        <v>1268</v>
      </c>
      <c r="K1702" t="s">
        <v>1212</v>
      </c>
      <c r="M1702" s="3">
        <f t="shared" si="104"/>
        <v>76.428571428571431</v>
      </c>
      <c r="N1702">
        <v>45</v>
      </c>
      <c r="O1702">
        <v>78</v>
      </c>
      <c r="P1702">
        <v>85</v>
      </c>
      <c r="Q1702">
        <v>78</v>
      </c>
      <c r="R1702">
        <v>85</v>
      </c>
      <c r="S1702">
        <v>94</v>
      </c>
      <c r="T1702">
        <v>70</v>
      </c>
      <c r="U1702">
        <v>6</v>
      </c>
      <c r="V1702" s="3">
        <f t="shared" si="105"/>
        <v>10201140</v>
      </c>
      <c r="W1702">
        <v>850095</v>
      </c>
      <c r="X1702">
        <v>0</v>
      </c>
      <c r="Y1702">
        <f t="shared" si="106"/>
        <v>850095</v>
      </c>
      <c r="Z1702">
        <f t="shared" si="107"/>
        <v>0</v>
      </c>
      <c r="AA1702">
        <v>0</v>
      </c>
    </row>
    <row r="1703" spans="1:27" x14ac:dyDescent="0.25">
      <c r="A1703" s="1">
        <v>1702</v>
      </c>
      <c r="B1703" t="s">
        <v>599</v>
      </c>
      <c r="C1703" t="s">
        <v>1135</v>
      </c>
      <c r="D1703" t="s">
        <v>1141</v>
      </c>
      <c r="E1703" t="s">
        <v>1145</v>
      </c>
      <c r="G1703" t="s">
        <v>1200</v>
      </c>
      <c r="H1703" t="s">
        <v>1200</v>
      </c>
      <c r="I1703" t="s">
        <v>1200</v>
      </c>
      <c r="J1703" t="s">
        <v>1268</v>
      </c>
      <c r="K1703" t="s">
        <v>1212</v>
      </c>
      <c r="M1703" s="3">
        <f t="shared" si="104"/>
        <v>91.857142857142861</v>
      </c>
      <c r="N1703">
        <v>85</v>
      </c>
      <c r="O1703">
        <v>97</v>
      </c>
      <c r="P1703">
        <v>93</v>
      </c>
      <c r="Q1703">
        <v>93</v>
      </c>
      <c r="R1703">
        <v>88</v>
      </c>
      <c r="S1703">
        <v>92</v>
      </c>
      <c r="T1703">
        <v>95</v>
      </c>
      <c r="U1703">
        <v>17</v>
      </c>
      <c r="V1703" s="3">
        <f t="shared" si="105"/>
        <v>64153535</v>
      </c>
      <c r="W1703">
        <v>5346127.916666667</v>
      </c>
      <c r="X1703">
        <v>0</v>
      </c>
      <c r="Y1703">
        <f t="shared" si="106"/>
        <v>5346127.916666667</v>
      </c>
      <c r="Z1703">
        <f t="shared" si="107"/>
        <v>0</v>
      </c>
      <c r="AA1703">
        <v>0</v>
      </c>
    </row>
    <row r="1704" spans="1:27" x14ac:dyDescent="0.25">
      <c r="A1704" s="1">
        <v>1703</v>
      </c>
      <c r="B1704" t="s">
        <v>600</v>
      </c>
      <c r="C1704" t="s">
        <v>1135</v>
      </c>
      <c r="D1704" t="s">
        <v>1141</v>
      </c>
      <c r="E1704" t="s">
        <v>1142</v>
      </c>
      <c r="G1704" t="s">
        <v>1200</v>
      </c>
      <c r="H1704" t="s">
        <v>1200</v>
      </c>
      <c r="I1704" t="s">
        <v>1200</v>
      </c>
      <c r="J1704" t="s">
        <v>1268</v>
      </c>
      <c r="K1704" t="s">
        <v>1212</v>
      </c>
      <c r="M1704" s="3">
        <f t="shared" si="104"/>
        <v>91.714285714285708</v>
      </c>
      <c r="N1704">
        <v>85</v>
      </c>
      <c r="O1704">
        <v>95</v>
      </c>
      <c r="P1704">
        <v>94</v>
      </c>
      <c r="Q1704">
        <v>94</v>
      </c>
      <c r="R1704">
        <v>89</v>
      </c>
      <c r="S1704">
        <v>91</v>
      </c>
      <c r="T1704">
        <v>94</v>
      </c>
      <c r="U1704">
        <v>19</v>
      </c>
      <c r="V1704" s="3">
        <f t="shared" si="105"/>
        <v>63162766</v>
      </c>
      <c r="W1704">
        <v>5263563.833333333</v>
      </c>
      <c r="X1704">
        <v>0</v>
      </c>
      <c r="Y1704">
        <f t="shared" si="106"/>
        <v>5263563.833333333</v>
      </c>
      <c r="Z1704">
        <f t="shared" si="107"/>
        <v>0</v>
      </c>
      <c r="AA1704">
        <v>0</v>
      </c>
    </row>
    <row r="1705" spans="1:27" x14ac:dyDescent="0.25">
      <c r="A1705" s="1">
        <v>1704</v>
      </c>
      <c r="B1705" t="s">
        <v>1344</v>
      </c>
      <c r="C1705" t="s">
        <v>1136</v>
      </c>
      <c r="D1705" t="s">
        <v>1146</v>
      </c>
      <c r="E1705" t="s">
        <v>1145</v>
      </c>
      <c r="G1705" t="s">
        <v>1200</v>
      </c>
      <c r="H1705" t="s">
        <v>1200</v>
      </c>
      <c r="I1705" t="s">
        <v>1200</v>
      </c>
      <c r="J1705" t="s">
        <v>1268</v>
      </c>
      <c r="K1705" t="s">
        <v>1212</v>
      </c>
      <c r="M1705" s="3">
        <f t="shared" si="104"/>
        <v>76.857142857142861</v>
      </c>
      <c r="N1705">
        <v>50</v>
      </c>
      <c r="O1705">
        <v>82</v>
      </c>
      <c r="P1705">
        <v>80</v>
      </c>
      <c r="Q1705">
        <v>85</v>
      </c>
      <c r="R1705">
        <v>76</v>
      </c>
      <c r="S1705">
        <v>80</v>
      </c>
      <c r="T1705">
        <v>85</v>
      </c>
      <c r="U1705">
        <v>17</v>
      </c>
      <c r="V1705" s="3">
        <f t="shared" si="105"/>
        <v>10787819</v>
      </c>
      <c r="W1705">
        <v>898984.91666666663</v>
      </c>
      <c r="X1705">
        <v>0</v>
      </c>
      <c r="Y1705">
        <f t="shared" si="106"/>
        <v>898984.91666666663</v>
      </c>
      <c r="Z1705">
        <f t="shared" si="107"/>
        <v>0</v>
      </c>
      <c r="AA1705">
        <v>0</v>
      </c>
    </row>
    <row r="1706" spans="1:27" x14ac:dyDescent="0.25">
      <c r="A1706" s="1">
        <v>1705</v>
      </c>
      <c r="B1706" t="s">
        <v>2543</v>
      </c>
      <c r="C1706" t="s">
        <v>1136</v>
      </c>
      <c r="D1706" t="s">
        <v>1146</v>
      </c>
      <c r="E1706" t="s">
        <v>1145</v>
      </c>
      <c r="H1706" t="s">
        <v>1200</v>
      </c>
      <c r="I1706" t="s">
        <v>1200</v>
      </c>
      <c r="J1706" t="s">
        <v>1268</v>
      </c>
      <c r="K1706" t="s">
        <v>1212</v>
      </c>
      <c r="M1706" s="3">
        <f t="shared" si="104"/>
        <v>73.857142857142861</v>
      </c>
      <c r="N1706">
        <v>44</v>
      </c>
      <c r="O1706">
        <v>85</v>
      </c>
      <c r="P1706">
        <v>85</v>
      </c>
      <c r="Q1706">
        <v>78</v>
      </c>
      <c r="R1706">
        <v>81</v>
      </c>
      <c r="S1706">
        <v>76</v>
      </c>
      <c r="T1706">
        <v>68</v>
      </c>
      <c r="U1706">
        <v>0</v>
      </c>
      <c r="V1706" s="3">
        <f t="shared" si="105"/>
        <v>4829755</v>
      </c>
      <c r="W1706">
        <v>402479.58333333331</v>
      </c>
      <c r="X1706">
        <v>0</v>
      </c>
      <c r="Y1706">
        <f t="shared" si="106"/>
        <v>402479.58333333331</v>
      </c>
      <c r="Z1706">
        <f t="shared" si="107"/>
        <v>0</v>
      </c>
      <c r="AA1706">
        <v>0</v>
      </c>
    </row>
    <row r="1707" spans="1:27" x14ac:dyDescent="0.25">
      <c r="A1707" s="1">
        <v>1706</v>
      </c>
      <c r="B1707" t="s">
        <v>958</v>
      </c>
      <c r="C1707" t="s">
        <v>1136</v>
      </c>
      <c r="D1707" t="s">
        <v>1144</v>
      </c>
      <c r="E1707" t="s">
        <v>1143</v>
      </c>
      <c r="G1707" t="s">
        <v>1200</v>
      </c>
      <c r="H1707" t="s">
        <v>1218</v>
      </c>
      <c r="I1707" t="s">
        <v>1218</v>
      </c>
      <c r="J1707" t="s">
        <v>1268</v>
      </c>
      <c r="K1707" t="s">
        <v>1212</v>
      </c>
      <c r="M1707" s="3">
        <f t="shared" si="104"/>
        <v>88.285714285714292</v>
      </c>
      <c r="N1707">
        <v>83</v>
      </c>
      <c r="O1707">
        <v>84</v>
      </c>
      <c r="P1707">
        <v>90</v>
      </c>
      <c r="Q1707">
        <v>87</v>
      </c>
      <c r="R1707">
        <v>95</v>
      </c>
      <c r="S1707">
        <v>97</v>
      </c>
      <c r="T1707">
        <v>82</v>
      </c>
      <c r="U1707">
        <v>18</v>
      </c>
      <c r="V1707" s="3">
        <f t="shared" si="105"/>
        <v>43151472</v>
      </c>
      <c r="W1707">
        <v>3595956</v>
      </c>
      <c r="X1707">
        <v>0</v>
      </c>
      <c r="Y1707">
        <f t="shared" si="106"/>
        <v>3595956</v>
      </c>
      <c r="Z1707">
        <f t="shared" si="107"/>
        <v>0</v>
      </c>
      <c r="AA1707">
        <v>0</v>
      </c>
    </row>
    <row r="1708" spans="1:27" x14ac:dyDescent="0.25">
      <c r="A1708" s="1">
        <v>1707</v>
      </c>
      <c r="B1708" t="s">
        <v>959</v>
      </c>
      <c r="C1708" t="s">
        <v>1136</v>
      </c>
      <c r="D1708" t="s">
        <v>1144</v>
      </c>
      <c r="E1708" t="s">
        <v>1143</v>
      </c>
      <c r="G1708" t="s">
        <v>1200</v>
      </c>
      <c r="H1708" t="s">
        <v>1200</v>
      </c>
      <c r="I1708" t="s">
        <v>1200</v>
      </c>
      <c r="J1708" t="s">
        <v>1268</v>
      </c>
      <c r="K1708" t="s">
        <v>1212</v>
      </c>
      <c r="M1708" s="3">
        <f t="shared" si="104"/>
        <v>85.428571428571431</v>
      </c>
      <c r="N1708">
        <v>80</v>
      </c>
      <c r="O1708">
        <v>85</v>
      </c>
      <c r="P1708">
        <v>88</v>
      </c>
      <c r="Q1708">
        <v>86</v>
      </c>
      <c r="R1708">
        <v>89</v>
      </c>
      <c r="S1708">
        <v>90</v>
      </c>
      <c r="T1708">
        <v>80</v>
      </c>
      <c r="U1708">
        <v>22</v>
      </c>
      <c r="V1708" s="3">
        <f t="shared" si="105"/>
        <v>31054369</v>
      </c>
      <c r="W1708">
        <v>2587864.0833333335</v>
      </c>
      <c r="X1708">
        <v>0</v>
      </c>
      <c r="Y1708">
        <f t="shared" si="106"/>
        <v>2587864.0833333335</v>
      </c>
      <c r="Z1708">
        <f t="shared" si="107"/>
        <v>0</v>
      </c>
      <c r="AA1708">
        <v>0</v>
      </c>
    </row>
    <row r="1709" spans="1:27" x14ac:dyDescent="0.25">
      <c r="A1709" s="1">
        <v>1708</v>
      </c>
      <c r="B1709" t="s">
        <v>1345</v>
      </c>
      <c r="C1709" t="s">
        <v>1136</v>
      </c>
      <c r="D1709" t="s">
        <v>1147</v>
      </c>
      <c r="E1709" t="s">
        <v>1143</v>
      </c>
      <c r="G1709" t="s">
        <v>1200</v>
      </c>
      <c r="H1709" t="s">
        <v>1200</v>
      </c>
      <c r="I1709" t="s">
        <v>1200</v>
      </c>
      <c r="J1709" t="s">
        <v>1268</v>
      </c>
      <c r="K1709" t="s">
        <v>1212</v>
      </c>
      <c r="M1709" s="3">
        <f t="shared" si="104"/>
        <v>76.857142857142861</v>
      </c>
      <c r="N1709">
        <v>50</v>
      </c>
      <c r="O1709">
        <v>81</v>
      </c>
      <c r="P1709">
        <v>81</v>
      </c>
      <c r="Q1709">
        <v>86</v>
      </c>
      <c r="R1709">
        <v>75</v>
      </c>
      <c r="S1709">
        <v>80</v>
      </c>
      <c r="T1709">
        <v>85</v>
      </c>
      <c r="U1709">
        <v>17</v>
      </c>
      <c r="V1709" s="3">
        <f t="shared" si="105"/>
        <v>10787819</v>
      </c>
      <c r="W1709">
        <v>898984.91666666663</v>
      </c>
      <c r="X1709">
        <v>0</v>
      </c>
      <c r="Y1709">
        <f t="shared" si="106"/>
        <v>898984.91666666663</v>
      </c>
      <c r="Z1709">
        <f t="shared" si="107"/>
        <v>0</v>
      </c>
      <c r="AA1709">
        <v>0</v>
      </c>
    </row>
    <row r="1710" spans="1:27" x14ac:dyDescent="0.25">
      <c r="A1710" s="1">
        <v>1709</v>
      </c>
      <c r="B1710" t="s">
        <v>960</v>
      </c>
      <c r="C1710" t="s">
        <v>1136</v>
      </c>
      <c r="D1710" t="s">
        <v>1143</v>
      </c>
      <c r="E1710" t="s">
        <v>1144</v>
      </c>
      <c r="G1710" t="s">
        <v>1200</v>
      </c>
      <c r="H1710" t="s">
        <v>1200</v>
      </c>
      <c r="I1710" t="s">
        <v>1200</v>
      </c>
      <c r="J1710" t="s">
        <v>1268</v>
      </c>
      <c r="K1710" t="s">
        <v>1212</v>
      </c>
      <c r="M1710" s="3">
        <f t="shared" si="104"/>
        <v>80.285714285714292</v>
      </c>
      <c r="N1710">
        <v>78</v>
      </c>
      <c r="O1710">
        <v>82</v>
      </c>
      <c r="P1710">
        <v>80</v>
      </c>
      <c r="Q1710">
        <v>78</v>
      </c>
      <c r="R1710">
        <v>84</v>
      </c>
      <c r="S1710">
        <v>94</v>
      </c>
      <c r="T1710">
        <v>66</v>
      </c>
      <c r="U1710">
        <v>0</v>
      </c>
      <c r="V1710" s="3">
        <f t="shared" si="105"/>
        <v>11127120</v>
      </c>
      <c r="W1710">
        <v>927260</v>
      </c>
      <c r="X1710">
        <v>0</v>
      </c>
      <c r="Y1710">
        <f t="shared" si="106"/>
        <v>927260</v>
      </c>
      <c r="Z1710">
        <f t="shared" si="107"/>
        <v>0</v>
      </c>
      <c r="AA1710">
        <v>0</v>
      </c>
    </row>
    <row r="1711" spans="1:27" x14ac:dyDescent="0.25">
      <c r="A1711" s="1">
        <v>1710</v>
      </c>
      <c r="B1711" t="s">
        <v>2544</v>
      </c>
      <c r="C1711" t="s">
        <v>1136</v>
      </c>
      <c r="D1711" t="s">
        <v>1147</v>
      </c>
      <c r="E1711" t="s">
        <v>1143</v>
      </c>
      <c r="H1711" t="s">
        <v>1200</v>
      </c>
      <c r="I1711" t="s">
        <v>1200</v>
      </c>
      <c r="J1711" t="s">
        <v>1268</v>
      </c>
      <c r="K1711" t="s">
        <v>1212</v>
      </c>
      <c r="M1711" s="3">
        <f t="shared" si="104"/>
        <v>71.857142857142861</v>
      </c>
      <c r="N1711">
        <v>34</v>
      </c>
      <c r="O1711">
        <v>83</v>
      </c>
      <c r="P1711">
        <v>80</v>
      </c>
      <c r="Q1711">
        <v>82</v>
      </c>
      <c r="R1711">
        <v>80</v>
      </c>
      <c r="S1711">
        <v>78</v>
      </c>
      <c r="T1711">
        <v>66</v>
      </c>
      <c r="U1711">
        <v>0</v>
      </c>
      <c r="V1711" s="3">
        <f t="shared" si="105"/>
        <v>3670283</v>
      </c>
      <c r="W1711">
        <v>305856.91666666669</v>
      </c>
      <c r="X1711">
        <v>0</v>
      </c>
      <c r="Y1711">
        <f t="shared" si="106"/>
        <v>305856.91666666669</v>
      </c>
      <c r="Z1711">
        <f t="shared" si="107"/>
        <v>0</v>
      </c>
      <c r="AA1711">
        <v>0</v>
      </c>
    </row>
    <row r="1712" spans="1:27" x14ac:dyDescent="0.25">
      <c r="A1712" s="1">
        <v>1711</v>
      </c>
      <c r="B1712" t="s">
        <v>1350</v>
      </c>
      <c r="C1712" t="s">
        <v>1137</v>
      </c>
      <c r="G1712" t="s">
        <v>1200</v>
      </c>
      <c r="H1712" t="s">
        <v>1200</v>
      </c>
      <c r="I1712" t="s">
        <v>1200</v>
      </c>
      <c r="J1712" t="s">
        <v>1268</v>
      </c>
      <c r="K1712" t="s">
        <v>1212</v>
      </c>
      <c r="M1712" s="3">
        <f t="shared" si="104"/>
        <v>80.428571428571431</v>
      </c>
      <c r="N1712">
        <v>63</v>
      </c>
      <c r="O1712">
        <v>85</v>
      </c>
      <c r="P1712">
        <v>80</v>
      </c>
      <c r="Q1712">
        <v>80</v>
      </c>
      <c r="R1712">
        <v>85</v>
      </c>
      <c r="S1712">
        <v>85</v>
      </c>
      <c r="T1712">
        <v>85</v>
      </c>
      <c r="U1712">
        <v>0</v>
      </c>
      <c r="V1712" s="3">
        <f t="shared" si="105"/>
        <v>11326704</v>
      </c>
      <c r="W1712">
        <v>943892</v>
      </c>
      <c r="X1712">
        <v>0</v>
      </c>
      <c r="Y1712">
        <f t="shared" si="106"/>
        <v>943892</v>
      </c>
      <c r="Z1712">
        <f t="shared" si="107"/>
        <v>0</v>
      </c>
      <c r="AA1712">
        <v>0</v>
      </c>
    </row>
    <row r="1713" spans="1:27" x14ac:dyDescent="0.25">
      <c r="A1713" s="1">
        <v>1712</v>
      </c>
      <c r="B1713" t="s">
        <v>448</v>
      </c>
      <c r="C1713" t="s">
        <v>1135</v>
      </c>
      <c r="D1713" t="s">
        <v>1142</v>
      </c>
      <c r="E1713" t="s">
        <v>1147</v>
      </c>
      <c r="G1713" t="s">
        <v>1153</v>
      </c>
      <c r="H1713" t="s">
        <v>1153</v>
      </c>
      <c r="I1713" t="s">
        <v>1153</v>
      </c>
      <c r="J1713" t="s">
        <v>1284</v>
      </c>
      <c r="K1713" t="s">
        <v>1217</v>
      </c>
      <c r="M1713" s="3">
        <f t="shared" si="104"/>
        <v>92.857142857142861</v>
      </c>
      <c r="N1713">
        <v>93</v>
      </c>
      <c r="O1713">
        <v>95</v>
      </c>
      <c r="P1713">
        <v>93</v>
      </c>
      <c r="Q1713">
        <v>98</v>
      </c>
      <c r="R1713">
        <v>87</v>
      </c>
      <c r="S1713">
        <v>86</v>
      </c>
      <c r="T1713">
        <v>98</v>
      </c>
      <c r="U1713">
        <v>14</v>
      </c>
      <c r="V1713" s="3">
        <f t="shared" si="105"/>
        <v>71489857</v>
      </c>
      <c r="W1713">
        <v>5957488.083333333</v>
      </c>
      <c r="X1713">
        <v>0</v>
      </c>
      <c r="Y1713">
        <f t="shared" si="106"/>
        <v>5957488.083333333</v>
      </c>
      <c r="Z1713">
        <f t="shared" si="107"/>
        <v>0</v>
      </c>
      <c r="AA1713">
        <v>0</v>
      </c>
    </row>
    <row r="1714" spans="1:27" x14ac:dyDescent="0.25">
      <c r="A1714" s="1">
        <v>1713</v>
      </c>
      <c r="B1714" t="s">
        <v>708</v>
      </c>
      <c r="C1714" t="s">
        <v>1136</v>
      </c>
      <c r="D1714" t="s">
        <v>1143</v>
      </c>
      <c r="E1714" t="s">
        <v>1145</v>
      </c>
      <c r="F1714" t="s">
        <v>1144</v>
      </c>
      <c r="G1714" t="s">
        <v>1161</v>
      </c>
      <c r="H1714" t="s">
        <v>1176</v>
      </c>
      <c r="I1714" t="s">
        <v>1176</v>
      </c>
      <c r="J1714" t="s">
        <v>1284</v>
      </c>
      <c r="K1714" t="s">
        <v>1217</v>
      </c>
      <c r="M1714" s="3">
        <f t="shared" si="104"/>
        <v>89.428571428571431</v>
      </c>
      <c r="N1714">
        <v>88</v>
      </c>
      <c r="O1714">
        <v>84</v>
      </c>
      <c r="P1714">
        <v>89</v>
      </c>
      <c r="Q1714">
        <v>98</v>
      </c>
      <c r="R1714">
        <v>85</v>
      </c>
      <c r="S1714">
        <v>89</v>
      </c>
      <c r="T1714">
        <v>93</v>
      </c>
      <c r="U1714">
        <v>24</v>
      </c>
      <c r="V1714" s="3">
        <f t="shared" si="105"/>
        <v>49074309</v>
      </c>
      <c r="W1714">
        <v>4089525.75</v>
      </c>
      <c r="X1714">
        <v>0</v>
      </c>
      <c r="Y1714">
        <f t="shared" si="106"/>
        <v>4089525.75</v>
      </c>
      <c r="Z1714">
        <f t="shared" si="107"/>
        <v>0</v>
      </c>
      <c r="AA1714">
        <v>0</v>
      </c>
    </row>
    <row r="1715" spans="1:27" x14ac:dyDescent="0.25">
      <c r="A1715" s="1">
        <v>1714</v>
      </c>
      <c r="B1715" t="s">
        <v>2378</v>
      </c>
      <c r="C1715" t="s">
        <v>1133</v>
      </c>
      <c r="D1715" t="s">
        <v>1133</v>
      </c>
      <c r="H1715" t="s">
        <v>1163</v>
      </c>
      <c r="I1715" t="s">
        <v>1163</v>
      </c>
      <c r="J1715" t="s">
        <v>2377</v>
      </c>
      <c r="K1715" t="s">
        <v>1212</v>
      </c>
      <c r="M1715" s="3">
        <f t="shared" si="104"/>
        <v>31.857142857142858</v>
      </c>
      <c r="N1715">
        <v>10</v>
      </c>
      <c r="O1715">
        <v>41</v>
      </c>
      <c r="P1715">
        <v>33</v>
      </c>
      <c r="Q1715">
        <v>37</v>
      </c>
      <c r="R1715">
        <v>39</v>
      </c>
      <c r="S1715">
        <v>41</v>
      </c>
      <c r="T1715">
        <v>22</v>
      </c>
      <c r="U1715">
        <v>0</v>
      </c>
      <c r="V1715" s="3">
        <f t="shared" si="105"/>
        <v>1077</v>
      </c>
      <c r="W1715">
        <v>89.75</v>
      </c>
      <c r="X1715">
        <v>0</v>
      </c>
      <c r="Y1715">
        <f t="shared" si="106"/>
        <v>89.75</v>
      </c>
      <c r="Z1715">
        <f t="shared" si="107"/>
        <v>0</v>
      </c>
      <c r="AA1715">
        <v>0</v>
      </c>
    </row>
    <row r="1716" spans="1:27" x14ac:dyDescent="0.25">
      <c r="A1716" s="1">
        <v>1715</v>
      </c>
      <c r="B1716" t="s">
        <v>2379</v>
      </c>
      <c r="C1716" t="s">
        <v>1133</v>
      </c>
      <c r="D1716" t="s">
        <v>1133</v>
      </c>
      <c r="H1716" t="s">
        <v>1163</v>
      </c>
      <c r="I1716" t="s">
        <v>1163</v>
      </c>
      <c r="J1716" t="s">
        <v>2377</v>
      </c>
      <c r="K1716" t="s">
        <v>1212</v>
      </c>
      <c r="M1716" s="3">
        <f t="shared" si="104"/>
        <v>28</v>
      </c>
      <c r="N1716">
        <v>8</v>
      </c>
      <c r="O1716">
        <v>35</v>
      </c>
      <c r="P1716">
        <v>29</v>
      </c>
      <c r="Q1716">
        <v>33</v>
      </c>
      <c r="R1716">
        <v>35</v>
      </c>
      <c r="S1716">
        <v>37</v>
      </c>
      <c r="T1716">
        <v>19</v>
      </c>
      <c r="U1716">
        <v>0</v>
      </c>
      <c r="V1716" s="3">
        <f t="shared" si="105"/>
        <v>297</v>
      </c>
      <c r="W1716">
        <v>24.75</v>
      </c>
      <c r="X1716">
        <v>0</v>
      </c>
      <c r="Y1716">
        <f t="shared" si="106"/>
        <v>24.75</v>
      </c>
      <c r="Z1716">
        <f t="shared" si="107"/>
        <v>0</v>
      </c>
      <c r="AA1716">
        <v>0</v>
      </c>
    </row>
    <row r="1717" spans="1:27" x14ac:dyDescent="0.25">
      <c r="A1717" s="1">
        <v>1716</v>
      </c>
      <c r="B1717" t="s">
        <v>2394</v>
      </c>
      <c r="C1717" t="s">
        <v>1133</v>
      </c>
      <c r="D1717" t="s">
        <v>1133</v>
      </c>
      <c r="H1717" t="s">
        <v>1163</v>
      </c>
      <c r="I1717" t="s">
        <v>1163</v>
      </c>
      <c r="J1717" t="s">
        <v>2377</v>
      </c>
      <c r="K1717" t="s">
        <v>1212</v>
      </c>
      <c r="M1717" s="3">
        <f t="shared" si="104"/>
        <v>28.285714285714285</v>
      </c>
      <c r="N1717">
        <v>8</v>
      </c>
      <c r="O1717">
        <v>37</v>
      </c>
      <c r="P1717">
        <v>29</v>
      </c>
      <c r="Q1717">
        <v>33</v>
      </c>
      <c r="R1717">
        <v>35</v>
      </c>
      <c r="S1717">
        <v>37</v>
      </c>
      <c r="T1717">
        <v>19</v>
      </c>
      <c r="U1717">
        <v>0</v>
      </c>
      <c r="V1717" s="3">
        <f t="shared" si="105"/>
        <v>328</v>
      </c>
      <c r="W1717">
        <v>27.333333333333332</v>
      </c>
      <c r="X1717">
        <v>0</v>
      </c>
      <c r="Y1717">
        <f t="shared" si="106"/>
        <v>27.333333333333332</v>
      </c>
      <c r="Z1717">
        <f t="shared" si="107"/>
        <v>0</v>
      </c>
      <c r="AA1717">
        <v>0</v>
      </c>
    </row>
    <row r="1718" spans="1:27" x14ac:dyDescent="0.25">
      <c r="A1718" s="1">
        <v>1717</v>
      </c>
      <c r="B1718" t="s">
        <v>2683</v>
      </c>
      <c r="C1718" t="s">
        <v>1134</v>
      </c>
      <c r="D1718" t="s">
        <v>1140</v>
      </c>
      <c r="E1718" t="s">
        <v>1139</v>
      </c>
      <c r="H1718" t="s">
        <v>1163</v>
      </c>
      <c r="I1718" t="s">
        <v>1163</v>
      </c>
      <c r="J1718" t="s">
        <v>2377</v>
      </c>
      <c r="K1718" t="s">
        <v>1212</v>
      </c>
      <c r="M1718" s="3">
        <f t="shared" si="104"/>
        <v>27.714285714285715</v>
      </c>
      <c r="N1718">
        <v>7</v>
      </c>
      <c r="O1718">
        <v>35</v>
      </c>
      <c r="P1718">
        <v>29</v>
      </c>
      <c r="Q1718">
        <v>33</v>
      </c>
      <c r="R1718">
        <v>35</v>
      </c>
      <c r="S1718">
        <v>37</v>
      </c>
      <c r="T1718">
        <v>18</v>
      </c>
      <c r="U1718">
        <v>0</v>
      </c>
      <c r="V1718" s="3">
        <f t="shared" si="105"/>
        <v>268</v>
      </c>
      <c r="W1718">
        <v>22.333333333333332</v>
      </c>
      <c r="X1718">
        <v>0</v>
      </c>
      <c r="Y1718">
        <f t="shared" si="106"/>
        <v>22.333333333333332</v>
      </c>
      <c r="Z1718">
        <f t="shared" si="107"/>
        <v>0</v>
      </c>
      <c r="AA1718">
        <v>0</v>
      </c>
    </row>
    <row r="1719" spans="1:27" x14ac:dyDescent="0.25">
      <c r="A1719" s="1">
        <v>1718</v>
      </c>
      <c r="B1719" t="s">
        <v>2383</v>
      </c>
      <c r="C1719" t="s">
        <v>1134</v>
      </c>
      <c r="D1719" t="s">
        <v>1140</v>
      </c>
      <c r="E1719" t="s">
        <v>1138</v>
      </c>
      <c r="H1719" t="s">
        <v>1163</v>
      </c>
      <c r="I1719" t="s">
        <v>1163</v>
      </c>
      <c r="J1719" t="s">
        <v>2377</v>
      </c>
      <c r="K1719" t="s">
        <v>1212</v>
      </c>
      <c r="M1719" s="3">
        <f t="shared" si="104"/>
        <v>31.571428571428573</v>
      </c>
      <c r="N1719">
        <v>9</v>
      </c>
      <c r="O1719">
        <v>41</v>
      </c>
      <c r="P1719">
        <v>33</v>
      </c>
      <c r="Q1719">
        <v>37</v>
      </c>
      <c r="R1719">
        <v>39</v>
      </c>
      <c r="S1719">
        <v>41</v>
      </c>
      <c r="T1719">
        <v>21</v>
      </c>
      <c r="U1719">
        <v>0</v>
      </c>
      <c r="V1719" s="3">
        <f t="shared" si="105"/>
        <v>984</v>
      </c>
      <c r="W1719">
        <v>82</v>
      </c>
      <c r="X1719">
        <v>0</v>
      </c>
      <c r="Y1719">
        <f t="shared" si="106"/>
        <v>82</v>
      </c>
      <c r="Z1719">
        <f t="shared" si="107"/>
        <v>0</v>
      </c>
      <c r="AA1719">
        <v>0</v>
      </c>
    </row>
    <row r="1720" spans="1:27" x14ac:dyDescent="0.25">
      <c r="A1720" s="1">
        <v>1719</v>
      </c>
      <c r="B1720" t="s">
        <v>2381</v>
      </c>
      <c r="C1720" t="s">
        <v>1134</v>
      </c>
      <c r="D1720" t="s">
        <v>1138</v>
      </c>
      <c r="E1720" t="s">
        <v>1144</v>
      </c>
      <c r="H1720" t="s">
        <v>1163</v>
      </c>
      <c r="I1720" t="s">
        <v>1163</v>
      </c>
      <c r="J1720" t="s">
        <v>2377</v>
      </c>
      <c r="K1720" t="s">
        <v>1212</v>
      </c>
      <c r="M1720" s="3">
        <f t="shared" si="104"/>
        <v>24.571428571428573</v>
      </c>
      <c r="N1720">
        <v>6</v>
      </c>
      <c r="O1720">
        <v>31</v>
      </c>
      <c r="P1720">
        <v>25</v>
      </c>
      <c r="Q1720">
        <v>29</v>
      </c>
      <c r="R1720">
        <v>31</v>
      </c>
      <c r="S1720">
        <v>33</v>
      </c>
      <c r="T1720">
        <v>17</v>
      </c>
      <c r="U1720">
        <v>0</v>
      </c>
      <c r="V1720" s="3">
        <f t="shared" si="105"/>
        <v>81</v>
      </c>
      <c r="W1720">
        <v>6.75</v>
      </c>
      <c r="X1720">
        <v>0</v>
      </c>
      <c r="Y1720">
        <f t="shared" si="106"/>
        <v>6.75</v>
      </c>
      <c r="Z1720">
        <f t="shared" si="107"/>
        <v>0</v>
      </c>
      <c r="AA1720">
        <v>0</v>
      </c>
    </row>
    <row r="1721" spans="1:27" x14ac:dyDescent="0.25">
      <c r="A1721" s="1">
        <v>1720</v>
      </c>
      <c r="B1721" t="s">
        <v>2382</v>
      </c>
      <c r="C1721" t="s">
        <v>1134</v>
      </c>
      <c r="D1721" t="s">
        <v>1138</v>
      </c>
      <c r="E1721" t="s">
        <v>1139</v>
      </c>
      <c r="H1721" t="s">
        <v>1163</v>
      </c>
      <c r="I1721" t="s">
        <v>1163</v>
      </c>
      <c r="J1721" t="s">
        <v>2377</v>
      </c>
      <c r="K1721" t="s">
        <v>1212</v>
      </c>
      <c r="M1721" s="3">
        <f t="shared" si="104"/>
        <v>35.571428571428569</v>
      </c>
      <c r="N1721">
        <v>12</v>
      </c>
      <c r="O1721">
        <v>47</v>
      </c>
      <c r="P1721">
        <v>37</v>
      </c>
      <c r="Q1721">
        <v>41</v>
      </c>
      <c r="R1721">
        <v>43</v>
      </c>
      <c r="S1721">
        <v>45</v>
      </c>
      <c r="T1721">
        <v>24</v>
      </c>
      <c r="U1721">
        <v>0</v>
      </c>
      <c r="V1721" s="3">
        <f t="shared" si="105"/>
        <v>3244</v>
      </c>
      <c r="W1721">
        <v>270.33333333333331</v>
      </c>
      <c r="X1721">
        <v>0</v>
      </c>
      <c r="Y1721">
        <f t="shared" si="106"/>
        <v>270.33333333333331</v>
      </c>
      <c r="Z1721">
        <f t="shared" si="107"/>
        <v>0</v>
      </c>
      <c r="AA1721">
        <v>0</v>
      </c>
    </row>
    <row r="1722" spans="1:27" x14ac:dyDescent="0.25">
      <c r="A1722" s="1">
        <v>1721</v>
      </c>
      <c r="B1722" t="s">
        <v>1319</v>
      </c>
      <c r="C1722" t="s">
        <v>1134</v>
      </c>
      <c r="D1722" t="s">
        <v>1139</v>
      </c>
      <c r="E1722" t="s">
        <v>1146</v>
      </c>
      <c r="H1722" t="s">
        <v>1163</v>
      </c>
      <c r="I1722" t="s">
        <v>1163</v>
      </c>
      <c r="J1722" t="s">
        <v>2377</v>
      </c>
      <c r="K1722" t="s">
        <v>1212</v>
      </c>
      <c r="M1722" s="3">
        <f t="shared" si="104"/>
        <v>39.142857142857146</v>
      </c>
      <c r="N1722">
        <v>22</v>
      </c>
      <c r="O1722">
        <v>63</v>
      </c>
      <c r="P1722">
        <v>35</v>
      </c>
      <c r="Q1722">
        <v>37</v>
      </c>
      <c r="R1722">
        <v>51</v>
      </c>
      <c r="S1722">
        <v>46</v>
      </c>
      <c r="T1722">
        <v>20</v>
      </c>
      <c r="U1722">
        <v>0</v>
      </c>
      <c r="V1722" s="3">
        <f t="shared" si="105"/>
        <v>8444</v>
      </c>
      <c r="W1722">
        <v>703.66666666666663</v>
      </c>
      <c r="X1722">
        <v>0</v>
      </c>
      <c r="Y1722">
        <f t="shared" si="106"/>
        <v>703.66666666666663</v>
      </c>
      <c r="Z1722">
        <f t="shared" si="107"/>
        <v>0</v>
      </c>
      <c r="AA1722">
        <v>0</v>
      </c>
    </row>
    <row r="1723" spans="1:27" x14ac:dyDescent="0.25">
      <c r="A1723" s="1">
        <v>1722</v>
      </c>
      <c r="B1723" t="s">
        <v>2393</v>
      </c>
      <c r="C1723" t="s">
        <v>1135</v>
      </c>
      <c r="D1723" t="s">
        <v>1142</v>
      </c>
      <c r="E1723" t="s">
        <v>1141</v>
      </c>
      <c r="G1723" t="s">
        <v>1163</v>
      </c>
      <c r="H1723" t="s">
        <v>1163</v>
      </c>
      <c r="I1723" t="s">
        <v>1163</v>
      </c>
      <c r="J1723" t="s">
        <v>2377</v>
      </c>
      <c r="K1723" t="s">
        <v>1212</v>
      </c>
      <c r="M1723" s="3">
        <f t="shared" si="104"/>
        <v>51.857142857142854</v>
      </c>
      <c r="N1723">
        <v>18</v>
      </c>
      <c r="O1723">
        <v>65</v>
      </c>
      <c r="P1723">
        <v>57</v>
      </c>
      <c r="Q1723">
        <v>59</v>
      </c>
      <c r="R1723">
        <v>61</v>
      </c>
      <c r="S1723">
        <v>63</v>
      </c>
      <c r="T1723">
        <v>40</v>
      </c>
      <c r="U1723">
        <v>0</v>
      </c>
      <c r="V1723" s="3">
        <f t="shared" si="105"/>
        <v>140633</v>
      </c>
      <c r="W1723">
        <v>11719.416666666666</v>
      </c>
      <c r="X1723">
        <v>0</v>
      </c>
      <c r="Y1723">
        <f t="shared" si="106"/>
        <v>11719.416666666666</v>
      </c>
      <c r="Z1723">
        <f t="shared" si="107"/>
        <v>0</v>
      </c>
      <c r="AA1723">
        <v>0</v>
      </c>
    </row>
    <row r="1724" spans="1:27" x14ac:dyDescent="0.25">
      <c r="A1724" s="1">
        <v>1723</v>
      </c>
      <c r="B1724" t="s">
        <v>1887</v>
      </c>
      <c r="C1724" t="s">
        <v>1135</v>
      </c>
      <c r="D1724" t="s">
        <v>1141</v>
      </c>
      <c r="E1724" t="s">
        <v>1142</v>
      </c>
      <c r="G1724" t="s">
        <v>1163</v>
      </c>
      <c r="H1724" t="s">
        <v>1163</v>
      </c>
      <c r="I1724" t="s">
        <v>1163</v>
      </c>
      <c r="J1724" t="s">
        <v>2377</v>
      </c>
      <c r="K1724" t="s">
        <v>1212</v>
      </c>
      <c r="M1724" s="3">
        <f t="shared" si="104"/>
        <v>48.571428571428569</v>
      </c>
      <c r="N1724">
        <v>15</v>
      </c>
      <c r="O1724">
        <v>59</v>
      </c>
      <c r="P1724">
        <v>53</v>
      </c>
      <c r="Q1724">
        <v>57</v>
      </c>
      <c r="R1724">
        <v>59</v>
      </c>
      <c r="S1724">
        <v>61</v>
      </c>
      <c r="T1724">
        <v>36</v>
      </c>
      <c r="U1724">
        <v>0</v>
      </c>
      <c r="V1724" s="3">
        <f t="shared" si="105"/>
        <v>73082</v>
      </c>
      <c r="W1724">
        <v>6090.166666666667</v>
      </c>
      <c r="X1724">
        <v>0</v>
      </c>
      <c r="Y1724">
        <f t="shared" si="106"/>
        <v>6090.166666666667</v>
      </c>
      <c r="Z1724">
        <f t="shared" si="107"/>
        <v>0</v>
      </c>
      <c r="AA1724">
        <v>0</v>
      </c>
    </row>
    <row r="1725" spans="1:27" x14ac:dyDescent="0.25">
      <c r="A1725" s="1">
        <v>1724</v>
      </c>
      <c r="B1725" t="s">
        <v>2392</v>
      </c>
      <c r="C1725" t="s">
        <v>1135</v>
      </c>
      <c r="D1725" t="s">
        <v>1142</v>
      </c>
      <c r="E1725" t="s">
        <v>1141</v>
      </c>
      <c r="H1725" t="s">
        <v>1163</v>
      </c>
      <c r="I1725" t="s">
        <v>1163</v>
      </c>
      <c r="J1725" t="s">
        <v>2377</v>
      </c>
      <c r="K1725" t="s">
        <v>1212</v>
      </c>
      <c r="M1725" s="3">
        <f t="shared" si="104"/>
        <v>32.571428571428569</v>
      </c>
      <c r="N1725">
        <v>10</v>
      </c>
      <c r="O1725">
        <v>41</v>
      </c>
      <c r="P1725">
        <v>33</v>
      </c>
      <c r="Q1725">
        <v>39</v>
      </c>
      <c r="R1725">
        <v>41</v>
      </c>
      <c r="S1725">
        <v>43</v>
      </c>
      <c r="T1725">
        <v>21</v>
      </c>
      <c r="U1725">
        <v>0</v>
      </c>
      <c r="V1725" s="3">
        <f t="shared" si="105"/>
        <v>1344</v>
      </c>
      <c r="W1725">
        <v>112</v>
      </c>
      <c r="X1725">
        <v>0</v>
      </c>
      <c r="Y1725">
        <f t="shared" si="106"/>
        <v>112</v>
      </c>
      <c r="Z1725">
        <f t="shared" si="107"/>
        <v>0</v>
      </c>
      <c r="AA1725">
        <v>0</v>
      </c>
    </row>
    <row r="1726" spans="1:27" x14ac:dyDescent="0.25">
      <c r="A1726" s="1">
        <v>1725</v>
      </c>
      <c r="B1726" t="s">
        <v>2389</v>
      </c>
      <c r="C1726" t="s">
        <v>1136</v>
      </c>
      <c r="D1726" t="s">
        <v>1145</v>
      </c>
      <c r="E1726" t="s">
        <v>1147</v>
      </c>
      <c r="H1726" t="s">
        <v>1163</v>
      </c>
      <c r="I1726" t="s">
        <v>1163</v>
      </c>
      <c r="J1726" t="s">
        <v>2377</v>
      </c>
      <c r="K1726" t="s">
        <v>1212</v>
      </c>
      <c r="M1726" s="3">
        <f t="shared" si="104"/>
        <v>47.428571428571431</v>
      </c>
      <c r="N1726">
        <v>40</v>
      </c>
      <c r="O1726">
        <v>50</v>
      </c>
      <c r="P1726">
        <v>52</v>
      </c>
      <c r="Q1726">
        <v>50</v>
      </c>
      <c r="R1726">
        <v>50</v>
      </c>
      <c r="S1726">
        <v>50</v>
      </c>
      <c r="T1726">
        <v>40</v>
      </c>
      <c r="U1726">
        <v>0</v>
      </c>
      <c r="V1726" s="3">
        <f t="shared" si="105"/>
        <v>57598</v>
      </c>
      <c r="W1726">
        <v>13.166666666666666</v>
      </c>
      <c r="X1726">
        <v>0</v>
      </c>
      <c r="Y1726">
        <f t="shared" si="106"/>
        <v>4799.833333333333</v>
      </c>
      <c r="Z1726">
        <f t="shared" si="107"/>
        <v>-99.73</v>
      </c>
      <c r="AA1726">
        <v>0</v>
      </c>
    </row>
    <row r="1727" spans="1:27" x14ac:dyDescent="0.25">
      <c r="A1727" s="1">
        <v>1726</v>
      </c>
      <c r="B1727" t="s">
        <v>2388</v>
      </c>
      <c r="C1727" t="s">
        <v>1136</v>
      </c>
      <c r="D1727" t="s">
        <v>1145</v>
      </c>
      <c r="E1727" t="s">
        <v>1143</v>
      </c>
      <c r="H1727" t="s">
        <v>1163</v>
      </c>
      <c r="I1727" t="s">
        <v>1163</v>
      </c>
      <c r="J1727" t="s">
        <v>2377</v>
      </c>
      <c r="K1727" t="s">
        <v>1212</v>
      </c>
      <c r="M1727" s="3">
        <f t="shared" si="104"/>
        <v>33</v>
      </c>
      <c r="N1727">
        <v>10</v>
      </c>
      <c r="O1727">
        <v>43</v>
      </c>
      <c r="P1727">
        <v>33</v>
      </c>
      <c r="Q1727">
        <v>39</v>
      </c>
      <c r="R1727">
        <v>41</v>
      </c>
      <c r="S1727">
        <v>43</v>
      </c>
      <c r="T1727">
        <v>22</v>
      </c>
      <c r="U1727">
        <v>0</v>
      </c>
      <c r="V1727" s="3">
        <f t="shared" si="105"/>
        <v>1532</v>
      </c>
      <c r="W1727">
        <v>127.66666666666667</v>
      </c>
      <c r="X1727">
        <v>0</v>
      </c>
      <c r="Y1727">
        <f t="shared" si="106"/>
        <v>127.66666666666667</v>
      </c>
      <c r="Z1727">
        <f t="shared" si="107"/>
        <v>0</v>
      </c>
      <c r="AA1727">
        <v>0</v>
      </c>
    </row>
    <row r="1728" spans="1:27" x14ac:dyDescent="0.25">
      <c r="A1728" s="1">
        <v>1727</v>
      </c>
      <c r="B1728" t="s">
        <v>2385</v>
      </c>
      <c r="C1728" t="s">
        <v>1136</v>
      </c>
      <c r="D1728" t="s">
        <v>1144</v>
      </c>
      <c r="E1728" t="s">
        <v>1138</v>
      </c>
      <c r="H1728" t="s">
        <v>1163</v>
      </c>
      <c r="I1728" t="s">
        <v>1163</v>
      </c>
      <c r="J1728" t="s">
        <v>2377</v>
      </c>
      <c r="K1728" t="s">
        <v>1212</v>
      </c>
      <c r="M1728" s="3">
        <f t="shared" si="104"/>
        <v>30.857142857142858</v>
      </c>
      <c r="N1728">
        <v>9</v>
      </c>
      <c r="O1728">
        <v>39</v>
      </c>
      <c r="P1728">
        <v>31</v>
      </c>
      <c r="Q1728">
        <v>37</v>
      </c>
      <c r="R1728">
        <v>39</v>
      </c>
      <c r="S1728">
        <v>41</v>
      </c>
      <c r="T1728">
        <v>20</v>
      </c>
      <c r="U1728">
        <v>0</v>
      </c>
      <c r="V1728" s="3">
        <f t="shared" si="105"/>
        <v>783</v>
      </c>
      <c r="W1728">
        <v>65.25</v>
      </c>
      <c r="X1728">
        <v>0</v>
      </c>
      <c r="Y1728">
        <f t="shared" si="106"/>
        <v>65.25</v>
      </c>
      <c r="Z1728">
        <f t="shared" si="107"/>
        <v>0</v>
      </c>
      <c r="AA1728">
        <v>0</v>
      </c>
    </row>
    <row r="1729" spans="1:27" x14ac:dyDescent="0.25">
      <c r="A1729" s="1">
        <v>1728</v>
      </c>
      <c r="B1729" t="s">
        <v>2391</v>
      </c>
      <c r="C1729" t="s">
        <v>1136</v>
      </c>
      <c r="D1729" t="s">
        <v>1147</v>
      </c>
      <c r="E1729" t="s">
        <v>1145</v>
      </c>
      <c r="H1729" t="s">
        <v>1163</v>
      </c>
      <c r="I1729" t="s">
        <v>1163</v>
      </c>
      <c r="J1729" t="s">
        <v>2377</v>
      </c>
      <c r="K1729" t="s">
        <v>1212</v>
      </c>
      <c r="M1729" s="3">
        <f t="shared" si="104"/>
        <v>39</v>
      </c>
      <c r="N1729">
        <v>14</v>
      </c>
      <c r="O1729">
        <v>51</v>
      </c>
      <c r="P1729">
        <v>41</v>
      </c>
      <c r="Q1729">
        <v>45</v>
      </c>
      <c r="R1729">
        <v>47</v>
      </c>
      <c r="S1729">
        <v>49</v>
      </c>
      <c r="T1729">
        <v>26</v>
      </c>
      <c r="U1729">
        <v>0</v>
      </c>
      <c r="V1729" s="3">
        <f t="shared" si="105"/>
        <v>8141</v>
      </c>
      <c r="W1729">
        <v>678.41666666666663</v>
      </c>
      <c r="X1729">
        <v>0</v>
      </c>
      <c r="Y1729">
        <f t="shared" si="106"/>
        <v>678.41666666666663</v>
      </c>
      <c r="Z1729">
        <f t="shared" si="107"/>
        <v>0</v>
      </c>
      <c r="AA1729">
        <v>0</v>
      </c>
    </row>
    <row r="1730" spans="1:27" x14ac:dyDescent="0.25">
      <c r="A1730" s="1">
        <v>1729</v>
      </c>
      <c r="B1730" t="s">
        <v>2384</v>
      </c>
      <c r="C1730" t="s">
        <v>1136</v>
      </c>
      <c r="D1730" t="s">
        <v>1144</v>
      </c>
      <c r="E1730" t="s">
        <v>1143</v>
      </c>
      <c r="H1730" t="s">
        <v>1163</v>
      </c>
      <c r="I1730" t="s">
        <v>1163</v>
      </c>
      <c r="J1730" t="s">
        <v>2377</v>
      </c>
      <c r="K1730" t="s">
        <v>1212</v>
      </c>
      <c r="M1730" s="3">
        <f t="shared" ref="M1730:M1793" si="108">AVERAGE(N1730:T1730)</f>
        <v>33.857142857142854</v>
      </c>
      <c r="N1730">
        <v>11</v>
      </c>
      <c r="O1730">
        <v>45</v>
      </c>
      <c r="P1730">
        <v>35</v>
      </c>
      <c r="Q1730">
        <v>39</v>
      </c>
      <c r="R1730">
        <v>41</v>
      </c>
      <c r="S1730">
        <v>43</v>
      </c>
      <c r="T1730">
        <v>23</v>
      </c>
      <c r="U1730">
        <v>0</v>
      </c>
      <c r="V1730" s="3">
        <f t="shared" ref="V1730:V1793" si="109">ROUNDUP(M1730^10/1000000000000 * IF(U1730&gt;0,1.5,1),0)</f>
        <v>1980</v>
      </c>
      <c r="W1730">
        <v>165</v>
      </c>
      <c r="X1730">
        <v>0</v>
      </c>
      <c r="Y1730">
        <f t="shared" ref="Y1730:Y1793" si="110">V1730/12</f>
        <v>165</v>
      </c>
      <c r="Z1730">
        <f t="shared" ref="Z1730:Z1793" si="111">ROUND(((W1730-Y1730)/Y1730)*100,2)</f>
        <v>0</v>
      </c>
      <c r="AA1730">
        <v>0</v>
      </c>
    </row>
    <row r="1731" spans="1:27" x14ac:dyDescent="0.25">
      <c r="A1731" s="1">
        <v>1730</v>
      </c>
      <c r="B1731" t="s">
        <v>2386</v>
      </c>
      <c r="C1731" t="s">
        <v>1136</v>
      </c>
      <c r="D1731" t="s">
        <v>1143</v>
      </c>
      <c r="E1731" t="s">
        <v>1144</v>
      </c>
      <c r="H1731" t="s">
        <v>1163</v>
      </c>
      <c r="I1731" t="s">
        <v>1163</v>
      </c>
      <c r="J1731" t="s">
        <v>2377</v>
      </c>
      <c r="K1731" t="s">
        <v>1212</v>
      </c>
      <c r="M1731" s="3">
        <f t="shared" si="108"/>
        <v>37.285714285714285</v>
      </c>
      <c r="N1731">
        <v>13</v>
      </c>
      <c r="O1731">
        <v>49</v>
      </c>
      <c r="P1731">
        <v>39</v>
      </c>
      <c r="Q1731">
        <v>43</v>
      </c>
      <c r="R1731">
        <v>45</v>
      </c>
      <c r="S1731">
        <v>47</v>
      </c>
      <c r="T1731">
        <v>25</v>
      </c>
      <c r="U1731">
        <v>0</v>
      </c>
      <c r="V1731" s="3">
        <f t="shared" si="109"/>
        <v>5194</v>
      </c>
      <c r="W1731">
        <v>432.83333333333331</v>
      </c>
      <c r="X1731">
        <v>0</v>
      </c>
      <c r="Y1731">
        <f t="shared" si="110"/>
        <v>432.83333333333331</v>
      </c>
      <c r="Z1731">
        <f t="shared" si="111"/>
        <v>0</v>
      </c>
      <c r="AA1731">
        <v>0</v>
      </c>
    </row>
    <row r="1732" spans="1:27" x14ac:dyDescent="0.25">
      <c r="A1732" s="1">
        <v>1731</v>
      </c>
      <c r="B1732" t="s">
        <v>2387</v>
      </c>
      <c r="C1732" t="s">
        <v>1136</v>
      </c>
      <c r="D1732" t="s">
        <v>1143</v>
      </c>
      <c r="E1732" t="s">
        <v>1146</v>
      </c>
      <c r="H1732" t="s">
        <v>1163</v>
      </c>
      <c r="I1732" t="s">
        <v>1163</v>
      </c>
      <c r="J1732" t="s">
        <v>2377</v>
      </c>
      <c r="K1732" t="s">
        <v>1212</v>
      </c>
      <c r="M1732" s="3">
        <f t="shared" si="108"/>
        <v>24.428571428571427</v>
      </c>
      <c r="N1732">
        <v>6</v>
      </c>
      <c r="O1732">
        <v>31</v>
      </c>
      <c r="P1732">
        <v>25</v>
      </c>
      <c r="Q1732">
        <v>29</v>
      </c>
      <c r="R1732">
        <v>31</v>
      </c>
      <c r="S1732">
        <v>33</v>
      </c>
      <c r="T1732">
        <v>16</v>
      </c>
      <c r="U1732">
        <v>0</v>
      </c>
      <c r="V1732" s="3">
        <f t="shared" si="109"/>
        <v>76</v>
      </c>
      <c r="W1732">
        <v>6.333333333333333</v>
      </c>
      <c r="X1732">
        <v>0</v>
      </c>
      <c r="Y1732">
        <f t="shared" si="110"/>
        <v>6.333333333333333</v>
      </c>
      <c r="Z1732">
        <f t="shared" si="111"/>
        <v>0</v>
      </c>
      <c r="AA1732">
        <v>0</v>
      </c>
    </row>
    <row r="1733" spans="1:27" x14ac:dyDescent="0.25">
      <c r="A1733" s="1">
        <v>1732</v>
      </c>
      <c r="B1733" t="s">
        <v>2390</v>
      </c>
      <c r="C1733" t="s">
        <v>1136</v>
      </c>
      <c r="D1733" t="s">
        <v>1146</v>
      </c>
      <c r="E1733" t="s">
        <v>1144</v>
      </c>
      <c r="H1733" t="s">
        <v>1163</v>
      </c>
      <c r="I1733" t="s">
        <v>1163</v>
      </c>
      <c r="J1733" t="s">
        <v>2377</v>
      </c>
      <c r="K1733" t="s">
        <v>1212</v>
      </c>
      <c r="M1733" s="3">
        <f t="shared" si="108"/>
        <v>34.714285714285715</v>
      </c>
      <c r="N1733">
        <v>11</v>
      </c>
      <c r="O1733">
        <v>45</v>
      </c>
      <c r="P1733">
        <v>35</v>
      </c>
      <c r="Q1733">
        <v>41</v>
      </c>
      <c r="R1733">
        <v>43</v>
      </c>
      <c r="S1733">
        <v>45</v>
      </c>
      <c r="T1733">
        <v>23</v>
      </c>
      <c r="U1733">
        <v>0</v>
      </c>
      <c r="V1733" s="3">
        <f t="shared" si="109"/>
        <v>2542</v>
      </c>
      <c r="W1733">
        <v>211.83333333333334</v>
      </c>
      <c r="X1733">
        <v>0</v>
      </c>
      <c r="Y1733">
        <f t="shared" si="110"/>
        <v>211.83333333333334</v>
      </c>
      <c r="Z1733">
        <f t="shared" si="111"/>
        <v>0</v>
      </c>
      <c r="AA1733">
        <v>0</v>
      </c>
    </row>
    <row r="1734" spans="1:27" x14ac:dyDescent="0.25">
      <c r="A1734" s="1">
        <v>1733</v>
      </c>
      <c r="B1734" t="s">
        <v>2380</v>
      </c>
      <c r="C1734" t="s">
        <v>1137</v>
      </c>
      <c r="D1734" t="s">
        <v>1137</v>
      </c>
      <c r="H1734" t="s">
        <v>1163</v>
      </c>
      <c r="I1734" t="s">
        <v>1163</v>
      </c>
      <c r="J1734" t="s">
        <v>2377</v>
      </c>
      <c r="K1734" t="s">
        <v>1212</v>
      </c>
      <c r="M1734" s="3">
        <f t="shared" si="108"/>
        <v>30</v>
      </c>
      <c r="N1734">
        <v>9</v>
      </c>
      <c r="O1734">
        <v>39</v>
      </c>
      <c r="P1734">
        <v>31</v>
      </c>
      <c r="Q1734">
        <v>35</v>
      </c>
      <c r="R1734">
        <v>37</v>
      </c>
      <c r="S1734">
        <v>39</v>
      </c>
      <c r="T1734">
        <v>20</v>
      </c>
      <c r="U1734">
        <v>0</v>
      </c>
      <c r="V1734" s="3">
        <f t="shared" si="109"/>
        <v>591</v>
      </c>
      <c r="W1734">
        <v>49.25</v>
      </c>
      <c r="X1734">
        <v>0</v>
      </c>
      <c r="Y1734">
        <f t="shared" si="110"/>
        <v>49.25</v>
      </c>
      <c r="Z1734">
        <f t="shared" si="111"/>
        <v>0</v>
      </c>
      <c r="AA1734">
        <v>0</v>
      </c>
    </row>
    <row r="1735" spans="1:27" x14ac:dyDescent="0.25">
      <c r="A1735" s="1">
        <v>1734</v>
      </c>
      <c r="B1735" t="s">
        <v>48</v>
      </c>
      <c r="C1735" t="s">
        <v>1133</v>
      </c>
      <c r="D1735" t="s">
        <v>1133</v>
      </c>
      <c r="G1735" t="s">
        <v>1167</v>
      </c>
      <c r="H1735" t="s">
        <v>1167</v>
      </c>
      <c r="I1735" t="s">
        <v>1167</v>
      </c>
      <c r="J1735" t="s">
        <v>1241</v>
      </c>
      <c r="K1735" t="s">
        <v>1212</v>
      </c>
      <c r="M1735" s="3">
        <f t="shared" si="108"/>
        <v>63.285714285714285</v>
      </c>
      <c r="N1735">
        <v>41</v>
      </c>
      <c r="O1735">
        <v>65</v>
      </c>
      <c r="P1735">
        <v>66</v>
      </c>
      <c r="Q1735">
        <v>65</v>
      </c>
      <c r="R1735">
        <v>65</v>
      </c>
      <c r="S1735">
        <v>65</v>
      </c>
      <c r="T1735">
        <v>76</v>
      </c>
      <c r="U1735">
        <v>0</v>
      </c>
      <c r="V1735" s="3">
        <f t="shared" si="109"/>
        <v>1030522</v>
      </c>
      <c r="W1735">
        <v>85876.833333333328</v>
      </c>
      <c r="X1735">
        <v>0</v>
      </c>
      <c r="Y1735">
        <f t="shared" si="110"/>
        <v>85876.833333333328</v>
      </c>
      <c r="Z1735">
        <f t="shared" si="111"/>
        <v>0</v>
      </c>
      <c r="AA1735">
        <v>0</v>
      </c>
    </row>
    <row r="1736" spans="1:27" x14ac:dyDescent="0.25">
      <c r="A1736" s="1">
        <v>1735</v>
      </c>
      <c r="B1736" t="s">
        <v>2558</v>
      </c>
      <c r="C1736" t="s">
        <v>1134</v>
      </c>
      <c r="D1736" t="s">
        <v>1138</v>
      </c>
      <c r="E1736" t="s">
        <v>1140</v>
      </c>
      <c r="G1736" t="s">
        <v>1167</v>
      </c>
      <c r="H1736" t="s">
        <v>1167</v>
      </c>
      <c r="I1736" t="s">
        <v>1167</v>
      </c>
      <c r="J1736" t="s">
        <v>1241</v>
      </c>
      <c r="K1736" t="s">
        <v>1212</v>
      </c>
      <c r="M1736" s="3">
        <f t="shared" si="108"/>
        <v>53.285714285714285</v>
      </c>
      <c r="N1736">
        <v>21</v>
      </c>
      <c r="O1736">
        <v>39</v>
      </c>
      <c r="P1736">
        <v>41</v>
      </c>
      <c r="Q1736">
        <v>56</v>
      </c>
      <c r="R1736">
        <v>70</v>
      </c>
      <c r="S1736">
        <v>75</v>
      </c>
      <c r="T1736">
        <v>71</v>
      </c>
      <c r="U1736">
        <v>0</v>
      </c>
      <c r="V1736" s="3">
        <f t="shared" si="109"/>
        <v>184548</v>
      </c>
      <c r="W1736">
        <v>15379</v>
      </c>
      <c r="X1736">
        <v>0</v>
      </c>
      <c r="Y1736">
        <f t="shared" si="110"/>
        <v>15379</v>
      </c>
      <c r="Z1736">
        <f t="shared" si="111"/>
        <v>0</v>
      </c>
      <c r="AA1736">
        <v>0</v>
      </c>
    </row>
    <row r="1737" spans="1:27" x14ac:dyDescent="0.25">
      <c r="A1737" s="1">
        <v>1736</v>
      </c>
      <c r="B1737" t="s">
        <v>1867</v>
      </c>
      <c r="C1737" t="s">
        <v>1134</v>
      </c>
      <c r="D1737" t="s">
        <v>1140</v>
      </c>
      <c r="E1737" t="s">
        <v>1138</v>
      </c>
      <c r="G1737" t="s">
        <v>1167</v>
      </c>
      <c r="H1737" t="s">
        <v>1167</v>
      </c>
      <c r="I1737" t="s">
        <v>1167</v>
      </c>
      <c r="J1737" t="s">
        <v>1241</v>
      </c>
      <c r="K1737" t="s">
        <v>1212</v>
      </c>
      <c r="M1737" s="3">
        <f t="shared" si="108"/>
        <v>63</v>
      </c>
      <c r="N1737">
        <v>40</v>
      </c>
      <c r="O1737">
        <v>70</v>
      </c>
      <c r="P1737">
        <v>70</v>
      </c>
      <c r="Q1737">
        <v>70</v>
      </c>
      <c r="R1737">
        <v>69</v>
      </c>
      <c r="S1737">
        <v>72</v>
      </c>
      <c r="T1737">
        <v>50</v>
      </c>
      <c r="U1737">
        <v>0</v>
      </c>
      <c r="V1737" s="3">
        <f t="shared" si="109"/>
        <v>984931</v>
      </c>
      <c r="W1737">
        <v>13437.5</v>
      </c>
      <c r="X1737">
        <v>0</v>
      </c>
      <c r="Y1737">
        <f t="shared" si="110"/>
        <v>82077.583333333328</v>
      </c>
      <c r="Z1737">
        <f t="shared" si="111"/>
        <v>-83.63</v>
      </c>
      <c r="AA1737">
        <v>0</v>
      </c>
    </row>
    <row r="1738" spans="1:27" x14ac:dyDescent="0.25">
      <c r="A1738" s="1">
        <v>1737</v>
      </c>
      <c r="B1738" t="s">
        <v>212</v>
      </c>
      <c r="C1738" t="s">
        <v>1134</v>
      </c>
      <c r="D1738" t="s">
        <v>1138</v>
      </c>
      <c r="G1738" t="s">
        <v>1167</v>
      </c>
      <c r="H1738" t="s">
        <v>1167</v>
      </c>
      <c r="I1738" t="s">
        <v>1167</v>
      </c>
      <c r="J1738" t="s">
        <v>1241</v>
      </c>
      <c r="K1738" t="s">
        <v>1212</v>
      </c>
      <c r="M1738" s="3">
        <f t="shared" si="108"/>
        <v>69.857142857142861</v>
      </c>
      <c r="N1738">
        <v>52</v>
      </c>
      <c r="O1738">
        <v>65</v>
      </c>
      <c r="P1738">
        <v>60</v>
      </c>
      <c r="Q1738">
        <v>65</v>
      </c>
      <c r="R1738">
        <v>80</v>
      </c>
      <c r="S1738">
        <v>89</v>
      </c>
      <c r="T1738">
        <v>78</v>
      </c>
      <c r="U1738">
        <v>26</v>
      </c>
      <c r="V1738" s="3">
        <f t="shared" si="109"/>
        <v>4151447</v>
      </c>
      <c r="W1738">
        <v>345953.91666666669</v>
      </c>
      <c r="X1738">
        <v>0</v>
      </c>
      <c r="Y1738">
        <f t="shared" si="110"/>
        <v>345953.91666666669</v>
      </c>
      <c r="Z1738">
        <f t="shared" si="111"/>
        <v>0</v>
      </c>
      <c r="AA1738">
        <v>0</v>
      </c>
    </row>
    <row r="1739" spans="1:27" x14ac:dyDescent="0.25">
      <c r="A1739" s="1">
        <v>1738</v>
      </c>
      <c r="B1739" t="s">
        <v>213</v>
      </c>
      <c r="C1739" t="s">
        <v>1134</v>
      </c>
      <c r="D1739" t="s">
        <v>1138</v>
      </c>
      <c r="G1739" t="s">
        <v>1167</v>
      </c>
      <c r="H1739" t="s">
        <v>1167</v>
      </c>
      <c r="I1739" t="s">
        <v>1167</v>
      </c>
      <c r="J1739" t="s">
        <v>1241</v>
      </c>
      <c r="K1739" t="s">
        <v>1212</v>
      </c>
      <c r="M1739" s="3">
        <f t="shared" si="108"/>
        <v>53.285714285714285</v>
      </c>
      <c r="N1739">
        <v>41</v>
      </c>
      <c r="O1739">
        <v>40</v>
      </c>
      <c r="P1739">
        <v>77</v>
      </c>
      <c r="Q1739">
        <v>25</v>
      </c>
      <c r="R1739">
        <v>73</v>
      </c>
      <c r="S1739">
        <v>95</v>
      </c>
      <c r="T1739">
        <v>22</v>
      </c>
      <c r="U1739">
        <v>0</v>
      </c>
      <c r="V1739" s="3">
        <f t="shared" si="109"/>
        <v>184548</v>
      </c>
      <c r="W1739">
        <v>15379</v>
      </c>
      <c r="X1739">
        <v>0</v>
      </c>
      <c r="Y1739">
        <f t="shared" si="110"/>
        <v>15379</v>
      </c>
      <c r="Z1739">
        <f t="shared" si="111"/>
        <v>0</v>
      </c>
      <c r="AA1739">
        <v>0</v>
      </c>
    </row>
    <row r="1740" spans="1:27" x14ac:dyDescent="0.25">
      <c r="A1740" s="1">
        <v>1739</v>
      </c>
      <c r="B1740" t="s">
        <v>1865</v>
      </c>
      <c r="C1740" t="s">
        <v>1134</v>
      </c>
      <c r="D1740" t="s">
        <v>1139</v>
      </c>
      <c r="E1740" t="s">
        <v>1138</v>
      </c>
      <c r="G1740" t="s">
        <v>1167</v>
      </c>
      <c r="H1740" t="s">
        <v>1167</v>
      </c>
      <c r="I1740" t="s">
        <v>1167</v>
      </c>
      <c r="J1740" t="s">
        <v>1241</v>
      </c>
      <c r="K1740" t="s">
        <v>1212</v>
      </c>
      <c r="M1740" s="3">
        <f t="shared" si="108"/>
        <v>55.285714285714285</v>
      </c>
      <c r="N1740">
        <v>16</v>
      </c>
      <c r="O1740">
        <v>61</v>
      </c>
      <c r="P1740">
        <v>57</v>
      </c>
      <c r="Q1740">
        <v>69</v>
      </c>
      <c r="R1740">
        <v>75</v>
      </c>
      <c r="S1740">
        <v>77</v>
      </c>
      <c r="T1740">
        <v>32</v>
      </c>
      <c r="U1740">
        <v>0</v>
      </c>
      <c r="V1740" s="3">
        <f t="shared" si="109"/>
        <v>266766</v>
      </c>
      <c r="W1740">
        <v>22230.5</v>
      </c>
      <c r="X1740">
        <v>0</v>
      </c>
      <c r="Y1740">
        <f t="shared" si="110"/>
        <v>22230.5</v>
      </c>
      <c r="Z1740">
        <f t="shared" si="111"/>
        <v>0</v>
      </c>
      <c r="AA1740">
        <v>0</v>
      </c>
    </row>
    <row r="1741" spans="1:27" x14ac:dyDescent="0.25">
      <c r="A1741" s="1">
        <v>1740</v>
      </c>
      <c r="B1741" t="s">
        <v>211</v>
      </c>
      <c r="C1741" t="s">
        <v>1134</v>
      </c>
      <c r="D1741" t="s">
        <v>1138</v>
      </c>
      <c r="E1741" t="s">
        <v>1140</v>
      </c>
      <c r="F1741" t="s">
        <v>1144</v>
      </c>
      <c r="G1741" t="s">
        <v>1167</v>
      </c>
      <c r="H1741" t="s">
        <v>1167</v>
      </c>
      <c r="I1741" t="s">
        <v>1167</v>
      </c>
      <c r="J1741" t="s">
        <v>1241</v>
      </c>
      <c r="K1741" t="s">
        <v>1212</v>
      </c>
      <c r="M1741" s="3">
        <f t="shared" si="108"/>
        <v>76.857142857142861</v>
      </c>
      <c r="N1741">
        <v>70</v>
      </c>
      <c r="O1741">
        <v>65</v>
      </c>
      <c r="P1741">
        <v>68</v>
      </c>
      <c r="Q1741">
        <v>75</v>
      </c>
      <c r="R1741">
        <v>83</v>
      </c>
      <c r="S1741">
        <v>87</v>
      </c>
      <c r="T1741">
        <v>90</v>
      </c>
      <c r="U1741">
        <v>6</v>
      </c>
      <c r="V1741" s="3">
        <f t="shared" si="109"/>
        <v>10787819</v>
      </c>
      <c r="W1741">
        <v>898984.91666666663</v>
      </c>
      <c r="X1741">
        <v>0</v>
      </c>
      <c r="Y1741">
        <f t="shared" si="110"/>
        <v>898984.91666666663</v>
      </c>
      <c r="Z1741">
        <f t="shared" si="111"/>
        <v>0</v>
      </c>
      <c r="AA1741">
        <v>0</v>
      </c>
    </row>
    <row r="1742" spans="1:27" x14ac:dyDescent="0.25">
      <c r="A1742" s="1">
        <v>1741</v>
      </c>
      <c r="B1742" t="s">
        <v>1866</v>
      </c>
      <c r="C1742" t="s">
        <v>1134</v>
      </c>
      <c r="D1742" t="s">
        <v>1138</v>
      </c>
      <c r="E1742" t="s">
        <v>1144</v>
      </c>
      <c r="G1742" t="s">
        <v>1167</v>
      </c>
      <c r="H1742" t="s">
        <v>1167</v>
      </c>
      <c r="I1742" t="s">
        <v>1167</v>
      </c>
      <c r="J1742" t="s">
        <v>1241</v>
      </c>
      <c r="K1742" t="s">
        <v>1212</v>
      </c>
      <c r="M1742" s="3">
        <f t="shared" si="108"/>
        <v>62.714285714285715</v>
      </c>
      <c r="N1742">
        <v>23</v>
      </c>
      <c r="O1742">
        <v>71</v>
      </c>
      <c r="P1742">
        <v>65</v>
      </c>
      <c r="Q1742">
        <v>77</v>
      </c>
      <c r="R1742">
        <v>79</v>
      </c>
      <c r="S1742">
        <v>81</v>
      </c>
      <c r="T1742">
        <v>43</v>
      </c>
      <c r="U1742">
        <v>0</v>
      </c>
      <c r="V1742" s="3">
        <f t="shared" si="109"/>
        <v>941163</v>
      </c>
      <c r="W1742">
        <v>78430.25</v>
      </c>
      <c r="X1742">
        <v>0</v>
      </c>
      <c r="Y1742">
        <f t="shared" si="110"/>
        <v>78430.25</v>
      </c>
      <c r="Z1742">
        <f t="shared" si="111"/>
        <v>0</v>
      </c>
      <c r="AA1742">
        <v>0</v>
      </c>
    </row>
    <row r="1743" spans="1:27" x14ac:dyDescent="0.25">
      <c r="A1743" s="1">
        <v>1742</v>
      </c>
      <c r="B1743" t="s">
        <v>494</v>
      </c>
      <c r="C1743" t="s">
        <v>1135</v>
      </c>
      <c r="D1743" t="s">
        <v>1141</v>
      </c>
      <c r="G1743" t="s">
        <v>1167</v>
      </c>
      <c r="H1743" t="s">
        <v>1167</v>
      </c>
      <c r="I1743" t="s">
        <v>1167</v>
      </c>
      <c r="J1743" t="s">
        <v>1241</v>
      </c>
      <c r="K1743" t="s">
        <v>1212</v>
      </c>
      <c r="M1743" s="3">
        <f t="shared" si="108"/>
        <v>57.714285714285715</v>
      </c>
      <c r="N1743">
        <v>35</v>
      </c>
      <c r="O1743">
        <v>72</v>
      </c>
      <c r="P1743">
        <v>65</v>
      </c>
      <c r="Q1743">
        <v>65</v>
      </c>
      <c r="R1743">
        <v>67</v>
      </c>
      <c r="S1743">
        <v>60</v>
      </c>
      <c r="T1743">
        <v>40</v>
      </c>
      <c r="U1743">
        <v>0</v>
      </c>
      <c r="V1743" s="3">
        <f t="shared" si="109"/>
        <v>410047</v>
      </c>
      <c r="W1743">
        <v>34170.583333333336</v>
      </c>
      <c r="X1743">
        <v>0</v>
      </c>
      <c r="Y1743">
        <f t="shared" si="110"/>
        <v>34170.583333333336</v>
      </c>
      <c r="Z1743">
        <f t="shared" si="111"/>
        <v>0</v>
      </c>
      <c r="AA1743">
        <v>0</v>
      </c>
    </row>
    <row r="1744" spans="1:27" x14ac:dyDescent="0.25">
      <c r="A1744" s="1">
        <v>1743</v>
      </c>
      <c r="B1744" t="s">
        <v>495</v>
      </c>
      <c r="C1744" t="s">
        <v>1135</v>
      </c>
      <c r="D1744" t="s">
        <v>1142</v>
      </c>
      <c r="G1744" t="s">
        <v>1167</v>
      </c>
      <c r="H1744" t="s">
        <v>1167</v>
      </c>
      <c r="I1744" t="s">
        <v>1167</v>
      </c>
      <c r="J1744" t="s">
        <v>1241</v>
      </c>
      <c r="K1744" t="s">
        <v>1212</v>
      </c>
      <c r="M1744" s="3">
        <f t="shared" si="108"/>
        <v>55.285714285714285</v>
      </c>
      <c r="N1744">
        <v>20</v>
      </c>
      <c r="O1744">
        <v>75</v>
      </c>
      <c r="P1744">
        <v>63</v>
      </c>
      <c r="Q1744">
        <v>67</v>
      </c>
      <c r="R1744">
        <v>63</v>
      </c>
      <c r="S1744">
        <v>58</v>
      </c>
      <c r="T1744">
        <v>41</v>
      </c>
      <c r="U1744">
        <v>0</v>
      </c>
      <c r="V1744" s="3">
        <f t="shared" si="109"/>
        <v>266766</v>
      </c>
      <c r="W1744">
        <v>22230.5</v>
      </c>
      <c r="X1744">
        <v>0</v>
      </c>
      <c r="Y1744">
        <f t="shared" si="110"/>
        <v>22230.5</v>
      </c>
      <c r="Z1744">
        <f t="shared" si="111"/>
        <v>0</v>
      </c>
      <c r="AA1744">
        <v>0</v>
      </c>
    </row>
    <row r="1745" spans="1:27" x14ac:dyDescent="0.25">
      <c r="A1745" s="1">
        <v>1744</v>
      </c>
      <c r="B1745" t="s">
        <v>1873</v>
      </c>
      <c r="C1745" t="s">
        <v>1135</v>
      </c>
      <c r="D1745" t="s">
        <v>1141</v>
      </c>
      <c r="E1745" t="s">
        <v>1142</v>
      </c>
      <c r="G1745" t="s">
        <v>1167</v>
      </c>
      <c r="H1745" t="s">
        <v>1167</v>
      </c>
      <c r="I1745" t="s">
        <v>1167</v>
      </c>
      <c r="J1745" t="s">
        <v>1241</v>
      </c>
      <c r="K1745" t="s">
        <v>1212</v>
      </c>
      <c r="M1745" s="3">
        <f t="shared" si="108"/>
        <v>64.428571428571431</v>
      </c>
      <c r="N1745">
        <v>24</v>
      </c>
      <c r="O1745">
        <v>75</v>
      </c>
      <c r="P1745">
        <v>75</v>
      </c>
      <c r="Q1745">
        <v>76</v>
      </c>
      <c r="R1745">
        <v>77</v>
      </c>
      <c r="S1745">
        <v>80</v>
      </c>
      <c r="T1745">
        <v>44</v>
      </c>
      <c r="U1745">
        <v>0</v>
      </c>
      <c r="V1745" s="3">
        <f t="shared" si="109"/>
        <v>1232495</v>
      </c>
      <c r="W1745">
        <v>102707.91666666667</v>
      </c>
      <c r="X1745">
        <v>0</v>
      </c>
      <c r="Y1745">
        <f t="shared" si="110"/>
        <v>102707.91666666667</v>
      </c>
      <c r="Z1745">
        <f t="shared" si="111"/>
        <v>0</v>
      </c>
      <c r="AA1745">
        <v>0</v>
      </c>
    </row>
    <row r="1746" spans="1:27" x14ac:dyDescent="0.25">
      <c r="A1746" s="1">
        <v>1745</v>
      </c>
      <c r="B1746" t="s">
        <v>1871</v>
      </c>
      <c r="C1746" t="s">
        <v>1136</v>
      </c>
      <c r="D1746" t="s">
        <v>1146</v>
      </c>
      <c r="E1746" t="s">
        <v>1144</v>
      </c>
      <c r="G1746" t="s">
        <v>1167</v>
      </c>
      <c r="H1746" t="s">
        <v>1167</v>
      </c>
      <c r="I1746" t="s">
        <v>1167</v>
      </c>
      <c r="J1746" t="s">
        <v>1241</v>
      </c>
      <c r="K1746" t="s">
        <v>1212</v>
      </c>
      <c r="M1746" s="3">
        <f t="shared" si="108"/>
        <v>53.571428571428569</v>
      </c>
      <c r="N1746">
        <v>18</v>
      </c>
      <c r="O1746">
        <v>59</v>
      </c>
      <c r="P1746">
        <v>61</v>
      </c>
      <c r="Q1746">
        <v>69</v>
      </c>
      <c r="R1746">
        <v>67</v>
      </c>
      <c r="S1746">
        <v>70</v>
      </c>
      <c r="T1746">
        <v>31</v>
      </c>
      <c r="U1746">
        <v>0</v>
      </c>
      <c r="V1746" s="3">
        <f t="shared" si="109"/>
        <v>194685</v>
      </c>
      <c r="W1746">
        <v>16223.75</v>
      </c>
      <c r="X1746">
        <v>0</v>
      </c>
      <c r="Y1746">
        <f t="shared" si="110"/>
        <v>16223.75</v>
      </c>
      <c r="Z1746">
        <f t="shared" si="111"/>
        <v>0</v>
      </c>
      <c r="AA1746">
        <v>0</v>
      </c>
    </row>
    <row r="1747" spans="1:27" x14ac:dyDescent="0.25">
      <c r="A1747" s="1">
        <v>1746</v>
      </c>
      <c r="B1747" t="s">
        <v>1870</v>
      </c>
      <c r="C1747" t="s">
        <v>1136</v>
      </c>
      <c r="D1747" t="s">
        <v>1145</v>
      </c>
      <c r="E1747" t="s">
        <v>1143</v>
      </c>
      <c r="G1747" t="s">
        <v>1167</v>
      </c>
      <c r="H1747" t="s">
        <v>1167</v>
      </c>
      <c r="I1747" t="s">
        <v>1167</v>
      </c>
      <c r="J1747" t="s">
        <v>1241</v>
      </c>
      <c r="K1747" t="s">
        <v>1212</v>
      </c>
      <c r="M1747" s="3">
        <f t="shared" si="108"/>
        <v>69.571428571428569</v>
      </c>
      <c r="N1747">
        <v>40</v>
      </c>
      <c r="O1747">
        <v>83</v>
      </c>
      <c r="P1747">
        <v>75</v>
      </c>
      <c r="Q1747">
        <v>75</v>
      </c>
      <c r="R1747">
        <v>71</v>
      </c>
      <c r="S1747">
        <v>73</v>
      </c>
      <c r="T1747">
        <v>70</v>
      </c>
      <c r="U1747">
        <v>17</v>
      </c>
      <c r="V1747" s="3">
        <f t="shared" si="109"/>
        <v>3984745</v>
      </c>
      <c r="W1747">
        <v>332062.08333333331</v>
      </c>
      <c r="X1747">
        <v>0</v>
      </c>
      <c r="Y1747">
        <f t="shared" si="110"/>
        <v>332062.08333333331</v>
      </c>
      <c r="Z1747">
        <f t="shared" si="111"/>
        <v>0</v>
      </c>
      <c r="AA1747">
        <v>0</v>
      </c>
    </row>
    <row r="1748" spans="1:27" x14ac:dyDescent="0.25">
      <c r="A1748" s="1">
        <v>1747</v>
      </c>
      <c r="B1748" t="s">
        <v>1868</v>
      </c>
      <c r="C1748" t="s">
        <v>1136</v>
      </c>
      <c r="D1748" t="s">
        <v>1144</v>
      </c>
      <c r="E1748" t="s">
        <v>1143</v>
      </c>
      <c r="G1748" t="s">
        <v>1167</v>
      </c>
      <c r="H1748" t="s">
        <v>1167</v>
      </c>
      <c r="I1748" t="s">
        <v>1167</v>
      </c>
      <c r="J1748" t="s">
        <v>1241</v>
      </c>
      <c r="K1748" t="s">
        <v>1212</v>
      </c>
      <c r="M1748" s="3">
        <f t="shared" si="108"/>
        <v>62</v>
      </c>
      <c r="N1748">
        <v>24</v>
      </c>
      <c r="O1748">
        <v>73</v>
      </c>
      <c r="P1748">
        <v>69</v>
      </c>
      <c r="Q1748">
        <v>79</v>
      </c>
      <c r="R1748">
        <v>73</v>
      </c>
      <c r="S1748">
        <v>75</v>
      </c>
      <c r="T1748">
        <v>41</v>
      </c>
      <c r="U1748">
        <v>0</v>
      </c>
      <c r="V1748" s="3">
        <f t="shared" si="109"/>
        <v>839300</v>
      </c>
      <c r="W1748">
        <v>69941.666666666672</v>
      </c>
      <c r="X1748">
        <v>0</v>
      </c>
      <c r="Y1748">
        <f t="shared" si="110"/>
        <v>69941.666666666672</v>
      </c>
      <c r="Z1748">
        <f t="shared" si="111"/>
        <v>0</v>
      </c>
      <c r="AA1748">
        <v>0</v>
      </c>
    </row>
    <row r="1749" spans="1:27" x14ac:dyDescent="0.25">
      <c r="A1749" s="1">
        <v>1748</v>
      </c>
      <c r="B1749" t="s">
        <v>1869</v>
      </c>
      <c r="C1749" t="s">
        <v>1136</v>
      </c>
      <c r="D1749" t="s">
        <v>1143</v>
      </c>
      <c r="E1749" t="s">
        <v>1144</v>
      </c>
      <c r="G1749" t="s">
        <v>1167</v>
      </c>
      <c r="H1749" t="s">
        <v>1167</v>
      </c>
      <c r="I1749" t="s">
        <v>1167</v>
      </c>
      <c r="J1749" t="s">
        <v>1241</v>
      </c>
      <c r="K1749" t="s">
        <v>1212</v>
      </c>
      <c r="M1749" s="3">
        <f t="shared" si="108"/>
        <v>51.142857142857146</v>
      </c>
      <c r="N1749">
        <v>16</v>
      </c>
      <c r="O1749">
        <v>55</v>
      </c>
      <c r="P1749">
        <v>59</v>
      </c>
      <c r="Q1749">
        <v>67</v>
      </c>
      <c r="R1749">
        <v>65</v>
      </c>
      <c r="S1749">
        <v>68</v>
      </c>
      <c r="T1749">
        <v>28</v>
      </c>
      <c r="U1749">
        <v>0</v>
      </c>
      <c r="V1749" s="3">
        <f t="shared" si="109"/>
        <v>122420</v>
      </c>
      <c r="W1749">
        <v>10201.666666666666</v>
      </c>
      <c r="X1749">
        <v>0</v>
      </c>
      <c r="Y1749">
        <f t="shared" si="110"/>
        <v>10201.666666666666</v>
      </c>
      <c r="Z1749">
        <f t="shared" si="111"/>
        <v>0</v>
      </c>
      <c r="AA1749">
        <v>0</v>
      </c>
    </row>
    <row r="1750" spans="1:27" x14ac:dyDescent="0.25">
      <c r="A1750" s="1">
        <v>1749</v>
      </c>
      <c r="B1750" t="s">
        <v>745</v>
      </c>
      <c r="C1750" t="s">
        <v>1136</v>
      </c>
      <c r="D1750" t="s">
        <v>1144</v>
      </c>
      <c r="G1750" t="s">
        <v>1167</v>
      </c>
      <c r="H1750" t="s">
        <v>1167</v>
      </c>
      <c r="I1750" t="s">
        <v>1167</v>
      </c>
      <c r="J1750" t="s">
        <v>1241</v>
      </c>
      <c r="K1750" t="s">
        <v>1212</v>
      </c>
      <c r="M1750" s="3">
        <f t="shared" si="108"/>
        <v>46.857142857142854</v>
      </c>
      <c r="N1750">
        <v>21</v>
      </c>
      <c r="O1750">
        <v>56</v>
      </c>
      <c r="P1750">
        <v>59</v>
      </c>
      <c r="Q1750">
        <v>56</v>
      </c>
      <c r="R1750">
        <v>60</v>
      </c>
      <c r="S1750">
        <v>56</v>
      </c>
      <c r="T1750">
        <v>20</v>
      </c>
      <c r="U1750">
        <v>0</v>
      </c>
      <c r="V1750" s="3">
        <f t="shared" si="109"/>
        <v>51023</v>
      </c>
      <c r="W1750">
        <v>4251.916666666667</v>
      </c>
      <c r="X1750">
        <v>0</v>
      </c>
      <c r="Y1750">
        <f t="shared" si="110"/>
        <v>4251.916666666667</v>
      </c>
      <c r="Z1750">
        <f t="shared" si="111"/>
        <v>0</v>
      </c>
      <c r="AA1750">
        <v>0</v>
      </c>
    </row>
    <row r="1751" spans="1:27" x14ac:dyDescent="0.25">
      <c r="A1751" s="1">
        <v>1750</v>
      </c>
      <c r="B1751" t="s">
        <v>1872</v>
      </c>
      <c r="C1751" t="s">
        <v>1136</v>
      </c>
      <c r="D1751" t="s">
        <v>1147</v>
      </c>
      <c r="E1751" t="s">
        <v>1146</v>
      </c>
      <c r="G1751" t="s">
        <v>1167</v>
      </c>
      <c r="H1751" t="s">
        <v>1167</v>
      </c>
      <c r="I1751" t="s">
        <v>1167</v>
      </c>
      <c r="J1751" t="s">
        <v>1241</v>
      </c>
      <c r="K1751" t="s">
        <v>1212</v>
      </c>
      <c r="M1751" s="3">
        <f t="shared" si="108"/>
        <v>55.857142857142854</v>
      </c>
      <c r="N1751">
        <v>19</v>
      </c>
      <c r="O1751">
        <v>65</v>
      </c>
      <c r="P1751">
        <v>63</v>
      </c>
      <c r="Q1751">
        <v>71</v>
      </c>
      <c r="R1751">
        <v>69</v>
      </c>
      <c r="S1751">
        <v>71</v>
      </c>
      <c r="T1751">
        <v>33</v>
      </c>
      <c r="U1751">
        <v>0</v>
      </c>
      <c r="V1751" s="3">
        <f t="shared" si="109"/>
        <v>295657</v>
      </c>
      <c r="W1751">
        <v>24638.083333333332</v>
      </c>
      <c r="X1751">
        <v>0</v>
      </c>
      <c r="Y1751">
        <f t="shared" si="110"/>
        <v>24638.083333333332</v>
      </c>
      <c r="Z1751">
        <f t="shared" si="111"/>
        <v>0</v>
      </c>
      <c r="AA1751">
        <v>0</v>
      </c>
    </row>
    <row r="1752" spans="1:27" x14ac:dyDescent="0.25">
      <c r="A1752" s="1">
        <v>1751</v>
      </c>
      <c r="B1752" t="s">
        <v>747</v>
      </c>
      <c r="C1752" t="s">
        <v>1136</v>
      </c>
      <c r="D1752" t="s">
        <v>1143</v>
      </c>
      <c r="G1752" t="s">
        <v>1167</v>
      </c>
      <c r="H1752" t="s">
        <v>1167</v>
      </c>
      <c r="I1752" t="s">
        <v>1167</v>
      </c>
      <c r="J1752" t="s">
        <v>1241</v>
      </c>
      <c r="K1752" t="s">
        <v>1212</v>
      </c>
      <c r="M1752" s="3">
        <f t="shared" si="108"/>
        <v>58</v>
      </c>
      <c r="N1752">
        <v>41</v>
      </c>
      <c r="O1752">
        <v>58</v>
      </c>
      <c r="P1752">
        <v>64</v>
      </c>
      <c r="Q1752">
        <v>63</v>
      </c>
      <c r="R1752">
        <v>66</v>
      </c>
      <c r="S1752">
        <v>73</v>
      </c>
      <c r="T1752">
        <v>41</v>
      </c>
      <c r="U1752">
        <v>0</v>
      </c>
      <c r="V1752" s="3">
        <f t="shared" si="109"/>
        <v>430805</v>
      </c>
      <c r="W1752">
        <v>35900.416666666664</v>
      </c>
      <c r="X1752">
        <v>0</v>
      </c>
      <c r="Y1752">
        <f t="shared" si="110"/>
        <v>35900.416666666664</v>
      </c>
      <c r="Z1752">
        <f t="shared" si="111"/>
        <v>0</v>
      </c>
      <c r="AA1752">
        <v>0</v>
      </c>
    </row>
    <row r="1753" spans="1:27" x14ac:dyDescent="0.25">
      <c r="A1753" s="1">
        <v>1752</v>
      </c>
      <c r="B1753" t="s">
        <v>748</v>
      </c>
      <c r="C1753" t="s">
        <v>1136</v>
      </c>
      <c r="D1753" t="s">
        <v>1143</v>
      </c>
      <c r="E1753" t="s">
        <v>1145</v>
      </c>
      <c r="G1753" t="s">
        <v>1167</v>
      </c>
      <c r="H1753" t="s">
        <v>1167</v>
      </c>
      <c r="I1753" t="s">
        <v>1167</v>
      </c>
      <c r="J1753" t="s">
        <v>1241</v>
      </c>
      <c r="K1753" t="s">
        <v>1212</v>
      </c>
      <c r="M1753" s="3">
        <f t="shared" si="108"/>
        <v>55.285714285714285</v>
      </c>
      <c r="N1753">
        <v>39</v>
      </c>
      <c r="O1753">
        <v>59</v>
      </c>
      <c r="P1753">
        <v>65</v>
      </c>
      <c r="Q1753">
        <v>60</v>
      </c>
      <c r="R1753">
        <v>60</v>
      </c>
      <c r="S1753">
        <v>66</v>
      </c>
      <c r="T1753">
        <v>38</v>
      </c>
      <c r="U1753">
        <v>0</v>
      </c>
      <c r="V1753" s="3">
        <f t="shared" si="109"/>
        <v>266766</v>
      </c>
      <c r="W1753">
        <v>22230.5</v>
      </c>
      <c r="X1753">
        <v>0</v>
      </c>
      <c r="Y1753">
        <f t="shared" si="110"/>
        <v>22230.5</v>
      </c>
      <c r="Z1753">
        <f t="shared" si="111"/>
        <v>0</v>
      </c>
      <c r="AA1753">
        <v>0</v>
      </c>
    </row>
    <row r="1754" spans="1:27" x14ac:dyDescent="0.25">
      <c r="A1754" s="1">
        <v>1753</v>
      </c>
      <c r="B1754" t="s">
        <v>744</v>
      </c>
      <c r="C1754" t="s">
        <v>1136</v>
      </c>
      <c r="D1754" t="s">
        <v>1146</v>
      </c>
      <c r="E1754" t="s">
        <v>1147</v>
      </c>
      <c r="G1754" t="s">
        <v>1167</v>
      </c>
      <c r="H1754" t="s">
        <v>1167</v>
      </c>
      <c r="I1754" t="s">
        <v>1167</v>
      </c>
      <c r="J1754" t="s">
        <v>1241</v>
      </c>
      <c r="K1754" t="s">
        <v>1212</v>
      </c>
      <c r="M1754" s="3">
        <f t="shared" si="108"/>
        <v>54.714285714285715</v>
      </c>
      <c r="N1754">
        <v>40</v>
      </c>
      <c r="O1754">
        <v>67</v>
      </c>
      <c r="P1754">
        <v>58</v>
      </c>
      <c r="Q1754">
        <v>60</v>
      </c>
      <c r="R1754">
        <v>57</v>
      </c>
      <c r="S1754">
        <v>65</v>
      </c>
      <c r="T1754">
        <v>36</v>
      </c>
      <c r="U1754">
        <v>0</v>
      </c>
      <c r="V1754" s="3">
        <f t="shared" si="109"/>
        <v>240441</v>
      </c>
      <c r="W1754">
        <v>20036.75</v>
      </c>
      <c r="X1754">
        <v>0</v>
      </c>
      <c r="Y1754">
        <f t="shared" si="110"/>
        <v>20036.75</v>
      </c>
      <c r="Z1754">
        <f t="shared" si="111"/>
        <v>0</v>
      </c>
      <c r="AA1754">
        <v>0</v>
      </c>
    </row>
    <row r="1755" spans="1:27" x14ac:dyDescent="0.25">
      <c r="A1755" s="1">
        <v>1754</v>
      </c>
      <c r="B1755" t="s">
        <v>1864</v>
      </c>
      <c r="C1755" t="s">
        <v>1137</v>
      </c>
      <c r="D1755" t="s">
        <v>1137</v>
      </c>
      <c r="H1755" t="s">
        <v>1167</v>
      </c>
      <c r="I1755" t="s">
        <v>1167</v>
      </c>
      <c r="J1755" t="s">
        <v>1241</v>
      </c>
      <c r="K1755" t="s">
        <v>1212</v>
      </c>
      <c r="M1755" s="3">
        <f t="shared" si="108"/>
        <v>58.285714285714285</v>
      </c>
      <c r="N1755">
        <v>21</v>
      </c>
      <c r="O1755">
        <v>67</v>
      </c>
      <c r="P1755">
        <v>61</v>
      </c>
      <c r="Q1755">
        <v>71</v>
      </c>
      <c r="R1755">
        <v>73</v>
      </c>
      <c r="S1755">
        <v>75</v>
      </c>
      <c r="T1755">
        <v>40</v>
      </c>
      <c r="U1755">
        <v>0</v>
      </c>
      <c r="V1755" s="3">
        <f t="shared" si="109"/>
        <v>452503</v>
      </c>
      <c r="W1755">
        <v>37708.583333333336</v>
      </c>
      <c r="X1755">
        <v>0</v>
      </c>
      <c r="Y1755">
        <f t="shared" si="110"/>
        <v>37708.583333333336</v>
      </c>
      <c r="Z1755">
        <f t="shared" si="111"/>
        <v>0</v>
      </c>
      <c r="AA1755">
        <v>0</v>
      </c>
    </row>
    <row r="1756" spans="1:27" x14ac:dyDescent="0.25">
      <c r="A1756" s="1">
        <v>1755</v>
      </c>
      <c r="B1756" t="s">
        <v>2142</v>
      </c>
      <c r="C1756" t="s">
        <v>1133</v>
      </c>
      <c r="D1756" t="s">
        <v>1133</v>
      </c>
      <c r="H1756" t="s">
        <v>1151</v>
      </c>
      <c r="I1756" t="s">
        <v>1151</v>
      </c>
      <c r="J1756" t="s">
        <v>2679</v>
      </c>
      <c r="K1756" t="s">
        <v>1212</v>
      </c>
      <c r="M1756" s="3">
        <f t="shared" si="108"/>
        <v>65.142857142857139</v>
      </c>
      <c r="N1756">
        <v>16</v>
      </c>
      <c r="O1756">
        <v>82</v>
      </c>
      <c r="P1756">
        <v>76</v>
      </c>
      <c r="Q1756">
        <v>80</v>
      </c>
      <c r="R1756">
        <v>82</v>
      </c>
      <c r="S1756">
        <v>84</v>
      </c>
      <c r="T1756">
        <v>36</v>
      </c>
      <c r="U1756">
        <v>0</v>
      </c>
      <c r="V1756" s="3">
        <f t="shared" si="109"/>
        <v>1376158</v>
      </c>
      <c r="W1756">
        <v>114679.83333333333</v>
      </c>
      <c r="X1756">
        <v>0</v>
      </c>
      <c r="Y1756">
        <f t="shared" si="110"/>
        <v>114679.83333333333</v>
      </c>
      <c r="Z1756">
        <f t="shared" si="111"/>
        <v>0</v>
      </c>
      <c r="AA1756">
        <v>0</v>
      </c>
    </row>
    <row r="1757" spans="1:27" x14ac:dyDescent="0.25">
      <c r="A1757" s="1">
        <v>1756</v>
      </c>
      <c r="B1757" t="s">
        <v>2158</v>
      </c>
      <c r="C1757" t="s">
        <v>1133</v>
      </c>
      <c r="D1757" t="s">
        <v>1133</v>
      </c>
      <c r="H1757" t="s">
        <v>1151</v>
      </c>
      <c r="I1757" t="s">
        <v>1151</v>
      </c>
      <c r="J1757" t="s">
        <v>2679</v>
      </c>
      <c r="K1757" t="s">
        <v>1212</v>
      </c>
      <c r="M1757" s="3">
        <f t="shared" si="108"/>
        <v>64</v>
      </c>
      <c r="N1757">
        <v>15</v>
      </c>
      <c r="O1757">
        <v>81</v>
      </c>
      <c r="P1757">
        <v>75</v>
      </c>
      <c r="Q1757">
        <v>79</v>
      </c>
      <c r="R1757">
        <v>81</v>
      </c>
      <c r="S1757">
        <v>83</v>
      </c>
      <c r="T1757">
        <v>34</v>
      </c>
      <c r="U1757">
        <v>0</v>
      </c>
      <c r="V1757" s="3">
        <f t="shared" si="109"/>
        <v>1152922</v>
      </c>
      <c r="W1757">
        <v>96076.833333333328</v>
      </c>
      <c r="X1757">
        <v>0</v>
      </c>
      <c r="Y1757">
        <f t="shared" si="110"/>
        <v>96076.833333333328</v>
      </c>
      <c r="Z1757">
        <f t="shared" si="111"/>
        <v>0</v>
      </c>
      <c r="AA1757">
        <v>0</v>
      </c>
    </row>
    <row r="1758" spans="1:27" x14ac:dyDescent="0.25">
      <c r="A1758" s="1">
        <v>1757</v>
      </c>
      <c r="B1758" t="s">
        <v>2143</v>
      </c>
      <c r="C1758" t="s">
        <v>1133</v>
      </c>
      <c r="D1758" t="s">
        <v>1133</v>
      </c>
      <c r="H1758" t="s">
        <v>1151</v>
      </c>
      <c r="I1758" t="s">
        <v>1151</v>
      </c>
      <c r="J1758" t="s">
        <v>2679</v>
      </c>
      <c r="K1758" t="s">
        <v>1212</v>
      </c>
      <c r="M1758" s="3">
        <f t="shared" si="108"/>
        <v>63</v>
      </c>
      <c r="N1758">
        <v>14</v>
      </c>
      <c r="O1758">
        <v>80</v>
      </c>
      <c r="P1758">
        <v>74</v>
      </c>
      <c r="Q1758">
        <v>78</v>
      </c>
      <c r="R1758">
        <v>80</v>
      </c>
      <c r="S1758">
        <v>82</v>
      </c>
      <c r="T1758">
        <v>33</v>
      </c>
      <c r="U1758">
        <v>0</v>
      </c>
      <c r="V1758" s="3">
        <f t="shared" si="109"/>
        <v>984931</v>
      </c>
      <c r="W1758">
        <v>82077.583333333328</v>
      </c>
      <c r="X1758">
        <v>0</v>
      </c>
      <c r="Y1758">
        <f t="shared" si="110"/>
        <v>82077.583333333328</v>
      </c>
      <c r="Z1758">
        <f t="shared" si="111"/>
        <v>0</v>
      </c>
      <c r="AA1758">
        <v>0</v>
      </c>
    </row>
    <row r="1759" spans="1:27" x14ac:dyDescent="0.25">
      <c r="A1759" s="1">
        <v>1758</v>
      </c>
      <c r="B1759" t="s">
        <v>2145</v>
      </c>
      <c r="C1759" t="s">
        <v>1134</v>
      </c>
      <c r="D1759" t="s">
        <v>1138</v>
      </c>
      <c r="E1759" t="s">
        <v>1144</v>
      </c>
      <c r="H1759" t="s">
        <v>1151</v>
      </c>
      <c r="I1759" t="s">
        <v>1151</v>
      </c>
      <c r="J1759" t="s">
        <v>2679</v>
      </c>
      <c r="K1759" t="s">
        <v>1212</v>
      </c>
      <c r="M1759" s="3">
        <f t="shared" si="108"/>
        <v>61.571428571428569</v>
      </c>
      <c r="N1759">
        <v>14</v>
      </c>
      <c r="O1759">
        <v>80</v>
      </c>
      <c r="P1759">
        <v>72</v>
      </c>
      <c r="Q1759">
        <v>76</v>
      </c>
      <c r="R1759">
        <v>78</v>
      </c>
      <c r="S1759">
        <v>80</v>
      </c>
      <c r="T1759">
        <v>31</v>
      </c>
      <c r="U1759">
        <v>0</v>
      </c>
      <c r="V1759" s="3">
        <f t="shared" si="109"/>
        <v>783056</v>
      </c>
      <c r="W1759">
        <v>65254.666666666664</v>
      </c>
      <c r="X1759">
        <v>0</v>
      </c>
      <c r="Y1759">
        <f t="shared" si="110"/>
        <v>65254.666666666664</v>
      </c>
      <c r="Z1759">
        <f t="shared" si="111"/>
        <v>0</v>
      </c>
      <c r="AA1759">
        <v>0</v>
      </c>
    </row>
    <row r="1760" spans="1:27" x14ac:dyDescent="0.25">
      <c r="A1760" s="1">
        <v>1759</v>
      </c>
      <c r="B1760" t="s">
        <v>2619</v>
      </c>
      <c r="C1760" t="s">
        <v>1134</v>
      </c>
      <c r="D1760" t="s">
        <v>1138</v>
      </c>
      <c r="E1760" t="s">
        <v>1139</v>
      </c>
      <c r="H1760" t="s">
        <v>1151</v>
      </c>
      <c r="I1760" t="s">
        <v>1151</v>
      </c>
      <c r="J1760" t="s">
        <v>2679</v>
      </c>
      <c r="K1760" t="s">
        <v>1212</v>
      </c>
      <c r="M1760" s="3">
        <f t="shared" si="108"/>
        <v>69.285714285714292</v>
      </c>
      <c r="N1760">
        <v>19</v>
      </c>
      <c r="O1760">
        <v>88</v>
      </c>
      <c r="P1760">
        <v>80</v>
      </c>
      <c r="Q1760">
        <v>84</v>
      </c>
      <c r="R1760">
        <v>86</v>
      </c>
      <c r="S1760">
        <v>88</v>
      </c>
      <c r="T1760">
        <v>40</v>
      </c>
      <c r="U1760">
        <v>0</v>
      </c>
      <c r="V1760" s="3">
        <f t="shared" si="109"/>
        <v>2549395</v>
      </c>
      <c r="W1760">
        <v>212449.58333333334</v>
      </c>
      <c r="X1760">
        <v>0</v>
      </c>
      <c r="Y1760">
        <f t="shared" si="110"/>
        <v>212449.58333333334</v>
      </c>
      <c r="Z1760">
        <f t="shared" si="111"/>
        <v>0</v>
      </c>
      <c r="AA1760">
        <v>0</v>
      </c>
    </row>
    <row r="1761" spans="1:27" x14ac:dyDescent="0.25">
      <c r="A1761" s="1">
        <v>1760</v>
      </c>
      <c r="B1761" t="s">
        <v>2148</v>
      </c>
      <c r="C1761" t="s">
        <v>1134</v>
      </c>
      <c r="D1761" t="s">
        <v>1139</v>
      </c>
      <c r="E1761" t="s">
        <v>1138</v>
      </c>
      <c r="H1761" t="s">
        <v>1151</v>
      </c>
      <c r="I1761" t="s">
        <v>1151</v>
      </c>
      <c r="J1761" t="s">
        <v>2679</v>
      </c>
      <c r="K1761" t="s">
        <v>1212</v>
      </c>
      <c r="M1761" s="3">
        <f t="shared" si="108"/>
        <v>67.714285714285708</v>
      </c>
      <c r="N1761">
        <v>18</v>
      </c>
      <c r="O1761">
        <v>86</v>
      </c>
      <c r="P1761">
        <v>80</v>
      </c>
      <c r="Q1761">
        <v>82</v>
      </c>
      <c r="R1761">
        <v>84</v>
      </c>
      <c r="S1761">
        <v>86</v>
      </c>
      <c r="T1761">
        <v>38</v>
      </c>
      <c r="U1761">
        <v>0</v>
      </c>
      <c r="V1761" s="3">
        <f t="shared" si="109"/>
        <v>2026764</v>
      </c>
      <c r="W1761">
        <v>168897</v>
      </c>
      <c r="X1761">
        <v>0</v>
      </c>
      <c r="Y1761">
        <f t="shared" si="110"/>
        <v>168897</v>
      </c>
      <c r="Z1761">
        <f t="shared" si="111"/>
        <v>0</v>
      </c>
      <c r="AA1761">
        <v>0</v>
      </c>
    </row>
    <row r="1762" spans="1:27" x14ac:dyDescent="0.25">
      <c r="A1762" s="1">
        <v>1761</v>
      </c>
      <c r="B1762" t="s">
        <v>2147</v>
      </c>
      <c r="C1762" t="s">
        <v>1134</v>
      </c>
      <c r="D1762" t="s">
        <v>1140</v>
      </c>
      <c r="E1762" t="s">
        <v>1139</v>
      </c>
      <c r="H1762" t="s">
        <v>1151</v>
      </c>
      <c r="I1762" t="s">
        <v>1151</v>
      </c>
      <c r="J1762" t="s">
        <v>2679</v>
      </c>
      <c r="K1762" t="s">
        <v>1212</v>
      </c>
      <c r="M1762" s="3">
        <f t="shared" si="108"/>
        <v>61.428571428571431</v>
      </c>
      <c r="N1762">
        <v>14</v>
      </c>
      <c r="O1762">
        <v>80</v>
      </c>
      <c r="P1762">
        <v>72</v>
      </c>
      <c r="Q1762">
        <v>76</v>
      </c>
      <c r="R1762">
        <v>78</v>
      </c>
      <c r="S1762">
        <v>80</v>
      </c>
      <c r="T1762">
        <v>30</v>
      </c>
      <c r="U1762">
        <v>0</v>
      </c>
      <c r="V1762" s="3">
        <f t="shared" si="109"/>
        <v>765076</v>
      </c>
      <c r="W1762">
        <v>63756.333333333336</v>
      </c>
      <c r="X1762">
        <v>0</v>
      </c>
      <c r="Y1762">
        <f t="shared" si="110"/>
        <v>63756.333333333336</v>
      </c>
      <c r="Z1762">
        <f t="shared" si="111"/>
        <v>0</v>
      </c>
      <c r="AA1762">
        <v>0</v>
      </c>
    </row>
    <row r="1763" spans="1:27" x14ac:dyDescent="0.25">
      <c r="A1763" s="1">
        <v>1762</v>
      </c>
      <c r="B1763" t="s">
        <v>2146</v>
      </c>
      <c r="C1763" t="s">
        <v>1134</v>
      </c>
      <c r="D1763" t="s">
        <v>1140</v>
      </c>
      <c r="E1763" t="s">
        <v>1138</v>
      </c>
      <c r="H1763" t="s">
        <v>1151</v>
      </c>
      <c r="I1763" t="s">
        <v>1151</v>
      </c>
      <c r="J1763" t="s">
        <v>2679</v>
      </c>
      <c r="K1763" t="s">
        <v>1212</v>
      </c>
      <c r="M1763" s="3">
        <f t="shared" si="108"/>
        <v>66.714285714285708</v>
      </c>
      <c r="N1763">
        <v>17</v>
      </c>
      <c r="O1763">
        <v>84</v>
      </c>
      <c r="P1763">
        <v>78</v>
      </c>
      <c r="Q1763">
        <v>82</v>
      </c>
      <c r="R1763">
        <v>84</v>
      </c>
      <c r="S1763">
        <v>86</v>
      </c>
      <c r="T1763">
        <v>36</v>
      </c>
      <c r="U1763">
        <v>0</v>
      </c>
      <c r="V1763" s="3">
        <f t="shared" si="109"/>
        <v>1746580</v>
      </c>
      <c r="W1763">
        <v>145548.33333333334</v>
      </c>
      <c r="X1763">
        <v>0</v>
      </c>
      <c r="Y1763">
        <f t="shared" si="110"/>
        <v>145548.33333333334</v>
      </c>
      <c r="Z1763">
        <f t="shared" si="111"/>
        <v>0</v>
      </c>
      <c r="AA1763">
        <v>0</v>
      </c>
    </row>
    <row r="1764" spans="1:27" x14ac:dyDescent="0.25">
      <c r="A1764" s="1">
        <v>1763</v>
      </c>
      <c r="B1764" t="s">
        <v>2156</v>
      </c>
      <c r="C1764" t="s">
        <v>1135</v>
      </c>
      <c r="D1764" t="s">
        <v>1142</v>
      </c>
      <c r="E1764" t="s">
        <v>1141</v>
      </c>
      <c r="H1764" t="s">
        <v>1151</v>
      </c>
      <c r="I1764" t="s">
        <v>1151</v>
      </c>
      <c r="J1764" t="s">
        <v>2679</v>
      </c>
      <c r="K1764" t="s">
        <v>1212</v>
      </c>
      <c r="M1764" s="3">
        <f t="shared" si="108"/>
        <v>63.857142857142854</v>
      </c>
      <c r="N1764">
        <v>15</v>
      </c>
      <c r="O1764">
        <v>81</v>
      </c>
      <c r="P1764">
        <v>75</v>
      </c>
      <c r="Q1764">
        <v>79</v>
      </c>
      <c r="R1764">
        <v>81</v>
      </c>
      <c r="S1764">
        <v>83</v>
      </c>
      <c r="T1764">
        <v>33</v>
      </c>
      <c r="U1764">
        <v>0</v>
      </c>
      <c r="V1764" s="3">
        <f t="shared" si="109"/>
        <v>1127444</v>
      </c>
      <c r="W1764">
        <v>93953.666666666672</v>
      </c>
      <c r="X1764">
        <v>0</v>
      </c>
      <c r="Y1764">
        <f t="shared" si="110"/>
        <v>93953.666666666672</v>
      </c>
      <c r="Z1764">
        <f t="shared" si="111"/>
        <v>0</v>
      </c>
      <c r="AA1764">
        <v>0</v>
      </c>
    </row>
    <row r="1765" spans="1:27" x14ac:dyDescent="0.25">
      <c r="A1765" s="1">
        <v>1764</v>
      </c>
      <c r="B1765" t="s">
        <v>2581</v>
      </c>
      <c r="C1765" t="s">
        <v>1135</v>
      </c>
      <c r="D1765" t="s">
        <v>1141</v>
      </c>
      <c r="E1765" t="s">
        <v>1142</v>
      </c>
      <c r="H1765" t="s">
        <v>1151</v>
      </c>
      <c r="I1765" t="s">
        <v>1151</v>
      </c>
      <c r="J1765" t="s">
        <v>2679</v>
      </c>
      <c r="K1765" t="s">
        <v>1212</v>
      </c>
      <c r="M1765" s="3">
        <f t="shared" si="108"/>
        <v>75.428571428571431</v>
      </c>
      <c r="N1765">
        <v>24</v>
      </c>
      <c r="O1765">
        <v>90</v>
      </c>
      <c r="P1765">
        <v>88</v>
      </c>
      <c r="Q1765">
        <v>90</v>
      </c>
      <c r="R1765">
        <v>92</v>
      </c>
      <c r="S1765">
        <v>94</v>
      </c>
      <c r="T1765">
        <v>50</v>
      </c>
      <c r="U1765">
        <v>0</v>
      </c>
      <c r="V1765" s="3">
        <f t="shared" si="109"/>
        <v>5961545</v>
      </c>
      <c r="W1765">
        <v>496795.41666666669</v>
      </c>
      <c r="X1765">
        <v>0</v>
      </c>
      <c r="Y1765">
        <f t="shared" si="110"/>
        <v>496795.41666666669</v>
      </c>
      <c r="Z1765">
        <f t="shared" si="111"/>
        <v>0</v>
      </c>
      <c r="AA1765">
        <v>0</v>
      </c>
    </row>
    <row r="1766" spans="1:27" x14ac:dyDescent="0.25">
      <c r="A1766" s="1">
        <v>1765</v>
      </c>
      <c r="B1766" t="s">
        <v>2155</v>
      </c>
      <c r="C1766" t="s">
        <v>1135</v>
      </c>
      <c r="D1766" t="s">
        <v>1142</v>
      </c>
      <c r="E1766" t="s">
        <v>1141</v>
      </c>
      <c r="H1766" t="s">
        <v>1151</v>
      </c>
      <c r="I1766" t="s">
        <v>1151</v>
      </c>
      <c r="J1766" t="s">
        <v>2679</v>
      </c>
      <c r="K1766" t="s">
        <v>1212</v>
      </c>
      <c r="M1766" s="3">
        <f t="shared" si="108"/>
        <v>66.714285714285708</v>
      </c>
      <c r="N1766">
        <v>17</v>
      </c>
      <c r="O1766">
        <v>84</v>
      </c>
      <c r="P1766">
        <v>78</v>
      </c>
      <c r="Q1766">
        <v>82</v>
      </c>
      <c r="R1766">
        <v>84</v>
      </c>
      <c r="S1766">
        <v>86</v>
      </c>
      <c r="T1766">
        <v>36</v>
      </c>
      <c r="U1766">
        <v>0</v>
      </c>
      <c r="V1766" s="3">
        <f t="shared" si="109"/>
        <v>1746580</v>
      </c>
      <c r="W1766">
        <v>145548.33333333334</v>
      </c>
      <c r="X1766">
        <v>0</v>
      </c>
      <c r="Y1766">
        <f t="shared" si="110"/>
        <v>145548.33333333334</v>
      </c>
      <c r="Z1766">
        <f t="shared" si="111"/>
        <v>0</v>
      </c>
      <c r="AA1766">
        <v>0</v>
      </c>
    </row>
    <row r="1767" spans="1:27" x14ac:dyDescent="0.25">
      <c r="A1767" s="1">
        <v>1766</v>
      </c>
      <c r="B1767" t="s">
        <v>2151</v>
      </c>
      <c r="C1767" t="s">
        <v>1136</v>
      </c>
      <c r="D1767" t="s">
        <v>1145</v>
      </c>
      <c r="E1767" t="s">
        <v>1143</v>
      </c>
      <c r="H1767" t="s">
        <v>1151</v>
      </c>
      <c r="I1767" t="s">
        <v>1151</v>
      </c>
      <c r="J1767" t="s">
        <v>2679</v>
      </c>
      <c r="K1767" t="s">
        <v>1212</v>
      </c>
      <c r="M1767" s="3">
        <f t="shared" si="108"/>
        <v>62.571428571428569</v>
      </c>
      <c r="N1767">
        <v>15</v>
      </c>
      <c r="O1767">
        <v>81</v>
      </c>
      <c r="P1767">
        <v>73</v>
      </c>
      <c r="Q1767">
        <v>77</v>
      </c>
      <c r="R1767">
        <v>79</v>
      </c>
      <c r="S1767">
        <v>81</v>
      </c>
      <c r="T1767">
        <v>32</v>
      </c>
      <c r="U1767">
        <v>0</v>
      </c>
      <c r="V1767" s="3">
        <f t="shared" si="109"/>
        <v>919943</v>
      </c>
      <c r="W1767">
        <v>76661.916666666672</v>
      </c>
      <c r="X1767">
        <v>0</v>
      </c>
      <c r="Y1767">
        <f t="shared" si="110"/>
        <v>76661.916666666672</v>
      </c>
      <c r="Z1767">
        <f t="shared" si="111"/>
        <v>0</v>
      </c>
      <c r="AA1767">
        <v>0</v>
      </c>
    </row>
    <row r="1768" spans="1:27" x14ac:dyDescent="0.25">
      <c r="A1768" s="1">
        <v>1767</v>
      </c>
      <c r="B1768" t="s">
        <v>2157</v>
      </c>
      <c r="C1768" t="s">
        <v>1136</v>
      </c>
      <c r="D1768" t="s">
        <v>1147</v>
      </c>
      <c r="E1768" t="s">
        <v>1145</v>
      </c>
      <c r="H1768" t="s">
        <v>1151</v>
      </c>
      <c r="I1768" t="s">
        <v>1151</v>
      </c>
      <c r="J1768" t="s">
        <v>2679</v>
      </c>
      <c r="K1768" t="s">
        <v>1212</v>
      </c>
      <c r="M1768" s="3">
        <f t="shared" si="108"/>
        <v>72.142857142857139</v>
      </c>
      <c r="N1768">
        <v>23</v>
      </c>
      <c r="O1768">
        <v>88</v>
      </c>
      <c r="P1768">
        <v>84</v>
      </c>
      <c r="Q1768">
        <v>86</v>
      </c>
      <c r="R1768">
        <v>88</v>
      </c>
      <c r="S1768">
        <v>90</v>
      </c>
      <c r="T1768">
        <v>46</v>
      </c>
      <c r="U1768">
        <v>0</v>
      </c>
      <c r="V1768" s="3">
        <f t="shared" si="109"/>
        <v>3818857</v>
      </c>
      <c r="W1768">
        <v>318238.08333333331</v>
      </c>
      <c r="X1768">
        <v>0</v>
      </c>
      <c r="Y1768">
        <f t="shared" si="110"/>
        <v>318238.08333333331</v>
      </c>
      <c r="Z1768">
        <f t="shared" si="111"/>
        <v>0</v>
      </c>
      <c r="AA1768">
        <v>0</v>
      </c>
    </row>
    <row r="1769" spans="1:27" x14ac:dyDescent="0.25">
      <c r="A1769" s="1">
        <v>1768</v>
      </c>
      <c r="B1769" t="s">
        <v>2149</v>
      </c>
      <c r="C1769" t="s">
        <v>1136</v>
      </c>
      <c r="D1769" t="s">
        <v>1144</v>
      </c>
      <c r="E1769" t="s">
        <v>1143</v>
      </c>
      <c r="H1769" t="s">
        <v>1151</v>
      </c>
      <c r="I1769" t="s">
        <v>1151</v>
      </c>
      <c r="J1769" t="s">
        <v>2679</v>
      </c>
      <c r="K1769" t="s">
        <v>1212</v>
      </c>
      <c r="M1769" s="3">
        <f t="shared" si="108"/>
        <v>64.857142857142861</v>
      </c>
      <c r="N1769">
        <v>16</v>
      </c>
      <c r="O1769">
        <v>82</v>
      </c>
      <c r="P1769">
        <v>76</v>
      </c>
      <c r="Q1769">
        <v>80</v>
      </c>
      <c r="R1769">
        <v>82</v>
      </c>
      <c r="S1769">
        <v>84</v>
      </c>
      <c r="T1769">
        <v>34</v>
      </c>
      <c r="U1769">
        <v>0</v>
      </c>
      <c r="V1769" s="3">
        <f t="shared" si="109"/>
        <v>1316977</v>
      </c>
      <c r="W1769">
        <v>109748.08333333333</v>
      </c>
      <c r="X1769">
        <v>0</v>
      </c>
      <c r="Y1769">
        <f t="shared" si="110"/>
        <v>109748.08333333333</v>
      </c>
      <c r="Z1769">
        <f t="shared" si="111"/>
        <v>0</v>
      </c>
      <c r="AA1769">
        <v>0</v>
      </c>
    </row>
    <row r="1770" spans="1:27" x14ac:dyDescent="0.25">
      <c r="A1770" s="1">
        <v>1769</v>
      </c>
      <c r="B1770" t="s">
        <v>2150</v>
      </c>
      <c r="C1770" t="s">
        <v>1136</v>
      </c>
      <c r="D1770" t="s">
        <v>1143</v>
      </c>
      <c r="E1770" t="s">
        <v>1144</v>
      </c>
      <c r="H1770" t="s">
        <v>1151</v>
      </c>
      <c r="I1770" t="s">
        <v>1151</v>
      </c>
      <c r="J1770" t="s">
        <v>2679</v>
      </c>
      <c r="K1770" t="s">
        <v>1212</v>
      </c>
      <c r="M1770" s="3">
        <f t="shared" si="108"/>
        <v>73.285714285714292</v>
      </c>
      <c r="N1770">
        <v>21</v>
      </c>
      <c r="O1770">
        <v>92</v>
      </c>
      <c r="P1770">
        <v>86</v>
      </c>
      <c r="Q1770">
        <v>88</v>
      </c>
      <c r="R1770">
        <v>90</v>
      </c>
      <c r="S1770">
        <v>92</v>
      </c>
      <c r="T1770">
        <v>44</v>
      </c>
      <c r="U1770">
        <v>0</v>
      </c>
      <c r="V1770" s="3">
        <f t="shared" si="109"/>
        <v>4468825</v>
      </c>
      <c r="W1770">
        <v>372402.08333333331</v>
      </c>
      <c r="X1770">
        <v>0</v>
      </c>
      <c r="Y1770">
        <f t="shared" si="110"/>
        <v>372402.08333333331</v>
      </c>
      <c r="Z1770">
        <f t="shared" si="111"/>
        <v>0</v>
      </c>
      <c r="AA1770">
        <v>0</v>
      </c>
    </row>
    <row r="1771" spans="1:27" x14ac:dyDescent="0.25">
      <c r="A1771" s="1">
        <v>1770</v>
      </c>
      <c r="B1771" t="s">
        <v>2153</v>
      </c>
      <c r="C1771" t="s">
        <v>1136</v>
      </c>
      <c r="D1771" t="s">
        <v>1146</v>
      </c>
      <c r="E1771" t="s">
        <v>1144</v>
      </c>
      <c r="H1771" t="s">
        <v>1151</v>
      </c>
      <c r="I1771" t="s">
        <v>1151</v>
      </c>
      <c r="J1771" t="s">
        <v>2679</v>
      </c>
      <c r="K1771" t="s">
        <v>1212</v>
      </c>
      <c r="M1771" s="3">
        <f t="shared" si="108"/>
        <v>59.714285714285715</v>
      </c>
      <c r="N1771">
        <v>13</v>
      </c>
      <c r="O1771">
        <v>79</v>
      </c>
      <c r="P1771">
        <v>70</v>
      </c>
      <c r="Q1771">
        <v>74</v>
      </c>
      <c r="R1771">
        <v>76</v>
      </c>
      <c r="S1771">
        <v>78</v>
      </c>
      <c r="T1771">
        <v>28</v>
      </c>
      <c r="U1771">
        <v>0</v>
      </c>
      <c r="V1771" s="3">
        <f t="shared" si="109"/>
        <v>576478</v>
      </c>
      <c r="W1771">
        <v>48039.833333333336</v>
      </c>
      <c r="X1771">
        <v>0</v>
      </c>
      <c r="Y1771">
        <f t="shared" si="110"/>
        <v>48039.833333333336</v>
      </c>
      <c r="Z1771">
        <f t="shared" si="111"/>
        <v>0</v>
      </c>
      <c r="AA1771">
        <v>0</v>
      </c>
    </row>
    <row r="1772" spans="1:27" x14ac:dyDescent="0.25">
      <c r="A1772" s="1">
        <v>1771</v>
      </c>
      <c r="B1772" t="s">
        <v>675</v>
      </c>
      <c r="C1772" t="s">
        <v>1136</v>
      </c>
      <c r="D1772" t="s">
        <v>1144</v>
      </c>
      <c r="E1772" t="s">
        <v>1143</v>
      </c>
      <c r="F1772" t="s">
        <v>1138</v>
      </c>
      <c r="G1772" t="s">
        <v>1155</v>
      </c>
      <c r="H1772" t="s">
        <v>1155</v>
      </c>
      <c r="I1772" t="s">
        <v>1155</v>
      </c>
      <c r="J1772" t="s">
        <v>2679</v>
      </c>
      <c r="K1772" t="s">
        <v>1212</v>
      </c>
      <c r="M1772" s="3">
        <f t="shared" si="108"/>
        <v>82.142857142857139</v>
      </c>
      <c r="N1772">
        <v>75</v>
      </c>
      <c r="O1772">
        <v>80</v>
      </c>
      <c r="P1772">
        <v>83</v>
      </c>
      <c r="Q1772">
        <v>83</v>
      </c>
      <c r="R1772">
        <v>89</v>
      </c>
      <c r="S1772">
        <v>89</v>
      </c>
      <c r="T1772">
        <v>76</v>
      </c>
      <c r="U1772">
        <v>18</v>
      </c>
      <c r="V1772" s="3">
        <f t="shared" si="109"/>
        <v>20979219</v>
      </c>
      <c r="W1772">
        <v>1748268.25</v>
      </c>
      <c r="X1772">
        <v>0</v>
      </c>
      <c r="Y1772">
        <f t="shared" si="110"/>
        <v>1748268.25</v>
      </c>
      <c r="Z1772">
        <f t="shared" si="111"/>
        <v>0</v>
      </c>
      <c r="AA1772">
        <v>0</v>
      </c>
    </row>
    <row r="1773" spans="1:27" x14ac:dyDescent="0.25">
      <c r="A1773" s="1">
        <v>1772</v>
      </c>
      <c r="B1773" t="s">
        <v>2154</v>
      </c>
      <c r="C1773" t="s">
        <v>1136</v>
      </c>
      <c r="D1773" t="s">
        <v>1147</v>
      </c>
      <c r="E1773" t="s">
        <v>1145</v>
      </c>
      <c r="H1773" t="s">
        <v>1151</v>
      </c>
      <c r="I1773" t="s">
        <v>1151</v>
      </c>
      <c r="J1773" t="s">
        <v>2679</v>
      </c>
      <c r="K1773" t="s">
        <v>1212</v>
      </c>
      <c r="M1773" s="3">
        <f t="shared" si="108"/>
        <v>65.857142857142861</v>
      </c>
      <c r="N1773">
        <v>17</v>
      </c>
      <c r="O1773">
        <v>83</v>
      </c>
      <c r="P1773">
        <v>77</v>
      </c>
      <c r="Q1773">
        <v>81</v>
      </c>
      <c r="R1773">
        <v>83</v>
      </c>
      <c r="S1773">
        <v>85</v>
      </c>
      <c r="T1773">
        <v>35</v>
      </c>
      <c r="U1773">
        <v>0</v>
      </c>
      <c r="V1773" s="3">
        <f t="shared" si="109"/>
        <v>1534719</v>
      </c>
      <c r="W1773">
        <v>127893.25</v>
      </c>
      <c r="X1773">
        <v>0</v>
      </c>
      <c r="Y1773">
        <f t="shared" si="110"/>
        <v>127893.25</v>
      </c>
      <c r="Z1773">
        <f t="shared" si="111"/>
        <v>0</v>
      </c>
      <c r="AA1773">
        <v>0</v>
      </c>
    </row>
    <row r="1774" spans="1:27" x14ac:dyDescent="0.25">
      <c r="A1774" s="1">
        <v>1773</v>
      </c>
      <c r="B1774" t="s">
        <v>2152</v>
      </c>
      <c r="C1774" t="s">
        <v>1136</v>
      </c>
      <c r="D1774" t="s">
        <v>1145</v>
      </c>
      <c r="E1774" t="s">
        <v>1147</v>
      </c>
      <c r="H1774" t="s">
        <v>1151</v>
      </c>
      <c r="I1774" t="s">
        <v>1151</v>
      </c>
      <c r="J1774" t="s">
        <v>2679</v>
      </c>
      <c r="K1774" t="s">
        <v>1212</v>
      </c>
      <c r="M1774" s="3">
        <f t="shared" si="108"/>
        <v>69.142857142857139</v>
      </c>
      <c r="N1774">
        <v>18</v>
      </c>
      <c r="O1774">
        <v>87</v>
      </c>
      <c r="P1774">
        <v>82</v>
      </c>
      <c r="Q1774">
        <v>84</v>
      </c>
      <c r="R1774">
        <v>86</v>
      </c>
      <c r="S1774">
        <v>88</v>
      </c>
      <c r="T1774">
        <v>39</v>
      </c>
      <c r="U1774">
        <v>0</v>
      </c>
      <c r="V1774" s="3">
        <f t="shared" si="109"/>
        <v>2497315</v>
      </c>
      <c r="W1774">
        <v>208109.58333333334</v>
      </c>
      <c r="X1774">
        <v>0</v>
      </c>
      <c r="Y1774">
        <f t="shared" si="110"/>
        <v>208109.58333333334</v>
      </c>
      <c r="Z1774">
        <f t="shared" si="111"/>
        <v>0</v>
      </c>
      <c r="AA1774">
        <v>0</v>
      </c>
    </row>
    <row r="1775" spans="1:27" x14ac:dyDescent="0.25">
      <c r="A1775" s="1">
        <v>1774</v>
      </c>
      <c r="B1775" t="s">
        <v>2144</v>
      </c>
      <c r="C1775" t="s">
        <v>1137</v>
      </c>
      <c r="D1775" t="s">
        <v>1137</v>
      </c>
      <c r="H1775" t="s">
        <v>1151</v>
      </c>
      <c r="I1775" t="s">
        <v>1151</v>
      </c>
      <c r="J1775" t="s">
        <v>2679</v>
      </c>
      <c r="K1775" t="s">
        <v>1212</v>
      </c>
      <c r="M1775" s="3">
        <f t="shared" si="108"/>
        <v>64</v>
      </c>
      <c r="N1775">
        <v>15</v>
      </c>
      <c r="O1775">
        <v>81</v>
      </c>
      <c r="P1775">
        <v>75</v>
      </c>
      <c r="Q1775">
        <v>79</v>
      </c>
      <c r="R1775">
        <v>81</v>
      </c>
      <c r="S1775">
        <v>83</v>
      </c>
      <c r="T1775">
        <v>34</v>
      </c>
      <c r="U1775">
        <v>0</v>
      </c>
      <c r="V1775" s="3">
        <f t="shared" si="109"/>
        <v>1152922</v>
      </c>
      <c r="W1775">
        <v>96076.833333333328</v>
      </c>
      <c r="X1775">
        <v>0</v>
      </c>
      <c r="Y1775">
        <f t="shared" si="110"/>
        <v>96076.833333333328</v>
      </c>
      <c r="Z1775">
        <f t="shared" si="111"/>
        <v>0</v>
      </c>
      <c r="AA1775">
        <v>0</v>
      </c>
    </row>
    <row r="1776" spans="1:27" x14ac:dyDescent="0.25">
      <c r="A1776" s="1">
        <v>1775</v>
      </c>
      <c r="B1776" t="s">
        <v>53</v>
      </c>
      <c r="C1776" t="s">
        <v>1133</v>
      </c>
      <c r="D1776" t="s">
        <v>1133</v>
      </c>
      <c r="G1776" t="s">
        <v>1169</v>
      </c>
      <c r="H1776" t="s">
        <v>1169</v>
      </c>
      <c r="I1776" t="s">
        <v>1169</v>
      </c>
      <c r="J1776" t="s">
        <v>1244</v>
      </c>
      <c r="K1776" t="s">
        <v>1212</v>
      </c>
      <c r="M1776" s="3">
        <f t="shared" si="108"/>
        <v>69.428571428571431</v>
      </c>
      <c r="N1776">
        <v>51</v>
      </c>
      <c r="O1776">
        <v>84</v>
      </c>
      <c r="P1776">
        <v>64</v>
      </c>
      <c r="Q1776">
        <v>84</v>
      </c>
      <c r="R1776">
        <v>76</v>
      </c>
      <c r="S1776">
        <v>77</v>
      </c>
      <c r="T1776">
        <v>50</v>
      </c>
      <c r="U1776">
        <v>0</v>
      </c>
      <c r="V1776" s="3">
        <f t="shared" si="109"/>
        <v>2602450</v>
      </c>
      <c r="W1776">
        <v>216870.83333333334</v>
      </c>
      <c r="X1776">
        <v>0</v>
      </c>
      <c r="Y1776">
        <f t="shared" si="110"/>
        <v>216870.83333333334</v>
      </c>
      <c r="Z1776">
        <f t="shared" si="111"/>
        <v>0</v>
      </c>
      <c r="AA1776">
        <v>0</v>
      </c>
    </row>
    <row r="1777" spans="1:27" x14ac:dyDescent="0.25">
      <c r="A1777" s="1">
        <v>1776</v>
      </c>
      <c r="B1777" t="s">
        <v>52</v>
      </c>
      <c r="C1777" t="s">
        <v>1133</v>
      </c>
      <c r="D1777" t="s">
        <v>1133</v>
      </c>
      <c r="G1777" t="s">
        <v>1169</v>
      </c>
      <c r="H1777" t="s">
        <v>1169</v>
      </c>
      <c r="I1777" t="s">
        <v>1169</v>
      </c>
      <c r="J1777" t="s">
        <v>1244</v>
      </c>
      <c r="K1777" t="s">
        <v>1212</v>
      </c>
      <c r="M1777" s="3">
        <f t="shared" si="108"/>
        <v>76.857142857142861</v>
      </c>
      <c r="N1777">
        <v>62</v>
      </c>
      <c r="O1777">
        <v>95</v>
      </c>
      <c r="P1777">
        <v>92</v>
      </c>
      <c r="Q1777">
        <v>66</v>
      </c>
      <c r="R1777">
        <v>88</v>
      </c>
      <c r="S1777">
        <v>79</v>
      </c>
      <c r="T1777">
        <v>56</v>
      </c>
      <c r="U1777">
        <v>29</v>
      </c>
      <c r="V1777" s="3">
        <f t="shared" si="109"/>
        <v>10787819</v>
      </c>
      <c r="W1777">
        <v>898984.91666666663</v>
      </c>
      <c r="X1777">
        <v>0</v>
      </c>
      <c r="Y1777">
        <f t="shared" si="110"/>
        <v>898984.91666666663</v>
      </c>
      <c r="Z1777">
        <f t="shared" si="111"/>
        <v>0</v>
      </c>
      <c r="AA1777">
        <v>0</v>
      </c>
    </row>
    <row r="1778" spans="1:27" x14ac:dyDescent="0.25">
      <c r="A1778" s="1">
        <v>1777</v>
      </c>
      <c r="B1778" t="s">
        <v>223</v>
      </c>
      <c r="C1778" t="s">
        <v>1134</v>
      </c>
      <c r="D1778" t="s">
        <v>1138</v>
      </c>
      <c r="E1778" t="s">
        <v>1139</v>
      </c>
      <c r="G1778" t="s">
        <v>1169</v>
      </c>
      <c r="H1778" t="s">
        <v>1217</v>
      </c>
      <c r="I1778" t="s">
        <v>1217</v>
      </c>
      <c r="J1778" t="s">
        <v>1244</v>
      </c>
      <c r="K1778" t="s">
        <v>1212</v>
      </c>
      <c r="M1778" s="3">
        <f t="shared" si="108"/>
        <v>77.142857142857139</v>
      </c>
      <c r="N1778">
        <v>70</v>
      </c>
      <c r="O1778">
        <v>73</v>
      </c>
      <c r="P1778">
        <v>75</v>
      </c>
      <c r="Q1778">
        <v>80</v>
      </c>
      <c r="R1778">
        <v>81</v>
      </c>
      <c r="S1778">
        <v>88</v>
      </c>
      <c r="T1778">
        <v>73</v>
      </c>
      <c r="U1778">
        <v>0</v>
      </c>
      <c r="V1778" s="3">
        <f t="shared" si="109"/>
        <v>7463752</v>
      </c>
      <c r="W1778">
        <v>621979.33333333337</v>
      </c>
      <c r="X1778">
        <v>0</v>
      </c>
      <c r="Y1778">
        <f t="shared" si="110"/>
        <v>621979.33333333337</v>
      </c>
      <c r="Z1778">
        <f t="shared" si="111"/>
        <v>0</v>
      </c>
      <c r="AA1778">
        <v>0</v>
      </c>
    </row>
    <row r="1779" spans="1:27" x14ac:dyDescent="0.25">
      <c r="A1779" s="1">
        <v>1778</v>
      </c>
      <c r="B1779" t="s">
        <v>221</v>
      </c>
      <c r="C1779" t="s">
        <v>1134</v>
      </c>
      <c r="D1779" t="s">
        <v>1138</v>
      </c>
      <c r="G1779" t="s">
        <v>1169</v>
      </c>
      <c r="H1779" t="s">
        <v>1169</v>
      </c>
      <c r="I1779" t="s">
        <v>1169</v>
      </c>
      <c r="J1779" t="s">
        <v>1244</v>
      </c>
      <c r="K1779" t="s">
        <v>1212</v>
      </c>
      <c r="M1779" s="3">
        <f t="shared" si="108"/>
        <v>72.714285714285708</v>
      </c>
      <c r="N1779">
        <v>41</v>
      </c>
      <c r="O1779">
        <v>65</v>
      </c>
      <c r="P1779">
        <v>70</v>
      </c>
      <c r="Q1779">
        <v>85</v>
      </c>
      <c r="R1779">
        <v>85</v>
      </c>
      <c r="S1779">
        <v>83</v>
      </c>
      <c r="T1779">
        <v>80</v>
      </c>
      <c r="U1779">
        <v>0</v>
      </c>
      <c r="V1779" s="3">
        <f t="shared" si="109"/>
        <v>4132354</v>
      </c>
      <c r="W1779">
        <v>344362.83333333331</v>
      </c>
      <c r="X1779">
        <v>0</v>
      </c>
      <c r="Y1779">
        <f t="shared" si="110"/>
        <v>344362.83333333331</v>
      </c>
      <c r="Z1779">
        <f t="shared" si="111"/>
        <v>0</v>
      </c>
      <c r="AA1779">
        <v>0</v>
      </c>
    </row>
    <row r="1780" spans="1:27" x14ac:dyDescent="0.25">
      <c r="A1780" s="1">
        <v>1779</v>
      </c>
      <c r="B1780" t="s">
        <v>220</v>
      </c>
      <c r="C1780" t="s">
        <v>1134</v>
      </c>
      <c r="D1780" t="s">
        <v>1140</v>
      </c>
      <c r="E1780" t="s">
        <v>1144</v>
      </c>
      <c r="G1780" t="s">
        <v>1169</v>
      </c>
      <c r="H1780" t="s">
        <v>1169</v>
      </c>
      <c r="I1780" t="s">
        <v>1169</v>
      </c>
      <c r="J1780" t="s">
        <v>1244</v>
      </c>
      <c r="K1780" t="s">
        <v>1212</v>
      </c>
      <c r="M1780" s="3">
        <f t="shared" si="108"/>
        <v>73</v>
      </c>
      <c r="N1780">
        <v>51</v>
      </c>
      <c r="O1780">
        <v>76</v>
      </c>
      <c r="P1780">
        <v>77</v>
      </c>
      <c r="Q1780">
        <v>83</v>
      </c>
      <c r="R1780">
        <v>75</v>
      </c>
      <c r="S1780">
        <v>74</v>
      </c>
      <c r="T1780">
        <v>75</v>
      </c>
      <c r="U1780">
        <v>0</v>
      </c>
      <c r="V1780" s="3">
        <f t="shared" si="109"/>
        <v>4297626</v>
      </c>
      <c r="W1780">
        <v>358135.5</v>
      </c>
      <c r="X1780">
        <v>0</v>
      </c>
      <c r="Y1780">
        <f t="shared" si="110"/>
        <v>358135.5</v>
      </c>
      <c r="Z1780">
        <f t="shared" si="111"/>
        <v>0</v>
      </c>
      <c r="AA1780">
        <v>0</v>
      </c>
    </row>
    <row r="1781" spans="1:27" x14ac:dyDescent="0.25">
      <c r="A1781" s="1">
        <v>1780</v>
      </c>
      <c r="B1781" t="s">
        <v>222</v>
      </c>
      <c r="C1781" t="s">
        <v>1134</v>
      </c>
      <c r="D1781" t="s">
        <v>1138</v>
      </c>
      <c r="E1781" t="s">
        <v>1144</v>
      </c>
      <c r="G1781" t="s">
        <v>1169</v>
      </c>
      <c r="H1781" t="s">
        <v>1169</v>
      </c>
      <c r="I1781" t="s">
        <v>1169</v>
      </c>
      <c r="J1781" t="s">
        <v>1244</v>
      </c>
      <c r="K1781" t="s">
        <v>1212</v>
      </c>
      <c r="M1781" s="3">
        <f t="shared" si="108"/>
        <v>68.714285714285708</v>
      </c>
      <c r="N1781">
        <v>35</v>
      </c>
      <c r="O1781">
        <v>61</v>
      </c>
      <c r="P1781">
        <v>72</v>
      </c>
      <c r="Q1781">
        <v>74</v>
      </c>
      <c r="R1781">
        <v>80</v>
      </c>
      <c r="S1781">
        <v>86</v>
      </c>
      <c r="T1781">
        <v>73</v>
      </c>
      <c r="U1781">
        <v>0</v>
      </c>
      <c r="V1781" s="3">
        <f t="shared" si="109"/>
        <v>2346770</v>
      </c>
      <c r="W1781">
        <v>195564.16666666666</v>
      </c>
      <c r="X1781">
        <v>0</v>
      </c>
      <c r="Y1781">
        <f t="shared" si="110"/>
        <v>195564.16666666666</v>
      </c>
      <c r="Z1781">
        <f t="shared" si="111"/>
        <v>0</v>
      </c>
      <c r="AA1781">
        <v>0</v>
      </c>
    </row>
    <row r="1782" spans="1:27" x14ac:dyDescent="0.25">
      <c r="A1782" s="1">
        <v>1781</v>
      </c>
      <c r="B1782" t="s">
        <v>214</v>
      </c>
      <c r="C1782" t="s">
        <v>1134</v>
      </c>
      <c r="D1782" t="s">
        <v>1138</v>
      </c>
      <c r="E1782" t="s">
        <v>1140</v>
      </c>
      <c r="G1782" t="s">
        <v>1167</v>
      </c>
      <c r="H1782" t="s">
        <v>1167</v>
      </c>
      <c r="I1782" t="s">
        <v>1167</v>
      </c>
      <c r="J1782" t="s">
        <v>1244</v>
      </c>
      <c r="K1782" t="s">
        <v>1212</v>
      </c>
      <c r="M1782" s="3">
        <f t="shared" si="108"/>
        <v>52.285714285714285</v>
      </c>
      <c r="N1782">
        <v>33</v>
      </c>
      <c r="O1782">
        <v>51</v>
      </c>
      <c r="P1782">
        <v>60</v>
      </c>
      <c r="Q1782">
        <v>55</v>
      </c>
      <c r="R1782">
        <v>61</v>
      </c>
      <c r="S1782">
        <v>65</v>
      </c>
      <c r="T1782">
        <v>41</v>
      </c>
      <c r="U1782">
        <v>0</v>
      </c>
      <c r="V1782" s="3">
        <f t="shared" si="109"/>
        <v>152697</v>
      </c>
      <c r="W1782">
        <v>12724.75</v>
      </c>
      <c r="X1782">
        <v>0</v>
      </c>
      <c r="Y1782">
        <f t="shared" si="110"/>
        <v>12724.75</v>
      </c>
      <c r="Z1782">
        <f t="shared" si="111"/>
        <v>0</v>
      </c>
      <c r="AA1782">
        <v>0</v>
      </c>
    </row>
    <row r="1783" spans="1:27" x14ac:dyDescent="0.25">
      <c r="A1783" s="1">
        <v>1782</v>
      </c>
      <c r="B1783" t="s">
        <v>501</v>
      </c>
      <c r="C1783" t="s">
        <v>1135</v>
      </c>
      <c r="D1783" t="s">
        <v>1141</v>
      </c>
      <c r="G1783" t="s">
        <v>1169</v>
      </c>
      <c r="H1783" t="s">
        <v>1169</v>
      </c>
      <c r="I1783" t="s">
        <v>1169</v>
      </c>
      <c r="J1783" t="s">
        <v>1244</v>
      </c>
      <c r="K1783" t="s">
        <v>1212</v>
      </c>
      <c r="M1783" s="3">
        <f t="shared" si="108"/>
        <v>71</v>
      </c>
      <c r="N1783">
        <v>45</v>
      </c>
      <c r="O1783">
        <v>85</v>
      </c>
      <c r="P1783">
        <v>79</v>
      </c>
      <c r="Q1783">
        <v>77</v>
      </c>
      <c r="R1783">
        <v>73</v>
      </c>
      <c r="S1783">
        <v>76</v>
      </c>
      <c r="T1783">
        <v>62</v>
      </c>
      <c r="U1783">
        <v>3</v>
      </c>
      <c r="V1783" s="3">
        <f t="shared" si="109"/>
        <v>4882866</v>
      </c>
      <c r="W1783">
        <v>406905.5</v>
      </c>
      <c r="X1783">
        <v>0</v>
      </c>
      <c r="Y1783">
        <f t="shared" si="110"/>
        <v>406905.5</v>
      </c>
      <c r="Z1783">
        <f t="shared" si="111"/>
        <v>0</v>
      </c>
      <c r="AA1783">
        <v>0</v>
      </c>
    </row>
    <row r="1784" spans="1:27" x14ac:dyDescent="0.25">
      <c r="A1784" s="1">
        <v>1783</v>
      </c>
      <c r="B1784" t="s">
        <v>500</v>
      </c>
      <c r="C1784" t="s">
        <v>1135</v>
      </c>
      <c r="D1784" t="s">
        <v>1141</v>
      </c>
      <c r="G1784" t="s">
        <v>1169</v>
      </c>
      <c r="H1784" t="s">
        <v>1219</v>
      </c>
      <c r="I1784" t="s">
        <v>1219</v>
      </c>
      <c r="J1784" t="s">
        <v>1244</v>
      </c>
      <c r="K1784" t="s">
        <v>1212</v>
      </c>
      <c r="M1784" s="3">
        <f t="shared" si="108"/>
        <v>67.571428571428569</v>
      </c>
      <c r="N1784">
        <v>40</v>
      </c>
      <c r="O1784">
        <v>73</v>
      </c>
      <c r="P1784">
        <v>78</v>
      </c>
      <c r="Q1784">
        <v>72</v>
      </c>
      <c r="R1784">
        <v>78</v>
      </c>
      <c r="S1784">
        <v>81</v>
      </c>
      <c r="T1784">
        <v>51</v>
      </c>
      <c r="U1784">
        <v>6</v>
      </c>
      <c r="V1784" s="3">
        <f t="shared" si="109"/>
        <v>2976613</v>
      </c>
      <c r="W1784">
        <v>248051.08333333334</v>
      </c>
      <c r="X1784">
        <v>0</v>
      </c>
      <c r="Y1784">
        <f t="shared" si="110"/>
        <v>248051.08333333334</v>
      </c>
      <c r="Z1784">
        <f t="shared" si="111"/>
        <v>0</v>
      </c>
      <c r="AA1784">
        <v>0</v>
      </c>
    </row>
    <row r="1785" spans="1:27" x14ac:dyDescent="0.25">
      <c r="A1785" s="1">
        <v>1784</v>
      </c>
      <c r="B1785" t="s">
        <v>499</v>
      </c>
      <c r="C1785" t="s">
        <v>1135</v>
      </c>
      <c r="D1785" t="s">
        <v>1141</v>
      </c>
      <c r="E1785" t="s">
        <v>1145</v>
      </c>
      <c r="G1785" t="s">
        <v>1169</v>
      </c>
      <c r="H1785" t="s">
        <v>1169</v>
      </c>
      <c r="I1785" t="s">
        <v>1169</v>
      </c>
      <c r="J1785" t="s">
        <v>1244</v>
      </c>
      <c r="K1785" t="s">
        <v>1212</v>
      </c>
      <c r="M1785" s="3">
        <f t="shared" si="108"/>
        <v>62.285714285714285</v>
      </c>
      <c r="N1785">
        <v>30</v>
      </c>
      <c r="O1785">
        <v>70</v>
      </c>
      <c r="P1785">
        <v>73</v>
      </c>
      <c r="Q1785">
        <v>70</v>
      </c>
      <c r="R1785">
        <v>74</v>
      </c>
      <c r="S1785">
        <v>79</v>
      </c>
      <c r="T1785">
        <v>40</v>
      </c>
      <c r="U1785">
        <v>0</v>
      </c>
      <c r="V1785" s="3">
        <f t="shared" si="109"/>
        <v>878789</v>
      </c>
      <c r="W1785">
        <v>73232.416666666672</v>
      </c>
      <c r="X1785">
        <v>0</v>
      </c>
      <c r="Y1785">
        <f t="shared" si="110"/>
        <v>73232.416666666672</v>
      </c>
      <c r="Z1785">
        <f t="shared" si="111"/>
        <v>0</v>
      </c>
      <c r="AA1785">
        <v>0</v>
      </c>
    </row>
    <row r="1786" spans="1:27" x14ac:dyDescent="0.25">
      <c r="A1786" s="1">
        <v>1785</v>
      </c>
      <c r="B1786" t="s">
        <v>758</v>
      </c>
      <c r="C1786" t="s">
        <v>1136</v>
      </c>
      <c r="D1786" t="s">
        <v>1145</v>
      </c>
      <c r="E1786" t="s">
        <v>1146</v>
      </c>
      <c r="G1786" t="s">
        <v>1169</v>
      </c>
      <c r="H1786" t="s">
        <v>1169</v>
      </c>
      <c r="I1786" t="s">
        <v>1169</v>
      </c>
      <c r="J1786" t="s">
        <v>1244</v>
      </c>
      <c r="K1786" t="s">
        <v>1212</v>
      </c>
      <c r="M1786" s="3">
        <f t="shared" si="108"/>
        <v>79.571428571428569</v>
      </c>
      <c r="N1786">
        <v>75</v>
      </c>
      <c r="O1786">
        <v>85</v>
      </c>
      <c r="P1786">
        <v>87</v>
      </c>
      <c r="Q1786">
        <v>81</v>
      </c>
      <c r="R1786">
        <v>78</v>
      </c>
      <c r="S1786">
        <v>81</v>
      </c>
      <c r="T1786">
        <v>70</v>
      </c>
      <c r="U1786">
        <v>12</v>
      </c>
      <c r="V1786" s="3">
        <f t="shared" si="109"/>
        <v>15263806</v>
      </c>
      <c r="W1786">
        <v>1271983.8333333333</v>
      </c>
      <c r="X1786">
        <v>0</v>
      </c>
      <c r="Y1786">
        <f t="shared" si="110"/>
        <v>1271983.8333333333</v>
      </c>
      <c r="Z1786">
        <f t="shared" si="111"/>
        <v>0</v>
      </c>
      <c r="AA1786">
        <v>0</v>
      </c>
    </row>
    <row r="1787" spans="1:27" x14ac:dyDescent="0.25">
      <c r="A1787" s="1">
        <v>1786</v>
      </c>
      <c r="B1787" t="s">
        <v>775</v>
      </c>
      <c r="C1787" t="s">
        <v>1136</v>
      </c>
      <c r="D1787" t="s">
        <v>1143</v>
      </c>
      <c r="G1787" t="s">
        <v>1172</v>
      </c>
      <c r="H1787" t="s">
        <v>1172</v>
      </c>
      <c r="I1787" t="s">
        <v>1172</v>
      </c>
      <c r="J1787" t="s">
        <v>1244</v>
      </c>
      <c r="K1787" t="s">
        <v>1212</v>
      </c>
      <c r="M1787" s="3">
        <f t="shared" si="108"/>
        <v>57.857142857142854</v>
      </c>
      <c r="N1787">
        <v>21</v>
      </c>
      <c r="O1787">
        <v>69</v>
      </c>
      <c r="P1787">
        <v>72</v>
      </c>
      <c r="Q1787">
        <v>63</v>
      </c>
      <c r="R1787">
        <v>63</v>
      </c>
      <c r="S1787">
        <v>74</v>
      </c>
      <c r="T1787">
        <v>43</v>
      </c>
      <c r="U1787">
        <v>0</v>
      </c>
      <c r="V1787" s="3">
        <f t="shared" si="109"/>
        <v>420311</v>
      </c>
      <c r="W1787">
        <v>35025.916666666664</v>
      </c>
      <c r="X1787">
        <v>0</v>
      </c>
      <c r="Y1787">
        <f t="shared" si="110"/>
        <v>35025.916666666664</v>
      </c>
      <c r="Z1787">
        <f t="shared" si="111"/>
        <v>0</v>
      </c>
      <c r="AA1787">
        <v>0</v>
      </c>
    </row>
    <row r="1788" spans="1:27" x14ac:dyDescent="0.25">
      <c r="A1788" s="1">
        <v>1787</v>
      </c>
      <c r="B1788" t="s">
        <v>754</v>
      </c>
      <c r="C1788" t="s">
        <v>1136</v>
      </c>
      <c r="D1788" t="s">
        <v>1147</v>
      </c>
      <c r="E1788" t="s">
        <v>1145</v>
      </c>
      <c r="G1788" t="s">
        <v>1169</v>
      </c>
      <c r="H1788" t="s">
        <v>1169</v>
      </c>
      <c r="I1788" t="s">
        <v>1169</v>
      </c>
      <c r="J1788" t="s">
        <v>1244</v>
      </c>
      <c r="K1788" t="s">
        <v>1212</v>
      </c>
      <c r="M1788" s="3">
        <f t="shared" si="108"/>
        <v>71.285714285714292</v>
      </c>
      <c r="N1788">
        <v>61</v>
      </c>
      <c r="O1788">
        <v>88</v>
      </c>
      <c r="P1788">
        <v>75</v>
      </c>
      <c r="Q1788">
        <v>73</v>
      </c>
      <c r="R1788">
        <v>70</v>
      </c>
      <c r="S1788">
        <v>77</v>
      </c>
      <c r="T1788">
        <v>55</v>
      </c>
      <c r="U1788">
        <v>23</v>
      </c>
      <c r="V1788" s="3">
        <f t="shared" si="109"/>
        <v>5082956</v>
      </c>
      <c r="W1788">
        <v>423579.66666666669</v>
      </c>
      <c r="X1788">
        <v>0</v>
      </c>
      <c r="Y1788">
        <f t="shared" si="110"/>
        <v>423579.66666666669</v>
      </c>
      <c r="Z1788">
        <f t="shared" si="111"/>
        <v>0</v>
      </c>
      <c r="AA1788">
        <v>0</v>
      </c>
    </row>
    <row r="1789" spans="1:27" x14ac:dyDescent="0.25">
      <c r="A1789" s="1">
        <v>1788</v>
      </c>
      <c r="B1789" t="s">
        <v>963</v>
      </c>
      <c r="C1789" t="s">
        <v>1136</v>
      </c>
      <c r="D1789" t="s">
        <v>1143</v>
      </c>
      <c r="E1789" t="s">
        <v>1144</v>
      </c>
      <c r="G1789" t="s">
        <v>1201</v>
      </c>
      <c r="H1789" t="s">
        <v>1201</v>
      </c>
      <c r="I1789" t="s">
        <v>1201</v>
      </c>
      <c r="J1789" t="s">
        <v>1244</v>
      </c>
      <c r="K1789" t="s">
        <v>1212</v>
      </c>
      <c r="M1789" s="3">
        <f t="shared" si="108"/>
        <v>52.571428571428569</v>
      </c>
      <c r="N1789">
        <v>47</v>
      </c>
      <c r="O1789">
        <v>56</v>
      </c>
      <c r="P1789">
        <v>57</v>
      </c>
      <c r="Q1789">
        <v>54</v>
      </c>
      <c r="R1789">
        <v>58</v>
      </c>
      <c r="S1789">
        <v>70</v>
      </c>
      <c r="T1789">
        <v>26</v>
      </c>
      <c r="U1789">
        <v>0</v>
      </c>
      <c r="V1789" s="3">
        <f t="shared" si="109"/>
        <v>161250</v>
      </c>
      <c r="W1789">
        <v>13437.5</v>
      </c>
      <c r="X1789">
        <v>0</v>
      </c>
      <c r="Y1789">
        <f t="shared" si="110"/>
        <v>13437.5</v>
      </c>
      <c r="Z1789">
        <f t="shared" si="111"/>
        <v>0</v>
      </c>
      <c r="AA1789">
        <v>0</v>
      </c>
    </row>
    <row r="1790" spans="1:27" x14ac:dyDescent="0.25">
      <c r="A1790" s="1">
        <v>1789</v>
      </c>
      <c r="B1790" t="s">
        <v>757</v>
      </c>
      <c r="C1790" t="s">
        <v>1136</v>
      </c>
      <c r="D1790" t="s">
        <v>1143</v>
      </c>
      <c r="G1790" t="s">
        <v>1169</v>
      </c>
      <c r="H1790" t="s">
        <v>1169</v>
      </c>
      <c r="I1790" t="s">
        <v>1169</v>
      </c>
      <c r="J1790" t="s">
        <v>1244</v>
      </c>
      <c r="K1790" t="s">
        <v>1212</v>
      </c>
      <c r="M1790" s="3">
        <f t="shared" si="108"/>
        <v>79.285714285714292</v>
      </c>
      <c r="N1790">
        <v>72</v>
      </c>
      <c r="O1790">
        <v>80</v>
      </c>
      <c r="P1790">
        <v>89</v>
      </c>
      <c r="Q1790">
        <v>83</v>
      </c>
      <c r="R1790">
        <v>80</v>
      </c>
      <c r="S1790">
        <v>83</v>
      </c>
      <c r="T1790">
        <v>68</v>
      </c>
      <c r="U1790">
        <v>21</v>
      </c>
      <c r="V1790" s="3">
        <f t="shared" si="109"/>
        <v>14724505</v>
      </c>
      <c r="W1790">
        <v>1227042.0833333333</v>
      </c>
      <c r="X1790">
        <v>0</v>
      </c>
      <c r="Y1790">
        <f t="shared" si="110"/>
        <v>1227042.0833333333</v>
      </c>
      <c r="Z1790">
        <f t="shared" si="111"/>
        <v>0</v>
      </c>
      <c r="AA1790">
        <v>0</v>
      </c>
    </row>
    <row r="1791" spans="1:27" x14ac:dyDescent="0.25">
      <c r="A1791" s="1">
        <v>1790</v>
      </c>
      <c r="B1791" t="s">
        <v>756</v>
      </c>
      <c r="C1791" t="s">
        <v>1136</v>
      </c>
      <c r="D1791" t="s">
        <v>1143</v>
      </c>
      <c r="E1791" t="s">
        <v>1146</v>
      </c>
      <c r="G1791" t="s">
        <v>1169</v>
      </c>
      <c r="H1791" t="s">
        <v>1169</v>
      </c>
      <c r="I1791" t="s">
        <v>1169</v>
      </c>
      <c r="J1791" t="s">
        <v>1244</v>
      </c>
      <c r="K1791" t="s">
        <v>1212</v>
      </c>
      <c r="M1791" s="3">
        <f t="shared" si="108"/>
        <v>74.857142857142861</v>
      </c>
      <c r="N1791">
        <v>65</v>
      </c>
      <c r="O1791">
        <v>78</v>
      </c>
      <c r="P1791">
        <v>85</v>
      </c>
      <c r="Q1791">
        <v>78</v>
      </c>
      <c r="R1791">
        <v>83</v>
      </c>
      <c r="S1791">
        <v>85</v>
      </c>
      <c r="T1791">
        <v>50</v>
      </c>
      <c r="U1791">
        <v>18</v>
      </c>
      <c r="V1791" s="3">
        <f t="shared" si="109"/>
        <v>8287504</v>
      </c>
      <c r="W1791">
        <v>690625.33333333337</v>
      </c>
      <c r="X1791">
        <v>0</v>
      </c>
      <c r="Y1791">
        <f t="shared" si="110"/>
        <v>690625.33333333337</v>
      </c>
      <c r="Z1791">
        <f t="shared" si="111"/>
        <v>0</v>
      </c>
      <c r="AA1791">
        <v>0</v>
      </c>
    </row>
    <row r="1792" spans="1:27" x14ac:dyDescent="0.25">
      <c r="A1792" s="1">
        <v>1791</v>
      </c>
      <c r="B1792" t="s">
        <v>746</v>
      </c>
      <c r="C1792" t="s">
        <v>1136</v>
      </c>
      <c r="D1792" t="s">
        <v>1144</v>
      </c>
      <c r="E1792" t="s">
        <v>1138</v>
      </c>
      <c r="G1792" t="s">
        <v>1167</v>
      </c>
      <c r="H1792" t="s">
        <v>1167</v>
      </c>
      <c r="I1792" t="s">
        <v>1167</v>
      </c>
      <c r="J1792" t="s">
        <v>1244</v>
      </c>
      <c r="K1792" t="s">
        <v>1212</v>
      </c>
      <c r="M1792" s="3">
        <f t="shared" si="108"/>
        <v>64.857142857142861</v>
      </c>
      <c r="N1792">
        <v>45</v>
      </c>
      <c r="O1792">
        <v>70</v>
      </c>
      <c r="P1792">
        <v>71</v>
      </c>
      <c r="Q1792">
        <v>72</v>
      </c>
      <c r="R1792">
        <v>70</v>
      </c>
      <c r="S1792">
        <v>75</v>
      </c>
      <c r="T1792">
        <v>51</v>
      </c>
      <c r="U1792">
        <v>0</v>
      </c>
      <c r="V1792" s="3">
        <f t="shared" si="109"/>
        <v>1316977</v>
      </c>
      <c r="W1792">
        <v>109748.08333333333</v>
      </c>
      <c r="X1792">
        <v>0</v>
      </c>
      <c r="Y1792">
        <f t="shared" si="110"/>
        <v>109748.08333333333</v>
      </c>
      <c r="Z1792">
        <f t="shared" si="111"/>
        <v>0</v>
      </c>
      <c r="AA1792">
        <v>0</v>
      </c>
    </row>
    <row r="1793" spans="1:27" x14ac:dyDescent="0.25">
      <c r="A1793" s="1">
        <v>1792</v>
      </c>
      <c r="B1793" t="s">
        <v>882</v>
      </c>
      <c r="C1793" t="s">
        <v>1136</v>
      </c>
      <c r="D1793" t="s">
        <v>1143</v>
      </c>
      <c r="G1793" t="s">
        <v>1189</v>
      </c>
      <c r="H1793" t="s">
        <v>1189</v>
      </c>
      <c r="I1793" t="s">
        <v>1189</v>
      </c>
      <c r="J1793" t="s">
        <v>1244</v>
      </c>
      <c r="K1793" t="s">
        <v>1212</v>
      </c>
      <c r="M1793" s="3">
        <f t="shared" si="108"/>
        <v>45.428571428571431</v>
      </c>
      <c r="N1793">
        <v>49</v>
      </c>
      <c r="O1793">
        <v>42</v>
      </c>
      <c r="P1793">
        <v>50</v>
      </c>
      <c r="Q1793">
        <v>67</v>
      </c>
      <c r="R1793">
        <v>41</v>
      </c>
      <c r="S1793">
        <v>55</v>
      </c>
      <c r="T1793">
        <v>14</v>
      </c>
      <c r="U1793">
        <v>0</v>
      </c>
      <c r="V1793" s="3">
        <f t="shared" si="109"/>
        <v>37437</v>
      </c>
      <c r="W1793">
        <v>3119.75</v>
      </c>
      <c r="X1793">
        <v>0</v>
      </c>
      <c r="Y1793">
        <f t="shared" si="110"/>
        <v>3119.75</v>
      </c>
      <c r="Z1793">
        <f t="shared" si="111"/>
        <v>0</v>
      </c>
      <c r="AA1793">
        <v>0</v>
      </c>
    </row>
    <row r="1794" spans="1:27" x14ac:dyDescent="0.25">
      <c r="A1794" s="1">
        <v>1793</v>
      </c>
      <c r="B1794" t="s">
        <v>755</v>
      </c>
      <c r="C1794" t="s">
        <v>1136</v>
      </c>
      <c r="D1794" t="s">
        <v>1146</v>
      </c>
      <c r="G1794" t="s">
        <v>1169</v>
      </c>
      <c r="H1794" t="s">
        <v>1169</v>
      </c>
      <c r="I1794" t="s">
        <v>1169</v>
      </c>
      <c r="J1794" t="s">
        <v>1244</v>
      </c>
      <c r="K1794" t="s">
        <v>1212</v>
      </c>
      <c r="M1794" s="3">
        <f t="shared" ref="M1794:M1857" si="112">AVERAGE(N1794:T1794)</f>
        <v>70.142857142857139</v>
      </c>
      <c r="N1794">
        <v>60</v>
      </c>
      <c r="O1794">
        <v>90</v>
      </c>
      <c r="P1794">
        <v>72</v>
      </c>
      <c r="Q1794">
        <v>72</v>
      </c>
      <c r="R1794">
        <v>71</v>
      </c>
      <c r="S1794">
        <v>73</v>
      </c>
      <c r="T1794">
        <v>53</v>
      </c>
      <c r="U1794">
        <v>3</v>
      </c>
      <c r="V1794" s="3">
        <f t="shared" ref="V1794:V1857" si="113">ROUNDUP(M1794^10/1000000000000 * IF(U1794&gt;0,1.5,1),0)</f>
        <v>4324400</v>
      </c>
      <c r="W1794">
        <v>360366.66666666669</v>
      </c>
      <c r="X1794">
        <v>0</v>
      </c>
      <c r="Y1794">
        <f t="shared" ref="Y1794:Y1857" si="114">V1794/12</f>
        <v>360366.66666666669</v>
      </c>
      <c r="Z1794">
        <f t="shared" ref="Z1794:Z1857" si="115">ROUND(((W1794-Y1794)/Y1794)*100,2)</f>
        <v>0</v>
      </c>
      <c r="AA1794">
        <v>0</v>
      </c>
    </row>
    <row r="1795" spans="1:27" x14ac:dyDescent="0.25">
      <c r="A1795" s="1">
        <v>1794</v>
      </c>
      <c r="B1795" t="s">
        <v>82</v>
      </c>
      <c r="C1795" t="s">
        <v>1133</v>
      </c>
      <c r="D1795" t="s">
        <v>1133</v>
      </c>
      <c r="G1795" t="s">
        <v>1192</v>
      </c>
      <c r="H1795" t="s">
        <v>1192</v>
      </c>
      <c r="I1795" t="s">
        <v>1192</v>
      </c>
      <c r="J1795" t="s">
        <v>1262</v>
      </c>
      <c r="K1795" t="s">
        <v>1212</v>
      </c>
      <c r="M1795" s="3">
        <f t="shared" si="112"/>
        <v>82.857142857142861</v>
      </c>
      <c r="N1795">
        <v>60</v>
      </c>
      <c r="O1795">
        <v>90</v>
      </c>
      <c r="P1795">
        <v>97</v>
      </c>
      <c r="Q1795">
        <v>80</v>
      </c>
      <c r="R1795">
        <v>82</v>
      </c>
      <c r="S1795">
        <v>91</v>
      </c>
      <c r="T1795">
        <v>80</v>
      </c>
      <c r="U1795">
        <v>31</v>
      </c>
      <c r="V1795" s="3">
        <f t="shared" si="113"/>
        <v>22876564</v>
      </c>
      <c r="W1795">
        <v>1906380.3333333333</v>
      </c>
      <c r="X1795">
        <v>0</v>
      </c>
      <c r="Y1795">
        <f t="shared" si="114"/>
        <v>1906380.3333333333</v>
      </c>
      <c r="Z1795">
        <f t="shared" si="115"/>
        <v>0</v>
      </c>
      <c r="AA1795">
        <v>0</v>
      </c>
    </row>
    <row r="1796" spans="1:27" x14ac:dyDescent="0.25">
      <c r="A1796" s="1">
        <v>1795</v>
      </c>
      <c r="B1796" t="s">
        <v>2031</v>
      </c>
      <c r="C1796" t="s">
        <v>1133</v>
      </c>
      <c r="D1796" t="s">
        <v>1133</v>
      </c>
      <c r="H1796" t="s">
        <v>1192</v>
      </c>
      <c r="I1796" t="s">
        <v>1192</v>
      </c>
      <c r="J1796" t="s">
        <v>1262</v>
      </c>
      <c r="K1796" t="s">
        <v>1212</v>
      </c>
      <c r="M1796" s="3">
        <f t="shared" si="112"/>
        <v>78.714285714285708</v>
      </c>
      <c r="N1796">
        <v>45</v>
      </c>
      <c r="O1796">
        <v>80</v>
      </c>
      <c r="P1796">
        <v>88</v>
      </c>
      <c r="Q1796">
        <v>84</v>
      </c>
      <c r="R1796">
        <v>90</v>
      </c>
      <c r="S1796">
        <v>94</v>
      </c>
      <c r="T1796">
        <v>70</v>
      </c>
      <c r="U1796">
        <v>29</v>
      </c>
      <c r="V1796" s="3">
        <f t="shared" si="113"/>
        <v>13697044</v>
      </c>
      <c r="W1796">
        <v>1141420.3333333333</v>
      </c>
      <c r="X1796">
        <v>0</v>
      </c>
      <c r="Y1796">
        <f t="shared" si="114"/>
        <v>1141420.3333333333</v>
      </c>
      <c r="Z1796">
        <f t="shared" si="115"/>
        <v>0</v>
      </c>
      <c r="AA1796">
        <v>0</v>
      </c>
    </row>
    <row r="1797" spans="1:27" x14ac:dyDescent="0.25">
      <c r="A1797" s="1">
        <v>1796</v>
      </c>
      <c r="B1797" t="s">
        <v>2033</v>
      </c>
      <c r="C1797" t="s">
        <v>1134</v>
      </c>
      <c r="D1797" t="s">
        <v>1140</v>
      </c>
      <c r="E1797" t="s">
        <v>1138</v>
      </c>
      <c r="H1797" t="s">
        <v>1192</v>
      </c>
      <c r="I1797" t="s">
        <v>1192</v>
      </c>
      <c r="J1797" t="s">
        <v>1262</v>
      </c>
      <c r="K1797" t="s">
        <v>1212</v>
      </c>
      <c r="M1797" s="3">
        <f t="shared" si="112"/>
        <v>62</v>
      </c>
      <c r="N1797">
        <v>18</v>
      </c>
      <c r="O1797">
        <v>78</v>
      </c>
      <c r="P1797">
        <v>71</v>
      </c>
      <c r="Q1797">
        <v>75</v>
      </c>
      <c r="R1797">
        <v>77</v>
      </c>
      <c r="S1797">
        <v>80</v>
      </c>
      <c r="T1797">
        <v>35</v>
      </c>
      <c r="U1797">
        <v>0</v>
      </c>
      <c r="V1797" s="3">
        <f t="shared" si="113"/>
        <v>839300</v>
      </c>
      <c r="W1797">
        <v>69941.666666666672</v>
      </c>
      <c r="X1797">
        <v>0</v>
      </c>
      <c r="Y1797">
        <f t="shared" si="114"/>
        <v>69941.666666666672</v>
      </c>
      <c r="Z1797">
        <f t="shared" si="115"/>
        <v>0</v>
      </c>
      <c r="AA1797">
        <v>0</v>
      </c>
    </row>
    <row r="1798" spans="1:27" x14ac:dyDescent="0.25">
      <c r="A1798" s="1">
        <v>1797</v>
      </c>
      <c r="B1798" t="s">
        <v>2035</v>
      </c>
      <c r="C1798" t="s">
        <v>1134</v>
      </c>
      <c r="D1798" t="s">
        <v>1139</v>
      </c>
      <c r="E1798" t="s">
        <v>1138</v>
      </c>
      <c r="H1798" t="s">
        <v>1192</v>
      </c>
      <c r="I1798" t="s">
        <v>1192</v>
      </c>
      <c r="J1798" t="s">
        <v>1262</v>
      </c>
      <c r="K1798" t="s">
        <v>1212</v>
      </c>
      <c r="M1798" s="3">
        <f t="shared" si="112"/>
        <v>60.714285714285715</v>
      </c>
      <c r="N1798">
        <v>22</v>
      </c>
      <c r="O1798">
        <v>73</v>
      </c>
      <c r="P1798">
        <v>69</v>
      </c>
      <c r="Q1798">
        <v>73</v>
      </c>
      <c r="R1798">
        <v>75</v>
      </c>
      <c r="S1798">
        <v>77</v>
      </c>
      <c r="T1798">
        <v>36</v>
      </c>
      <c r="U1798">
        <v>0</v>
      </c>
      <c r="V1798" s="3">
        <f t="shared" si="113"/>
        <v>680627</v>
      </c>
      <c r="W1798">
        <v>56718.916666666664</v>
      </c>
      <c r="X1798">
        <v>0</v>
      </c>
      <c r="Y1798">
        <f t="shared" si="114"/>
        <v>56718.916666666664</v>
      </c>
      <c r="Z1798">
        <f t="shared" si="115"/>
        <v>0</v>
      </c>
      <c r="AA1798">
        <v>0</v>
      </c>
    </row>
    <row r="1799" spans="1:27" x14ac:dyDescent="0.25">
      <c r="A1799" s="1">
        <v>1798</v>
      </c>
      <c r="B1799" t="s">
        <v>2034</v>
      </c>
      <c r="C1799" t="s">
        <v>1134</v>
      </c>
      <c r="D1799" t="s">
        <v>1140</v>
      </c>
      <c r="E1799" t="s">
        <v>1138</v>
      </c>
      <c r="H1799" t="s">
        <v>1192</v>
      </c>
      <c r="I1799" t="s">
        <v>1192</v>
      </c>
      <c r="J1799" t="s">
        <v>1262</v>
      </c>
      <c r="K1799" t="s">
        <v>1212</v>
      </c>
      <c r="M1799" s="3">
        <f t="shared" si="112"/>
        <v>62.714285714285715</v>
      </c>
      <c r="N1799">
        <v>24</v>
      </c>
      <c r="O1799">
        <v>75</v>
      </c>
      <c r="P1799">
        <v>71</v>
      </c>
      <c r="Q1799">
        <v>75</v>
      </c>
      <c r="R1799">
        <v>77</v>
      </c>
      <c r="S1799">
        <v>79</v>
      </c>
      <c r="T1799">
        <v>38</v>
      </c>
      <c r="U1799">
        <v>0</v>
      </c>
      <c r="V1799" s="3">
        <f t="shared" si="113"/>
        <v>941163</v>
      </c>
      <c r="W1799">
        <v>78430.25</v>
      </c>
      <c r="X1799">
        <v>0</v>
      </c>
      <c r="Y1799">
        <f t="shared" si="114"/>
        <v>78430.25</v>
      </c>
      <c r="Z1799">
        <f t="shared" si="115"/>
        <v>0</v>
      </c>
      <c r="AA1799">
        <v>0</v>
      </c>
    </row>
    <row r="1800" spans="1:27" x14ac:dyDescent="0.25">
      <c r="A1800" s="1">
        <v>1799</v>
      </c>
      <c r="B1800" t="s">
        <v>337</v>
      </c>
      <c r="C1800" t="s">
        <v>1134</v>
      </c>
      <c r="D1800" t="s">
        <v>1138</v>
      </c>
      <c r="E1800" t="s">
        <v>1139</v>
      </c>
      <c r="G1800" t="s">
        <v>1192</v>
      </c>
      <c r="H1800" t="s">
        <v>1192</v>
      </c>
      <c r="I1800" t="s">
        <v>1192</v>
      </c>
      <c r="J1800" t="s">
        <v>1262</v>
      </c>
      <c r="K1800" t="s">
        <v>1212</v>
      </c>
      <c r="M1800" s="3">
        <f t="shared" si="112"/>
        <v>85.142857142857139</v>
      </c>
      <c r="N1800">
        <v>80</v>
      </c>
      <c r="O1800">
        <v>85</v>
      </c>
      <c r="P1800">
        <v>85</v>
      </c>
      <c r="Q1800">
        <v>87</v>
      </c>
      <c r="R1800">
        <v>89</v>
      </c>
      <c r="S1800">
        <v>87</v>
      </c>
      <c r="T1800">
        <v>83</v>
      </c>
      <c r="U1800">
        <v>26</v>
      </c>
      <c r="V1800" s="3">
        <f t="shared" si="113"/>
        <v>30031254</v>
      </c>
      <c r="W1800">
        <v>2502604.5</v>
      </c>
      <c r="X1800">
        <v>0</v>
      </c>
      <c r="Y1800">
        <f t="shared" si="114"/>
        <v>2502604.5</v>
      </c>
      <c r="Z1800">
        <f t="shared" si="115"/>
        <v>0</v>
      </c>
      <c r="AA1800">
        <v>0</v>
      </c>
    </row>
    <row r="1801" spans="1:27" x14ac:dyDescent="0.25">
      <c r="A1801" s="1">
        <v>1800</v>
      </c>
      <c r="B1801" t="s">
        <v>338</v>
      </c>
      <c r="C1801" t="s">
        <v>1134</v>
      </c>
      <c r="D1801" t="s">
        <v>1138</v>
      </c>
      <c r="E1801" t="s">
        <v>1144</v>
      </c>
      <c r="G1801" t="s">
        <v>1192</v>
      </c>
      <c r="H1801" t="s">
        <v>1192</v>
      </c>
      <c r="I1801" t="s">
        <v>1192</v>
      </c>
      <c r="J1801" t="s">
        <v>1262</v>
      </c>
      <c r="K1801" t="s">
        <v>1212</v>
      </c>
      <c r="M1801" s="3">
        <f t="shared" si="112"/>
        <v>89.714285714285708</v>
      </c>
      <c r="N1801">
        <v>84</v>
      </c>
      <c r="O1801">
        <v>82</v>
      </c>
      <c r="P1801">
        <v>90</v>
      </c>
      <c r="Q1801">
        <v>91</v>
      </c>
      <c r="R1801">
        <v>93</v>
      </c>
      <c r="S1801">
        <v>98</v>
      </c>
      <c r="T1801">
        <v>90</v>
      </c>
      <c r="U1801">
        <v>26</v>
      </c>
      <c r="V1801" s="3">
        <f t="shared" si="113"/>
        <v>50664913</v>
      </c>
      <c r="W1801">
        <v>4222076.083333333</v>
      </c>
      <c r="X1801">
        <v>0</v>
      </c>
      <c r="Y1801">
        <f t="shared" si="114"/>
        <v>4222076.083333333</v>
      </c>
      <c r="Z1801">
        <f t="shared" si="115"/>
        <v>0</v>
      </c>
      <c r="AA1801">
        <v>0</v>
      </c>
    </row>
    <row r="1802" spans="1:27" x14ac:dyDescent="0.25">
      <c r="A1802" s="1">
        <v>1801</v>
      </c>
      <c r="B1802" t="s">
        <v>2042</v>
      </c>
      <c r="C1802" t="s">
        <v>1135</v>
      </c>
      <c r="D1802" t="s">
        <v>1141</v>
      </c>
      <c r="E1802" t="s">
        <v>1142</v>
      </c>
      <c r="H1802" t="s">
        <v>1192</v>
      </c>
      <c r="I1802" t="s">
        <v>1192</v>
      </c>
      <c r="J1802" t="s">
        <v>1262</v>
      </c>
      <c r="K1802" t="s">
        <v>1212</v>
      </c>
      <c r="M1802" s="3">
        <f t="shared" si="112"/>
        <v>63.571428571428569</v>
      </c>
      <c r="N1802">
        <v>13</v>
      </c>
      <c r="O1802">
        <v>87</v>
      </c>
      <c r="P1802">
        <v>71</v>
      </c>
      <c r="Q1802">
        <v>79</v>
      </c>
      <c r="R1802">
        <v>81</v>
      </c>
      <c r="S1802">
        <v>83</v>
      </c>
      <c r="T1802">
        <v>31</v>
      </c>
      <c r="U1802">
        <v>0</v>
      </c>
      <c r="V1802" s="3">
        <f t="shared" si="113"/>
        <v>1078003</v>
      </c>
      <c r="W1802">
        <v>89833.583333333328</v>
      </c>
      <c r="X1802">
        <v>0</v>
      </c>
      <c r="Y1802">
        <f t="shared" si="114"/>
        <v>89833.583333333328</v>
      </c>
      <c r="Z1802">
        <f t="shared" si="115"/>
        <v>0</v>
      </c>
      <c r="AA1802">
        <v>0</v>
      </c>
    </row>
    <row r="1803" spans="1:27" x14ac:dyDescent="0.25">
      <c r="A1803" s="1">
        <v>1802</v>
      </c>
      <c r="B1803" t="s">
        <v>2041</v>
      </c>
      <c r="C1803" t="s">
        <v>1135</v>
      </c>
      <c r="D1803" t="s">
        <v>1142</v>
      </c>
      <c r="E1803" t="s">
        <v>1141</v>
      </c>
      <c r="H1803" t="s">
        <v>1192</v>
      </c>
      <c r="I1803" t="s">
        <v>1192</v>
      </c>
      <c r="J1803" t="s">
        <v>1262</v>
      </c>
      <c r="K1803" t="s">
        <v>1212</v>
      </c>
      <c r="M1803" s="3">
        <f t="shared" si="112"/>
        <v>64.714285714285708</v>
      </c>
      <c r="N1803">
        <v>20</v>
      </c>
      <c r="O1803">
        <v>76</v>
      </c>
      <c r="P1803">
        <v>73</v>
      </c>
      <c r="Q1803">
        <v>81</v>
      </c>
      <c r="R1803">
        <v>83</v>
      </c>
      <c r="S1803">
        <v>85</v>
      </c>
      <c r="T1803">
        <v>35</v>
      </c>
      <c r="U1803">
        <v>0</v>
      </c>
      <c r="V1803" s="3">
        <f t="shared" si="113"/>
        <v>1288255</v>
      </c>
      <c r="W1803">
        <v>107354.58333333333</v>
      </c>
      <c r="X1803">
        <v>0</v>
      </c>
      <c r="Y1803">
        <f t="shared" si="114"/>
        <v>107354.58333333333</v>
      </c>
      <c r="Z1803">
        <f t="shared" si="115"/>
        <v>0</v>
      </c>
      <c r="AA1803">
        <v>0</v>
      </c>
    </row>
    <row r="1804" spans="1:27" x14ac:dyDescent="0.25">
      <c r="A1804" s="1">
        <v>1803</v>
      </c>
      <c r="B1804" t="s">
        <v>2565</v>
      </c>
      <c r="C1804" t="s">
        <v>1136</v>
      </c>
      <c r="D1804" t="s">
        <v>1146</v>
      </c>
      <c r="E1804" t="s">
        <v>1144</v>
      </c>
      <c r="H1804" t="s">
        <v>1192</v>
      </c>
      <c r="I1804" t="s">
        <v>1192</v>
      </c>
      <c r="J1804" t="s">
        <v>1262</v>
      </c>
      <c r="K1804" t="s">
        <v>1212</v>
      </c>
      <c r="M1804" s="3">
        <f t="shared" si="112"/>
        <v>70.714285714285708</v>
      </c>
      <c r="N1804">
        <v>23</v>
      </c>
      <c r="O1804">
        <v>82</v>
      </c>
      <c r="P1804">
        <v>81</v>
      </c>
      <c r="Q1804">
        <v>87</v>
      </c>
      <c r="R1804">
        <v>89</v>
      </c>
      <c r="S1804">
        <v>91</v>
      </c>
      <c r="T1804">
        <v>42</v>
      </c>
      <c r="U1804">
        <v>0</v>
      </c>
      <c r="V1804" s="3">
        <f t="shared" si="113"/>
        <v>3126595</v>
      </c>
      <c r="W1804">
        <v>260549.58333333334</v>
      </c>
      <c r="X1804">
        <v>0</v>
      </c>
      <c r="Y1804">
        <f t="shared" si="114"/>
        <v>260549.58333333334</v>
      </c>
      <c r="Z1804">
        <f t="shared" si="115"/>
        <v>0</v>
      </c>
      <c r="AA1804">
        <v>0</v>
      </c>
    </row>
    <row r="1805" spans="1:27" x14ac:dyDescent="0.25">
      <c r="A1805" s="1">
        <v>1804</v>
      </c>
      <c r="B1805" t="s">
        <v>2038</v>
      </c>
      <c r="C1805" t="s">
        <v>1136</v>
      </c>
      <c r="D1805" t="s">
        <v>1145</v>
      </c>
      <c r="E1805" t="s">
        <v>1147</v>
      </c>
      <c r="H1805" t="s">
        <v>1192</v>
      </c>
      <c r="I1805" t="s">
        <v>1192</v>
      </c>
      <c r="J1805" t="s">
        <v>1262</v>
      </c>
      <c r="K1805" t="s">
        <v>1212</v>
      </c>
      <c r="M1805" s="3">
        <f t="shared" si="112"/>
        <v>65.857142857142861</v>
      </c>
      <c r="N1805">
        <v>19</v>
      </c>
      <c r="O1805">
        <v>76</v>
      </c>
      <c r="P1805">
        <v>75</v>
      </c>
      <c r="Q1805">
        <v>83</v>
      </c>
      <c r="R1805">
        <v>85</v>
      </c>
      <c r="S1805">
        <v>87</v>
      </c>
      <c r="T1805">
        <v>36</v>
      </c>
      <c r="U1805">
        <v>0</v>
      </c>
      <c r="V1805" s="3">
        <f t="shared" si="113"/>
        <v>1534719</v>
      </c>
      <c r="W1805">
        <v>127893.25</v>
      </c>
      <c r="X1805">
        <v>0</v>
      </c>
      <c r="Y1805">
        <f t="shared" si="114"/>
        <v>127893.25</v>
      </c>
      <c r="Z1805">
        <f t="shared" si="115"/>
        <v>0</v>
      </c>
      <c r="AA1805">
        <v>0</v>
      </c>
    </row>
    <row r="1806" spans="1:27" x14ac:dyDescent="0.25">
      <c r="A1806" s="1">
        <v>1805</v>
      </c>
      <c r="B1806" t="s">
        <v>898</v>
      </c>
      <c r="C1806" t="s">
        <v>1136</v>
      </c>
      <c r="D1806" t="s">
        <v>1144</v>
      </c>
      <c r="E1806" t="s">
        <v>1138</v>
      </c>
      <c r="G1806" t="s">
        <v>1192</v>
      </c>
      <c r="H1806" t="s">
        <v>1192</v>
      </c>
      <c r="I1806" t="s">
        <v>1192</v>
      </c>
      <c r="J1806" t="s">
        <v>1262</v>
      </c>
      <c r="K1806" t="s">
        <v>1212</v>
      </c>
      <c r="M1806" s="3">
        <f t="shared" si="112"/>
        <v>83.142857142857139</v>
      </c>
      <c r="N1806">
        <v>75</v>
      </c>
      <c r="O1806">
        <v>84</v>
      </c>
      <c r="P1806">
        <v>84</v>
      </c>
      <c r="Q1806">
        <v>83</v>
      </c>
      <c r="R1806">
        <v>86</v>
      </c>
      <c r="S1806">
        <v>90</v>
      </c>
      <c r="T1806">
        <v>80</v>
      </c>
      <c r="U1806">
        <v>0</v>
      </c>
      <c r="V1806" s="3">
        <f t="shared" si="113"/>
        <v>15785177</v>
      </c>
      <c r="W1806">
        <v>1315431.4166666667</v>
      </c>
      <c r="X1806">
        <v>0</v>
      </c>
      <c r="Y1806">
        <f t="shared" si="114"/>
        <v>1315431.4166666667</v>
      </c>
      <c r="Z1806">
        <f t="shared" si="115"/>
        <v>0</v>
      </c>
      <c r="AA1806">
        <v>0</v>
      </c>
    </row>
    <row r="1807" spans="1:27" x14ac:dyDescent="0.25">
      <c r="A1807" s="1">
        <v>1806</v>
      </c>
      <c r="B1807" t="s">
        <v>2045</v>
      </c>
      <c r="C1807" t="s">
        <v>1136</v>
      </c>
      <c r="D1807" t="s">
        <v>1147</v>
      </c>
      <c r="E1807" t="s">
        <v>1145</v>
      </c>
      <c r="H1807" t="s">
        <v>1192</v>
      </c>
      <c r="I1807" t="s">
        <v>1192</v>
      </c>
      <c r="J1807" t="s">
        <v>1262</v>
      </c>
      <c r="K1807" t="s">
        <v>1212</v>
      </c>
      <c r="M1807" s="3">
        <f t="shared" si="112"/>
        <v>64.571428571428569</v>
      </c>
      <c r="N1807">
        <v>21</v>
      </c>
      <c r="O1807">
        <v>73</v>
      </c>
      <c r="P1807">
        <v>74</v>
      </c>
      <c r="Q1807">
        <v>80</v>
      </c>
      <c r="R1807">
        <v>82</v>
      </c>
      <c r="S1807">
        <v>84</v>
      </c>
      <c r="T1807">
        <v>38</v>
      </c>
      <c r="U1807">
        <v>0</v>
      </c>
      <c r="V1807" s="3">
        <f t="shared" si="113"/>
        <v>1260097</v>
      </c>
      <c r="W1807">
        <v>105008.08333333333</v>
      </c>
      <c r="X1807">
        <v>0</v>
      </c>
      <c r="Y1807">
        <f t="shared" si="114"/>
        <v>105008.08333333333</v>
      </c>
      <c r="Z1807">
        <f t="shared" si="115"/>
        <v>0</v>
      </c>
      <c r="AA1807">
        <v>0</v>
      </c>
    </row>
    <row r="1808" spans="1:27" x14ac:dyDescent="0.25">
      <c r="A1808" s="1">
        <v>1807</v>
      </c>
      <c r="B1808" t="s">
        <v>2043</v>
      </c>
      <c r="C1808" t="s">
        <v>1136</v>
      </c>
      <c r="D1808" t="s">
        <v>1144</v>
      </c>
      <c r="E1808" t="s">
        <v>1143</v>
      </c>
      <c r="H1808" t="s">
        <v>1192</v>
      </c>
      <c r="I1808" t="s">
        <v>1192</v>
      </c>
      <c r="J1808" t="s">
        <v>1262</v>
      </c>
      <c r="K1808" t="s">
        <v>1212</v>
      </c>
      <c r="M1808" s="3">
        <f t="shared" si="112"/>
        <v>61</v>
      </c>
      <c r="N1808">
        <v>19</v>
      </c>
      <c r="O1808">
        <v>70</v>
      </c>
      <c r="P1808">
        <v>67</v>
      </c>
      <c r="Q1808">
        <v>77</v>
      </c>
      <c r="R1808">
        <v>79</v>
      </c>
      <c r="S1808">
        <v>81</v>
      </c>
      <c r="T1808">
        <v>34</v>
      </c>
      <c r="U1808">
        <v>0</v>
      </c>
      <c r="V1808" s="3">
        <f t="shared" si="113"/>
        <v>713343</v>
      </c>
      <c r="W1808">
        <v>59445.25</v>
      </c>
      <c r="X1808">
        <v>0</v>
      </c>
      <c r="Y1808">
        <f t="shared" si="114"/>
        <v>59445.25</v>
      </c>
      <c r="Z1808">
        <f t="shared" si="115"/>
        <v>0</v>
      </c>
      <c r="AA1808">
        <v>0</v>
      </c>
    </row>
    <row r="1809" spans="1:27" x14ac:dyDescent="0.25">
      <c r="A1809" s="1">
        <v>1808</v>
      </c>
      <c r="B1809" t="s">
        <v>2039</v>
      </c>
      <c r="C1809" t="s">
        <v>1136</v>
      </c>
      <c r="D1809" t="s">
        <v>1146</v>
      </c>
      <c r="E1809" t="s">
        <v>1143</v>
      </c>
      <c r="H1809" t="s">
        <v>1192</v>
      </c>
      <c r="I1809" t="s">
        <v>1192</v>
      </c>
      <c r="J1809" t="s">
        <v>1262</v>
      </c>
      <c r="K1809" t="s">
        <v>1212</v>
      </c>
      <c r="M1809" s="3">
        <f t="shared" si="112"/>
        <v>62.285714285714285</v>
      </c>
      <c r="N1809">
        <v>18</v>
      </c>
      <c r="O1809">
        <v>72</v>
      </c>
      <c r="P1809">
        <v>71</v>
      </c>
      <c r="Q1809">
        <v>79</v>
      </c>
      <c r="R1809">
        <v>81</v>
      </c>
      <c r="S1809">
        <v>83</v>
      </c>
      <c r="T1809">
        <v>32</v>
      </c>
      <c r="U1809">
        <v>0</v>
      </c>
      <c r="V1809" s="3">
        <f t="shared" si="113"/>
        <v>878789</v>
      </c>
      <c r="W1809">
        <v>73232.416666666672</v>
      </c>
      <c r="X1809">
        <v>0</v>
      </c>
      <c r="Y1809">
        <f t="shared" si="114"/>
        <v>73232.416666666672</v>
      </c>
      <c r="Z1809">
        <f t="shared" si="115"/>
        <v>0</v>
      </c>
      <c r="AA1809">
        <v>0</v>
      </c>
    </row>
    <row r="1810" spans="1:27" x14ac:dyDescent="0.25">
      <c r="A1810" s="1">
        <v>1809</v>
      </c>
      <c r="B1810" t="s">
        <v>2037</v>
      </c>
      <c r="C1810" t="s">
        <v>1136</v>
      </c>
      <c r="D1810" t="s">
        <v>1143</v>
      </c>
      <c r="E1810" t="s">
        <v>1144</v>
      </c>
      <c r="H1810" t="s">
        <v>1192</v>
      </c>
      <c r="I1810" t="s">
        <v>1192</v>
      </c>
      <c r="J1810" t="s">
        <v>1262</v>
      </c>
      <c r="K1810" t="s">
        <v>1212</v>
      </c>
      <c r="M1810" s="3">
        <f t="shared" si="112"/>
        <v>63.428571428571431</v>
      </c>
      <c r="N1810">
        <v>18</v>
      </c>
      <c r="O1810">
        <v>73</v>
      </c>
      <c r="P1810">
        <v>71</v>
      </c>
      <c r="Q1810">
        <v>81</v>
      </c>
      <c r="R1810">
        <v>83</v>
      </c>
      <c r="S1810">
        <v>85</v>
      </c>
      <c r="T1810">
        <v>33</v>
      </c>
      <c r="U1810">
        <v>0</v>
      </c>
      <c r="V1810" s="3">
        <f t="shared" si="113"/>
        <v>1054022</v>
      </c>
      <c r="W1810">
        <v>87835.166666666672</v>
      </c>
      <c r="X1810">
        <v>0</v>
      </c>
      <c r="Y1810">
        <f t="shared" si="114"/>
        <v>87835.166666666672</v>
      </c>
      <c r="Z1810">
        <f t="shared" si="115"/>
        <v>0</v>
      </c>
      <c r="AA1810">
        <v>0</v>
      </c>
    </row>
    <row r="1811" spans="1:27" x14ac:dyDescent="0.25">
      <c r="A1811" s="1">
        <v>1810</v>
      </c>
      <c r="B1811" t="s">
        <v>2036</v>
      </c>
      <c r="C1811" t="s">
        <v>1136</v>
      </c>
      <c r="D1811" t="s">
        <v>1143</v>
      </c>
      <c r="E1811" t="s">
        <v>1144</v>
      </c>
      <c r="H1811" t="s">
        <v>1192</v>
      </c>
      <c r="I1811" t="s">
        <v>1192</v>
      </c>
      <c r="J1811" t="s">
        <v>1262</v>
      </c>
      <c r="K1811" t="s">
        <v>1212</v>
      </c>
      <c r="M1811" s="3">
        <f t="shared" si="112"/>
        <v>72.714285714285708</v>
      </c>
      <c r="N1811">
        <v>26</v>
      </c>
      <c r="O1811">
        <v>84</v>
      </c>
      <c r="P1811">
        <v>84</v>
      </c>
      <c r="Q1811">
        <v>88</v>
      </c>
      <c r="R1811">
        <v>90</v>
      </c>
      <c r="S1811">
        <v>92</v>
      </c>
      <c r="T1811">
        <v>45</v>
      </c>
      <c r="U1811">
        <v>0</v>
      </c>
      <c r="V1811" s="3">
        <f t="shared" si="113"/>
        <v>4132354</v>
      </c>
      <c r="W1811">
        <v>344362.83333333331</v>
      </c>
      <c r="X1811">
        <v>0</v>
      </c>
      <c r="Y1811">
        <f t="shared" si="114"/>
        <v>344362.83333333331</v>
      </c>
      <c r="Z1811">
        <f t="shared" si="115"/>
        <v>0</v>
      </c>
      <c r="AA1811">
        <v>0</v>
      </c>
    </row>
    <row r="1812" spans="1:27" x14ac:dyDescent="0.25">
      <c r="A1812" s="1">
        <v>1811</v>
      </c>
      <c r="B1812" t="s">
        <v>2044</v>
      </c>
      <c r="C1812" t="s">
        <v>1136</v>
      </c>
      <c r="D1812" t="s">
        <v>1145</v>
      </c>
      <c r="E1812" t="s">
        <v>1143</v>
      </c>
      <c r="H1812" t="s">
        <v>1192</v>
      </c>
      <c r="I1812" t="s">
        <v>1192</v>
      </c>
      <c r="J1812" t="s">
        <v>1262</v>
      </c>
      <c r="K1812" t="s">
        <v>1212</v>
      </c>
      <c r="M1812" s="3">
        <f t="shared" si="112"/>
        <v>68.428571428571431</v>
      </c>
      <c r="N1812">
        <v>22</v>
      </c>
      <c r="O1812">
        <v>80</v>
      </c>
      <c r="P1812">
        <v>79</v>
      </c>
      <c r="Q1812">
        <v>87</v>
      </c>
      <c r="R1812">
        <v>85</v>
      </c>
      <c r="S1812">
        <v>87</v>
      </c>
      <c r="T1812">
        <v>39</v>
      </c>
      <c r="U1812">
        <v>0</v>
      </c>
      <c r="V1812" s="3">
        <f t="shared" si="113"/>
        <v>2250997</v>
      </c>
      <c r="W1812">
        <v>187583.08333333334</v>
      </c>
      <c r="X1812">
        <v>0</v>
      </c>
      <c r="Y1812">
        <f t="shared" si="114"/>
        <v>187583.08333333334</v>
      </c>
      <c r="Z1812">
        <f t="shared" si="115"/>
        <v>0</v>
      </c>
      <c r="AA1812">
        <v>0</v>
      </c>
    </row>
    <row r="1813" spans="1:27" x14ac:dyDescent="0.25">
      <c r="A1813" s="1">
        <v>1812</v>
      </c>
      <c r="B1813" t="s">
        <v>2040</v>
      </c>
      <c r="C1813" t="s">
        <v>1136</v>
      </c>
      <c r="D1813" t="s">
        <v>1147</v>
      </c>
      <c r="E1813" t="s">
        <v>1146</v>
      </c>
      <c r="H1813" t="s">
        <v>1192</v>
      </c>
      <c r="I1813" t="s">
        <v>1192</v>
      </c>
      <c r="J1813" t="s">
        <v>1262</v>
      </c>
      <c r="K1813" t="s">
        <v>1212</v>
      </c>
      <c r="M1813" s="3">
        <f t="shared" si="112"/>
        <v>77.571428571428569</v>
      </c>
      <c r="N1813">
        <v>29</v>
      </c>
      <c r="O1813">
        <v>88</v>
      </c>
      <c r="P1813">
        <v>92</v>
      </c>
      <c r="Q1813">
        <v>92</v>
      </c>
      <c r="R1813">
        <v>94</v>
      </c>
      <c r="S1813">
        <v>96</v>
      </c>
      <c r="T1813">
        <v>52</v>
      </c>
      <c r="U1813">
        <v>0</v>
      </c>
      <c r="V1813" s="3">
        <f t="shared" si="113"/>
        <v>7888927</v>
      </c>
      <c r="W1813">
        <v>657410.58333333337</v>
      </c>
      <c r="X1813">
        <v>0</v>
      </c>
      <c r="Y1813">
        <f t="shared" si="114"/>
        <v>657410.58333333337</v>
      </c>
      <c r="Z1813">
        <f t="shared" si="115"/>
        <v>0</v>
      </c>
      <c r="AA1813">
        <v>0</v>
      </c>
    </row>
    <row r="1814" spans="1:27" x14ac:dyDescent="0.25">
      <c r="A1814" s="1">
        <v>1813</v>
      </c>
      <c r="B1814" t="s">
        <v>2032</v>
      </c>
      <c r="C1814" t="s">
        <v>1137</v>
      </c>
      <c r="D1814" t="s">
        <v>1137</v>
      </c>
      <c r="H1814" t="s">
        <v>1192</v>
      </c>
      <c r="I1814" t="s">
        <v>1192</v>
      </c>
      <c r="J1814" t="s">
        <v>1262</v>
      </c>
      <c r="K1814" t="s">
        <v>1212</v>
      </c>
      <c r="M1814" s="3">
        <f t="shared" si="112"/>
        <v>61.285714285714285</v>
      </c>
      <c r="N1814">
        <v>20</v>
      </c>
      <c r="O1814">
        <v>69</v>
      </c>
      <c r="P1814">
        <v>66</v>
      </c>
      <c r="Q1814">
        <v>76</v>
      </c>
      <c r="R1814">
        <v>78</v>
      </c>
      <c r="S1814">
        <v>80</v>
      </c>
      <c r="T1814">
        <v>40</v>
      </c>
      <c r="U1814">
        <v>0</v>
      </c>
      <c r="V1814" s="3">
        <f t="shared" si="113"/>
        <v>747468</v>
      </c>
      <c r="W1814">
        <v>62289</v>
      </c>
      <c r="X1814">
        <v>0</v>
      </c>
      <c r="Y1814">
        <f t="shared" si="114"/>
        <v>62289</v>
      </c>
      <c r="Z1814">
        <f t="shared" si="115"/>
        <v>0</v>
      </c>
      <c r="AA1814">
        <v>0</v>
      </c>
    </row>
    <row r="1815" spans="1:27" x14ac:dyDescent="0.25">
      <c r="A1815" s="1">
        <v>1814</v>
      </c>
      <c r="B1815" t="s">
        <v>56</v>
      </c>
      <c r="C1815" t="s">
        <v>1133</v>
      </c>
      <c r="D1815" t="s">
        <v>1133</v>
      </c>
      <c r="G1815" t="s">
        <v>1172</v>
      </c>
      <c r="H1815" t="s">
        <v>1172</v>
      </c>
      <c r="I1815" t="s">
        <v>1172</v>
      </c>
      <c r="J1815" t="s">
        <v>2688</v>
      </c>
      <c r="K1815" t="s">
        <v>1212</v>
      </c>
      <c r="M1815" s="3">
        <f t="shared" si="112"/>
        <v>55.571428571428569</v>
      </c>
      <c r="N1815">
        <v>33</v>
      </c>
      <c r="O1815">
        <v>55</v>
      </c>
      <c r="P1815">
        <v>64</v>
      </c>
      <c r="Q1815">
        <v>56</v>
      </c>
      <c r="R1815">
        <v>59</v>
      </c>
      <c r="S1815">
        <v>62</v>
      </c>
      <c r="T1815">
        <v>60</v>
      </c>
      <c r="U1815">
        <v>0</v>
      </c>
      <c r="V1815" s="3">
        <f t="shared" si="113"/>
        <v>280877</v>
      </c>
      <c r="W1815">
        <v>3535.0833333333335</v>
      </c>
      <c r="X1815">
        <v>0</v>
      </c>
      <c r="Y1815">
        <f t="shared" si="114"/>
        <v>23406.416666666668</v>
      </c>
      <c r="Z1815">
        <f t="shared" si="115"/>
        <v>-84.9</v>
      </c>
      <c r="AA1815">
        <v>0</v>
      </c>
    </row>
    <row r="1816" spans="1:27" x14ac:dyDescent="0.25">
      <c r="A1816" s="1">
        <v>1815</v>
      </c>
      <c r="B1816" t="s">
        <v>235</v>
      </c>
      <c r="C1816" t="s">
        <v>1134</v>
      </c>
      <c r="D1816" t="s">
        <v>1138</v>
      </c>
      <c r="E1816" t="s">
        <v>1140</v>
      </c>
      <c r="G1816" t="s">
        <v>1172</v>
      </c>
      <c r="H1816" t="s">
        <v>1172</v>
      </c>
      <c r="I1816" t="s">
        <v>1172</v>
      </c>
      <c r="J1816" t="s">
        <v>2688</v>
      </c>
      <c r="K1816" t="s">
        <v>1212</v>
      </c>
      <c r="M1816" s="3">
        <f t="shared" si="112"/>
        <v>59.285714285714285</v>
      </c>
      <c r="N1816">
        <v>41</v>
      </c>
      <c r="O1816">
        <v>51</v>
      </c>
      <c r="P1816">
        <v>60</v>
      </c>
      <c r="Q1816">
        <v>65</v>
      </c>
      <c r="R1816">
        <v>75</v>
      </c>
      <c r="S1816">
        <v>78</v>
      </c>
      <c r="T1816">
        <v>45</v>
      </c>
      <c r="U1816">
        <v>0</v>
      </c>
      <c r="V1816" s="3">
        <f t="shared" si="113"/>
        <v>536415</v>
      </c>
      <c r="W1816">
        <v>4383.333333333333</v>
      </c>
      <c r="X1816">
        <v>0</v>
      </c>
      <c r="Y1816">
        <f t="shared" si="114"/>
        <v>44701.25</v>
      </c>
      <c r="Z1816">
        <f t="shared" si="115"/>
        <v>-90.19</v>
      </c>
      <c r="AA1816">
        <v>0</v>
      </c>
    </row>
    <row r="1817" spans="1:27" x14ac:dyDescent="0.25">
      <c r="A1817" s="1">
        <v>1816</v>
      </c>
      <c r="B1817" t="s">
        <v>234</v>
      </c>
      <c r="C1817" t="s">
        <v>1134</v>
      </c>
      <c r="D1817" t="s">
        <v>1138</v>
      </c>
      <c r="E1817" t="s">
        <v>1144</v>
      </c>
      <c r="G1817" t="s">
        <v>1172</v>
      </c>
      <c r="H1817" t="s">
        <v>1172</v>
      </c>
      <c r="I1817" t="s">
        <v>1172</v>
      </c>
      <c r="J1817" t="s">
        <v>2688</v>
      </c>
      <c r="K1817" t="s">
        <v>1212</v>
      </c>
      <c r="M1817" s="3">
        <f t="shared" si="112"/>
        <v>47.571428571428569</v>
      </c>
      <c r="N1817">
        <v>14</v>
      </c>
      <c r="O1817">
        <v>33</v>
      </c>
      <c r="P1817">
        <v>58</v>
      </c>
      <c r="Q1817">
        <v>51</v>
      </c>
      <c r="R1817">
        <v>63</v>
      </c>
      <c r="S1817">
        <v>80</v>
      </c>
      <c r="T1817">
        <v>34</v>
      </c>
      <c r="U1817">
        <v>0</v>
      </c>
      <c r="V1817" s="3">
        <f t="shared" si="113"/>
        <v>59356</v>
      </c>
      <c r="W1817">
        <v>4946.333333333333</v>
      </c>
      <c r="X1817">
        <v>0</v>
      </c>
      <c r="Y1817">
        <f t="shared" si="114"/>
        <v>4946.333333333333</v>
      </c>
      <c r="Z1817">
        <f t="shared" si="115"/>
        <v>0</v>
      </c>
      <c r="AA1817">
        <v>0</v>
      </c>
    </row>
    <row r="1818" spans="1:27" x14ac:dyDescent="0.25">
      <c r="A1818" s="1">
        <v>1817</v>
      </c>
      <c r="B1818" t="s">
        <v>237</v>
      </c>
      <c r="C1818" t="s">
        <v>1134</v>
      </c>
      <c r="D1818" t="s">
        <v>1138</v>
      </c>
      <c r="G1818" t="s">
        <v>1172</v>
      </c>
      <c r="H1818" t="s">
        <v>1172</v>
      </c>
      <c r="I1818" t="s">
        <v>1172</v>
      </c>
      <c r="J1818" t="s">
        <v>2688</v>
      </c>
      <c r="K1818" t="s">
        <v>1212</v>
      </c>
      <c r="M1818" s="3">
        <f t="shared" si="112"/>
        <v>57.285714285714285</v>
      </c>
      <c r="N1818">
        <v>19</v>
      </c>
      <c r="O1818">
        <v>51</v>
      </c>
      <c r="P1818">
        <v>66</v>
      </c>
      <c r="Q1818">
        <v>56</v>
      </c>
      <c r="R1818">
        <v>69</v>
      </c>
      <c r="S1818">
        <v>78</v>
      </c>
      <c r="T1818">
        <v>62</v>
      </c>
      <c r="U1818">
        <v>0</v>
      </c>
      <c r="V1818" s="3">
        <f t="shared" si="113"/>
        <v>380596</v>
      </c>
      <c r="W1818">
        <v>31716.333333333332</v>
      </c>
      <c r="X1818">
        <v>0</v>
      </c>
      <c r="Y1818">
        <f t="shared" si="114"/>
        <v>31716.333333333332</v>
      </c>
      <c r="Z1818">
        <f t="shared" si="115"/>
        <v>0</v>
      </c>
      <c r="AA1818">
        <v>0</v>
      </c>
    </row>
    <row r="1819" spans="1:27" x14ac:dyDescent="0.25">
      <c r="A1819" s="1">
        <v>1818</v>
      </c>
      <c r="B1819" t="s">
        <v>1895</v>
      </c>
      <c r="C1819" t="s">
        <v>1134</v>
      </c>
      <c r="D1819" t="s">
        <v>1140</v>
      </c>
      <c r="E1819" t="s">
        <v>1138</v>
      </c>
      <c r="H1819" t="s">
        <v>1172</v>
      </c>
      <c r="I1819" t="s">
        <v>1172</v>
      </c>
      <c r="J1819" t="s">
        <v>2688</v>
      </c>
      <c r="K1819" t="s">
        <v>1212</v>
      </c>
      <c r="M1819" s="3">
        <f t="shared" si="112"/>
        <v>39</v>
      </c>
      <c r="N1819">
        <v>10</v>
      </c>
      <c r="O1819">
        <v>42</v>
      </c>
      <c r="P1819">
        <v>42</v>
      </c>
      <c r="Q1819">
        <v>50</v>
      </c>
      <c r="R1819">
        <v>54</v>
      </c>
      <c r="S1819">
        <v>57</v>
      </c>
      <c r="T1819">
        <v>18</v>
      </c>
      <c r="U1819">
        <v>0</v>
      </c>
      <c r="V1819" s="3">
        <f t="shared" si="113"/>
        <v>8141</v>
      </c>
      <c r="W1819">
        <v>678.41666666666663</v>
      </c>
      <c r="X1819">
        <v>0</v>
      </c>
      <c r="Y1819">
        <f t="shared" si="114"/>
        <v>678.41666666666663</v>
      </c>
      <c r="Z1819">
        <f t="shared" si="115"/>
        <v>0</v>
      </c>
      <c r="AA1819">
        <v>0</v>
      </c>
    </row>
    <row r="1820" spans="1:27" x14ac:dyDescent="0.25">
      <c r="A1820" s="1">
        <v>1819</v>
      </c>
      <c r="B1820" t="s">
        <v>236</v>
      </c>
      <c r="C1820" t="s">
        <v>1134</v>
      </c>
      <c r="D1820" t="s">
        <v>1138</v>
      </c>
      <c r="G1820" t="s">
        <v>1172</v>
      </c>
      <c r="H1820" t="s">
        <v>1172</v>
      </c>
      <c r="I1820" t="s">
        <v>1172</v>
      </c>
      <c r="J1820" t="s">
        <v>2688</v>
      </c>
      <c r="K1820" t="s">
        <v>1212</v>
      </c>
      <c r="M1820" s="3">
        <f t="shared" si="112"/>
        <v>58</v>
      </c>
      <c r="N1820">
        <v>35</v>
      </c>
      <c r="O1820">
        <v>61</v>
      </c>
      <c r="P1820">
        <v>67</v>
      </c>
      <c r="Q1820">
        <v>63</v>
      </c>
      <c r="R1820">
        <v>66</v>
      </c>
      <c r="S1820">
        <v>74</v>
      </c>
      <c r="T1820">
        <v>40</v>
      </c>
      <c r="U1820">
        <v>0</v>
      </c>
      <c r="V1820" s="3">
        <f t="shared" si="113"/>
        <v>430805</v>
      </c>
      <c r="W1820">
        <v>27976.333333333332</v>
      </c>
      <c r="X1820">
        <v>0</v>
      </c>
      <c r="Y1820">
        <f t="shared" si="114"/>
        <v>35900.416666666664</v>
      </c>
      <c r="Z1820">
        <f t="shared" si="115"/>
        <v>-22.07</v>
      </c>
      <c r="AA1820">
        <v>0</v>
      </c>
    </row>
    <row r="1821" spans="1:27" x14ac:dyDescent="0.25">
      <c r="A1821" s="1">
        <v>1820</v>
      </c>
      <c r="B1821" t="s">
        <v>1902</v>
      </c>
      <c r="C1821" t="s">
        <v>1134</v>
      </c>
      <c r="D1821" t="s">
        <v>1138</v>
      </c>
      <c r="E1821" t="s">
        <v>1144</v>
      </c>
      <c r="H1821" t="s">
        <v>1172</v>
      </c>
      <c r="I1821" t="s">
        <v>1172</v>
      </c>
      <c r="J1821" t="s">
        <v>2688</v>
      </c>
      <c r="K1821" t="s">
        <v>1212</v>
      </c>
      <c r="M1821" s="3">
        <f t="shared" si="112"/>
        <v>48.285714285714285</v>
      </c>
      <c r="N1821">
        <v>12</v>
      </c>
      <c r="O1821">
        <v>56</v>
      </c>
      <c r="P1821">
        <v>50</v>
      </c>
      <c r="Q1821">
        <v>62</v>
      </c>
      <c r="R1821">
        <v>64</v>
      </c>
      <c r="S1821">
        <v>66</v>
      </c>
      <c r="T1821">
        <v>28</v>
      </c>
      <c r="U1821">
        <v>0</v>
      </c>
      <c r="V1821" s="3">
        <f t="shared" si="113"/>
        <v>68895</v>
      </c>
      <c r="W1821">
        <v>5741.25</v>
      </c>
      <c r="X1821">
        <v>0</v>
      </c>
      <c r="Y1821">
        <f t="shared" si="114"/>
        <v>5741.25</v>
      </c>
      <c r="Z1821">
        <f t="shared" si="115"/>
        <v>0</v>
      </c>
      <c r="AA1821">
        <v>0</v>
      </c>
    </row>
    <row r="1822" spans="1:27" x14ac:dyDescent="0.25">
      <c r="A1822" s="1">
        <v>1821</v>
      </c>
      <c r="B1822" t="s">
        <v>1894</v>
      </c>
      <c r="C1822" t="s">
        <v>1134</v>
      </c>
      <c r="D1822" t="s">
        <v>1139</v>
      </c>
      <c r="E1822" t="s">
        <v>1138</v>
      </c>
      <c r="H1822" t="s">
        <v>1172</v>
      </c>
      <c r="I1822" t="s">
        <v>1172</v>
      </c>
      <c r="J1822" t="s">
        <v>2688</v>
      </c>
      <c r="K1822" t="s">
        <v>1212</v>
      </c>
      <c r="M1822" s="3">
        <f t="shared" si="112"/>
        <v>39.714285714285715</v>
      </c>
      <c r="N1822">
        <v>10</v>
      </c>
      <c r="O1822">
        <v>43</v>
      </c>
      <c r="P1822">
        <v>42</v>
      </c>
      <c r="Q1822">
        <v>50</v>
      </c>
      <c r="R1822">
        <v>54</v>
      </c>
      <c r="S1822">
        <v>57</v>
      </c>
      <c r="T1822">
        <v>22</v>
      </c>
      <c r="U1822">
        <v>0</v>
      </c>
      <c r="V1822" s="3">
        <f t="shared" si="113"/>
        <v>9761</v>
      </c>
      <c r="W1822">
        <v>813.41666666666663</v>
      </c>
      <c r="X1822">
        <v>0</v>
      </c>
      <c r="Y1822">
        <f t="shared" si="114"/>
        <v>813.41666666666663</v>
      </c>
      <c r="Z1822">
        <f t="shared" si="115"/>
        <v>0</v>
      </c>
      <c r="AA1822">
        <v>0</v>
      </c>
    </row>
    <row r="1823" spans="1:27" x14ac:dyDescent="0.25">
      <c r="A1823" s="1">
        <v>1822</v>
      </c>
      <c r="B1823" t="s">
        <v>1901</v>
      </c>
      <c r="C1823" t="s">
        <v>1135</v>
      </c>
      <c r="D1823" t="s">
        <v>1141</v>
      </c>
      <c r="E1823" t="s">
        <v>1142</v>
      </c>
      <c r="H1823" t="s">
        <v>1149</v>
      </c>
      <c r="I1823" t="s">
        <v>1149</v>
      </c>
      <c r="J1823" t="s">
        <v>2688</v>
      </c>
      <c r="K1823" t="s">
        <v>1212</v>
      </c>
      <c r="M1823" s="3">
        <f t="shared" si="112"/>
        <v>47.285714285714285</v>
      </c>
      <c r="N1823">
        <v>14</v>
      </c>
      <c r="O1823">
        <v>60</v>
      </c>
      <c r="P1823">
        <v>54</v>
      </c>
      <c r="Q1823">
        <v>58</v>
      </c>
      <c r="R1823">
        <v>60</v>
      </c>
      <c r="S1823">
        <v>62</v>
      </c>
      <c r="T1823">
        <v>23</v>
      </c>
      <c r="U1823">
        <v>0</v>
      </c>
      <c r="V1823" s="3">
        <f t="shared" si="113"/>
        <v>55886</v>
      </c>
      <c r="W1823">
        <v>4657.166666666667</v>
      </c>
      <c r="X1823">
        <v>0</v>
      </c>
      <c r="Y1823">
        <f t="shared" si="114"/>
        <v>4657.166666666667</v>
      </c>
      <c r="Z1823">
        <f t="shared" si="115"/>
        <v>0</v>
      </c>
      <c r="AA1823">
        <v>0</v>
      </c>
    </row>
    <row r="1824" spans="1:27" x14ac:dyDescent="0.25">
      <c r="A1824" s="1">
        <v>1823</v>
      </c>
      <c r="B1824" t="s">
        <v>510</v>
      </c>
      <c r="C1824" t="s">
        <v>1135</v>
      </c>
      <c r="D1824" t="s">
        <v>1142</v>
      </c>
      <c r="G1824" t="s">
        <v>1172</v>
      </c>
      <c r="H1824" t="s">
        <v>1172</v>
      </c>
      <c r="I1824" t="s">
        <v>1172</v>
      </c>
      <c r="J1824" t="s">
        <v>2688</v>
      </c>
      <c r="K1824" t="s">
        <v>1212</v>
      </c>
      <c r="M1824" s="3">
        <f t="shared" si="112"/>
        <v>52.142857142857146</v>
      </c>
      <c r="N1824">
        <v>22</v>
      </c>
      <c r="O1824">
        <v>57</v>
      </c>
      <c r="P1824">
        <v>59</v>
      </c>
      <c r="Q1824">
        <v>60</v>
      </c>
      <c r="R1824">
        <v>59</v>
      </c>
      <c r="S1824">
        <v>67</v>
      </c>
      <c r="T1824">
        <v>41</v>
      </c>
      <c r="U1824">
        <v>0</v>
      </c>
      <c r="V1824" s="3">
        <f t="shared" si="113"/>
        <v>148576</v>
      </c>
      <c r="W1824">
        <v>12381.333333333334</v>
      </c>
      <c r="X1824">
        <v>0</v>
      </c>
      <c r="Y1824">
        <f t="shared" si="114"/>
        <v>12381.333333333334</v>
      </c>
      <c r="Z1824">
        <f t="shared" si="115"/>
        <v>0</v>
      </c>
      <c r="AA1824">
        <v>0</v>
      </c>
    </row>
    <row r="1825" spans="1:27" x14ac:dyDescent="0.25">
      <c r="A1825" s="1">
        <v>1824</v>
      </c>
      <c r="B1825" t="s">
        <v>509</v>
      </c>
      <c r="C1825" t="s">
        <v>1135</v>
      </c>
      <c r="D1825" t="s">
        <v>1142</v>
      </c>
      <c r="G1825" t="s">
        <v>1172</v>
      </c>
      <c r="H1825" t="s">
        <v>1172</v>
      </c>
      <c r="I1825" t="s">
        <v>1172</v>
      </c>
      <c r="J1825" t="s">
        <v>2688</v>
      </c>
      <c r="K1825" t="s">
        <v>1212</v>
      </c>
      <c r="M1825" s="3">
        <f t="shared" si="112"/>
        <v>57.857142857142854</v>
      </c>
      <c r="N1825">
        <v>40</v>
      </c>
      <c r="O1825">
        <v>60</v>
      </c>
      <c r="P1825">
        <v>60</v>
      </c>
      <c r="Q1825">
        <v>65</v>
      </c>
      <c r="R1825">
        <v>66</v>
      </c>
      <c r="S1825">
        <v>70</v>
      </c>
      <c r="T1825">
        <v>44</v>
      </c>
      <c r="U1825">
        <v>0</v>
      </c>
      <c r="V1825" s="3">
        <f t="shared" si="113"/>
        <v>420311</v>
      </c>
      <c r="W1825">
        <v>2837.5833333333335</v>
      </c>
      <c r="X1825">
        <v>0</v>
      </c>
      <c r="Y1825">
        <f t="shared" si="114"/>
        <v>35025.916666666664</v>
      </c>
      <c r="Z1825">
        <f t="shared" si="115"/>
        <v>-91.9</v>
      </c>
      <c r="AA1825">
        <v>0</v>
      </c>
    </row>
    <row r="1826" spans="1:27" x14ac:dyDescent="0.25">
      <c r="A1826" s="1">
        <v>1825</v>
      </c>
      <c r="B1826" t="s">
        <v>1896</v>
      </c>
      <c r="C1826" t="s">
        <v>1136</v>
      </c>
      <c r="D1826" t="s">
        <v>1144</v>
      </c>
      <c r="E1826" t="s">
        <v>1143</v>
      </c>
      <c r="H1826" t="s">
        <v>1172</v>
      </c>
      <c r="I1826" t="s">
        <v>1172</v>
      </c>
      <c r="J1826" t="s">
        <v>2688</v>
      </c>
      <c r="K1826" t="s">
        <v>1212</v>
      </c>
      <c r="M1826" s="3">
        <f t="shared" si="112"/>
        <v>48.428571428571431</v>
      </c>
      <c r="N1826">
        <v>13</v>
      </c>
      <c r="O1826">
        <v>58</v>
      </c>
      <c r="P1826">
        <v>52</v>
      </c>
      <c r="Q1826">
        <v>62</v>
      </c>
      <c r="R1826">
        <v>64</v>
      </c>
      <c r="S1826">
        <v>66</v>
      </c>
      <c r="T1826">
        <v>24</v>
      </c>
      <c r="U1826">
        <v>0</v>
      </c>
      <c r="V1826" s="3">
        <f t="shared" si="113"/>
        <v>70961</v>
      </c>
      <c r="W1826">
        <v>5913.416666666667</v>
      </c>
      <c r="X1826">
        <v>0</v>
      </c>
      <c r="Y1826">
        <f t="shared" si="114"/>
        <v>5913.416666666667</v>
      </c>
      <c r="Z1826">
        <f t="shared" si="115"/>
        <v>0</v>
      </c>
      <c r="AA1826">
        <v>0</v>
      </c>
    </row>
    <row r="1827" spans="1:27" x14ac:dyDescent="0.25">
      <c r="A1827" s="1">
        <v>1826</v>
      </c>
      <c r="B1827" t="s">
        <v>773</v>
      </c>
      <c r="C1827" t="s">
        <v>1136</v>
      </c>
      <c r="D1827" t="s">
        <v>1144</v>
      </c>
      <c r="G1827" t="s">
        <v>1172</v>
      </c>
      <c r="H1827" t="s">
        <v>1172</v>
      </c>
      <c r="I1827" t="s">
        <v>1172</v>
      </c>
      <c r="J1827" t="s">
        <v>2688</v>
      </c>
      <c r="K1827" t="s">
        <v>1212</v>
      </c>
      <c r="M1827" s="3">
        <f t="shared" si="112"/>
        <v>64.857142857142861</v>
      </c>
      <c r="N1827">
        <v>50</v>
      </c>
      <c r="O1827">
        <v>70</v>
      </c>
      <c r="P1827">
        <v>65</v>
      </c>
      <c r="Q1827">
        <v>64</v>
      </c>
      <c r="R1827">
        <v>62</v>
      </c>
      <c r="S1827">
        <v>70</v>
      </c>
      <c r="T1827">
        <v>73</v>
      </c>
      <c r="U1827">
        <v>0</v>
      </c>
      <c r="V1827" s="3">
        <f t="shared" si="113"/>
        <v>1316977</v>
      </c>
      <c r="W1827">
        <v>22230.5</v>
      </c>
      <c r="X1827">
        <v>0</v>
      </c>
      <c r="Y1827">
        <f t="shared" si="114"/>
        <v>109748.08333333333</v>
      </c>
      <c r="Z1827">
        <f t="shared" si="115"/>
        <v>-79.739999999999995</v>
      </c>
      <c r="AA1827">
        <v>0</v>
      </c>
    </row>
    <row r="1828" spans="1:27" x14ac:dyDescent="0.25">
      <c r="A1828" s="1">
        <v>1827</v>
      </c>
      <c r="B1828" t="s">
        <v>771</v>
      </c>
      <c r="C1828" t="s">
        <v>1136</v>
      </c>
      <c r="D1828" t="s">
        <v>1145</v>
      </c>
      <c r="E1828" t="s">
        <v>1146</v>
      </c>
      <c r="G1828" t="s">
        <v>1172</v>
      </c>
      <c r="H1828" t="s">
        <v>1172</v>
      </c>
      <c r="I1828" t="s">
        <v>1172</v>
      </c>
      <c r="J1828" t="s">
        <v>2688</v>
      </c>
      <c r="K1828" t="s">
        <v>1212</v>
      </c>
      <c r="M1828" s="3">
        <f t="shared" si="112"/>
        <v>53.428571428571431</v>
      </c>
      <c r="N1828">
        <v>36</v>
      </c>
      <c r="O1828">
        <v>63</v>
      </c>
      <c r="P1828">
        <v>60</v>
      </c>
      <c r="Q1828">
        <v>50</v>
      </c>
      <c r="R1828">
        <v>45</v>
      </c>
      <c r="S1828">
        <v>50</v>
      </c>
      <c r="T1828">
        <v>70</v>
      </c>
      <c r="U1828">
        <v>0</v>
      </c>
      <c r="V1828" s="3">
        <f t="shared" si="113"/>
        <v>189556</v>
      </c>
      <c r="W1828">
        <v>15796.333333333334</v>
      </c>
      <c r="X1828">
        <v>0</v>
      </c>
      <c r="Y1828">
        <f t="shared" si="114"/>
        <v>15796.333333333334</v>
      </c>
      <c r="Z1828">
        <f t="shared" si="115"/>
        <v>0</v>
      </c>
      <c r="AA1828">
        <v>0</v>
      </c>
    </row>
    <row r="1829" spans="1:27" x14ac:dyDescent="0.25">
      <c r="A1829" s="1">
        <v>1828</v>
      </c>
      <c r="B1829" t="s">
        <v>1897</v>
      </c>
      <c r="C1829" t="s">
        <v>1136</v>
      </c>
      <c r="D1829" t="s">
        <v>1143</v>
      </c>
      <c r="E1829" t="s">
        <v>1144</v>
      </c>
      <c r="H1829" t="s">
        <v>1172</v>
      </c>
      <c r="I1829" t="s">
        <v>1172</v>
      </c>
      <c r="J1829" t="s">
        <v>2688</v>
      </c>
      <c r="K1829" t="s">
        <v>1212</v>
      </c>
      <c r="M1829" s="3">
        <f t="shared" si="112"/>
        <v>38.571428571428569</v>
      </c>
      <c r="N1829">
        <v>10</v>
      </c>
      <c r="O1829">
        <v>40</v>
      </c>
      <c r="P1829">
        <v>44</v>
      </c>
      <c r="Q1829">
        <v>52</v>
      </c>
      <c r="R1829">
        <v>50</v>
      </c>
      <c r="S1829">
        <v>53</v>
      </c>
      <c r="T1829">
        <v>21</v>
      </c>
      <c r="U1829">
        <v>0</v>
      </c>
      <c r="V1829" s="3">
        <f t="shared" si="113"/>
        <v>7289</v>
      </c>
      <c r="W1829">
        <v>607.41666666666663</v>
      </c>
      <c r="X1829">
        <v>0</v>
      </c>
      <c r="Y1829">
        <f t="shared" si="114"/>
        <v>607.41666666666663</v>
      </c>
      <c r="Z1829">
        <f t="shared" si="115"/>
        <v>0</v>
      </c>
      <c r="AA1829">
        <v>0</v>
      </c>
    </row>
    <row r="1830" spans="1:27" x14ac:dyDescent="0.25">
      <c r="A1830" s="1">
        <v>1829</v>
      </c>
      <c r="B1830" t="s">
        <v>1899</v>
      </c>
      <c r="C1830" t="s">
        <v>1136</v>
      </c>
      <c r="D1830" t="s">
        <v>1146</v>
      </c>
      <c r="E1830" t="s">
        <v>1144</v>
      </c>
      <c r="H1830" t="s">
        <v>1172</v>
      </c>
      <c r="I1830" t="s">
        <v>1172</v>
      </c>
      <c r="J1830" t="s">
        <v>2688</v>
      </c>
      <c r="K1830" t="s">
        <v>1212</v>
      </c>
      <c r="M1830" s="3">
        <f t="shared" si="112"/>
        <v>40.142857142857146</v>
      </c>
      <c r="N1830">
        <v>10</v>
      </c>
      <c r="O1830">
        <v>48</v>
      </c>
      <c r="P1830">
        <v>46</v>
      </c>
      <c r="Q1830">
        <v>50</v>
      </c>
      <c r="R1830">
        <v>52</v>
      </c>
      <c r="S1830">
        <v>55</v>
      </c>
      <c r="T1830">
        <v>20</v>
      </c>
      <c r="U1830">
        <v>0</v>
      </c>
      <c r="V1830" s="3">
        <f t="shared" si="113"/>
        <v>10867</v>
      </c>
      <c r="W1830">
        <v>905.58333333333337</v>
      </c>
      <c r="X1830">
        <v>0</v>
      </c>
      <c r="Y1830">
        <f t="shared" si="114"/>
        <v>905.58333333333337</v>
      </c>
      <c r="Z1830">
        <f t="shared" si="115"/>
        <v>0</v>
      </c>
      <c r="AA1830">
        <v>0</v>
      </c>
    </row>
    <row r="1831" spans="1:27" x14ac:dyDescent="0.25">
      <c r="A1831" s="1">
        <v>1830</v>
      </c>
      <c r="B1831" t="s">
        <v>772</v>
      </c>
      <c r="C1831" t="s">
        <v>1136</v>
      </c>
      <c r="D1831" t="s">
        <v>1145</v>
      </c>
      <c r="E1831" t="s">
        <v>1147</v>
      </c>
      <c r="G1831" t="s">
        <v>1172</v>
      </c>
      <c r="H1831" t="s">
        <v>1172</v>
      </c>
      <c r="I1831" t="s">
        <v>1172</v>
      </c>
      <c r="J1831" t="s">
        <v>2688</v>
      </c>
      <c r="K1831" t="s">
        <v>1212</v>
      </c>
      <c r="M1831" s="3">
        <f t="shared" si="112"/>
        <v>50</v>
      </c>
      <c r="N1831">
        <v>30</v>
      </c>
      <c r="O1831">
        <v>58</v>
      </c>
      <c r="P1831">
        <v>68</v>
      </c>
      <c r="Q1831">
        <v>60</v>
      </c>
      <c r="R1831">
        <v>50</v>
      </c>
      <c r="S1831">
        <v>63</v>
      </c>
      <c r="T1831">
        <v>21</v>
      </c>
      <c r="U1831">
        <v>0</v>
      </c>
      <c r="V1831" s="3">
        <f t="shared" si="113"/>
        <v>97657</v>
      </c>
      <c r="W1831">
        <v>8138.083333333333</v>
      </c>
      <c r="X1831">
        <v>0</v>
      </c>
      <c r="Y1831">
        <f t="shared" si="114"/>
        <v>8138.083333333333</v>
      </c>
      <c r="Z1831">
        <f t="shared" si="115"/>
        <v>0</v>
      </c>
      <c r="AA1831">
        <v>0</v>
      </c>
    </row>
    <row r="1832" spans="1:27" x14ac:dyDescent="0.25">
      <c r="A1832" s="1">
        <v>1831</v>
      </c>
      <c r="B1832" t="s">
        <v>1900</v>
      </c>
      <c r="C1832" t="s">
        <v>1136</v>
      </c>
      <c r="D1832" t="s">
        <v>1147</v>
      </c>
      <c r="E1832" t="s">
        <v>1145</v>
      </c>
      <c r="H1832" t="s">
        <v>1172</v>
      </c>
      <c r="I1832" t="s">
        <v>1172</v>
      </c>
      <c r="J1832" t="s">
        <v>2688</v>
      </c>
      <c r="K1832" t="s">
        <v>1212</v>
      </c>
      <c r="M1832" s="3">
        <f t="shared" si="112"/>
        <v>42.142857142857146</v>
      </c>
      <c r="N1832">
        <v>10</v>
      </c>
      <c r="O1832">
        <v>56</v>
      </c>
      <c r="P1832">
        <v>44</v>
      </c>
      <c r="Q1832">
        <v>56</v>
      </c>
      <c r="R1832">
        <v>54</v>
      </c>
      <c r="S1832">
        <v>56</v>
      </c>
      <c r="T1832">
        <v>19</v>
      </c>
      <c r="U1832">
        <v>0</v>
      </c>
      <c r="V1832" s="3">
        <f t="shared" si="113"/>
        <v>17671</v>
      </c>
      <c r="W1832">
        <v>1472.5833333333333</v>
      </c>
      <c r="X1832">
        <v>0</v>
      </c>
      <c r="Y1832">
        <f t="shared" si="114"/>
        <v>1472.5833333333333</v>
      </c>
      <c r="Z1832">
        <f t="shared" si="115"/>
        <v>0</v>
      </c>
      <c r="AA1832">
        <v>0</v>
      </c>
    </row>
    <row r="1833" spans="1:27" x14ac:dyDescent="0.25">
      <c r="A1833" s="1">
        <v>1832</v>
      </c>
      <c r="B1833" t="s">
        <v>774</v>
      </c>
      <c r="C1833" t="s">
        <v>1136</v>
      </c>
      <c r="D1833" t="s">
        <v>1144</v>
      </c>
      <c r="G1833" t="s">
        <v>1172</v>
      </c>
      <c r="H1833" t="s">
        <v>1172</v>
      </c>
      <c r="I1833" t="s">
        <v>1172</v>
      </c>
      <c r="J1833" t="s">
        <v>2688</v>
      </c>
      <c r="K1833" t="s">
        <v>1212</v>
      </c>
      <c r="M1833" s="3">
        <f t="shared" si="112"/>
        <v>47.142857142857146</v>
      </c>
      <c r="N1833">
        <v>27</v>
      </c>
      <c r="O1833">
        <v>55</v>
      </c>
      <c r="P1833">
        <v>46</v>
      </c>
      <c r="Q1833">
        <v>55</v>
      </c>
      <c r="R1833">
        <v>46</v>
      </c>
      <c r="S1833">
        <v>67</v>
      </c>
      <c r="T1833">
        <v>34</v>
      </c>
      <c r="U1833">
        <v>0</v>
      </c>
      <c r="V1833" s="3">
        <f t="shared" si="113"/>
        <v>54220</v>
      </c>
      <c r="W1833">
        <v>4518.333333333333</v>
      </c>
      <c r="X1833">
        <v>0</v>
      </c>
      <c r="Y1833">
        <f t="shared" si="114"/>
        <v>4518.333333333333</v>
      </c>
      <c r="Z1833">
        <f t="shared" si="115"/>
        <v>0</v>
      </c>
      <c r="AA1833">
        <v>0</v>
      </c>
    </row>
    <row r="1834" spans="1:27" x14ac:dyDescent="0.25">
      <c r="A1834" s="1">
        <v>1833</v>
      </c>
      <c r="B1834" t="s">
        <v>1898</v>
      </c>
      <c r="C1834" t="s">
        <v>1136</v>
      </c>
      <c r="D1834" t="s">
        <v>1145</v>
      </c>
      <c r="E1834" t="s">
        <v>1143</v>
      </c>
      <c r="H1834" t="s">
        <v>1172</v>
      </c>
      <c r="I1834" t="s">
        <v>1172</v>
      </c>
      <c r="J1834" t="s">
        <v>2688</v>
      </c>
      <c r="K1834" t="s">
        <v>1212</v>
      </c>
      <c r="M1834" s="3">
        <f t="shared" si="112"/>
        <v>43.714285714285715</v>
      </c>
      <c r="N1834">
        <v>11</v>
      </c>
      <c r="O1834">
        <v>54</v>
      </c>
      <c r="P1834">
        <v>48</v>
      </c>
      <c r="Q1834">
        <v>58</v>
      </c>
      <c r="R1834">
        <v>56</v>
      </c>
      <c r="S1834">
        <v>58</v>
      </c>
      <c r="T1834">
        <v>21</v>
      </c>
      <c r="U1834">
        <v>0</v>
      </c>
      <c r="V1834" s="3">
        <f t="shared" si="113"/>
        <v>25483</v>
      </c>
      <c r="W1834">
        <v>2123.5833333333335</v>
      </c>
      <c r="X1834">
        <v>0</v>
      </c>
      <c r="Y1834">
        <f t="shared" si="114"/>
        <v>2123.5833333333335</v>
      </c>
      <c r="Z1834">
        <f t="shared" si="115"/>
        <v>0</v>
      </c>
      <c r="AA1834">
        <v>0</v>
      </c>
    </row>
    <row r="1835" spans="1:27" x14ac:dyDescent="0.25">
      <c r="A1835" s="1">
        <v>1834</v>
      </c>
      <c r="B1835" t="s">
        <v>1893</v>
      </c>
      <c r="C1835" t="s">
        <v>1137</v>
      </c>
      <c r="D1835" t="s">
        <v>1137</v>
      </c>
      <c r="H1835" t="s">
        <v>1172</v>
      </c>
      <c r="I1835" t="s">
        <v>1172</v>
      </c>
      <c r="J1835" t="s">
        <v>2688</v>
      </c>
      <c r="K1835" t="s">
        <v>1212</v>
      </c>
      <c r="M1835" s="3">
        <f t="shared" si="112"/>
        <v>43.857142857142854</v>
      </c>
      <c r="N1835">
        <v>10</v>
      </c>
      <c r="O1835">
        <v>52</v>
      </c>
      <c r="P1835">
        <v>46</v>
      </c>
      <c r="Q1835">
        <v>56</v>
      </c>
      <c r="R1835">
        <v>58</v>
      </c>
      <c r="S1835">
        <v>60</v>
      </c>
      <c r="T1835">
        <v>25</v>
      </c>
      <c r="U1835">
        <v>0</v>
      </c>
      <c r="V1835" s="3">
        <f t="shared" si="113"/>
        <v>26328</v>
      </c>
      <c r="W1835">
        <v>2194</v>
      </c>
      <c r="X1835">
        <v>0</v>
      </c>
      <c r="Y1835">
        <f t="shared" si="114"/>
        <v>2194</v>
      </c>
      <c r="Z1835">
        <f t="shared" si="115"/>
        <v>0</v>
      </c>
      <c r="AA1835">
        <v>0</v>
      </c>
    </row>
    <row r="1836" spans="1:27" x14ac:dyDescent="0.25">
      <c r="A1836" s="1">
        <v>1835</v>
      </c>
      <c r="B1836" t="s">
        <v>1697</v>
      </c>
      <c r="C1836" t="s">
        <v>1133</v>
      </c>
      <c r="D1836" t="s">
        <v>1133</v>
      </c>
      <c r="H1836" t="s">
        <v>1148</v>
      </c>
      <c r="I1836" t="s">
        <v>1148</v>
      </c>
      <c r="J1836" t="s">
        <v>1223</v>
      </c>
      <c r="K1836" t="s">
        <v>1212</v>
      </c>
      <c r="M1836" s="3">
        <f t="shared" si="112"/>
        <v>64</v>
      </c>
      <c r="N1836">
        <v>25</v>
      </c>
      <c r="O1836">
        <v>73</v>
      </c>
      <c r="P1836">
        <v>69</v>
      </c>
      <c r="Q1836">
        <v>77</v>
      </c>
      <c r="R1836">
        <v>80</v>
      </c>
      <c r="S1836">
        <v>81</v>
      </c>
      <c r="T1836">
        <v>43</v>
      </c>
      <c r="U1836">
        <v>0</v>
      </c>
      <c r="V1836" s="3">
        <f t="shared" si="113"/>
        <v>1152922</v>
      </c>
      <c r="W1836">
        <v>96076.833333333328</v>
      </c>
      <c r="X1836">
        <v>0</v>
      </c>
      <c r="Y1836">
        <f t="shared" si="114"/>
        <v>96076.833333333328</v>
      </c>
      <c r="Z1836">
        <f t="shared" si="115"/>
        <v>0</v>
      </c>
      <c r="AA1836">
        <v>0</v>
      </c>
    </row>
    <row r="1837" spans="1:27" x14ac:dyDescent="0.25">
      <c r="A1837" s="1">
        <v>1836</v>
      </c>
      <c r="B1837" t="s">
        <v>20</v>
      </c>
      <c r="C1837" t="s">
        <v>1133</v>
      </c>
      <c r="D1837" t="s">
        <v>1133</v>
      </c>
      <c r="G1837" t="s">
        <v>1148</v>
      </c>
      <c r="H1837" t="s">
        <v>1148</v>
      </c>
      <c r="I1837" t="s">
        <v>1148</v>
      </c>
      <c r="J1837" t="s">
        <v>1223</v>
      </c>
      <c r="K1837" t="s">
        <v>1212</v>
      </c>
      <c r="M1837" s="3">
        <f t="shared" si="112"/>
        <v>72.714285714285708</v>
      </c>
      <c r="N1837">
        <v>50</v>
      </c>
      <c r="O1837">
        <v>74</v>
      </c>
      <c r="P1837">
        <v>70</v>
      </c>
      <c r="Q1837">
        <v>70</v>
      </c>
      <c r="R1837">
        <v>85</v>
      </c>
      <c r="S1837">
        <v>90</v>
      </c>
      <c r="T1837">
        <v>70</v>
      </c>
      <c r="U1837">
        <v>0</v>
      </c>
      <c r="V1837" s="3">
        <f t="shared" si="113"/>
        <v>4132354</v>
      </c>
      <c r="W1837">
        <v>344362.83333333331</v>
      </c>
      <c r="X1837">
        <v>0</v>
      </c>
      <c r="Y1837">
        <f t="shared" si="114"/>
        <v>344362.83333333331</v>
      </c>
      <c r="Z1837">
        <f t="shared" si="115"/>
        <v>0</v>
      </c>
      <c r="AA1837">
        <v>0</v>
      </c>
    </row>
    <row r="1838" spans="1:27" x14ac:dyDescent="0.25">
      <c r="A1838" s="1">
        <v>1837</v>
      </c>
      <c r="B1838" t="s">
        <v>121</v>
      </c>
      <c r="C1838" t="s">
        <v>1134</v>
      </c>
      <c r="D1838" t="s">
        <v>1138</v>
      </c>
      <c r="E1838" t="s">
        <v>1144</v>
      </c>
      <c r="G1838" t="s">
        <v>1148</v>
      </c>
      <c r="H1838" t="s">
        <v>1148</v>
      </c>
      <c r="I1838" t="s">
        <v>1148</v>
      </c>
      <c r="J1838" t="s">
        <v>1223</v>
      </c>
      <c r="K1838" t="s">
        <v>1212</v>
      </c>
      <c r="M1838" s="3">
        <f t="shared" si="112"/>
        <v>75.714285714285708</v>
      </c>
      <c r="N1838">
        <v>48</v>
      </c>
      <c r="O1838">
        <v>74</v>
      </c>
      <c r="P1838">
        <v>80</v>
      </c>
      <c r="Q1838">
        <v>91</v>
      </c>
      <c r="R1838">
        <v>80</v>
      </c>
      <c r="S1838">
        <v>87</v>
      </c>
      <c r="T1838">
        <v>70</v>
      </c>
      <c r="U1838">
        <v>0</v>
      </c>
      <c r="V1838" s="3">
        <f t="shared" si="113"/>
        <v>6191250</v>
      </c>
      <c r="W1838">
        <v>515937.5</v>
      </c>
      <c r="X1838">
        <v>0</v>
      </c>
      <c r="Y1838">
        <f t="shared" si="114"/>
        <v>515937.5</v>
      </c>
      <c r="Z1838">
        <f t="shared" si="115"/>
        <v>0</v>
      </c>
      <c r="AA1838">
        <v>0</v>
      </c>
    </row>
    <row r="1839" spans="1:27" x14ac:dyDescent="0.25">
      <c r="A1839" s="1">
        <v>1838</v>
      </c>
      <c r="B1839" t="s">
        <v>120</v>
      </c>
      <c r="C1839" t="s">
        <v>1134</v>
      </c>
      <c r="D1839" t="s">
        <v>1138</v>
      </c>
      <c r="E1839" t="s">
        <v>1144</v>
      </c>
      <c r="G1839" t="s">
        <v>1148</v>
      </c>
      <c r="H1839" t="s">
        <v>1148</v>
      </c>
      <c r="I1839" t="s">
        <v>1148</v>
      </c>
      <c r="J1839" t="s">
        <v>1223</v>
      </c>
      <c r="K1839" t="s">
        <v>1212</v>
      </c>
      <c r="M1839" s="3">
        <f t="shared" si="112"/>
        <v>74.142857142857139</v>
      </c>
      <c r="N1839">
        <v>51</v>
      </c>
      <c r="O1839">
        <v>73</v>
      </c>
      <c r="P1839">
        <v>75</v>
      </c>
      <c r="Q1839">
        <v>79</v>
      </c>
      <c r="R1839">
        <v>83</v>
      </c>
      <c r="S1839">
        <v>88</v>
      </c>
      <c r="T1839">
        <v>70</v>
      </c>
      <c r="U1839">
        <v>28</v>
      </c>
      <c r="V1839" s="3">
        <f t="shared" si="113"/>
        <v>7529818</v>
      </c>
      <c r="W1839">
        <v>627484.83333333337</v>
      </c>
      <c r="X1839">
        <v>0</v>
      </c>
      <c r="Y1839">
        <f t="shared" si="114"/>
        <v>627484.83333333337</v>
      </c>
      <c r="Z1839">
        <f t="shared" si="115"/>
        <v>0</v>
      </c>
      <c r="AA1839">
        <v>0</v>
      </c>
    </row>
    <row r="1840" spans="1:27" x14ac:dyDescent="0.25">
      <c r="A1840" s="1">
        <v>1839</v>
      </c>
      <c r="B1840" t="s">
        <v>2552</v>
      </c>
      <c r="C1840" t="s">
        <v>1134</v>
      </c>
      <c r="D1840" t="s">
        <v>1138</v>
      </c>
      <c r="H1840" t="s">
        <v>1148</v>
      </c>
      <c r="I1840" t="s">
        <v>1148</v>
      </c>
      <c r="J1840" t="s">
        <v>1223</v>
      </c>
      <c r="K1840" t="s">
        <v>1212</v>
      </c>
      <c r="M1840" s="3">
        <f t="shared" si="112"/>
        <v>66.714285714285708</v>
      </c>
      <c r="N1840">
        <v>29</v>
      </c>
      <c r="O1840">
        <v>76</v>
      </c>
      <c r="P1840">
        <v>68</v>
      </c>
      <c r="Q1840">
        <v>81</v>
      </c>
      <c r="R1840">
        <v>83</v>
      </c>
      <c r="S1840">
        <v>84</v>
      </c>
      <c r="T1840">
        <v>46</v>
      </c>
      <c r="U1840">
        <v>0</v>
      </c>
      <c r="V1840" s="3">
        <f t="shared" si="113"/>
        <v>1746580</v>
      </c>
      <c r="W1840">
        <v>145548.33333333334</v>
      </c>
      <c r="X1840">
        <v>0</v>
      </c>
      <c r="Y1840">
        <f t="shared" si="114"/>
        <v>145548.33333333334</v>
      </c>
      <c r="Z1840">
        <f t="shared" si="115"/>
        <v>0</v>
      </c>
      <c r="AA1840">
        <v>0</v>
      </c>
    </row>
    <row r="1841" spans="1:27" x14ac:dyDescent="0.25">
      <c r="A1841" s="1">
        <v>1840</v>
      </c>
      <c r="B1841" t="s">
        <v>199</v>
      </c>
      <c r="C1841" t="s">
        <v>1134</v>
      </c>
      <c r="D1841" t="s">
        <v>1139</v>
      </c>
      <c r="G1841" t="s">
        <v>1164</v>
      </c>
      <c r="H1841" t="s">
        <v>1164</v>
      </c>
      <c r="I1841" t="s">
        <v>1164</v>
      </c>
      <c r="J1841" t="s">
        <v>1223</v>
      </c>
      <c r="K1841" t="s">
        <v>1212</v>
      </c>
      <c r="M1841" s="3">
        <f t="shared" si="112"/>
        <v>76.571428571428569</v>
      </c>
      <c r="N1841">
        <v>51</v>
      </c>
      <c r="O1841">
        <v>93</v>
      </c>
      <c r="P1841">
        <v>93</v>
      </c>
      <c r="Q1841">
        <v>76</v>
      </c>
      <c r="R1841">
        <v>80</v>
      </c>
      <c r="S1841">
        <v>82</v>
      </c>
      <c r="T1841">
        <v>61</v>
      </c>
      <c r="U1841">
        <v>0</v>
      </c>
      <c r="V1841" s="3">
        <f t="shared" si="113"/>
        <v>6928952</v>
      </c>
      <c r="W1841">
        <v>577412.66666666663</v>
      </c>
      <c r="X1841">
        <v>0</v>
      </c>
      <c r="Y1841">
        <f t="shared" si="114"/>
        <v>577412.66666666663</v>
      </c>
      <c r="Z1841">
        <f t="shared" si="115"/>
        <v>0</v>
      </c>
      <c r="AA1841">
        <v>0</v>
      </c>
    </row>
    <row r="1842" spans="1:27" x14ac:dyDescent="0.25">
      <c r="A1842" s="1">
        <v>1841</v>
      </c>
      <c r="B1842" t="s">
        <v>2655</v>
      </c>
      <c r="C1842" t="s">
        <v>1134</v>
      </c>
      <c r="D1842" t="s">
        <v>1138</v>
      </c>
      <c r="E1842" t="s">
        <v>1139</v>
      </c>
      <c r="H1842" t="s">
        <v>1148</v>
      </c>
      <c r="I1842" t="s">
        <v>1148</v>
      </c>
      <c r="J1842" t="s">
        <v>1223</v>
      </c>
      <c r="K1842" t="s">
        <v>1212</v>
      </c>
      <c r="M1842" s="3">
        <f t="shared" si="112"/>
        <v>66.714285714285708</v>
      </c>
      <c r="N1842">
        <v>29</v>
      </c>
      <c r="O1842">
        <v>76</v>
      </c>
      <c r="P1842">
        <v>68</v>
      </c>
      <c r="Q1842">
        <v>81</v>
      </c>
      <c r="R1842">
        <v>83</v>
      </c>
      <c r="S1842">
        <v>84</v>
      </c>
      <c r="T1842">
        <v>46</v>
      </c>
      <c r="U1842">
        <v>0</v>
      </c>
      <c r="V1842" s="3">
        <f t="shared" si="113"/>
        <v>1746580</v>
      </c>
      <c r="W1842">
        <v>145548.33333333334</v>
      </c>
      <c r="X1842">
        <v>0</v>
      </c>
      <c r="Y1842">
        <f t="shared" si="114"/>
        <v>145548.33333333334</v>
      </c>
      <c r="Z1842">
        <f t="shared" si="115"/>
        <v>0</v>
      </c>
      <c r="AA1842">
        <v>0</v>
      </c>
    </row>
    <row r="1843" spans="1:27" x14ac:dyDescent="0.25">
      <c r="A1843" s="1">
        <v>1842</v>
      </c>
      <c r="B1843" t="s">
        <v>2641</v>
      </c>
      <c r="C1843" t="s">
        <v>1134</v>
      </c>
      <c r="D1843" t="s">
        <v>1138</v>
      </c>
      <c r="E1843" t="s">
        <v>1140</v>
      </c>
      <c r="H1843" t="s">
        <v>1148</v>
      </c>
      <c r="I1843" t="s">
        <v>1148</v>
      </c>
      <c r="J1843" t="s">
        <v>1223</v>
      </c>
      <c r="K1843" t="s">
        <v>1212</v>
      </c>
      <c r="M1843" s="3">
        <f t="shared" si="112"/>
        <v>62</v>
      </c>
      <c r="N1843">
        <v>25</v>
      </c>
      <c r="O1843">
        <v>71</v>
      </c>
      <c r="P1843">
        <v>63</v>
      </c>
      <c r="Q1843">
        <v>75</v>
      </c>
      <c r="R1843">
        <v>79</v>
      </c>
      <c r="S1843">
        <v>82</v>
      </c>
      <c r="T1843">
        <v>39</v>
      </c>
      <c r="U1843">
        <v>0</v>
      </c>
      <c r="V1843" s="3">
        <f t="shared" si="113"/>
        <v>839300</v>
      </c>
      <c r="W1843">
        <v>69941.666666666672</v>
      </c>
      <c r="X1843">
        <v>0</v>
      </c>
      <c r="Y1843">
        <f t="shared" si="114"/>
        <v>69941.666666666672</v>
      </c>
      <c r="Z1843">
        <f t="shared" si="115"/>
        <v>0</v>
      </c>
      <c r="AA1843">
        <v>0</v>
      </c>
    </row>
    <row r="1844" spans="1:27" x14ac:dyDescent="0.25">
      <c r="A1844" s="1">
        <v>1843</v>
      </c>
      <c r="B1844" t="s">
        <v>238</v>
      </c>
      <c r="C1844" t="s">
        <v>1134</v>
      </c>
      <c r="D1844" t="s">
        <v>1138</v>
      </c>
      <c r="E1844" t="s">
        <v>1144</v>
      </c>
      <c r="G1844" t="s">
        <v>1172</v>
      </c>
      <c r="H1844" t="s">
        <v>1172</v>
      </c>
      <c r="I1844" t="s">
        <v>1172</v>
      </c>
      <c r="J1844" t="s">
        <v>1223</v>
      </c>
      <c r="K1844" t="s">
        <v>1212</v>
      </c>
      <c r="M1844" s="3">
        <f t="shared" si="112"/>
        <v>74.571428571428569</v>
      </c>
      <c r="N1844">
        <v>51</v>
      </c>
      <c r="O1844">
        <v>70</v>
      </c>
      <c r="P1844">
        <v>85</v>
      </c>
      <c r="Q1844">
        <v>80</v>
      </c>
      <c r="R1844">
        <v>80</v>
      </c>
      <c r="S1844">
        <v>85</v>
      </c>
      <c r="T1844">
        <v>71</v>
      </c>
      <c r="U1844">
        <v>0</v>
      </c>
      <c r="V1844" s="3">
        <f t="shared" si="113"/>
        <v>5317710</v>
      </c>
      <c r="W1844">
        <v>443142.5</v>
      </c>
      <c r="X1844">
        <v>0</v>
      </c>
      <c r="Y1844">
        <f t="shared" si="114"/>
        <v>443142.5</v>
      </c>
      <c r="Z1844">
        <f t="shared" si="115"/>
        <v>0</v>
      </c>
      <c r="AA1844">
        <v>0</v>
      </c>
    </row>
    <row r="1845" spans="1:27" x14ac:dyDescent="0.25">
      <c r="A1845" s="1">
        <v>1844</v>
      </c>
      <c r="B1845" t="s">
        <v>239</v>
      </c>
      <c r="C1845" t="s">
        <v>1134</v>
      </c>
      <c r="D1845" t="s">
        <v>1138</v>
      </c>
      <c r="E1845" t="s">
        <v>1140</v>
      </c>
      <c r="G1845" t="s">
        <v>1172</v>
      </c>
      <c r="H1845" t="s">
        <v>1172</v>
      </c>
      <c r="I1845" t="s">
        <v>1172</v>
      </c>
      <c r="J1845" t="s">
        <v>1223</v>
      </c>
      <c r="K1845" t="s">
        <v>1212</v>
      </c>
      <c r="M1845" s="3">
        <f t="shared" si="112"/>
        <v>67.142857142857139</v>
      </c>
      <c r="N1845">
        <v>44</v>
      </c>
      <c r="O1845">
        <v>61</v>
      </c>
      <c r="P1845">
        <v>68</v>
      </c>
      <c r="Q1845">
        <v>73</v>
      </c>
      <c r="R1845">
        <v>71</v>
      </c>
      <c r="S1845">
        <v>88</v>
      </c>
      <c r="T1845">
        <v>65</v>
      </c>
      <c r="U1845">
        <v>0</v>
      </c>
      <c r="V1845" s="3">
        <f t="shared" si="113"/>
        <v>1862080</v>
      </c>
      <c r="W1845">
        <v>155173.33333333334</v>
      </c>
      <c r="X1845">
        <v>0</v>
      </c>
      <c r="Y1845">
        <f t="shared" si="114"/>
        <v>155173.33333333334</v>
      </c>
      <c r="Z1845">
        <f t="shared" si="115"/>
        <v>0</v>
      </c>
      <c r="AA1845">
        <v>0</v>
      </c>
    </row>
    <row r="1846" spans="1:27" x14ac:dyDescent="0.25">
      <c r="A1846" s="1">
        <v>1845</v>
      </c>
      <c r="B1846" t="s">
        <v>1698</v>
      </c>
      <c r="C1846" t="s">
        <v>1134</v>
      </c>
      <c r="D1846" t="s">
        <v>1138</v>
      </c>
      <c r="E1846" t="s">
        <v>1144</v>
      </c>
      <c r="H1846" t="s">
        <v>1148</v>
      </c>
      <c r="I1846" t="s">
        <v>1148</v>
      </c>
      <c r="J1846" t="s">
        <v>1223</v>
      </c>
      <c r="K1846" t="s">
        <v>1212</v>
      </c>
      <c r="M1846" s="3">
        <f t="shared" si="112"/>
        <v>58.285714285714285</v>
      </c>
      <c r="N1846">
        <v>21</v>
      </c>
      <c r="O1846">
        <v>65</v>
      </c>
      <c r="P1846">
        <v>61</v>
      </c>
      <c r="Q1846">
        <v>72</v>
      </c>
      <c r="R1846">
        <v>76</v>
      </c>
      <c r="S1846">
        <v>80</v>
      </c>
      <c r="T1846">
        <v>33</v>
      </c>
      <c r="U1846">
        <v>0</v>
      </c>
      <c r="V1846" s="3">
        <f t="shared" si="113"/>
        <v>452503</v>
      </c>
      <c r="W1846">
        <v>37708.583333333336</v>
      </c>
      <c r="X1846">
        <v>0</v>
      </c>
      <c r="Y1846">
        <f t="shared" si="114"/>
        <v>37708.583333333336</v>
      </c>
      <c r="Z1846">
        <f t="shared" si="115"/>
        <v>0</v>
      </c>
      <c r="AA1846">
        <v>0</v>
      </c>
    </row>
    <row r="1847" spans="1:27" x14ac:dyDescent="0.25">
      <c r="A1847" s="1">
        <v>1846</v>
      </c>
      <c r="B1847" t="s">
        <v>432</v>
      </c>
      <c r="C1847" t="s">
        <v>1135</v>
      </c>
      <c r="D1847" t="s">
        <v>1141</v>
      </c>
      <c r="G1847" t="s">
        <v>1148</v>
      </c>
      <c r="H1847" t="s">
        <v>1148</v>
      </c>
      <c r="I1847" t="s">
        <v>1148</v>
      </c>
      <c r="J1847" t="s">
        <v>1223</v>
      </c>
      <c r="K1847" t="s">
        <v>1212</v>
      </c>
      <c r="M1847" s="3">
        <f t="shared" si="112"/>
        <v>75.857142857142861</v>
      </c>
      <c r="N1847">
        <v>60</v>
      </c>
      <c r="O1847">
        <v>82</v>
      </c>
      <c r="P1847">
        <v>85</v>
      </c>
      <c r="Q1847">
        <v>78</v>
      </c>
      <c r="R1847">
        <v>76</v>
      </c>
      <c r="S1847">
        <v>90</v>
      </c>
      <c r="T1847">
        <v>60</v>
      </c>
      <c r="U1847">
        <v>0</v>
      </c>
      <c r="V1847" s="3">
        <f t="shared" si="113"/>
        <v>6309063</v>
      </c>
      <c r="W1847">
        <v>525755.25</v>
      </c>
      <c r="X1847">
        <v>0</v>
      </c>
      <c r="Y1847">
        <f t="shared" si="114"/>
        <v>525755.25</v>
      </c>
      <c r="Z1847">
        <f t="shared" si="115"/>
        <v>0</v>
      </c>
      <c r="AA1847">
        <v>0</v>
      </c>
    </row>
    <row r="1848" spans="1:27" x14ac:dyDescent="0.25">
      <c r="A1848" s="1">
        <v>1847</v>
      </c>
      <c r="B1848" t="s">
        <v>433</v>
      </c>
      <c r="C1848" t="s">
        <v>1135</v>
      </c>
      <c r="D1848" t="s">
        <v>1141</v>
      </c>
      <c r="E1848" t="s">
        <v>1145</v>
      </c>
      <c r="F1848" t="s">
        <v>1142</v>
      </c>
      <c r="G1848" t="s">
        <v>1148</v>
      </c>
      <c r="H1848" t="s">
        <v>1148</v>
      </c>
      <c r="I1848" t="s">
        <v>1148</v>
      </c>
      <c r="J1848" t="s">
        <v>1223</v>
      </c>
      <c r="K1848" t="s">
        <v>1212</v>
      </c>
      <c r="M1848" s="3">
        <f t="shared" si="112"/>
        <v>80.571428571428569</v>
      </c>
      <c r="N1848">
        <v>70</v>
      </c>
      <c r="O1848">
        <v>85</v>
      </c>
      <c r="P1848">
        <v>91</v>
      </c>
      <c r="Q1848">
        <v>83</v>
      </c>
      <c r="R1848">
        <v>79</v>
      </c>
      <c r="S1848">
        <v>86</v>
      </c>
      <c r="T1848">
        <v>70</v>
      </c>
      <c r="U1848">
        <v>19</v>
      </c>
      <c r="V1848" s="3">
        <f t="shared" si="113"/>
        <v>17294257</v>
      </c>
      <c r="W1848">
        <v>1441188.0833333333</v>
      </c>
      <c r="X1848">
        <v>0</v>
      </c>
      <c r="Y1848">
        <f t="shared" si="114"/>
        <v>1441188.0833333333</v>
      </c>
      <c r="Z1848">
        <f t="shared" si="115"/>
        <v>0</v>
      </c>
      <c r="AA1848">
        <v>0</v>
      </c>
    </row>
    <row r="1849" spans="1:27" x14ac:dyDescent="0.25">
      <c r="A1849" s="1">
        <v>1848</v>
      </c>
      <c r="B1849" t="s">
        <v>1679</v>
      </c>
      <c r="C1849" t="s">
        <v>1135</v>
      </c>
      <c r="D1849" t="s">
        <v>1141</v>
      </c>
      <c r="H1849" t="s">
        <v>1148</v>
      </c>
      <c r="I1849" t="s">
        <v>1148</v>
      </c>
      <c r="J1849" t="s">
        <v>1223</v>
      </c>
      <c r="K1849" t="s">
        <v>1212</v>
      </c>
      <c r="M1849" s="3">
        <f t="shared" si="112"/>
        <v>67.857142857142861</v>
      </c>
      <c r="N1849">
        <v>28</v>
      </c>
      <c r="O1849">
        <v>79</v>
      </c>
      <c r="P1849">
        <v>77</v>
      </c>
      <c r="Q1849">
        <v>78</v>
      </c>
      <c r="R1849">
        <v>82</v>
      </c>
      <c r="S1849">
        <v>86</v>
      </c>
      <c r="T1849">
        <v>45</v>
      </c>
      <c r="U1849">
        <v>0</v>
      </c>
      <c r="V1849" s="3">
        <f t="shared" si="113"/>
        <v>2069931</v>
      </c>
      <c r="W1849">
        <v>172494.25</v>
      </c>
      <c r="X1849">
        <v>0</v>
      </c>
      <c r="Y1849">
        <f t="shared" si="114"/>
        <v>172494.25</v>
      </c>
      <c r="Z1849">
        <f t="shared" si="115"/>
        <v>0</v>
      </c>
      <c r="AA1849">
        <v>0</v>
      </c>
    </row>
    <row r="1850" spans="1:27" x14ac:dyDescent="0.25">
      <c r="A1850" s="1">
        <v>1849</v>
      </c>
      <c r="B1850" t="s">
        <v>2623</v>
      </c>
      <c r="C1850" t="s">
        <v>1135</v>
      </c>
      <c r="D1850" t="s">
        <v>1141</v>
      </c>
      <c r="H1850" t="s">
        <v>1148</v>
      </c>
      <c r="I1850" t="s">
        <v>1148</v>
      </c>
      <c r="J1850" t="s">
        <v>1223</v>
      </c>
      <c r="K1850" t="s">
        <v>1212</v>
      </c>
      <c r="M1850" s="3">
        <f t="shared" si="112"/>
        <v>67.857142857142861</v>
      </c>
      <c r="N1850">
        <v>28</v>
      </c>
      <c r="O1850">
        <v>79</v>
      </c>
      <c r="P1850">
        <v>77</v>
      </c>
      <c r="Q1850">
        <v>78</v>
      </c>
      <c r="R1850">
        <v>82</v>
      </c>
      <c r="S1850">
        <v>86</v>
      </c>
      <c r="T1850">
        <v>45</v>
      </c>
      <c r="U1850">
        <v>0</v>
      </c>
      <c r="V1850" s="3">
        <f t="shared" si="113"/>
        <v>2069931</v>
      </c>
      <c r="W1850">
        <v>172494.25</v>
      </c>
      <c r="X1850">
        <v>0</v>
      </c>
      <c r="Y1850">
        <f t="shared" si="114"/>
        <v>172494.25</v>
      </c>
      <c r="Z1850">
        <f t="shared" si="115"/>
        <v>0</v>
      </c>
      <c r="AA1850">
        <v>0</v>
      </c>
    </row>
    <row r="1851" spans="1:27" x14ac:dyDescent="0.25">
      <c r="A1851" s="1">
        <v>1850</v>
      </c>
      <c r="B1851" t="s">
        <v>2595</v>
      </c>
      <c r="C1851" t="s">
        <v>1135</v>
      </c>
      <c r="D1851" t="s">
        <v>1141</v>
      </c>
      <c r="E1851" t="s">
        <v>1142</v>
      </c>
      <c r="H1851" t="s">
        <v>1148</v>
      </c>
      <c r="I1851" t="s">
        <v>1148</v>
      </c>
      <c r="J1851" t="s">
        <v>1223</v>
      </c>
      <c r="K1851" t="s">
        <v>1212</v>
      </c>
      <c r="M1851" s="3">
        <f t="shared" si="112"/>
        <v>67.857142857142861</v>
      </c>
      <c r="N1851">
        <v>28</v>
      </c>
      <c r="O1851">
        <v>79</v>
      </c>
      <c r="P1851">
        <v>77</v>
      </c>
      <c r="Q1851">
        <v>78</v>
      </c>
      <c r="R1851">
        <v>82</v>
      </c>
      <c r="S1851">
        <v>86</v>
      </c>
      <c r="T1851">
        <v>45</v>
      </c>
      <c r="U1851">
        <v>0</v>
      </c>
      <c r="V1851" s="3">
        <f t="shared" si="113"/>
        <v>2069931</v>
      </c>
      <c r="W1851">
        <v>172494.25</v>
      </c>
      <c r="X1851">
        <v>0</v>
      </c>
      <c r="Y1851">
        <f t="shared" si="114"/>
        <v>172494.25</v>
      </c>
      <c r="Z1851">
        <f t="shared" si="115"/>
        <v>0</v>
      </c>
      <c r="AA1851">
        <v>0</v>
      </c>
    </row>
    <row r="1852" spans="1:27" x14ac:dyDescent="0.25">
      <c r="A1852" s="1">
        <v>1851</v>
      </c>
      <c r="B1852" t="s">
        <v>634</v>
      </c>
      <c r="C1852" t="s">
        <v>1136</v>
      </c>
      <c r="D1852" t="s">
        <v>1143</v>
      </c>
      <c r="E1852" t="s">
        <v>1145</v>
      </c>
      <c r="F1852" t="s">
        <v>1147</v>
      </c>
      <c r="G1852" t="s">
        <v>1148</v>
      </c>
      <c r="H1852" t="s">
        <v>1148</v>
      </c>
      <c r="I1852" t="s">
        <v>1148</v>
      </c>
      <c r="J1852" t="s">
        <v>1223</v>
      </c>
      <c r="K1852" t="s">
        <v>1212</v>
      </c>
      <c r="M1852" s="3">
        <f t="shared" si="112"/>
        <v>88.714285714285708</v>
      </c>
      <c r="N1852">
        <v>83</v>
      </c>
      <c r="O1852">
        <v>84</v>
      </c>
      <c r="P1852">
        <v>90</v>
      </c>
      <c r="Q1852">
        <v>93</v>
      </c>
      <c r="R1852">
        <v>92</v>
      </c>
      <c r="S1852">
        <v>96</v>
      </c>
      <c r="T1852">
        <v>83</v>
      </c>
      <c r="U1852">
        <v>19</v>
      </c>
      <c r="V1852" s="3">
        <f t="shared" si="113"/>
        <v>45292560</v>
      </c>
      <c r="W1852">
        <v>3774380</v>
      </c>
      <c r="X1852">
        <v>0</v>
      </c>
      <c r="Y1852">
        <f t="shared" si="114"/>
        <v>3774380</v>
      </c>
      <c r="Z1852">
        <f t="shared" si="115"/>
        <v>0</v>
      </c>
      <c r="AA1852">
        <v>0</v>
      </c>
    </row>
    <row r="1853" spans="1:27" x14ac:dyDescent="0.25">
      <c r="A1853" s="1">
        <v>1852</v>
      </c>
      <c r="B1853" t="s">
        <v>2568</v>
      </c>
      <c r="C1853" t="s">
        <v>1136</v>
      </c>
      <c r="D1853" t="s">
        <v>1147</v>
      </c>
      <c r="E1853" t="s">
        <v>1144</v>
      </c>
      <c r="H1853" t="s">
        <v>1148</v>
      </c>
      <c r="I1853" t="s">
        <v>1148</v>
      </c>
      <c r="J1853" t="s">
        <v>1223</v>
      </c>
      <c r="K1853" t="s">
        <v>1212</v>
      </c>
      <c r="M1853" s="3">
        <f t="shared" si="112"/>
        <v>54.714285714285715</v>
      </c>
      <c r="N1853">
        <v>20</v>
      </c>
      <c r="O1853">
        <v>64</v>
      </c>
      <c r="P1853">
        <v>57</v>
      </c>
      <c r="Q1853">
        <v>71</v>
      </c>
      <c r="R1853">
        <v>68</v>
      </c>
      <c r="S1853">
        <v>73</v>
      </c>
      <c r="T1853">
        <v>30</v>
      </c>
      <c r="U1853">
        <v>0</v>
      </c>
      <c r="V1853" s="3">
        <f t="shared" si="113"/>
        <v>240441</v>
      </c>
      <c r="W1853">
        <v>20036.75</v>
      </c>
      <c r="X1853">
        <v>0</v>
      </c>
      <c r="Y1853">
        <f t="shared" si="114"/>
        <v>20036.75</v>
      </c>
      <c r="Z1853">
        <f t="shared" si="115"/>
        <v>0</v>
      </c>
      <c r="AA1853">
        <v>0</v>
      </c>
    </row>
    <row r="1854" spans="1:27" x14ac:dyDescent="0.25">
      <c r="A1854" s="1">
        <v>1853</v>
      </c>
      <c r="B1854" t="s">
        <v>633</v>
      </c>
      <c r="C1854" t="s">
        <v>1136</v>
      </c>
      <c r="D1854" t="s">
        <v>1145</v>
      </c>
      <c r="E1854" t="s">
        <v>1147</v>
      </c>
      <c r="G1854" t="s">
        <v>1148</v>
      </c>
      <c r="H1854" t="s">
        <v>1148</v>
      </c>
      <c r="I1854" t="s">
        <v>1148</v>
      </c>
      <c r="J1854" t="s">
        <v>1223</v>
      </c>
      <c r="K1854" t="s">
        <v>1212</v>
      </c>
      <c r="M1854" s="3">
        <f t="shared" si="112"/>
        <v>87.285714285714292</v>
      </c>
      <c r="N1854">
        <v>75</v>
      </c>
      <c r="O1854">
        <v>80</v>
      </c>
      <c r="P1854">
        <v>96</v>
      </c>
      <c r="Q1854">
        <v>91</v>
      </c>
      <c r="R1854">
        <v>95</v>
      </c>
      <c r="S1854">
        <v>90</v>
      </c>
      <c r="T1854">
        <v>84</v>
      </c>
      <c r="U1854">
        <v>18</v>
      </c>
      <c r="V1854" s="3">
        <f t="shared" si="113"/>
        <v>38505518</v>
      </c>
      <c r="W1854">
        <v>3208793.1666666665</v>
      </c>
      <c r="X1854">
        <v>0</v>
      </c>
      <c r="Y1854">
        <f t="shared" si="114"/>
        <v>3208793.1666666665</v>
      </c>
      <c r="Z1854">
        <f t="shared" si="115"/>
        <v>0</v>
      </c>
      <c r="AA1854">
        <v>0</v>
      </c>
    </row>
    <row r="1855" spans="1:27" x14ac:dyDescent="0.25">
      <c r="A1855" s="1">
        <v>1854</v>
      </c>
      <c r="B1855" t="s">
        <v>632</v>
      </c>
      <c r="C1855" t="s">
        <v>1136</v>
      </c>
      <c r="D1855" t="s">
        <v>1144</v>
      </c>
      <c r="E1855" t="s">
        <v>1143</v>
      </c>
      <c r="F1855" t="s">
        <v>1138</v>
      </c>
      <c r="G1855" t="s">
        <v>1148</v>
      </c>
      <c r="H1855" t="s">
        <v>1148</v>
      </c>
      <c r="I1855" t="s">
        <v>1148</v>
      </c>
      <c r="J1855" t="s">
        <v>1223</v>
      </c>
      <c r="K1855" t="s">
        <v>1212</v>
      </c>
      <c r="M1855" s="3">
        <f t="shared" si="112"/>
        <v>86.714285714285708</v>
      </c>
      <c r="N1855">
        <v>76</v>
      </c>
      <c r="O1855">
        <v>83</v>
      </c>
      <c r="P1855">
        <v>90</v>
      </c>
      <c r="Q1855">
        <v>88</v>
      </c>
      <c r="R1855">
        <v>94</v>
      </c>
      <c r="S1855">
        <v>94</v>
      </c>
      <c r="T1855">
        <v>82</v>
      </c>
      <c r="U1855">
        <v>18</v>
      </c>
      <c r="V1855" s="3">
        <f t="shared" si="113"/>
        <v>36057680</v>
      </c>
      <c r="W1855">
        <v>3004806.6666666665</v>
      </c>
      <c r="X1855">
        <v>0</v>
      </c>
      <c r="Y1855">
        <f t="shared" si="114"/>
        <v>3004806.6666666665</v>
      </c>
      <c r="Z1855">
        <f t="shared" si="115"/>
        <v>0</v>
      </c>
      <c r="AA1855">
        <v>0</v>
      </c>
    </row>
    <row r="1856" spans="1:27" x14ac:dyDescent="0.25">
      <c r="A1856" s="1">
        <v>1855</v>
      </c>
      <c r="B1856" t="s">
        <v>1699</v>
      </c>
      <c r="C1856" t="s">
        <v>1136</v>
      </c>
      <c r="D1856" t="s">
        <v>1143</v>
      </c>
      <c r="E1856" t="s">
        <v>1145</v>
      </c>
      <c r="H1856" t="s">
        <v>1148</v>
      </c>
      <c r="I1856" t="s">
        <v>1148</v>
      </c>
      <c r="J1856" t="s">
        <v>1223</v>
      </c>
      <c r="K1856" t="s">
        <v>1212</v>
      </c>
      <c r="M1856" s="3">
        <f t="shared" si="112"/>
        <v>65</v>
      </c>
      <c r="N1856">
        <v>26</v>
      </c>
      <c r="O1856">
        <v>77</v>
      </c>
      <c r="P1856">
        <v>69</v>
      </c>
      <c r="Q1856">
        <v>82</v>
      </c>
      <c r="R1856">
        <v>78</v>
      </c>
      <c r="S1856">
        <v>80</v>
      </c>
      <c r="T1856">
        <v>43</v>
      </c>
      <c r="U1856">
        <v>0</v>
      </c>
      <c r="V1856" s="3">
        <f t="shared" si="113"/>
        <v>1346275</v>
      </c>
      <c r="W1856">
        <v>112189.58333333333</v>
      </c>
      <c r="X1856">
        <v>0</v>
      </c>
      <c r="Y1856">
        <f t="shared" si="114"/>
        <v>112189.58333333333</v>
      </c>
      <c r="Z1856">
        <f t="shared" si="115"/>
        <v>0</v>
      </c>
      <c r="AA1856">
        <v>0</v>
      </c>
    </row>
    <row r="1857" spans="1:27" x14ac:dyDescent="0.25">
      <c r="A1857" s="1">
        <v>1856</v>
      </c>
      <c r="B1857" t="s">
        <v>635</v>
      </c>
      <c r="C1857" t="s">
        <v>1136</v>
      </c>
      <c r="D1857" t="s">
        <v>1146</v>
      </c>
      <c r="E1857" t="s">
        <v>1145</v>
      </c>
      <c r="G1857" t="s">
        <v>1148</v>
      </c>
      <c r="H1857" t="s">
        <v>1148</v>
      </c>
      <c r="I1857" t="s">
        <v>1148</v>
      </c>
      <c r="J1857" t="s">
        <v>1223</v>
      </c>
      <c r="K1857" t="s">
        <v>1212</v>
      </c>
      <c r="M1857" s="3">
        <f t="shared" si="112"/>
        <v>84.428571428571431</v>
      </c>
      <c r="N1857">
        <v>70</v>
      </c>
      <c r="O1857">
        <v>94</v>
      </c>
      <c r="P1857">
        <v>87</v>
      </c>
      <c r="Q1857">
        <v>87</v>
      </c>
      <c r="R1857">
        <v>90</v>
      </c>
      <c r="S1857">
        <v>83</v>
      </c>
      <c r="T1857">
        <v>80</v>
      </c>
      <c r="U1857">
        <v>23</v>
      </c>
      <c r="V1857" s="3">
        <f t="shared" si="113"/>
        <v>27604868</v>
      </c>
      <c r="W1857">
        <v>2300405.6666666665</v>
      </c>
      <c r="X1857">
        <v>0</v>
      </c>
      <c r="Y1857">
        <f t="shared" si="114"/>
        <v>2300405.6666666665</v>
      </c>
      <c r="Z1857">
        <f t="shared" si="115"/>
        <v>0</v>
      </c>
      <c r="AA1857">
        <v>0</v>
      </c>
    </row>
    <row r="1858" spans="1:27" x14ac:dyDescent="0.25">
      <c r="A1858" s="1">
        <v>1857</v>
      </c>
      <c r="B1858" t="s">
        <v>1097</v>
      </c>
      <c r="C1858" t="s">
        <v>1137</v>
      </c>
      <c r="D1858" t="s">
        <v>1137</v>
      </c>
      <c r="H1858" t="s">
        <v>1162</v>
      </c>
      <c r="I1858" t="s">
        <v>1162</v>
      </c>
      <c r="J1858" t="s">
        <v>1223</v>
      </c>
      <c r="K1858" t="s">
        <v>1212</v>
      </c>
      <c r="M1858" s="3">
        <f t="shared" ref="M1858:M1921" si="116">AVERAGE(N1858:T1858)</f>
        <v>71.285714285714292</v>
      </c>
      <c r="N1858">
        <v>56</v>
      </c>
      <c r="O1858">
        <v>76</v>
      </c>
      <c r="P1858">
        <v>71</v>
      </c>
      <c r="Q1858">
        <v>85</v>
      </c>
      <c r="R1858">
        <v>74</v>
      </c>
      <c r="S1858">
        <v>85</v>
      </c>
      <c r="T1858">
        <v>52</v>
      </c>
      <c r="U1858">
        <v>0</v>
      </c>
      <c r="V1858" s="3">
        <f t="shared" ref="V1858:V1921" si="117">ROUNDUP(M1858^10/1000000000000 * IF(U1858&gt;0,1.5,1),0)</f>
        <v>3388638</v>
      </c>
      <c r="W1858">
        <v>282386.5</v>
      </c>
      <c r="X1858">
        <v>0</v>
      </c>
      <c r="Y1858">
        <f t="shared" ref="Y1858:Y1921" si="118">V1858/12</f>
        <v>282386.5</v>
      </c>
      <c r="Z1858">
        <f t="shared" ref="Z1858:Z1921" si="119">ROUND(((W1858-Y1858)/Y1858)*100,2)</f>
        <v>0</v>
      </c>
      <c r="AA1858">
        <v>0</v>
      </c>
    </row>
    <row r="1859" spans="1:27" x14ac:dyDescent="0.25">
      <c r="A1859" s="1">
        <v>1858</v>
      </c>
      <c r="B1859" t="s">
        <v>1936</v>
      </c>
      <c r="C1859" t="s">
        <v>1133</v>
      </c>
      <c r="D1859" t="s">
        <v>1133</v>
      </c>
      <c r="H1859" t="s">
        <v>1162</v>
      </c>
      <c r="I1859" t="s">
        <v>1162</v>
      </c>
      <c r="J1859" t="s">
        <v>1237</v>
      </c>
      <c r="K1859" t="s">
        <v>1212</v>
      </c>
      <c r="M1859" s="3">
        <f t="shared" si="116"/>
        <v>51.714285714285715</v>
      </c>
      <c r="N1859">
        <v>12</v>
      </c>
      <c r="O1859">
        <v>62</v>
      </c>
      <c r="P1859">
        <v>56</v>
      </c>
      <c r="Q1859">
        <v>66</v>
      </c>
      <c r="R1859">
        <v>68</v>
      </c>
      <c r="S1859">
        <v>70</v>
      </c>
      <c r="T1859">
        <v>28</v>
      </c>
      <c r="U1859">
        <v>0</v>
      </c>
      <c r="V1859" s="3">
        <f t="shared" si="117"/>
        <v>136807</v>
      </c>
      <c r="W1859">
        <v>11400.583333333334</v>
      </c>
      <c r="X1859">
        <v>0</v>
      </c>
      <c r="Y1859">
        <f t="shared" si="118"/>
        <v>11400.583333333334</v>
      </c>
      <c r="Z1859">
        <f t="shared" si="119"/>
        <v>0</v>
      </c>
      <c r="AA1859">
        <v>0</v>
      </c>
    </row>
    <row r="1860" spans="1:27" x14ac:dyDescent="0.25">
      <c r="A1860" s="1">
        <v>1859</v>
      </c>
      <c r="B1860" t="s">
        <v>42</v>
      </c>
      <c r="C1860" t="s">
        <v>1133</v>
      </c>
      <c r="D1860" t="s">
        <v>1133</v>
      </c>
      <c r="G1860" t="s">
        <v>1162</v>
      </c>
      <c r="H1860" t="s">
        <v>1162</v>
      </c>
      <c r="I1860" t="s">
        <v>1162</v>
      </c>
      <c r="J1860" t="s">
        <v>1237</v>
      </c>
      <c r="K1860" t="s">
        <v>1212</v>
      </c>
      <c r="M1860" s="3">
        <f t="shared" si="116"/>
        <v>72.857142857142861</v>
      </c>
      <c r="N1860">
        <v>60</v>
      </c>
      <c r="O1860">
        <v>75</v>
      </c>
      <c r="P1860">
        <v>70</v>
      </c>
      <c r="Q1860">
        <v>70</v>
      </c>
      <c r="R1860">
        <v>76</v>
      </c>
      <c r="S1860">
        <v>96</v>
      </c>
      <c r="T1860">
        <v>63</v>
      </c>
      <c r="U1860">
        <v>0</v>
      </c>
      <c r="V1860" s="3">
        <f t="shared" si="117"/>
        <v>4214261</v>
      </c>
      <c r="W1860">
        <v>351188.41666666669</v>
      </c>
      <c r="X1860">
        <v>0</v>
      </c>
      <c r="Y1860">
        <f t="shared" si="118"/>
        <v>351188.41666666669</v>
      </c>
      <c r="Z1860">
        <f t="shared" si="119"/>
        <v>0</v>
      </c>
      <c r="AA1860">
        <v>0</v>
      </c>
    </row>
    <row r="1861" spans="1:27" x14ac:dyDescent="0.25">
      <c r="A1861" s="1">
        <v>1860</v>
      </c>
      <c r="B1861" t="s">
        <v>1938</v>
      </c>
      <c r="C1861" t="s">
        <v>1134</v>
      </c>
      <c r="D1861" t="s">
        <v>1140</v>
      </c>
      <c r="E1861" t="s">
        <v>1138</v>
      </c>
      <c r="H1861" t="s">
        <v>1162</v>
      </c>
      <c r="I1861" t="s">
        <v>1162</v>
      </c>
      <c r="J1861" t="s">
        <v>1237</v>
      </c>
      <c r="K1861" t="s">
        <v>1212</v>
      </c>
      <c r="M1861" s="3">
        <f t="shared" si="116"/>
        <v>52</v>
      </c>
      <c r="N1861">
        <v>13</v>
      </c>
      <c r="O1861">
        <v>63</v>
      </c>
      <c r="P1861">
        <v>57</v>
      </c>
      <c r="Q1861">
        <v>67</v>
      </c>
      <c r="R1861">
        <v>69</v>
      </c>
      <c r="S1861">
        <v>71</v>
      </c>
      <c r="T1861">
        <v>24</v>
      </c>
      <c r="U1861">
        <v>0</v>
      </c>
      <c r="V1861" s="3">
        <f t="shared" si="117"/>
        <v>144556</v>
      </c>
      <c r="W1861">
        <v>12046.333333333334</v>
      </c>
      <c r="X1861">
        <v>0</v>
      </c>
      <c r="Y1861">
        <f t="shared" si="118"/>
        <v>12046.333333333334</v>
      </c>
      <c r="Z1861">
        <f t="shared" si="119"/>
        <v>0</v>
      </c>
      <c r="AA1861">
        <v>0</v>
      </c>
    </row>
    <row r="1862" spans="1:27" x14ac:dyDescent="0.25">
      <c r="A1862" s="1">
        <v>1861</v>
      </c>
      <c r="B1862" t="s">
        <v>2633</v>
      </c>
      <c r="C1862" t="s">
        <v>1134</v>
      </c>
      <c r="D1862" t="s">
        <v>1139</v>
      </c>
      <c r="E1862" t="s">
        <v>1138</v>
      </c>
      <c r="H1862" t="s">
        <v>1162</v>
      </c>
      <c r="I1862" t="s">
        <v>1162</v>
      </c>
      <c r="J1862" t="s">
        <v>1237</v>
      </c>
      <c r="K1862" t="s">
        <v>1212</v>
      </c>
      <c r="M1862" s="3">
        <f t="shared" si="116"/>
        <v>43.714285714285715</v>
      </c>
      <c r="N1862">
        <v>10</v>
      </c>
      <c r="O1862">
        <v>53</v>
      </c>
      <c r="P1862">
        <v>51</v>
      </c>
      <c r="Q1862">
        <v>55</v>
      </c>
      <c r="R1862">
        <v>57</v>
      </c>
      <c r="S1862">
        <v>60</v>
      </c>
      <c r="T1862">
        <v>20</v>
      </c>
      <c r="U1862">
        <v>0</v>
      </c>
      <c r="V1862" s="3">
        <f t="shared" si="117"/>
        <v>25483</v>
      </c>
      <c r="W1862">
        <v>2123.5833333333335</v>
      </c>
      <c r="X1862">
        <v>0</v>
      </c>
      <c r="Y1862">
        <f t="shared" si="118"/>
        <v>2123.5833333333335</v>
      </c>
      <c r="Z1862">
        <f t="shared" si="119"/>
        <v>0</v>
      </c>
      <c r="AA1862">
        <v>0</v>
      </c>
    </row>
    <row r="1863" spans="1:27" x14ac:dyDescent="0.25">
      <c r="A1863" s="1">
        <v>1862</v>
      </c>
      <c r="B1863" t="s">
        <v>1943</v>
      </c>
      <c r="C1863" t="s">
        <v>1134</v>
      </c>
      <c r="D1863" t="s">
        <v>1138</v>
      </c>
      <c r="E1863" t="s">
        <v>1144</v>
      </c>
      <c r="H1863" t="s">
        <v>1162</v>
      </c>
      <c r="I1863" t="s">
        <v>1162</v>
      </c>
      <c r="J1863" t="s">
        <v>1237</v>
      </c>
      <c r="K1863" t="s">
        <v>1212</v>
      </c>
      <c r="M1863" s="3">
        <f t="shared" si="116"/>
        <v>64.857142857142861</v>
      </c>
      <c r="N1863">
        <v>18</v>
      </c>
      <c r="O1863">
        <v>78</v>
      </c>
      <c r="P1863">
        <v>70</v>
      </c>
      <c r="Q1863">
        <v>82</v>
      </c>
      <c r="R1863">
        <v>85</v>
      </c>
      <c r="S1863">
        <v>87</v>
      </c>
      <c r="T1863">
        <v>34</v>
      </c>
      <c r="U1863">
        <v>0</v>
      </c>
      <c r="V1863" s="3">
        <f t="shared" si="117"/>
        <v>1316977</v>
      </c>
      <c r="W1863">
        <v>109748.08333333333</v>
      </c>
      <c r="X1863">
        <v>0</v>
      </c>
      <c r="Y1863">
        <f t="shared" si="118"/>
        <v>109748.08333333333</v>
      </c>
      <c r="Z1863">
        <f t="shared" si="119"/>
        <v>0</v>
      </c>
      <c r="AA1863">
        <v>0</v>
      </c>
    </row>
    <row r="1864" spans="1:27" x14ac:dyDescent="0.25">
      <c r="A1864" s="1">
        <v>1863</v>
      </c>
      <c r="B1864" t="s">
        <v>190</v>
      </c>
      <c r="C1864" t="s">
        <v>1134</v>
      </c>
      <c r="D1864" t="s">
        <v>1138</v>
      </c>
      <c r="E1864" t="s">
        <v>1140</v>
      </c>
      <c r="F1864" t="s">
        <v>1144</v>
      </c>
      <c r="G1864" t="s">
        <v>1162</v>
      </c>
      <c r="H1864" t="s">
        <v>1162</v>
      </c>
      <c r="I1864" t="s">
        <v>1162</v>
      </c>
      <c r="J1864" t="s">
        <v>1237</v>
      </c>
      <c r="K1864" t="s">
        <v>1212</v>
      </c>
      <c r="M1864" s="3">
        <f t="shared" si="116"/>
        <v>82.142857142857139</v>
      </c>
      <c r="N1864">
        <v>70</v>
      </c>
      <c r="O1864">
        <v>83</v>
      </c>
      <c r="P1864">
        <v>90</v>
      </c>
      <c r="Q1864">
        <v>80</v>
      </c>
      <c r="R1864">
        <v>88</v>
      </c>
      <c r="S1864">
        <v>84</v>
      </c>
      <c r="T1864">
        <v>80</v>
      </c>
      <c r="U1864">
        <v>26</v>
      </c>
      <c r="V1864" s="3">
        <f t="shared" si="117"/>
        <v>20979219</v>
      </c>
      <c r="W1864">
        <v>1748268.25</v>
      </c>
      <c r="X1864">
        <v>0</v>
      </c>
      <c r="Y1864">
        <f t="shared" si="118"/>
        <v>1748268.25</v>
      </c>
      <c r="Z1864">
        <f t="shared" si="119"/>
        <v>0</v>
      </c>
      <c r="AA1864">
        <v>0</v>
      </c>
    </row>
    <row r="1865" spans="1:27" x14ac:dyDescent="0.25">
      <c r="A1865" s="1">
        <v>1864</v>
      </c>
      <c r="B1865" t="s">
        <v>322</v>
      </c>
      <c r="C1865" t="s">
        <v>1134</v>
      </c>
      <c r="D1865" t="s">
        <v>1138</v>
      </c>
      <c r="G1865" t="s">
        <v>1189</v>
      </c>
      <c r="H1865" t="s">
        <v>1189</v>
      </c>
      <c r="I1865" t="s">
        <v>1189</v>
      </c>
      <c r="J1865" t="s">
        <v>1237</v>
      </c>
      <c r="K1865" t="s">
        <v>1212</v>
      </c>
      <c r="M1865" s="3">
        <f t="shared" si="116"/>
        <v>46.857142857142854</v>
      </c>
      <c r="N1865">
        <v>20</v>
      </c>
      <c r="O1865">
        <v>46</v>
      </c>
      <c r="P1865">
        <v>50</v>
      </c>
      <c r="Q1865">
        <v>54</v>
      </c>
      <c r="R1865">
        <v>64</v>
      </c>
      <c r="S1865">
        <v>68</v>
      </c>
      <c r="T1865">
        <v>26</v>
      </c>
      <c r="U1865">
        <v>0</v>
      </c>
      <c r="V1865" s="3">
        <f t="shared" si="117"/>
        <v>51023</v>
      </c>
      <c r="W1865">
        <v>4251.916666666667</v>
      </c>
      <c r="X1865">
        <v>0</v>
      </c>
      <c r="Y1865">
        <f t="shared" si="118"/>
        <v>4251.916666666667</v>
      </c>
      <c r="Z1865">
        <f t="shared" si="119"/>
        <v>0</v>
      </c>
      <c r="AA1865">
        <v>0</v>
      </c>
    </row>
    <row r="1866" spans="1:27" x14ac:dyDescent="0.25">
      <c r="A1866" s="1">
        <v>1865</v>
      </c>
      <c r="B1866" t="s">
        <v>231</v>
      </c>
      <c r="C1866" t="s">
        <v>1134</v>
      </c>
      <c r="D1866" t="s">
        <v>1138</v>
      </c>
      <c r="G1866" t="s">
        <v>1171</v>
      </c>
      <c r="H1866" t="s">
        <v>1171</v>
      </c>
      <c r="I1866" t="s">
        <v>1171</v>
      </c>
      <c r="J1866" t="s">
        <v>1237</v>
      </c>
      <c r="K1866" t="s">
        <v>1212</v>
      </c>
      <c r="M1866" s="3">
        <f t="shared" si="116"/>
        <v>66.714285714285708</v>
      </c>
      <c r="N1866">
        <v>42</v>
      </c>
      <c r="O1866">
        <v>70</v>
      </c>
      <c r="P1866">
        <v>70</v>
      </c>
      <c r="Q1866">
        <v>72</v>
      </c>
      <c r="R1866">
        <v>71</v>
      </c>
      <c r="S1866">
        <v>72</v>
      </c>
      <c r="T1866">
        <v>70</v>
      </c>
      <c r="U1866">
        <v>0</v>
      </c>
      <c r="V1866" s="3">
        <f t="shared" si="117"/>
        <v>1746580</v>
      </c>
      <c r="W1866">
        <v>136464.08333333334</v>
      </c>
      <c r="X1866">
        <v>0</v>
      </c>
      <c r="Y1866">
        <f t="shared" si="118"/>
        <v>145548.33333333334</v>
      </c>
      <c r="Z1866">
        <f t="shared" si="119"/>
        <v>-6.24</v>
      </c>
      <c r="AA1866">
        <v>0</v>
      </c>
    </row>
    <row r="1867" spans="1:27" x14ac:dyDescent="0.25">
      <c r="A1867" s="1">
        <v>1866</v>
      </c>
      <c r="B1867" t="s">
        <v>1944</v>
      </c>
      <c r="C1867" t="s">
        <v>1135</v>
      </c>
      <c r="D1867" t="s">
        <v>1141</v>
      </c>
      <c r="E1867" t="s">
        <v>1142</v>
      </c>
      <c r="H1867" t="s">
        <v>1179</v>
      </c>
      <c r="I1867" t="s">
        <v>1179</v>
      </c>
      <c r="J1867" t="s">
        <v>1237</v>
      </c>
      <c r="K1867" t="s">
        <v>1212</v>
      </c>
      <c r="M1867" s="3">
        <f t="shared" si="116"/>
        <v>60.285714285714285</v>
      </c>
      <c r="N1867">
        <v>17</v>
      </c>
      <c r="O1867">
        <v>75</v>
      </c>
      <c r="P1867">
        <v>69</v>
      </c>
      <c r="Q1867">
        <v>73</v>
      </c>
      <c r="R1867">
        <v>77</v>
      </c>
      <c r="S1867">
        <v>80</v>
      </c>
      <c r="T1867">
        <v>31</v>
      </c>
      <c r="U1867">
        <v>0</v>
      </c>
      <c r="V1867" s="3">
        <f t="shared" si="117"/>
        <v>634081</v>
      </c>
      <c r="W1867">
        <v>52840.083333333336</v>
      </c>
      <c r="X1867">
        <v>0</v>
      </c>
      <c r="Y1867">
        <f t="shared" si="118"/>
        <v>52840.083333333336</v>
      </c>
      <c r="Z1867">
        <f t="shared" si="119"/>
        <v>0</v>
      </c>
      <c r="AA1867">
        <v>0</v>
      </c>
    </row>
    <row r="1868" spans="1:27" x14ac:dyDescent="0.25">
      <c r="A1868" s="1">
        <v>1867</v>
      </c>
      <c r="B1868" t="s">
        <v>478</v>
      </c>
      <c r="C1868" t="s">
        <v>1135</v>
      </c>
      <c r="D1868" t="s">
        <v>1141</v>
      </c>
      <c r="E1868" t="s">
        <v>1142</v>
      </c>
      <c r="G1868" t="s">
        <v>1162</v>
      </c>
      <c r="H1868" t="s">
        <v>1162</v>
      </c>
      <c r="I1868" t="s">
        <v>1162</v>
      </c>
      <c r="J1868" t="s">
        <v>1237</v>
      </c>
      <c r="K1868" t="s">
        <v>1212</v>
      </c>
      <c r="M1868" s="3">
        <f t="shared" si="116"/>
        <v>74.857142857142861</v>
      </c>
      <c r="N1868">
        <v>53</v>
      </c>
      <c r="O1868">
        <v>70</v>
      </c>
      <c r="P1868">
        <v>90</v>
      </c>
      <c r="Q1868">
        <v>80</v>
      </c>
      <c r="R1868">
        <v>83</v>
      </c>
      <c r="S1868">
        <v>98</v>
      </c>
      <c r="T1868">
        <v>50</v>
      </c>
      <c r="U1868">
        <v>6</v>
      </c>
      <c r="V1868" s="3">
        <f t="shared" si="117"/>
        <v>8287504</v>
      </c>
      <c r="W1868">
        <v>690625.33333333337</v>
      </c>
      <c r="X1868">
        <v>0</v>
      </c>
      <c r="Y1868">
        <f t="shared" si="118"/>
        <v>690625.33333333337</v>
      </c>
      <c r="Z1868">
        <f t="shared" si="119"/>
        <v>0</v>
      </c>
      <c r="AA1868">
        <v>0</v>
      </c>
    </row>
    <row r="1869" spans="1:27" x14ac:dyDescent="0.25">
      <c r="A1869" s="1">
        <v>1868</v>
      </c>
      <c r="B1869" t="s">
        <v>1942</v>
      </c>
      <c r="C1869" t="s">
        <v>1135</v>
      </c>
      <c r="D1869" t="s">
        <v>1142</v>
      </c>
      <c r="E1869" t="s">
        <v>1141</v>
      </c>
      <c r="H1869" t="s">
        <v>1162</v>
      </c>
      <c r="I1869" t="s">
        <v>1162</v>
      </c>
      <c r="J1869" t="s">
        <v>1237</v>
      </c>
      <c r="K1869" t="s">
        <v>1212</v>
      </c>
      <c r="M1869" s="3">
        <f t="shared" si="116"/>
        <v>59.571428571428569</v>
      </c>
      <c r="N1869">
        <v>16</v>
      </c>
      <c r="O1869">
        <v>75</v>
      </c>
      <c r="P1869">
        <v>69</v>
      </c>
      <c r="Q1869">
        <v>73</v>
      </c>
      <c r="R1869">
        <v>75</v>
      </c>
      <c r="S1869">
        <v>77</v>
      </c>
      <c r="T1869">
        <v>32</v>
      </c>
      <c r="U1869">
        <v>0</v>
      </c>
      <c r="V1869" s="3">
        <f t="shared" si="117"/>
        <v>562834</v>
      </c>
      <c r="W1869">
        <v>46902.833333333336</v>
      </c>
      <c r="X1869">
        <v>0</v>
      </c>
      <c r="Y1869">
        <f t="shared" si="118"/>
        <v>46902.833333333336</v>
      </c>
      <c r="Z1869">
        <f t="shared" si="119"/>
        <v>0</v>
      </c>
      <c r="AA1869">
        <v>0</v>
      </c>
    </row>
    <row r="1870" spans="1:27" x14ac:dyDescent="0.25">
      <c r="A1870" s="1">
        <v>1869</v>
      </c>
      <c r="B1870" t="s">
        <v>721</v>
      </c>
      <c r="C1870" t="s">
        <v>1136</v>
      </c>
      <c r="D1870" t="s">
        <v>1143</v>
      </c>
      <c r="E1870" t="s">
        <v>1146</v>
      </c>
      <c r="F1870" t="s">
        <v>1147</v>
      </c>
      <c r="G1870" t="s">
        <v>1162</v>
      </c>
      <c r="H1870" t="s">
        <v>1162</v>
      </c>
      <c r="I1870" t="s">
        <v>1162</v>
      </c>
      <c r="J1870" t="s">
        <v>1237</v>
      </c>
      <c r="K1870" t="s">
        <v>1212</v>
      </c>
      <c r="M1870" s="3">
        <f t="shared" si="116"/>
        <v>81.428571428571431</v>
      </c>
      <c r="N1870">
        <v>80</v>
      </c>
      <c r="O1870">
        <v>80</v>
      </c>
      <c r="P1870">
        <v>85</v>
      </c>
      <c r="Q1870">
        <v>82</v>
      </c>
      <c r="R1870">
        <v>81</v>
      </c>
      <c r="S1870">
        <v>84</v>
      </c>
      <c r="T1870">
        <v>78</v>
      </c>
      <c r="U1870">
        <v>22</v>
      </c>
      <c r="V1870" s="3">
        <f t="shared" si="117"/>
        <v>19224694</v>
      </c>
      <c r="W1870">
        <v>1602057.8333333333</v>
      </c>
      <c r="X1870">
        <v>0</v>
      </c>
      <c r="Y1870">
        <f t="shared" si="118"/>
        <v>1602057.8333333333</v>
      </c>
      <c r="Z1870">
        <f t="shared" si="119"/>
        <v>0</v>
      </c>
      <c r="AA1870">
        <v>0</v>
      </c>
    </row>
    <row r="1871" spans="1:27" x14ac:dyDescent="0.25">
      <c r="A1871" s="1">
        <v>1870</v>
      </c>
      <c r="B1871" t="s">
        <v>1940</v>
      </c>
      <c r="C1871" t="s">
        <v>1136</v>
      </c>
      <c r="D1871" t="s">
        <v>1145</v>
      </c>
      <c r="E1871" t="s">
        <v>1143</v>
      </c>
      <c r="H1871" t="s">
        <v>1162</v>
      </c>
      <c r="I1871" t="s">
        <v>1162</v>
      </c>
      <c r="J1871" t="s">
        <v>1237</v>
      </c>
      <c r="K1871" t="s">
        <v>1212</v>
      </c>
      <c r="M1871" s="3">
        <f t="shared" si="116"/>
        <v>50.857142857142854</v>
      </c>
      <c r="N1871">
        <v>14</v>
      </c>
      <c r="O1871">
        <v>65</v>
      </c>
      <c r="P1871">
        <v>59</v>
      </c>
      <c r="Q1871">
        <v>63</v>
      </c>
      <c r="R1871">
        <v>65</v>
      </c>
      <c r="S1871">
        <v>67</v>
      </c>
      <c r="T1871">
        <v>23</v>
      </c>
      <c r="U1871">
        <v>0</v>
      </c>
      <c r="V1871" s="3">
        <f t="shared" si="117"/>
        <v>115750</v>
      </c>
      <c r="W1871">
        <v>9645.8333333333339</v>
      </c>
      <c r="X1871">
        <v>0</v>
      </c>
      <c r="Y1871">
        <f t="shared" si="118"/>
        <v>9645.8333333333339</v>
      </c>
      <c r="Z1871">
        <f t="shared" si="119"/>
        <v>0</v>
      </c>
      <c r="AA1871">
        <v>0</v>
      </c>
    </row>
    <row r="1872" spans="1:27" x14ac:dyDescent="0.25">
      <c r="A1872" s="1">
        <v>1871</v>
      </c>
      <c r="B1872" t="s">
        <v>1945</v>
      </c>
      <c r="C1872" t="s">
        <v>1136</v>
      </c>
      <c r="D1872" t="s">
        <v>1143</v>
      </c>
      <c r="E1872" t="s">
        <v>1144</v>
      </c>
      <c r="H1872" t="s">
        <v>1162</v>
      </c>
      <c r="I1872" t="s">
        <v>1162</v>
      </c>
      <c r="J1872" t="s">
        <v>1237</v>
      </c>
      <c r="K1872" t="s">
        <v>1212</v>
      </c>
      <c r="M1872" s="3">
        <f t="shared" si="116"/>
        <v>55.428571428571431</v>
      </c>
      <c r="N1872">
        <v>11</v>
      </c>
      <c r="O1872">
        <v>68</v>
      </c>
      <c r="P1872">
        <v>62</v>
      </c>
      <c r="Q1872">
        <v>72</v>
      </c>
      <c r="R1872">
        <v>74</v>
      </c>
      <c r="S1872">
        <v>76</v>
      </c>
      <c r="T1872">
        <v>25</v>
      </c>
      <c r="U1872">
        <v>0</v>
      </c>
      <c r="V1872" s="3">
        <f t="shared" si="117"/>
        <v>273740</v>
      </c>
      <c r="W1872">
        <v>22811.666666666668</v>
      </c>
      <c r="X1872">
        <v>0</v>
      </c>
      <c r="Y1872">
        <f t="shared" si="118"/>
        <v>22811.666666666668</v>
      </c>
      <c r="Z1872">
        <f t="shared" si="119"/>
        <v>0</v>
      </c>
      <c r="AA1872">
        <v>0</v>
      </c>
    </row>
    <row r="1873" spans="1:27" x14ac:dyDescent="0.25">
      <c r="A1873" s="1">
        <v>1872</v>
      </c>
      <c r="B1873" t="s">
        <v>1939</v>
      </c>
      <c r="C1873" t="s">
        <v>1136</v>
      </c>
      <c r="D1873" t="s">
        <v>1144</v>
      </c>
      <c r="E1873" t="s">
        <v>1143</v>
      </c>
      <c r="H1873" t="s">
        <v>1162</v>
      </c>
      <c r="I1873" t="s">
        <v>1162</v>
      </c>
      <c r="J1873" t="s">
        <v>1237</v>
      </c>
      <c r="K1873" t="s">
        <v>1212</v>
      </c>
      <c r="M1873" s="3">
        <f t="shared" si="116"/>
        <v>45.714285714285715</v>
      </c>
      <c r="N1873">
        <v>10</v>
      </c>
      <c r="O1873">
        <v>61</v>
      </c>
      <c r="P1873">
        <v>49</v>
      </c>
      <c r="Q1873">
        <v>61</v>
      </c>
      <c r="R1873">
        <v>59</v>
      </c>
      <c r="S1873">
        <v>61</v>
      </c>
      <c r="T1873">
        <v>19</v>
      </c>
      <c r="U1873">
        <v>0</v>
      </c>
      <c r="V1873" s="3">
        <f t="shared" si="117"/>
        <v>39859</v>
      </c>
      <c r="W1873">
        <v>3321.5833333333335</v>
      </c>
      <c r="X1873">
        <v>0</v>
      </c>
      <c r="Y1873">
        <f t="shared" si="118"/>
        <v>3321.5833333333335</v>
      </c>
      <c r="Z1873">
        <f t="shared" si="119"/>
        <v>0</v>
      </c>
      <c r="AA1873">
        <v>0</v>
      </c>
    </row>
    <row r="1874" spans="1:27" x14ac:dyDescent="0.25">
      <c r="A1874" s="1">
        <v>1873</v>
      </c>
      <c r="B1874" t="s">
        <v>1941</v>
      </c>
      <c r="C1874" t="s">
        <v>1136</v>
      </c>
      <c r="D1874" t="s">
        <v>1147</v>
      </c>
      <c r="E1874" t="s">
        <v>1146</v>
      </c>
      <c r="H1874" t="s">
        <v>1162</v>
      </c>
      <c r="I1874" t="s">
        <v>1162</v>
      </c>
      <c r="J1874" t="s">
        <v>1237</v>
      </c>
      <c r="K1874" t="s">
        <v>1212</v>
      </c>
      <c r="M1874" s="3">
        <f t="shared" si="116"/>
        <v>42.571428571428569</v>
      </c>
      <c r="N1874">
        <v>10</v>
      </c>
      <c r="O1874">
        <v>47</v>
      </c>
      <c r="P1874">
        <v>47</v>
      </c>
      <c r="Q1874">
        <v>55</v>
      </c>
      <c r="R1874">
        <v>59</v>
      </c>
      <c r="S1874">
        <v>62</v>
      </c>
      <c r="T1874">
        <v>18</v>
      </c>
      <c r="U1874">
        <v>0</v>
      </c>
      <c r="V1874" s="3">
        <f t="shared" si="117"/>
        <v>19552</v>
      </c>
      <c r="W1874">
        <v>1629.3333333333333</v>
      </c>
      <c r="X1874">
        <v>0</v>
      </c>
      <c r="Y1874">
        <f t="shared" si="118"/>
        <v>1629.3333333333333</v>
      </c>
      <c r="Z1874">
        <f t="shared" si="119"/>
        <v>0</v>
      </c>
      <c r="AA1874">
        <v>0</v>
      </c>
    </row>
    <row r="1875" spans="1:27" x14ac:dyDescent="0.25">
      <c r="A1875" s="1">
        <v>1874</v>
      </c>
      <c r="B1875" t="s">
        <v>1946</v>
      </c>
      <c r="C1875" t="s">
        <v>1136</v>
      </c>
      <c r="D1875" t="s">
        <v>1146</v>
      </c>
      <c r="E1875" t="s">
        <v>1144</v>
      </c>
      <c r="H1875" t="s">
        <v>1162</v>
      </c>
      <c r="I1875" t="s">
        <v>1162</v>
      </c>
      <c r="J1875" t="s">
        <v>1237</v>
      </c>
      <c r="K1875" t="s">
        <v>1212</v>
      </c>
      <c r="M1875" s="3">
        <f t="shared" si="116"/>
        <v>53.857142857142854</v>
      </c>
      <c r="N1875">
        <v>11</v>
      </c>
      <c r="O1875">
        <v>66</v>
      </c>
      <c r="P1875">
        <v>60</v>
      </c>
      <c r="Q1875">
        <v>70</v>
      </c>
      <c r="R1875">
        <v>72</v>
      </c>
      <c r="S1875">
        <v>74</v>
      </c>
      <c r="T1875">
        <v>24</v>
      </c>
      <c r="U1875">
        <v>0</v>
      </c>
      <c r="V1875" s="3">
        <f t="shared" si="117"/>
        <v>205321</v>
      </c>
      <c r="W1875">
        <v>17110.083333333332</v>
      </c>
      <c r="X1875">
        <v>0</v>
      </c>
      <c r="Y1875">
        <f t="shared" si="118"/>
        <v>17110.083333333332</v>
      </c>
      <c r="Z1875">
        <f t="shared" si="119"/>
        <v>0</v>
      </c>
      <c r="AA1875">
        <v>0</v>
      </c>
    </row>
    <row r="1876" spans="1:27" x14ac:dyDescent="0.25">
      <c r="A1876" s="1">
        <v>1875</v>
      </c>
      <c r="B1876" t="s">
        <v>769</v>
      </c>
      <c r="C1876" t="s">
        <v>1136</v>
      </c>
      <c r="D1876" t="s">
        <v>1143</v>
      </c>
      <c r="E1876" t="s">
        <v>1146</v>
      </c>
      <c r="G1876" t="s">
        <v>1171</v>
      </c>
      <c r="H1876" t="s">
        <v>1171</v>
      </c>
      <c r="I1876" t="s">
        <v>1171</v>
      </c>
      <c r="J1876" t="s">
        <v>1237</v>
      </c>
      <c r="K1876" t="s">
        <v>1212</v>
      </c>
      <c r="M1876" s="3">
        <f t="shared" si="116"/>
        <v>60</v>
      </c>
      <c r="N1876">
        <v>40</v>
      </c>
      <c r="O1876">
        <v>70</v>
      </c>
      <c r="P1876">
        <v>62</v>
      </c>
      <c r="Q1876">
        <v>68</v>
      </c>
      <c r="R1876">
        <v>60</v>
      </c>
      <c r="S1876">
        <v>70</v>
      </c>
      <c r="T1876">
        <v>50</v>
      </c>
      <c r="U1876">
        <v>0</v>
      </c>
      <c r="V1876" s="3">
        <f t="shared" si="117"/>
        <v>604662</v>
      </c>
      <c r="W1876">
        <v>4657.166666666667</v>
      </c>
      <c r="X1876">
        <v>0</v>
      </c>
      <c r="Y1876">
        <f t="shared" si="118"/>
        <v>50388.5</v>
      </c>
      <c r="Z1876">
        <f t="shared" si="119"/>
        <v>-90.76</v>
      </c>
      <c r="AA1876">
        <v>0</v>
      </c>
    </row>
    <row r="1877" spans="1:27" x14ac:dyDescent="0.25">
      <c r="A1877" s="1">
        <v>1876</v>
      </c>
      <c r="B1877" t="s">
        <v>881</v>
      </c>
      <c r="C1877" t="s">
        <v>1136</v>
      </c>
      <c r="D1877" t="s">
        <v>1144</v>
      </c>
      <c r="E1877" t="s">
        <v>1143</v>
      </c>
      <c r="G1877" t="s">
        <v>1189</v>
      </c>
      <c r="H1877" t="s">
        <v>1189</v>
      </c>
      <c r="I1877" t="s">
        <v>1189</v>
      </c>
      <c r="J1877" t="s">
        <v>1237</v>
      </c>
      <c r="K1877" t="s">
        <v>1212</v>
      </c>
      <c r="M1877" s="3">
        <f t="shared" si="116"/>
        <v>48</v>
      </c>
      <c r="N1877">
        <v>38</v>
      </c>
      <c r="O1877">
        <v>46</v>
      </c>
      <c r="P1877">
        <v>57</v>
      </c>
      <c r="Q1877">
        <v>41</v>
      </c>
      <c r="R1877">
        <v>59</v>
      </c>
      <c r="S1877">
        <v>49</v>
      </c>
      <c r="T1877">
        <v>46</v>
      </c>
      <c r="U1877">
        <v>0</v>
      </c>
      <c r="V1877" s="3">
        <f t="shared" si="117"/>
        <v>64926</v>
      </c>
      <c r="W1877">
        <v>5410.5</v>
      </c>
      <c r="X1877">
        <v>0</v>
      </c>
      <c r="Y1877">
        <f t="shared" si="118"/>
        <v>5410.5</v>
      </c>
      <c r="Z1877">
        <f t="shared" si="119"/>
        <v>0</v>
      </c>
      <c r="AA1877">
        <v>0</v>
      </c>
    </row>
    <row r="1878" spans="1:27" x14ac:dyDescent="0.25">
      <c r="A1878" s="1">
        <v>1877</v>
      </c>
      <c r="B1878" t="s">
        <v>1937</v>
      </c>
      <c r="C1878" t="s">
        <v>1137</v>
      </c>
      <c r="D1878" t="s">
        <v>1137</v>
      </c>
      <c r="H1878" t="s">
        <v>1162</v>
      </c>
      <c r="I1878" t="s">
        <v>1162</v>
      </c>
      <c r="J1878" t="s">
        <v>1237</v>
      </c>
      <c r="K1878" t="s">
        <v>1212</v>
      </c>
      <c r="M1878" s="3">
        <f t="shared" si="116"/>
        <v>47.428571428571431</v>
      </c>
      <c r="N1878">
        <v>10</v>
      </c>
      <c r="O1878">
        <v>57</v>
      </c>
      <c r="P1878">
        <v>51</v>
      </c>
      <c r="Q1878">
        <v>61</v>
      </c>
      <c r="R1878">
        <v>63</v>
      </c>
      <c r="S1878">
        <v>65</v>
      </c>
      <c r="T1878">
        <v>25</v>
      </c>
      <c r="U1878">
        <v>0</v>
      </c>
      <c r="V1878" s="3">
        <f t="shared" si="117"/>
        <v>57598</v>
      </c>
      <c r="W1878">
        <v>4799.833333333333</v>
      </c>
      <c r="X1878">
        <v>0</v>
      </c>
      <c r="Y1878">
        <f t="shared" si="118"/>
        <v>4799.833333333333</v>
      </c>
      <c r="Z1878">
        <f t="shared" si="119"/>
        <v>0</v>
      </c>
      <c r="AA1878">
        <v>0</v>
      </c>
    </row>
    <row r="1879" spans="1:27" x14ac:dyDescent="0.25">
      <c r="A1879" s="1">
        <v>1878</v>
      </c>
      <c r="B1879" t="s">
        <v>80</v>
      </c>
      <c r="C1879" t="s">
        <v>1133</v>
      </c>
      <c r="D1879" t="s">
        <v>1133</v>
      </c>
      <c r="G1879" t="s">
        <v>1191</v>
      </c>
      <c r="H1879" t="s">
        <v>1191</v>
      </c>
      <c r="I1879" t="s">
        <v>1191</v>
      </c>
      <c r="J1879" t="s">
        <v>1261</v>
      </c>
      <c r="K1879" t="s">
        <v>1212</v>
      </c>
      <c r="M1879" s="3">
        <f t="shared" si="116"/>
        <v>60</v>
      </c>
      <c r="N1879">
        <v>26</v>
      </c>
      <c r="O1879">
        <v>71</v>
      </c>
      <c r="P1879">
        <v>66</v>
      </c>
      <c r="Q1879">
        <v>56</v>
      </c>
      <c r="R1879">
        <v>65</v>
      </c>
      <c r="S1879">
        <v>66</v>
      </c>
      <c r="T1879">
        <v>70</v>
      </c>
      <c r="U1879">
        <v>0</v>
      </c>
      <c r="V1879" s="3">
        <f t="shared" si="117"/>
        <v>604662</v>
      </c>
      <c r="W1879">
        <v>50388.5</v>
      </c>
      <c r="X1879">
        <v>0</v>
      </c>
      <c r="Y1879">
        <f t="shared" si="118"/>
        <v>50388.5</v>
      </c>
      <c r="Z1879">
        <f t="shared" si="119"/>
        <v>0</v>
      </c>
      <c r="AA1879">
        <v>0</v>
      </c>
    </row>
    <row r="1880" spans="1:27" x14ac:dyDescent="0.25">
      <c r="A1880" s="1">
        <v>1879</v>
      </c>
      <c r="B1880" t="s">
        <v>81</v>
      </c>
      <c r="C1880" t="s">
        <v>1133</v>
      </c>
      <c r="D1880" t="s">
        <v>1133</v>
      </c>
      <c r="G1880" t="s">
        <v>1191</v>
      </c>
      <c r="H1880" t="s">
        <v>1191</v>
      </c>
      <c r="I1880" t="s">
        <v>1191</v>
      </c>
      <c r="J1880" t="s">
        <v>1261</v>
      </c>
      <c r="K1880" t="s">
        <v>1212</v>
      </c>
      <c r="M1880" s="3">
        <f t="shared" si="116"/>
        <v>71.428571428571431</v>
      </c>
      <c r="N1880">
        <v>41</v>
      </c>
      <c r="O1880">
        <v>72</v>
      </c>
      <c r="P1880">
        <v>90</v>
      </c>
      <c r="Q1880">
        <v>71</v>
      </c>
      <c r="R1880">
        <v>77</v>
      </c>
      <c r="S1880">
        <v>84</v>
      </c>
      <c r="T1880">
        <v>65</v>
      </c>
      <c r="U1880">
        <v>0</v>
      </c>
      <c r="V1880" s="3">
        <f t="shared" si="117"/>
        <v>3457162</v>
      </c>
      <c r="W1880">
        <v>288096.83333333331</v>
      </c>
      <c r="X1880">
        <v>0</v>
      </c>
      <c r="Y1880">
        <f t="shared" si="118"/>
        <v>288096.83333333331</v>
      </c>
      <c r="Z1880">
        <f t="shared" si="119"/>
        <v>0</v>
      </c>
      <c r="AA1880">
        <v>0</v>
      </c>
    </row>
    <row r="1881" spans="1:27" x14ac:dyDescent="0.25">
      <c r="A1881" s="1">
        <v>1880</v>
      </c>
      <c r="B1881" t="s">
        <v>332</v>
      </c>
      <c r="C1881" t="s">
        <v>1134</v>
      </c>
      <c r="D1881" t="s">
        <v>1138</v>
      </c>
      <c r="E1881" t="s">
        <v>1140</v>
      </c>
      <c r="G1881" t="s">
        <v>1191</v>
      </c>
      <c r="H1881" t="s">
        <v>1191</v>
      </c>
      <c r="I1881" t="s">
        <v>1191</v>
      </c>
      <c r="J1881" t="s">
        <v>1261</v>
      </c>
      <c r="K1881" t="s">
        <v>1212</v>
      </c>
      <c r="M1881" s="3">
        <f t="shared" si="116"/>
        <v>69</v>
      </c>
      <c r="N1881">
        <v>50</v>
      </c>
      <c r="O1881">
        <v>68</v>
      </c>
      <c r="P1881">
        <v>75</v>
      </c>
      <c r="Q1881">
        <v>73</v>
      </c>
      <c r="R1881">
        <v>79</v>
      </c>
      <c r="S1881">
        <v>78</v>
      </c>
      <c r="T1881">
        <v>60</v>
      </c>
      <c r="U1881">
        <v>0</v>
      </c>
      <c r="V1881" s="3">
        <f t="shared" si="117"/>
        <v>2446195</v>
      </c>
      <c r="W1881">
        <v>203849.58333333334</v>
      </c>
      <c r="X1881">
        <v>0</v>
      </c>
      <c r="Y1881">
        <f t="shared" si="118"/>
        <v>203849.58333333334</v>
      </c>
      <c r="Z1881">
        <f t="shared" si="119"/>
        <v>0</v>
      </c>
      <c r="AA1881">
        <v>0</v>
      </c>
    </row>
    <row r="1882" spans="1:27" x14ac:dyDescent="0.25">
      <c r="A1882" s="1">
        <v>1881</v>
      </c>
      <c r="B1882" t="s">
        <v>390</v>
      </c>
      <c r="C1882" t="s">
        <v>1134</v>
      </c>
      <c r="D1882" t="s">
        <v>1140</v>
      </c>
      <c r="G1882" t="s">
        <v>1203</v>
      </c>
      <c r="H1882" t="s">
        <v>1203</v>
      </c>
      <c r="I1882" t="s">
        <v>1203</v>
      </c>
      <c r="J1882" t="s">
        <v>1261</v>
      </c>
      <c r="K1882" t="s">
        <v>1212</v>
      </c>
      <c r="M1882" s="3">
        <f t="shared" si="116"/>
        <v>73.714285714285708</v>
      </c>
      <c r="N1882">
        <v>45</v>
      </c>
      <c r="O1882">
        <v>91</v>
      </c>
      <c r="P1882">
        <v>84</v>
      </c>
      <c r="Q1882">
        <v>76</v>
      </c>
      <c r="R1882">
        <v>76</v>
      </c>
      <c r="S1882">
        <v>74</v>
      </c>
      <c r="T1882">
        <v>70</v>
      </c>
      <c r="U1882">
        <v>0</v>
      </c>
      <c r="V1882" s="3">
        <f t="shared" si="117"/>
        <v>4737145</v>
      </c>
      <c r="W1882">
        <v>394762.08333333331</v>
      </c>
      <c r="X1882">
        <v>0</v>
      </c>
      <c r="Y1882">
        <f t="shared" si="118"/>
        <v>394762.08333333331</v>
      </c>
      <c r="Z1882">
        <f t="shared" si="119"/>
        <v>0</v>
      </c>
      <c r="AA1882">
        <v>0</v>
      </c>
    </row>
    <row r="1883" spans="1:27" x14ac:dyDescent="0.25">
      <c r="A1883" s="1">
        <v>1882</v>
      </c>
      <c r="B1883" t="s">
        <v>395</v>
      </c>
      <c r="C1883" t="s">
        <v>1134</v>
      </c>
      <c r="D1883" t="s">
        <v>1138</v>
      </c>
      <c r="G1883" t="s">
        <v>1204</v>
      </c>
      <c r="H1883" t="s">
        <v>1204</v>
      </c>
      <c r="I1883" t="s">
        <v>1204</v>
      </c>
      <c r="J1883" t="s">
        <v>1261</v>
      </c>
      <c r="K1883" t="s">
        <v>1212</v>
      </c>
      <c r="M1883" s="3">
        <f t="shared" si="116"/>
        <v>63.571428571428569</v>
      </c>
      <c r="N1883">
        <v>30</v>
      </c>
      <c r="O1883">
        <v>62</v>
      </c>
      <c r="P1883">
        <v>62</v>
      </c>
      <c r="Q1883">
        <v>65</v>
      </c>
      <c r="R1883">
        <v>75</v>
      </c>
      <c r="S1883">
        <v>88</v>
      </c>
      <c r="T1883">
        <v>63</v>
      </c>
      <c r="U1883">
        <v>0</v>
      </c>
      <c r="V1883" s="3">
        <f t="shared" si="117"/>
        <v>1078003</v>
      </c>
      <c r="W1883">
        <v>89833.583333333328</v>
      </c>
      <c r="X1883">
        <v>0</v>
      </c>
      <c r="Y1883">
        <f t="shared" si="118"/>
        <v>89833.583333333328</v>
      </c>
      <c r="Z1883">
        <f t="shared" si="119"/>
        <v>0</v>
      </c>
      <c r="AA1883">
        <v>0</v>
      </c>
    </row>
    <row r="1884" spans="1:27" x14ac:dyDescent="0.25">
      <c r="A1884" s="1">
        <v>1883</v>
      </c>
      <c r="B1884" t="s">
        <v>325</v>
      </c>
      <c r="C1884" t="s">
        <v>1134</v>
      </c>
      <c r="D1884" t="s">
        <v>1138</v>
      </c>
      <c r="E1884" t="s">
        <v>1139</v>
      </c>
      <c r="G1884" t="s">
        <v>1189</v>
      </c>
      <c r="H1884" t="s">
        <v>1189</v>
      </c>
      <c r="I1884" t="s">
        <v>1189</v>
      </c>
      <c r="J1884" t="s">
        <v>1261</v>
      </c>
      <c r="K1884" t="s">
        <v>1212</v>
      </c>
      <c r="M1884" s="3">
        <f t="shared" si="116"/>
        <v>65.571428571428569</v>
      </c>
      <c r="N1884">
        <v>40</v>
      </c>
      <c r="O1884">
        <v>70</v>
      </c>
      <c r="P1884">
        <v>72</v>
      </c>
      <c r="Q1884">
        <v>71</v>
      </c>
      <c r="R1884">
        <v>72</v>
      </c>
      <c r="S1884">
        <v>83</v>
      </c>
      <c r="T1884">
        <v>51</v>
      </c>
      <c r="U1884">
        <v>0</v>
      </c>
      <c r="V1884" s="3">
        <f t="shared" si="117"/>
        <v>1469422</v>
      </c>
      <c r="W1884">
        <v>122451.83333333333</v>
      </c>
      <c r="X1884">
        <v>0</v>
      </c>
      <c r="Y1884">
        <f t="shared" si="118"/>
        <v>122451.83333333333</v>
      </c>
      <c r="Z1884">
        <f t="shared" si="119"/>
        <v>0</v>
      </c>
      <c r="AA1884">
        <v>0</v>
      </c>
    </row>
    <row r="1885" spans="1:27" x14ac:dyDescent="0.25">
      <c r="A1885" s="1">
        <v>1884</v>
      </c>
      <c r="B1885" t="s">
        <v>334</v>
      </c>
      <c r="C1885" t="s">
        <v>1134</v>
      </c>
      <c r="D1885" t="s">
        <v>1138</v>
      </c>
      <c r="G1885" t="s">
        <v>1191</v>
      </c>
      <c r="H1885" t="s">
        <v>1191</v>
      </c>
      <c r="I1885" t="s">
        <v>1191</v>
      </c>
      <c r="J1885" t="s">
        <v>1261</v>
      </c>
      <c r="K1885" t="s">
        <v>1212</v>
      </c>
      <c r="M1885" s="3">
        <f t="shared" si="116"/>
        <v>58.142857142857146</v>
      </c>
      <c r="N1885">
        <v>30</v>
      </c>
      <c r="O1885">
        <v>77</v>
      </c>
      <c r="P1885">
        <v>30</v>
      </c>
      <c r="Q1885">
        <v>71</v>
      </c>
      <c r="R1885">
        <v>81</v>
      </c>
      <c r="S1885">
        <v>78</v>
      </c>
      <c r="T1885">
        <v>40</v>
      </c>
      <c r="U1885">
        <v>0</v>
      </c>
      <c r="V1885" s="3">
        <f t="shared" si="117"/>
        <v>441534</v>
      </c>
      <c r="W1885">
        <v>36794.5</v>
      </c>
      <c r="X1885">
        <v>0</v>
      </c>
      <c r="Y1885">
        <f t="shared" si="118"/>
        <v>36794.5</v>
      </c>
      <c r="Z1885">
        <f t="shared" si="119"/>
        <v>0</v>
      </c>
      <c r="AA1885">
        <v>0</v>
      </c>
    </row>
    <row r="1886" spans="1:27" x14ac:dyDescent="0.25">
      <c r="A1886" s="1">
        <v>1885</v>
      </c>
      <c r="B1886" t="s">
        <v>335</v>
      </c>
      <c r="C1886" t="s">
        <v>1134</v>
      </c>
      <c r="D1886" t="s">
        <v>1138</v>
      </c>
      <c r="G1886" t="s">
        <v>1191</v>
      </c>
      <c r="H1886" t="s">
        <v>1191</v>
      </c>
      <c r="I1886" t="s">
        <v>1191</v>
      </c>
      <c r="J1886" t="s">
        <v>1261</v>
      </c>
      <c r="K1886" t="s">
        <v>1212</v>
      </c>
      <c r="M1886" s="3">
        <f t="shared" si="116"/>
        <v>61</v>
      </c>
      <c r="N1886">
        <v>25</v>
      </c>
      <c r="O1886">
        <v>59</v>
      </c>
      <c r="P1886">
        <v>55</v>
      </c>
      <c r="Q1886">
        <v>70</v>
      </c>
      <c r="R1886">
        <v>82</v>
      </c>
      <c r="S1886">
        <v>81</v>
      </c>
      <c r="T1886">
        <v>55</v>
      </c>
      <c r="U1886">
        <v>0</v>
      </c>
      <c r="V1886" s="3">
        <f t="shared" si="117"/>
        <v>713343</v>
      </c>
      <c r="W1886">
        <v>59445.25</v>
      </c>
      <c r="X1886">
        <v>0</v>
      </c>
      <c r="Y1886">
        <f t="shared" si="118"/>
        <v>59445.25</v>
      </c>
      <c r="Z1886">
        <f t="shared" si="119"/>
        <v>0</v>
      </c>
      <c r="AA1886">
        <v>0</v>
      </c>
    </row>
    <row r="1887" spans="1:27" x14ac:dyDescent="0.25">
      <c r="A1887" s="1">
        <v>1886</v>
      </c>
      <c r="B1887" t="s">
        <v>333</v>
      </c>
      <c r="C1887" t="s">
        <v>1134</v>
      </c>
      <c r="D1887" t="s">
        <v>1138</v>
      </c>
      <c r="E1887" t="s">
        <v>1139</v>
      </c>
      <c r="G1887" t="s">
        <v>1191</v>
      </c>
      <c r="H1887" t="s">
        <v>1191</v>
      </c>
      <c r="I1887" t="s">
        <v>1191</v>
      </c>
      <c r="J1887" t="s">
        <v>1261</v>
      </c>
      <c r="K1887" t="s">
        <v>1212</v>
      </c>
      <c r="M1887" s="3">
        <f t="shared" si="116"/>
        <v>71</v>
      </c>
      <c r="N1887">
        <v>51</v>
      </c>
      <c r="O1887">
        <v>63</v>
      </c>
      <c r="P1887">
        <v>77</v>
      </c>
      <c r="Q1887">
        <v>75</v>
      </c>
      <c r="R1887">
        <v>90</v>
      </c>
      <c r="S1887">
        <v>81</v>
      </c>
      <c r="T1887">
        <v>60</v>
      </c>
      <c r="U1887">
        <v>0</v>
      </c>
      <c r="V1887" s="3">
        <f t="shared" si="117"/>
        <v>3255244</v>
      </c>
      <c r="W1887">
        <v>271270.33333333331</v>
      </c>
      <c r="X1887">
        <v>0</v>
      </c>
      <c r="Y1887">
        <f t="shared" si="118"/>
        <v>271270.33333333331</v>
      </c>
      <c r="Z1887">
        <f t="shared" si="119"/>
        <v>0</v>
      </c>
      <c r="AA1887">
        <v>0</v>
      </c>
    </row>
    <row r="1888" spans="1:27" x14ac:dyDescent="0.25">
      <c r="A1888" s="1">
        <v>1887</v>
      </c>
      <c r="B1888" t="s">
        <v>568</v>
      </c>
      <c r="C1888" t="s">
        <v>1135</v>
      </c>
      <c r="D1888" t="s">
        <v>1141</v>
      </c>
      <c r="E1888" t="s">
        <v>1145</v>
      </c>
      <c r="G1888" t="s">
        <v>1191</v>
      </c>
      <c r="H1888" t="s">
        <v>1191</v>
      </c>
      <c r="I1888" t="s">
        <v>1191</v>
      </c>
      <c r="J1888" t="s">
        <v>1261</v>
      </c>
      <c r="K1888" t="s">
        <v>1212</v>
      </c>
      <c r="M1888" s="3">
        <f t="shared" si="116"/>
        <v>53</v>
      </c>
      <c r="N1888">
        <v>11</v>
      </c>
      <c r="O1888">
        <v>60</v>
      </c>
      <c r="P1888">
        <v>65</v>
      </c>
      <c r="Q1888">
        <v>63</v>
      </c>
      <c r="R1888">
        <v>67</v>
      </c>
      <c r="S1888">
        <v>74</v>
      </c>
      <c r="T1888">
        <v>31</v>
      </c>
      <c r="U1888">
        <v>0</v>
      </c>
      <c r="V1888" s="3">
        <f t="shared" si="117"/>
        <v>174888</v>
      </c>
      <c r="W1888">
        <v>14574</v>
      </c>
      <c r="X1888">
        <v>0</v>
      </c>
      <c r="Y1888">
        <f t="shared" si="118"/>
        <v>14574</v>
      </c>
      <c r="Z1888">
        <f t="shared" si="119"/>
        <v>0</v>
      </c>
      <c r="AA1888">
        <v>0</v>
      </c>
    </row>
    <row r="1889" spans="1:27" x14ac:dyDescent="0.25">
      <c r="A1889" s="1">
        <v>1888</v>
      </c>
      <c r="B1889" t="s">
        <v>562</v>
      </c>
      <c r="C1889" t="s">
        <v>1135</v>
      </c>
      <c r="D1889" t="s">
        <v>1142</v>
      </c>
      <c r="G1889" t="s">
        <v>1189</v>
      </c>
      <c r="H1889" t="s">
        <v>1189</v>
      </c>
      <c r="I1889" t="s">
        <v>1189</v>
      </c>
      <c r="J1889" t="s">
        <v>1261</v>
      </c>
      <c r="K1889" t="s">
        <v>1212</v>
      </c>
      <c r="M1889" s="3">
        <f t="shared" si="116"/>
        <v>46.428571428571431</v>
      </c>
      <c r="N1889">
        <v>10</v>
      </c>
      <c r="O1889">
        <v>51</v>
      </c>
      <c r="P1889">
        <v>59</v>
      </c>
      <c r="Q1889">
        <v>60</v>
      </c>
      <c r="R1889">
        <v>55</v>
      </c>
      <c r="S1889">
        <v>68</v>
      </c>
      <c r="T1889">
        <v>22</v>
      </c>
      <c r="U1889">
        <v>0</v>
      </c>
      <c r="V1889" s="3">
        <f t="shared" si="117"/>
        <v>46543</v>
      </c>
      <c r="W1889">
        <v>3878.5833333333335</v>
      </c>
      <c r="X1889">
        <v>0</v>
      </c>
      <c r="Y1889">
        <f t="shared" si="118"/>
        <v>3878.5833333333335</v>
      </c>
      <c r="Z1889">
        <f t="shared" si="119"/>
        <v>0</v>
      </c>
      <c r="AA1889">
        <v>0</v>
      </c>
    </row>
    <row r="1890" spans="1:27" x14ac:dyDescent="0.25">
      <c r="A1890" s="1">
        <v>1889</v>
      </c>
      <c r="B1890" t="s">
        <v>508</v>
      </c>
      <c r="C1890" t="s">
        <v>1135</v>
      </c>
      <c r="D1890" t="s">
        <v>1142</v>
      </c>
      <c r="E1890" t="s">
        <v>1147</v>
      </c>
      <c r="G1890" t="s">
        <v>1171</v>
      </c>
      <c r="H1890" t="s">
        <v>1171</v>
      </c>
      <c r="I1890" t="s">
        <v>1171</v>
      </c>
      <c r="J1890" t="s">
        <v>1261</v>
      </c>
      <c r="K1890" t="s">
        <v>1212</v>
      </c>
      <c r="M1890" s="3">
        <f t="shared" si="116"/>
        <v>54.714285714285715</v>
      </c>
      <c r="N1890">
        <v>23</v>
      </c>
      <c r="O1890">
        <v>62</v>
      </c>
      <c r="P1890">
        <v>58</v>
      </c>
      <c r="Q1890">
        <v>63</v>
      </c>
      <c r="R1890">
        <v>68</v>
      </c>
      <c r="S1890">
        <v>76</v>
      </c>
      <c r="T1890">
        <v>33</v>
      </c>
      <c r="U1890">
        <v>0</v>
      </c>
      <c r="V1890" s="3">
        <f t="shared" si="117"/>
        <v>240441</v>
      </c>
      <c r="W1890">
        <v>20036.75</v>
      </c>
      <c r="X1890">
        <v>0</v>
      </c>
      <c r="Y1890">
        <f t="shared" si="118"/>
        <v>20036.75</v>
      </c>
      <c r="Z1890">
        <f t="shared" si="119"/>
        <v>0</v>
      </c>
      <c r="AA1890">
        <v>0</v>
      </c>
    </row>
    <row r="1891" spans="1:27" x14ac:dyDescent="0.25">
      <c r="A1891" s="1">
        <v>1890</v>
      </c>
      <c r="B1891" t="s">
        <v>895</v>
      </c>
      <c r="C1891" t="s">
        <v>1136</v>
      </c>
      <c r="D1891" t="s">
        <v>1145</v>
      </c>
      <c r="E1891" t="s">
        <v>1141</v>
      </c>
      <c r="G1891" t="s">
        <v>1191</v>
      </c>
      <c r="H1891" t="s">
        <v>1191</v>
      </c>
      <c r="I1891" t="s">
        <v>1191</v>
      </c>
      <c r="J1891" t="s">
        <v>1261</v>
      </c>
      <c r="K1891" t="s">
        <v>1212</v>
      </c>
      <c r="M1891" s="3">
        <f t="shared" si="116"/>
        <v>52.285714285714285</v>
      </c>
      <c r="N1891">
        <v>29</v>
      </c>
      <c r="O1891">
        <v>44</v>
      </c>
      <c r="P1891">
        <v>73</v>
      </c>
      <c r="Q1891">
        <v>50</v>
      </c>
      <c r="R1891">
        <v>73</v>
      </c>
      <c r="S1891">
        <v>50</v>
      </c>
      <c r="T1891">
        <v>47</v>
      </c>
      <c r="U1891">
        <v>0</v>
      </c>
      <c r="V1891" s="3">
        <f t="shared" si="117"/>
        <v>152697</v>
      </c>
      <c r="W1891">
        <v>12724.75</v>
      </c>
      <c r="X1891">
        <v>0</v>
      </c>
      <c r="Y1891">
        <f t="shared" si="118"/>
        <v>12724.75</v>
      </c>
      <c r="Z1891">
        <f t="shared" si="119"/>
        <v>0</v>
      </c>
      <c r="AA1891">
        <v>0</v>
      </c>
    </row>
    <row r="1892" spans="1:27" x14ac:dyDescent="0.25">
      <c r="A1892" s="1">
        <v>1891</v>
      </c>
      <c r="B1892" t="s">
        <v>892</v>
      </c>
      <c r="C1892" t="s">
        <v>1136</v>
      </c>
      <c r="D1892" t="s">
        <v>1143</v>
      </c>
      <c r="G1892" t="s">
        <v>1191</v>
      </c>
      <c r="H1892" t="s">
        <v>1191</v>
      </c>
      <c r="I1892" t="s">
        <v>1191</v>
      </c>
      <c r="J1892" t="s">
        <v>1261</v>
      </c>
      <c r="K1892" t="s">
        <v>1212</v>
      </c>
      <c r="M1892" s="3">
        <f t="shared" si="116"/>
        <v>54.571428571428569</v>
      </c>
      <c r="N1892">
        <v>36</v>
      </c>
      <c r="O1892">
        <v>61</v>
      </c>
      <c r="P1892">
        <v>42</v>
      </c>
      <c r="Q1892">
        <v>74</v>
      </c>
      <c r="R1892">
        <v>68</v>
      </c>
      <c r="S1892">
        <v>55</v>
      </c>
      <c r="T1892">
        <v>46</v>
      </c>
      <c r="U1892">
        <v>0</v>
      </c>
      <c r="V1892" s="3">
        <f t="shared" si="117"/>
        <v>234236</v>
      </c>
      <c r="W1892">
        <v>19519.666666666668</v>
      </c>
      <c r="X1892">
        <v>0</v>
      </c>
      <c r="Y1892">
        <f t="shared" si="118"/>
        <v>19519.666666666668</v>
      </c>
      <c r="Z1892">
        <f t="shared" si="119"/>
        <v>0</v>
      </c>
      <c r="AA1892">
        <v>0</v>
      </c>
    </row>
    <row r="1893" spans="1:27" x14ac:dyDescent="0.25">
      <c r="A1893" s="1">
        <v>1892</v>
      </c>
      <c r="B1893" t="s">
        <v>891</v>
      </c>
      <c r="C1893" t="s">
        <v>1136</v>
      </c>
      <c r="D1893" t="s">
        <v>1143</v>
      </c>
      <c r="G1893" t="s">
        <v>1191</v>
      </c>
      <c r="H1893" t="s">
        <v>1183</v>
      </c>
      <c r="I1893" t="s">
        <v>1183</v>
      </c>
      <c r="J1893" t="s">
        <v>1261</v>
      </c>
      <c r="K1893" t="s">
        <v>1212</v>
      </c>
      <c r="M1893" s="3">
        <f t="shared" si="116"/>
        <v>52.857142857142854</v>
      </c>
      <c r="N1893">
        <v>23</v>
      </c>
      <c r="O1893">
        <v>63</v>
      </c>
      <c r="P1893">
        <v>41</v>
      </c>
      <c r="Q1893">
        <v>73</v>
      </c>
      <c r="R1893">
        <v>71</v>
      </c>
      <c r="S1893">
        <v>55</v>
      </c>
      <c r="T1893">
        <v>44</v>
      </c>
      <c r="U1893">
        <v>0</v>
      </c>
      <c r="V1893" s="3">
        <f t="shared" si="117"/>
        <v>170231</v>
      </c>
      <c r="W1893">
        <v>14185.916666666666</v>
      </c>
      <c r="X1893">
        <v>0</v>
      </c>
      <c r="Y1893">
        <f t="shared" si="118"/>
        <v>14185.916666666666</v>
      </c>
      <c r="Z1893">
        <f t="shared" si="119"/>
        <v>0</v>
      </c>
      <c r="AA1893">
        <v>0</v>
      </c>
    </row>
    <row r="1894" spans="1:27" x14ac:dyDescent="0.25">
      <c r="A1894" s="1">
        <v>1893</v>
      </c>
      <c r="B1894" t="s">
        <v>884</v>
      </c>
      <c r="C1894" t="s">
        <v>1136</v>
      </c>
      <c r="D1894" t="s">
        <v>1147</v>
      </c>
      <c r="G1894" t="s">
        <v>1189</v>
      </c>
      <c r="H1894" t="s">
        <v>1189</v>
      </c>
      <c r="I1894" t="s">
        <v>1189</v>
      </c>
      <c r="J1894" t="s">
        <v>1261</v>
      </c>
      <c r="K1894" t="s">
        <v>1212</v>
      </c>
      <c r="M1894" s="3">
        <f t="shared" si="116"/>
        <v>51.571428571428569</v>
      </c>
      <c r="N1894">
        <v>23</v>
      </c>
      <c r="O1894">
        <v>66</v>
      </c>
      <c r="P1894">
        <v>64</v>
      </c>
      <c r="Q1894">
        <v>58</v>
      </c>
      <c r="R1894">
        <v>52</v>
      </c>
      <c r="S1894">
        <v>60</v>
      </c>
      <c r="T1894">
        <v>38</v>
      </c>
      <c r="U1894">
        <v>0</v>
      </c>
      <c r="V1894" s="3">
        <f t="shared" si="117"/>
        <v>133074</v>
      </c>
      <c r="W1894">
        <v>11089.5</v>
      </c>
      <c r="X1894">
        <v>0</v>
      </c>
      <c r="Y1894">
        <f t="shared" si="118"/>
        <v>11089.5</v>
      </c>
      <c r="Z1894">
        <f t="shared" si="119"/>
        <v>0</v>
      </c>
      <c r="AA1894">
        <v>0</v>
      </c>
    </row>
    <row r="1895" spans="1:27" x14ac:dyDescent="0.25">
      <c r="A1895" s="1">
        <v>1894</v>
      </c>
      <c r="B1895" t="s">
        <v>894</v>
      </c>
      <c r="C1895" t="s">
        <v>1136</v>
      </c>
      <c r="D1895" t="s">
        <v>1143</v>
      </c>
      <c r="G1895" t="s">
        <v>1191</v>
      </c>
      <c r="H1895" t="s">
        <v>1191</v>
      </c>
      <c r="I1895" t="s">
        <v>1191</v>
      </c>
      <c r="J1895" t="s">
        <v>1261</v>
      </c>
      <c r="K1895" t="s">
        <v>1212</v>
      </c>
      <c r="M1895" s="3">
        <f t="shared" si="116"/>
        <v>56</v>
      </c>
      <c r="N1895">
        <v>43</v>
      </c>
      <c r="O1895">
        <v>58</v>
      </c>
      <c r="P1895">
        <v>59</v>
      </c>
      <c r="Q1895">
        <v>72</v>
      </c>
      <c r="R1895">
        <v>71</v>
      </c>
      <c r="S1895">
        <v>56</v>
      </c>
      <c r="T1895">
        <v>33</v>
      </c>
      <c r="U1895">
        <v>0</v>
      </c>
      <c r="V1895" s="3">
        <f t="shared" si="117"/>
        <v>303306</v>
      </c>
      <c r="W1895">
        <v>25275.5</v>
      </c>
      <c r="X1895">
        <v>0</v>
      </c>
      <c r="Y1895">
        <f t="shared" si="118"/>
        <v>25275.5</v>
      </c>
      <c r="Z1895">
        <f t="shared" si="119"/>
        <v>0</v>
      </c>
      <c r="AA1895">
        <v>0</v>
      </c>
    </row>
    <row r="1896" spans="1:27" x14ac:dyDescent="0.25">
      <c r="A1896" s="1">
        <v>1895</v>
      </c>
      <c r="B1896" t="s">
        <v>893</v>
      </c>
      <c r="C1896" t="s">
        <v>1136</v>
      </c>
      <c r="D1896" t="s">
        <v>1146</v>
      </c>
      <c r="E1896" t="s">
        <v>1143</v>
      </c>
      <c r="G1896" t="s">
        <v>1191</v>
      </c>
      <c r="H1896" t="s">
        <v>1191</v>
      </c>
      <c r="I1896" t="s">
        <v>1191</v>
      </c>
      <c r="J1896" t="s">
        <v>1261</v>
      </c>
      <c r="K1896" t="s">
        <v>1212</v>
      </c>
      <c r="M1896" s="3">
        <f t="shared" si="116"/>
        <v>55.428571428571431</v>
      </c>
      <c r="N1896">
        <v>29</v>
      </c>
      <c r="O1896">
        <v>74</v>
      </c>
      <c r="P1896">
        <v>68</v>
      </c>
      <c r="Q1896">
        <v>47</v>
      </c>
      <c r="R1896">
        <v>68</v>
      </c>
      <c r="S1896">
        <v>74</v>
      </c>
      <c r="T1896">
        <v>28</v>
      </c>
      <c r="U1896">
        <v>0</v>
      </c>
      <c r="V1896" s="3">
        <f t="shared" si="117"/>
        <v>273740</v>
      </c>
      <c r="W1896">
        <v>22811.666666666668</v>
      </c>
      <c r="X1896">
        <v>0</v>
      </c>
      <c r="Y1896">
        <f t="shared" si="118"/>
        <v>22811.666666666668</v>
      </c>
      <c r="Z1896">
        <f t="shared" si="119"/>
        <v>0</v>
      </c>
      <c r="AA1896">
        <v>0</v>
      </c>
    </row>
    <row r="1897" spans="1:27" x14ac:dyDescent="0.25">
      <c r="A1897" s="1">
        <v>1896</v>
      </c>
      <c r="B1897" t="s">
        <v>1108</v>
      </c>
      <c r="C1897" t="s">
        <v>1137</v>
      </c>
      <c r="D1897" t="s">
        <v>1137</v>
      </c>
      <c r="H1897" t="s">
        <v>1191</v>
      </c>
      <c r="I1897" t="s">
        <v>1191</v>
      </c>
      <c r="J1897" t="s">
        <v>1261</v>
      </c>
      <c r="K1897" t="s">
        <v>1212</v>
      </c>
      <c r="M1897" s="3">
        <f t="shared" si="116"/>
        <v>69.857142857142861</v>
      </c>
      <c r="N1897">
        <v>63</v>
      </c>
      <c r="O1897">
        <v>75</v>
      </c>
      <c r="P1897">
        <v>77</v>
      </c>
      <c r="Q1897">
        <v>81</v>
      </c>
      <c r="R1897">
        <v>67</v>
      </c>
      <c r="S1897">
        <v>69</v>
      </c>
      <c r="T1897">
        <v>57</v>
      </c>
      <c r="U1897">
        <v>0</v>
      </c>
      <c r="V1897" s="3">
        <f t="shared" si="117"/>
        <v>2767632</v>
      </c>
      <c r="W1897">
        <v>230636</v>
      </c>
      <c r="X1897">
        <v>0</v>
      </c>
      <c r="Y1897">
        <f t="shared" si="118"/>
        <v>230636</v>
      </c>
      <c r="Z1897">
        <f t="shared" si="119"/>
        <v>0</v>
      </c>
      <c r="AA1897">
        <v>0</v>
      </c>
    </row>
    <row r="1898" spans="1:27" x14ac:dyDescent="0.25">
      <c r="A1898" s="1">
        <v>1897</v>
      </c>
      <c r="B1898" t="s">
        <v>2343</v>
      </c>
      <c r="C1898" t="s">
        <v>1133</v>
      </c>
      <c r="D1898" t="s">
        <v>1133</v>
      </c>
      <c r="H1898" t="s">
        <v>1153</v>
      </c>
      <c r="I1898" t="s">
        <v>1153</v>
      </c>
      <c r="J1898" t="s">
        <v>1320</v>
      </c>
      <c r="K1898" t="s">
        <v>1212</v>
      </c>
      <c r="M1898" s="3">
        <f t="shared" si="116"/>
        <v>49.142857142857146</v>
      </c>
      <c r="N1898">
        <v>10</v>
      </c>
      <c r="O1898">
        <v>62</v>
      </c>
      <c r="P1898">
        <v>54</v>
      </c>
      <c r="Q1898">
        <v>60</v>
      </c>
      <c r="R1898">
        <v>62</v>
      </c>
      <c r="S1898">
        <v>64</v>
      </c>
      <c r="T1898">
        <v>32</v>
      </c>
      <c r="U1898">
        <v>0</v>
      </c>
      <c r="V1898" s="3">
        <f t="shared" si="117"/>
        <v>82150</v>
      </c>
      <c r="W1898">
        <v>6845.833333333333</v>
      </c>
      <c r="X1898">
        <v>0</v>
      </c>
      <c r="Y1898">
        <f t="shared" si="118"/>
        <v>6845.833333333333</v>
      </c>
      <c r="Z1898">
        <f t="shared" si="119"/>
        <v>0</v>
      </c>
      <c r="AA1898">
        <v>0</v>
      </c>
    </row>
    <row r="1899" spans="1:27" x14ac:dyDescent="0.25">
      <c r="A1899" s="1">
        <v>1898</v>
      </c>
      <c r="B1899" t="s">
        <v>2344</v>
      </c>
      <c r="C1899" t="s">
        <v>1133</v>
      </c>
      <c r="D1899" t="s">
        <v>1133</v>
      </c>
      <c r="H1899" t="s">
        <v>1153</v>
      </c>
      <c r="I1899" t="s">
        <v>1153</v>
      </c>
      <c r="J1899" t="s">
        <v>1320</v>
      </c>
      <c r="K1899" t="s">
        <v>1212</v>
      </c>
      <c r="M1899" s="3">
        <f t="shared" si="116"/>
        <v>46.714285714285715</v>
      </c>
      <c r="N1899">
        <v>8</v>
      </c>
      <c r="O1899">
        <v>59</v>
      </c>
      <c r="P1899">
        <v>51</v>
      </c>
      <c r="Q1899">
        <v>58</v>
      </c>
      <c r="R1899">
        <v>60</v>
      </c>
      <c r="S1899">
        <v>62</v>
      </c>
      <c r="T1899">
        <v>29</v>
      </c>
      <c r="U1899">
        <v>0</v>
      </c>
      <c r="V1899" s="3">
        <f t="shared" si="117"/>
        <v>49488</v>
      </c>
      <c r="W1899">
        <v>4124</v>
      </c>
      <c r="X1899">
        <v>0</v>
      </c>
      <c r="Y1899">
        <f t="shared" si="118"/>
        <v>4124</v>
      </c>
      <c r="Z1899">
        <f t="shared" si="119"/>
        <v>0</v>
      </c>
      <c r="AA1899">
        <v>0</v>
      </c>
    </row>
    <row r="1900" spans="1:27" x14ac:dyDescent="0.25">
      <c r="A1900" s="1">
        <v>1899</v>
      </c>
      <c r="B1900" t="s">
        <v>2361</v>
      </c>
      <c r="C1900" t="s">
        <v>1133</v>
      </c>
      <c r="D1900" t="s">
        <v>1133</v>
      </c>
      <c r="H1900" t="s">
        <v>1153</v>
      </c>
      <c r="I1900" t="s">
        <v>1153</v>
      </c>
      <c r="J1900" t="s">
        <v>1320</v>
      </c>
      <c r="K1900" t="s">
        <v>1212</v>
      </c>
      <c r="M1900" s="3">
        <f t="shared" si="116"/>
        <v>47.285714285714285</v>
      </c>
      <c r="N1900">
        <v>8</v>
      </c>
      <c r="O1900">
        <v>60</v>
      </c>
      <c r="P1900">
        <v>53</v>
      </c>
      <c r="Q1900">
        <v>58</v>
      </c>
      <c r="R1900">
        <v>60</v>
      </c>
      <c r="S1900">
        <v>62</v>
      </c>
      <c r="T1900">
        <v>30</v>
      </c>
      <c r="U1900">
        <v>0</v>
      </c>
      <c r="V1900" s="3">
        <f t="shared" si="117"/>
        <v>55886</v>
      </c>
      <c r="W1900">
        <v>4657.166666666667</v>
      </c>
      <c r="X1900">
        <v>0</v>
      </c>
      <c r="Y1900">
        <f t="shared" si="118"/>
        <v>4657.166666666667</v>
      </c>
      <c r="Z1900">
        <f t="shared" si="119"/>
        <v>0</v>
      </c>
      <c r="AA1900">
        <v>0</v>
      </c>
    </row>
    <row r="1901" spans="1:27" x14ac:dyDescent="0.25">
      <c r="A1901" s="1">
        <v>1900</v>
      </c>
      <c r="B1901" t="s">
        <v>2349</v>
      </c>
      <c r="C1901" t="s">
        <v>1134</v>
      </c>
      <c r="D1901" t="s">
        <v>1140</v>
      </c>
      <c r="E1901" t="s">
        <v>1139</v>
      </c>
      <c r="H1901" t="s">
        <v>1153</v>
      </c>
      <c r="I1901" t="s">
        <v>1153</v>
      </c>
      <c r="J1901" t="s">
        <v>1320</v>
      </c>
      <c r="K1901" t="s">
        <v>1212</v>
      </c>
      <c r="M1901" s="3">
        <f t="shared" si="116"/>
        <v>46.857142857142854</v>
      </c>
      <c r="N1901">
        <v>7</v>
      </c>
      <c r="O1901">
        <v>60</v>
      </c>
      <c r="P1901">
        <v>53</v>
      </c>
      <c r="Q1901">
        <v>58</v>
      </c>
      <c r="R1901">
        <v>60</v>
      </c>
      <c r="S1901">
        <v>62</v>
      </c>
      <c r="T1901">
        <v>28</v>
      </c>
      <c r="U1901">
        <v>0</v>
      </c>
      <c r="V1901" s="3">
        <f t="shared" si="117"/>
        <v>51023</v>
      </c>
      <c r="W1901">
        <v>4251.916666666667</v>
      </c>
      <c r="X1901">
        <v>0</v>
      </c>
      <c r="Y1901">
        <f t="shared" si="118"/>
        <v>4251.916666666667</v>
      </c>
      <c r="Z1901">
        <f t="shared" si="119"/>
        <v>0</v>
      </c>
      <c r="AA1901">
        <v>0</v>
      </c>
    </row>
    <row r="1902" spans="1:27" x14ac:dyDescent="0.25">
      <c r="A1902" s="1">
        <v>1901</v>
      </c>
      <c r="B1902" t="s">
        <v>2346</v>
      </c>
      <c r="C1902" t="s">
        <v>1134</v>
      </c>
      <c r="D1902" t="s">
        <v>1138</v>
      </c>
      <c r="E1902" t="s">
        <v>1144</v>
      </c>
      <c r="H1902" t="s">
        <v>1153</v>
      </c>
      <c r="I1902" t="s">
        <v>1153</v>
      </c>
      <c r="J1902" t="s">
        <v>1320</v>
      </c>
      <c r="K1902" t="s">
        <v>1212</v>
      </c>
      <c r="M1902" s="3">
        <f t="shared" si="116"/>
        <v>43.857142857142854</v>
      </c>
      <c r="N1902">
        <v>6</v>
      </c>
      <c r="O1902">
        <v>56</v>
      </c>
      <c r="P1902">
        <v>49</v>
      </c>
      <c r="Q1902">
        <v>55</v>
      </c>
      <c r="R1902">
        <v>57</v>
      </c>
      <c r="S1902">
        <v>59</v>
      </c>
      <c r="T1902">
        <v>25</v>
      </c>
      <c r="U1902">
        <v>0</v>
      </c>
      <c r="V1902" s="3">
        <f t="shared" si="117"/>
        <v>26328</v>
      </c>
      <c r="W1902">
        <v>2194</v>
      </c>
      <c r="X1902">
        <v>0</v>
      </c>
      <c r="Y1902">
        <f t="shared" si="118"/>
        <v>2194</v>
      </c>
      <c r="Z1902">
        <f t="shared" si="119"/>
        <v>0</v>
      </c>
      <c r="AA1902">
        <v>0</v>
      </c>
    </row>
    <row r="1903" spans="1:27" x14ac:dyDescent="0.25">
      <c r="A1903" s="1">
        <v>1902</v>
      </c>
      <c r="B1903" t="s">
        <v>1321</v>
      </c>
      <c r="C1903" t="s">
        <v>1134</v>
      </c>
      <c r="D1903" t="s">
        <v>1138</v>
      </c>
      <c r="E1903" t="s">
        <v>1144</v>
      </c>
      <c r="H1903" t="s">
        <v>1153</v>
      </c>
      <c r="I1903" t="s">
        <v>1153</v>
      </c>
      <c r="J1903" t="s">
        <v>1320</v>
      </c>
      <c r="K1903" t="s">
        <v>1212</v>
      </c>
      <c r="M1903" s="3">
        <f t="shared" si="116"/>
        <v>36.857142857142854</v>
      </c>
      <c r="N1903">
        <v>20</v>
      </c>
      <c r="O1903">
        <v>20</v>
      </c>
      <c r="P1903">
        <v>24</v>
      </c>
      <c r="Q1903">
        <v>50</v>
      </c>
      <c r="R1903">
        <v>60</v>
      </c>
      <c r="S1903">
        <v>64</v>
      </c>
      <c r="T1903">
        <v>20</v>
      </c>
      <c r="U1903">
        <v>0</v>
      </c>
      <c r="V1903" s="3">
        <f t="shared" si="117"/>
        <v>4627</v>
      </c>
      <c r="W1903">
        <v>385.58333333333331</v>
      </c>
      <c r="X1903">
        <v>0</v>
      </c>
      <c r="Y1903">
        <f t="shared" si="118"/>
        <v>385.58333333333331</v>
      </c>
      <c r="Z1903">
        <f t="shared" si="119"/>
        <v>0</v>
      </c>
      <c r="AA1903">
        <v>0</v>
      </c>
    </row>
    <row r="1904" spans="1:27" x14ac:dyDescent="0.25">
      <c r="A1904" s="1">
        <v>1903</v>
      </c>
      <c r="B1904" t="s">
        <v>2350</v>
      </c>
      <c r="C1904" t="s">
        <v>1134</v>
      </c>
      <c r="D1904" t="s">
        <v>1139</v>
      </c>
      <c r="E1904" t="s">
        <v>1138</v>
      </c>
      <c r="H1904" t="s">
        <v>1153</v>
      </c>
      <c r="I1904" t="s">
        <v>1153</v>
      </c>
      <c r="J1904" t="s">
        <v>1320</v>
      </c>
      <c r="K1904" t="s">
        <v>1212</v>
      </c>
      <c r="M1904" s="3">
        <f t="shared" si="116"/>
        <v>50.857142857142854</v>
      </c>
      <c r="N1904">
        <v>11</v>
      </c>
      <c r="O1904">
        <v>65</v>
      </c>
      <c r="P1904">
        <v>57</v>
      </c>
      <c r="Q1904">
        <v>61</v>
      </c>
      <c r="R1904">
        <v>63</v>
      </c>
      <c r="S1904">
        <v>65</v>
      </c>
      <c r="T1904">
        <v>34</v>
      </c>
      <c r="U1904">
        <v>0</v>
      </c>
      <c r="V1904" s="3">
        <f t="shared" si="117"/>
        <v>115750</v>
      </c>
      <c r="W1904">
        <v>9645.8333333333339</v>
      </c>
      <c r="X1904">
        <v>0</v>
      </c>
      <c r="Y1904">
        <f t="shared" si="118"/>
        <v>9645.8333333333339</v>
      </c>
      <c r="Z1904">
        <f t="shared" si="119"/>
        <v>0</v>
      </c>
      <c r="AA1904">
        <v>0</v>
      </c>
    </row>
    <row r="1905" spans="1:27" x14ac:dyDescent="0.25">
      <c r="A1905" s="1">
        <v>1904</v>
      </c>
      <c r="B1905" t="s">
        <v>2348</v>
      </c>
      <c r="C1905" t="s">
        <v>1134</v>
      </c>
      <c r="D1905" t="s">
        <v>1140</v>
      </c>
      <c r="E1905" t="s">
        <v>1138</v>
      </c>
      <c r="H1905" t="s">
        <v>1153</v>
      </c>
      <c r="I1905" t="s">
        <v>1153</v>
      </c>
      <c r="J1905" t="s">
        <v>1320</v>
      </c>
      <c r="K1905" t="s">
        <v>1212</v>
      </c>
      <c r="M1905" s="3">
        <f t="shared" si="116"/>
        <v>49.285714285714285</v>
      </c>
      <c r="N1905">
        <v>9</v>
      </c>
      <c r="O1905">
        <v>64</v>
      </c>
      <c r="P1905">
        <v>55</v>
      </c>
      <c r="Q1905">
        <v>60</v>
      </c>
      <c r="R1905">
        <v>62</v>
      </c>
      <c r="S1905">
        <v>64</v>
      </c>
      <c r="T1905">
        <v>31</v>
      </c>
      <c r="U1905">
        <v>0</v>
      </c>
      <c r="V1905" s="3">
        <f t="shared" si="117"/>
        <v>84569</v>
      </c>
      <c r="W1905">
        <v>7047.416666666667</v>
      </c>
      <c r="X1905">
        <v>0</v>
      </c>
      <c r="Y1905">
        <f t="shared" si="118"/>
        <v>7047.416666666667</v>
      </c>
      <c r="Z1905">
        <f t="shared" si="119"/>
        <v>0</v>
      </c>
      <c r="AA1905">
        <v>0</v>
      </c>
    </row>
    <row r="1906" spans="1:27" x14ac:dyDescent="0.25">
      <c r="A1906" s="1">
        <v>1905</v>
      </c>
      <c r="B1906" t="s">
        <v>2347</v>
      </c>
      <c r="C1906" t="s">
        <v>1134</v>
      </c>
      <c r="D1906" t="s">
        <v>1138</v>
      </c>
      <c r="E1906" t="s">
        <v>1139</v>
      </c>
      <c r="H1906" t="s">
        <v>1153</v>
      </c>
      <c r="I1906" t="s">
        <v>1153</v>
      </c>
      <c r="J1906" t="s">
        <v>1320</v>
      </c>
      <c r="K1906" t="s">
        <v>1212</v>
      </c>
      <c r="M1906" s="3">
        <f t="shared" si="116"/>
        <v>63.571428571428569</v>
      </c>
      <c r="N1906">
        <v>40</v>
      </c>
      <c r="O1906">
        <v>70</v>
      </c>
      <c r="P1906">
        <v>90</v>
      </c>
      <c r="Q1906">
        <v>70</v>
      </c>
      <c r="R1906">
        <v>64</v>
      </c>
      <c r="S1906">
        <v>66</v>
      </c>
      <c r="T1906">
        <v>45</v>
      </c>
      <c r="U1906">
        <v>1</v>
      </c>
      <c r="V1906" s="3">
        <f t="shared" si="117"/>
        <v>1617004</v>
      </c>
      <c r="W1906">
        <v>11719.416666666666</v>
      </c>
      <c r="X1906">
        <v>0</v>
      </c>
      <c r="Y1906">
        <f t="shared" si="118"/>
        <v>134750.33333333334</v>
      </c>
      <c r="Z1906">
        <f t="shared" si="119"/>
        <v>-91.3</v>
      </c>
      <c r="AA1906">
        <v>0</v>
      </c>
    </row>
    <row r="1907" spans="1:27" x14ac:dyDescent="0.25">
      <c r="A1907" s="1">
        <v>1906</v>
      </c>
      <c r="B1907" t="s">
        <v>2358</v>
      </c>
      <c r="C1907" t="s">
        <v>1135</v>
      </c>
      <c r="D1907" t="s">
        <v>1142</v>
      </c>
      <c r="E1907" t="s">
        <v>1141</v>
      </c>
      <c r="H1907" t="s">
        <v>1153</v>
      </c>
      <c r="I1907" t="s">
        <v>1153</v>
      </c>
      <c r="J1907" t="s">
        <v>1320</v>
      </c>
      <c r="K1907" t="s">
        <v>1212</v>
      </c>
      <c r="M1907" s="3">
        <f t="shared" si="116"/>
        <v>51.428571428571431</v>
      </c>
      <c r="N1907">
        <v>10</v>
      </c>
      <c r="O1907">
        <v>65</v>
      </c>
      <c r="P1907">
        <v>58</v>
      </c>
      <c r="Q1907">
        <v>63</v>
      </c>
      <c r="R1907">
        <v>65</v>
      </c>
      <c r="S1907">
        <v>67</v>
      </c>
      <c r="T1907">
        <v>32</v>
      </c>
      <c r="U1907">
        <v>0</v>
      </c>
      <c r="V1907" s="3">
        <f t="shared" si="117"/>
        <v>129433</v>
      </c>
      <c r="W1907">
        <v>10786.083333333334</v>
      </c>
      <c r="X1907">
        <v>0</v>
      </c>
      <c r="Y1907">
        <f t="shared" si="118"/>
        <v>10786.083333333334</v>
      </c>
      <c r="Z1907">
        <f t="shared" si="119"/>
        <v>0</v>
      </c>
      <c r="AA1907">
        <v>0</v>
      </c>
    </row>
    <row r="1908" spans="1:27" x14ac:dyDescent="0.25">
      <c r="A1908" s="1">
        <v>1907</v>
      </c>
      <c r="B1908" t="s">
        <v>2359</v>
      </c>
      <c r="C1908" t="s">
        <v>1135</v>
      </c>
      <c r="D1908" t="s">
        <v>1141</v>
      </c>
      <c r="E1908" t="s">
        <v>1142</v>
      </c>
      <c r="H1908" t="s">
        <v>1153</v>
      </c>
      <c r="I1908" t="s">
        <v>1153</v>
      </c>
      <c r="J1908" t="s">
        <v>1320</v>
      </c>
      <c r="K1908" t="s">
        <v>1212</v>
      </c>
      <c r="M1908" s="3">
        <f t="shared" si="116"/>
        <v>60.285714285714285</v>
      </c>
      <c r="N1908">
        <v>15</v>
      </c>
      <c r="O1908">
        <v>70</v>
      </c>
      <c r="P1908">
        <v>75</v>
      </c>
      <c r="Q1908">
        <v>70</v>
      </c>
      <c r="R1908">
        <v>72</v>
      </c>
      <c r="S1908">
        <v>75</v>
      </c>
      <c r="T1908">
        <v>45</v>
      </c>
      <c r="U1908">
        <v>0</v>
      </c>
      <c r="V1908" s="3">
        <f t="shared" si="117"/>
        <v>634081</v>
      </c>
      <c r="W1908">
        <v>52840.083333333336</v>
      </c>
      <c r="X1908">
        <v>0</v>
      </c>
      <c r="Y1908">
        <f t="shared" si="118"/>
        <v>52840.083333333336</v>
      </c>
      <c r="Z1908">
        <f t="shared" si="119"/>
        <v>0</v>
      </c>
      <c r="AA1908">
        <v>0</v>
      </c>
    </row>
    <row r="1909" spans="1:27" x14ac:dyDescent="0.25">
      <c r="A1909" s="1">
        <v>1908</v>
      </c>
      <c r="B1909" t="s">
        <v>2357</v>
      </c>
      <c r="C1909" t="s">
        <v>1135</v>
      </c>
      <c r="D1909" t="s">
        <v>1142</v>
      </c>
      <c r="E1909" t="s">
        <v>1141</v>
      </c>
      <c r="H1909" t="s">
        <v>1153</v>
      </c>
      <c r="I1909" t="s">
        <v>1153</v>
      </c>
      <c r="J1909" t="s">
        <v>1320</v>
      </c>
      <c r="K1909" t="s">
        <v>1212</v>
      </c>
      <c r="M1909" s="3">
        <f t="shared" si="116"/>
        <v>56.428571428571431</v>
      </c>
      <c r="N1909">
        <v>14</v>
      </c>
      <c r="O1909">
        <v>70</v>
      </c>
      <c r="P1909">
        <v>63</v>
      </c>
      <c r="Q1909">
        <v>68</v>
      </c>
      <c r="R1909">
        <v>70</v>
      </c>
      <c r="S1909">
        <v>72</v>
      </c>
      <c r="T1909">
        <v>38</v>
      </c>
      <c r="U1909">
        <v>0</v>
      </c>
      <c r="V1909" s="3">
        <f t="shared" si="117"/>
        <v>327334</v>
      </c>
      <c r="W1909">
        <v>27277.833333333332</v>
      </c>
      <c r="X1909">
        <v>0</v>
      </c>
      <c r="Y1909">
        <f t="shared" si="118"/>
        <v>27277.833333333332</v>
      </c>
      <c r="Z1909">
        <f t="shared" si="119"/>
        <v>0</v>
      </c>
      <c r="AA1909">
        <v>0</v>
      </c>
    </row>
    <row r="1910" spans="1:27" x14ac:dyDescent="0.25">
      <c r="A1910" s="1">
        <v>1909</v>
      </c>
      <c r="B1910" t="s">
        <v>2360</v>
      </c>
      <c r="C1910" t="s">
        <v>1136</v>
      </c>
      <c r="D1910" t="s">
        <v>1147</v>
      </c>
      <c r="E1910" t="s">
        <v>1145</v>
      </c>
      <c r="H1910" t="s">
        <v>1153</v>
      </c>
      <c r="I1910" t="s">
        <v>1153</v>
      </c>
      <c r="J1910" t="s">
        <v>1320</v>
      </c>
      <c r="K1910" t="s">
        <v>1212</v>
      </c>
      <c r="M1910" s="3">
        <f t="shared" si="116"/>
        <v>59</v>
      </c>
      <c r="N1910">
        <v>14</v>
      </c>
      <c r="O1910">
        <v>68</v>
      </c>
      <c r="P1910">
        <v>72</v>
      </c>
      <c r="Q1910">
        <v>70</v>
      </c>
      <c r="R1910">
        <v>72</v>
      </c>
      <c r="S1910">
        <v>74</v>
      </c>
      <c r="T1910">
        <v>43</v>
      </c>
      <c r="U1910">
        <v>0</v>
      </c>
      <c r="V1910" s="3">
        <f t="shared" si="117"/>
        <v>511117</v>
      </c>
      <c r="W1910">
        <v>42593.083333333336</v>
      </c>
      <c r="X1910">
        <v>0</v>
      </c>
      <c r="Y1910">
        <f t="shared" si="118"/>
        <v>42593.083333333336</v>
      </c>
      <c r="Z1910">
        <f t="shared" si="119"/>
        <v>0</v>
      </c>
      <c r="AA1910">
        <v>0</v>
      </c>
    </row>
    <row r="1911" spans="1:27" x14ac:dyDescent="0.25">
      <c r="A1911" s="1">
        <v>1910</v>
      </c>
      <c r="B1911" t="s">
        <v>2355</v>
      </c>
      <c r="C1911" t="s">
        <v>1136</v>
      </c>
      <c r="D1911" t="s">
        <v>1147</v>
      </c>
      <c r="E1911" t="s">
        <v>1145</v>
      </c>
      <c r="H1911" t="s">
        <v>1153</v>
      </c>
      <c r="I1911" t="s">
        <v>1153</v>
      </c>
      <c r="J1911" t="s">
        <v>1320</v>
      </c>
      <c r="K1911" t="s">
        <v>1212</v>
      </c>
      <c r="M1911" s="3">
        <f t="shared" si="116"/>
        <v>46.285714285714285</v>
      </c>
      <c r="N1911">
        <v>7</v>
      </c>
      <c r="O1911">
        <v>59</v>
      </c>
      <c r="P1911">
        <v>52</v>
      </c>
      <c r="Q1911">
        <v>58</v>
      </c>
      <c r="R1911">
        <v>60</v>
      </c>
      <c r="S1911">
        <v>62</v>
      </c>
      <c r="T1911">
        <v>26</v>
      </c>
      <c r="U1911">
        <v>0</v>
      </c>
      <c r="V1911" s="3">
        <f t="shared" si="117"/>
        <v>45131</v>
      </c>
      <c r="W1911">
        <v>3760.9166666666665</v>
      </c>
      <c r="X1911">
        <v>0</v>
      </c>
      <c r="Y1911">
        <f t="shared" si="118"/>
        <v>3760.9166666666665</v>
      </c>
      <c r="Z1911">
        <f t="shared" si="119"/>
        <v>0</v>
      </c>
      <c r="AA1911">
        <v>0</v>
      </c>
    </row>
    <row r="1912" spans="1:27" x14ac:dyDescent="0.25">
      <c r="A1912" s="1">
        <v>1911</v>
      </c>
      <c r="B1912" t="s">
        <v>2352</v>
      </c>
      <c r="C1912" t="s">
        <v>1136</v>
      </c>
      <c r="D1912" t="s">
        <v>1143</v>
      </c>
      <c r="E1912" t="s">
        <v>1144</v>
      </c>
      <c r="H1912" t="s">
        <v>1153</v>
      </c>
      <c r="I1912" t="s">
        <v>1153</v>
      </c>
      <c r="J1912" t="s">
        <v>1320</v>
      </c>
      <c r="K1912" t="s">
        <v>1212</v>
      </c>
      <c r="M1912" s="3">
        <f t="shared" si="116"/>
        <v>54.714285714285715</v>
      </c>
      <c r="N1912">
        <v>13</v>
      </c>
      <c r="O1912">
        <v>68</v>
      </c>
      <c r="P1912">
        <v>61</v>
      </c>
      <c r="Q1912">
        <v>66</v>
      </c>
      <c r="R1912">
        <v>68</v>
      </c>
      <c r="S1912">
        <v>70</v>
      </c>
      <c r="T1912">
        <v>37</v>
      </c>
      <c r="U1912">
        <v>0</v>
      </c>
      <c r="V1912" s="3">
        <f t="shared" si="117"/>
        <v>240441</v>
      </c>
      <c r="W1912">
        <v>20036.75</v>
      </c>
      <c r="X1912">
        <v>0</v>
      </c>
      <c r="Y1912">
        <f t="shared" si="118"/>
        <v>20036.75</v>
      </c>
      <c r="Z1912">
        <f t="shared" si="119"/>
        <v>0</v>
      </c>
      <c r="AA1912">
        <v>0</v>
      </c>
    </row>
    <row r="1913" spans="1:27" x14ac:dyDescent="0.25">
      <c r="A1913" s="1">
        <v>1912</v>
      </c>
      <c r="B1913" t="s">
        <v>2353</v>
      </c>
      <c r="C1913" t="s">
        <v>1136</v>
      </c>
      <c r="D1913" t="s">
        <v>1145</v>
      </c>
      <c r="E1913" t="s">
        <v>1143</v>
      </c>
      <c r="H1913" t="s">
        <v>1153</v>
      </c>
      <c r="I1913" t="s">
        <v>1153</v>
      </c>
      <c r="J1913" t="s">
        <v>1320</v>
      </c>
      <c r="K1913" t="s">
        <v>1212</v>
      </c>
      <c r="M1913" s="3">
        <f t="shared" si="116"/>
        <v>44.428571428571431</v>
      </c>
      <c r="N1913">
        <v>6</v>
      </c>
      <c r="O1913">
        <v>55</v>
      </c>
      <c r="P1913">
        <v>49</v>
      </c>
      <c r="Q1913">
        <v>57</v>
      </c>
      <c r="R1913">
        <v>59</v>
      </c>
      <c r="S1913">
        <v>61</v>
      </c>
      <c r="T1913">
        <v>24</v>
      </c>
      <c r="U1913">
        <v>0</v>
      </c>
      <c r="V1913" s="3">
        <f t="shared" si="117"/>
        <v>29966</v>
      </c>
      <c r="W1913">
        <v>2497.1666666666665</v>
      </c>
      <c r="X1913">
        <v>0</v>
      </c>
      <c r="Y1913">
        <f t="shared" si="118"/>
        <v>2497.1666666666665</v>
      </c>
      <c r="Z1913">
        <f t="shared" si="119"/>
        <v>0</v>
      </c>
      <c r="AA1913">
        <v>0</v>
      </c>
    </row>
    <row r="1914" spans="1:27" x14ac:dyDescent="0.25">
      <c r="A1914" s="1">
        <v>1913</v>
      </c>
      <c r="B1914" t="s">
        <v>2354</v>
      </c>
      <c r="C1914" t="s">
        <v>1136</v>
      </c>
      <c r="D1914" t="s">
        <v>1146</v>
      </c>
      <c r="E1914" t="s">
        <v>1144</v>
      </c>
      <c r="H1914" t="s">
        <v>1153</v>
      </c>
      <c r="I1914" t="s">
        <v>1153</v>
      </c>
      <c r="J1914" t="s">
        <v>1320</v>
      </c>
      <c r="K1914" t="s">
        <v>1212</v>
      </c>
      <c r="M1914" s="3">
        <f t="shared" si="116"/>
        <v>50.857142857142854</v>
      </c>
      <c r="N1914">
        <v>10</v>
      </c>
      <c r="O1914">
        <v>64</v>
      </c>
      <c r="P1914">
        <v>57</v>
      </c>
      <c r="Q1914">
        <v>62</v>
      </c>
      <c r="R1914">
        <v>64</v>
      </c>
      <c r="S1914">
        <v>66</v>
      </c>
      <c r="T1914">
        <v>33</v>
      </c>
      <c r="U1914">
        <v>0</v>
      </c>
      <c r="V1914" s="3">
        <f t="shared" si="117"/>
        <v>115750</v>
      </c>
      <c r="W1914">
        <v>9645.8333333333339</v>
      </c>
      <c r="X1914">
        <v>0</v>
      </c>
      <c r="Y1914">
        <f t="shared" si="118"/>
        <v>9645.8333333333339</v>
      </c>
      <c r="Z1914">
        <f t="shared" si="119"/>
        <v>0</v>
      </c>
      <c r="AA1914">
        <v>0</v>
      </c>
    </row>
    <row r="1915" spans="1:27" x14ac:dyDescent="0.25">
      <c r="A1915" s="1">
        <v>1914</v>
      </c>
      <c r="B1915" t="s">
        <v>2351</v>
      </c>
      <c r="C1915" t="s">
        <v>1136</v>
      </c>
      <c r="D1915" t="s">
        <v>1144</v>
      </c>
      <c r="E1915" t="s">
        <v>1143</v>
      </c>
      <c r="H1915" t="s">
        <v>1153</v>
      </c>
      <c r="I1915" t="s">
        <v>1153</v>
      </c>
      <c r="J1915" t="s">
        <v>1320</v>
      </c>
      <c r="K1915" t="s">
        <v>1212</v>
      </c>
      <c r="M1915" s="3">
        <f t="shared" si="116"/>
        <v>49.857142857142854</v>
      </c>
      <c r="N1915">
        <v>9</v>
      </c>
      <c r="O1915">
        <v>63</v>
      </c>
      <c r="P1915">
        <v>55</v>
      </c>
      <c r="Q1915">
        <v>62</v>
      </c>
      <c r="R1915">
        <v>64</v>
      </c>
      <c r="S1915">
        <v>66</v>
      </c>
      <c r="T1915">
        <v>30</v>
      </c>
      <c r="U1915">
        <v>0</v>
      </c>
      <c r="V1915" s="3">
        <f t="shared" si="117"/>
        <v>94902</v>
      </c>
      <c r="W1915">
        <v>7908.5</v>
      </c>
      <c r="X1915">
        <v>0</v>
      </c>
      <c r="Y1915">
        <f t="shared" si="118"/>
        <v>7908.5</v>
      </c>
      <c r="Z1915">
        <f t="shared" si="119"/>
        <v>0</v>
      </c>
      <c r="AA1915">
        <v>0</v>
      </c>
    </row>
    <row r="1916" spans="1:27" x14ac:dyDescent="0.25">
      <c r="A1916" s="1">
        <v>1915</v>
      </c>
      <c r="B1916" t="s">
        <v>2356</v>
      </c>
      <c r="C1916" t="s">
        <v>1136</v>
      </c>
      <c r="D1916" t="s">
        <v>1147</v>
      </c>
      <c r="E1916" t="s">
        <v>1146</v>
      </c>
      <c r="H1916" t="s">
        <v>1153</v>
      </c>
      <c r="I1916" t="s">
        <v>1153</v>
      </c>
      <c r="J1916" t="s">
        <v>1320</v>
      </c>
      <c r="K1916" t="s">
        <v>1212</v>
      </c>
      <c r="M1916" s="3">
        <f t="shared" si="116"/>
        <v>52.571428571428569</v>
      </c>
      <c r="N1916">
        <v>11</v>
      </c>
      <c r="O1916">
        <v>66</v>
      </c>
      <c r="P1916">
        <v>59</v>
      </c>
      <c r="Q1916">
        <v>64</v>
      </c>
      <c r="R1916">
        <v>66</v>
      </c>
      <c r="S1916">
        <v>68</v>
      </c>
      <c r="T1916">
        <v>34</v>
      </c>
      <c r="U1916">
        <v>0</v>
      </c>
      <c r="V1916" s="3">
        <f t="shared" si="117"/>
        <v>161250</v>
      </c>
      <c r="W1916">
        <v>13437.5</v>
      </c>
      <c r="X1916">
        <v>0</v>
      </c>
      <c r="Y1916">
        <f t="shared" si="118"/>
        <v>13437.5</v>
      </c>
      <c r="Z1916">
        <f t="shared" si="119"/>
        <v>0</v>
      </c>
      <c r="AA1916">
        <v>0</v>
      </c>
    </row>
    <row r="1917" spans="1:27" x14ac:dyDescent="0.25">
      <c r="A1917" s="1">
        <v>1916</v>
      </c>
      <c r="B1917" t="s">
        <v>2345</v>
      </c>
      <c r="C1917" t="s">
        <v>1137</v>
      </c>
      <c r="D1917" t="s">
        <v>1137</v>
      </c>
      <c r="H1917" t="s">
        <v>1153</v>
      </c>
      <c r="I1917" t="s">
        <v>1153</v>
      </c>
      <c r="J1917" t="s">
        <v>1320</v>
      </c>
      <c r="K1917" t="s">
        <v>1212</v>
      </c>
      <c r="M1917" s="3">
        <f t="shared" si="116"/>
        <v>47.714285714285715</v>
      </c>
      <c r="N1917">
        <v>9</v>
      </c>
      <c r="O1917">
        <v>60</v>
      </c>
      <c r="P1917">
        <v>52</v>
      </c>
      <c r="Q1917">
        <v>59</v>
      </c>
      <c r="R1917">
        <v>61</v>
      </c>
      <c r="S1917">
        <v>63</v>
      </c>
      <c r="T1917">
        <v>30</v>
      </c>
      <c r="U1917">
        <v>0</v>
      </c>
      <c r="V1917" s="3">
        <f t="shared" si="117"/>
        <v>61163</v>
      </c>
      <c r="W1917">
        <v>5096.916666666667</v>
      </c>
      <c r="X1917">
        <v>0</v>
      </c>
      <c r="Y1917">
        <f t="shared" si="118"/>
        <v>5096.916666666667</v>
      </c>
      <c r="Z1917">
        <f t="shared" si="119"/>
        <v>0</v>
      </c>
      <c r="AA1917">
        <v>0</v>
      </c>
    </row>
    <row r="1918" spans="1:27" x14ac:dyDescent="0.25">
      <c r="A1918" s="1">
        <v>1917</v>
      </c>
      <c r="B1918" t="s">
        <v>1717</v>
      </c>
      <c r="C1918" t="s">
        <v>1133</v>
      </c>
      <c r="D1918" t="s">
        <v>1133</v>
      </c>
      <c r="H1918" t="s">
        <v>1202</v>
      </c>
      <c r="I1918" t="s">
        <v>1202</v>
      </c>
      <c r="J1918" t="s">
        <v>1270</v>
      </c>
      <c r="K1918" t="s">
        <v>1212</v>
      </c>
      <c r="M1918" s="3">
        <f t="shared" si="116"/>
        <v>64.142857142857139</v>
      </c>
      <c r="N1918">
        <v>26</v>
      </c>
      <c r="O1918">
        <v>74</v>
      </c>
      <c r="P1918">
        <v>70</v>
      </c>
      <c r="Q1918">
        <v>76</v>
      </c>
      <c r="R1918">
        <v>79</v>
      </c>
      <c r="S1918">
        <v>80</v>
      </c>
      <c r="T1918">
        <v>44</v>
      </c>
      <c r="U1918">
        <v>0</v>
      </c>
      <c r="V1918" s="3">
        <f t="shared" si="117"/>
        <v>1178917</v>
      </c>
      <c r="W1918">
        <v>98243.083333333328</v>
      </c>
      <c r="X1918">
        <v>0</v>
      </c>
      <c r="Y1918">
        <f t="shared" si="118"/>
        <v>98243.083333333328</v>
      </c>
      <c r="Z1918">
        <f t="shared" si="119"/>
        <v>0</v>
      </c>
      <c r="AA1918">
        <v>0</v>
      </c>
    </row>
    <row r="1919" spans="1:27" x14ac:dyDescent="0.25">
      <c r="A1919" s="1">
        <v>1918</v>
      </c>
      <c r="B1919" t="s">
        <v>99</v>
      </c>
      <c r="C1919" t="s">
        <v>1133</v>
      </c>
      <c r="D1919" t="s">
        <v>1133</v>
      </c>
      <c r="G1919" t="s">
        <v>1202</v>
      </c>
      <c r="H1919" t="s">
        <v>1202</v>
      </c>
      <c r="I1919" t="s">
        <v>1202</v>
      </c>
      <c r="J1919" t="s">
        <v>1270</v>
      </c>
      <c r="K1919" t="s">
        <v>1212</v>
      </c>
      <c r="M1919" s="3">
        <f t="shared" si="116"/>
        <v>73.285714285714292</v>
      </c>
      <c r="N1919">
        <v>60</v>
      </c>
      <c r="O1919">
        <v>71</v>
      </c>
      <c r="P1919">
        <v>72</v>
      </c>
      <c r="Q1919">
        <v>80</v>
      </c>
      <c r="R1919">
        <v>75</v>
      </c>
      <c r="S1919">
        <v>80</v>
      </c>
      <c r="T1919">
        <v>75</v>
      </c>
      <c r="U1919">
        <v>31</v>
      </c>
      <c r="V1919" s="3">
        <f t="shared" si="117"/>
        <v>6703237</v>
      </c>
      <c r="W1919">
        <v>558603.08333333337</v>
      </c>
      <c r="X1919">
        <v>0</v>
      </c>
      <c r="Y1919">
        <f t="shared" si="118"/>
        <v>558603.08333333337</v>
      </c>
      <c r="Z1919">
        <f t="shared" si="119"/>
        <v>0</v>
      </c>
      <c r="AA1919">
        <v>0</v>
      </c>
    </row>
    <row r="1920" spans="1:27" x14ac:dyDescent="0.25">
      <c r="A1920" s="1">
        <v>1919</v>
      </c>
      <c r="B1920" t="s">
        <v>385</v>
      </c>
      <c r="C1920" t="s">
        <v>1134</v>
      </c>
      <c r="D1920" t="s">
        <v>1138</v>
      </c>
      <c r="E1920" t="s">
        <v>1144</v>
      </c>
      <c r="G1920" t="s">
        <v>1202</v>
      </c>
      <c r="H1920" t="s">
        <v>1202</v>
      </c>
      <c r="I1920" t="s">
        <v>1202</v>
      </c>
      <c r="J1920" t="s">
        <v>1270</v>
      </c>
      <c r="K1920" t="s">
        <v>1212</v>
      </c>
      <c r="M1920" s="3">
        <f t="shared" si="116"/>
        <v>66</v>
      </c>
      <c r="N1920">
        <v>36</v>
      </c>
      <c r="O1920">
        <v>70</v>
      </c>
      <c r="P1920">
        <v>70</v>
      </c>
      <c r="Q1920">
        <v>72</v>
      </c>
      <c r="R1920">
        <v>80</v>
      </c>
      <c r="S1920">
        <v>83</v>
      </c>
      <c r="T1920">
        <v>51</v>
      </c>
      <c r="U1920">
        <v>0</v>
      </c>
      <c r="V1920" s="3">
        <f t="shared" si="117"/>
        <v>1568337</v>
      </c>
      <c r="W1920">
        <v>130694.75</v>
      </c>
      <c r="X1920">
        <v>0</v>
      </c>
      <c r="Y1920">
        <f t="shared" si="118"/>
        <v>130694.75</v>
      </c>
      <c r="Z1920">
        <f t="shared" si="119"/>
        <v>0</v>
      </c>
      <c r="AA1920">
        <v>0</v>
      </c>
    </row>
    <row r="1921" spans="1:27" x14ac:dyDescent="0.25">
      <c r="A1921" s="1">
        <v>1920</v>
      </c>
      <c r="B1921" t="s">
        <v>384</v>
      </c>
      <c r="C1921" t="s">
        <v>1134</v>
      </c>
      <c r="D1921" t="s">
        <v>1138</v>
      </c>
      <c r="E1921" t="s">
        <v>1140</v>
      </c>
      <c r="G1921" t="s">
        <v>1202</v>
      </c>
      <c r="H1921" t="s">
        <v>1202</v>
      </c>
      <c r="I1921" t="s">
        <v>1202</v>
      </c>
      <c r="J1921" t="s">
        <v>1270</v>
      </c>
      <c r="K1921" t="s">
        <v>1212</v>
      </c>
      <c r="M1921" s="3">
        <f t="shared" si="116"/>
        <v>64.428571428571431</v>
      </c>
      <c r="N1921">
        <v>28</v>
      </c>
      <c r="O1921">
        <v>65</v>
      </c>
      <c r="P1921">
        <v>71</v>
      </c>
      <c r="Q1921">
        <v>76</v>
      </c>
      <c r="R1921">
        <v>82</v>
      </c>
      <c r="S1921">
        <v>88</v>
      </c>
      <c r="T1921">
        <v>41</v>
      </c>
      <c r="U1921">
        <v>0</v>
      </c>
      <c r="V1921" s="3">
        <f t="shared" si="117"/>
        <v>1232495</v>
      </c>
      <c r="W1921">
        <v>102707.91666666667</v>
      </c>
      <c r="X1921">
        <v>0</v>
      </c>
      <c r="Y1921">
        <f t="shared" si="118"/>
        <v>102707.91666666667</v>
      </c>
      <c r="Z1921">
        <f t="shared" si="119"/>
        <v>0</v>
      </c>
      <c r="AA1921">
        <v>0</v>
      </c>
    </row>
    <row r="1922" spans="1:27" x14ac:dyDescent="0.25">
      <c r="A1922" s="1">
        <v>1921</v>
      </c>
      <c r="B1922" t="s">
        <v>2666</v>
      </c>
      <c r="C1922" t="s">
        <v>1134</v>
      </c>
      <c r="D1922" t="s">
        <v>1138</v>
      </c>
      <c r="H1922" t="s">
        <v>1202</v>
      </c>
      <c r="I1922" t="s">
        <v>1202</v>
      </c>
      <c r="J1922" t="s">
        <v>1270</v>
      </c>
      <c r="K1922" t="s">
        <v>1212</v>
      </c>
      <c r="M1922" s="3">
        <f t="shared" ref="M1922:M1985" si="120">AVERAGE(N1922:T1922)</f>
        <v>54.142857142857146</v>
      </c>
      <c r="N1922">
        <v>20</v>
      </c>
      <c r="O1922">
        <v>59</v>
      </c>
      <c r="P1922">
        <v>54</v>
      </c>
      <c r="Q1922">
        <v>66</v>
      </c>
      <c r="R1922">
        <v>71</v>
      </c>
      <c r="S1922">
        <v>78</v>
      </c>
      <c r="T1922">
        <v>31</v>
      </c>
      <c r="U1922">
        <v>0</v>
      </c>
      <c r="V1922" s="3">
        <f t="shared" ref="V1922:V1985" si="121">ROUNDUP(M1922^10/1000000000000 * IF(U1922&gt;0,1.5,1),0)</f>
        <v>216477</v>
      </c>
      <c r="W1922">
        <v>18039.75</v>
      </c>
      <c r="X1922">
        <v>0</v>
      </c>
      <c r="Y1922">
        <f t="shared" ref="Y1922:Y1985" si="122">V1922/12</f>
        <v>18039.75</v>
      </c>
      <c r="Z1922">
        <f t="shared" ref="Z1922:Z1985" si="123">ROUND(((W1922-Y1922)/Y1922)*100,2)</f>
        <v>0</v>
      </c>
      <c r="AA1922">
        <v>0</v>
      </c>
    </row>
    <row r="1923" spans="1:27" x14ac:dyDescent="0.25">
      <c r="A1923" s="1">
        <v>1922</v>
      </c>
      <c r="B1923" t="s">
        <v>1719</v>
      </c>
      <c r="C1923" t="s">
        <v>1134</v>
      </c>
      <c r="D1923" t="s">
        <v>1138</v>
      </c>
      <c r="E1923" t="s">
        <v>1140</v>
      </c>
      <c r="H1923" t="s">
        <v>1202</v>
      </c>
      <c r="I1923" t="s">
        <v>1202</v>
      </c>
      <c r="J1923" t="s">
        <v>1270</v>
      </c>
      <c r="K1923" t="s">
        <v>1212</v>
      </c>
      <c r="M1923" s="3">
        <f t="shared" si="120"/>
        <v>66.714285714285708</v>
      </c>
      <c r="N1923">
        <v>29</v>
      </c>
      <c r="O1923">
        <v>76</v>
      </c>
      <c r="P1923">
        <v>68</v>
      </c>
      <c r="Q1923">
        <v>81</v>
      </c>
      <c r="R1923">
        <v>83</v>
      </c>
      <c r="S1923">
        <v>84</v>
      </c>
      <c r="T1923">
        <v>46</v>
      </c>
      <c r="U1923">
        <v>0</v>
      </c>
      <c r="V1923" s="3">
        <f t="shared" si="121"/>
        <v>1746580</v>
      </c>
      <c r="W1923">
        <v>145548.33333333334</v>
      </c>
      <c r="X1923">
        <v>0</v>
      </c>
      <c r="Y1923">
        <f t="shared" si="122"/>
        <v>145548.33333333334</v>
      </c>
      <c r="Z1923">
        <f t="shared" si="123"/>
        <v>0</v>
      </c>
      <c r="AA1923">
        <v>0</v>
      </c>
    </row>
    <row r="1924" spans="1:27" x14ac:dyDescent="0.25">
      <c r="A1924" s="1">
        <v>1923</v>
      </c>
      <c r="B1924" t="s">
        <v>383</v>
      </c>
      <c r="C1924" t="s">
        <v>1134</v>
      </c>
      <c r="D1924" t="s">
        <v>1138</v>
      </c>
      <c r="G1924" t="s">
        <v>1202</v>
      </c>
      <c r="H1924" t="s">
        <v>1202</v>
      </c>
      <c r="I1924" t="s">
        <v>1202</v>
      </c>
      <c r="J1924" t="s">
        <v>1270</v>
      </c>
      <c r="K1924" t="s">
        <v>1212</v>
      </c>
      <c r="M1924" s="3">
        <f t="shared" si="120"/>
        <v>64.142857142857139</v>
      </c>
      <c r="N1924">
        <v>31</v>
      </c>
      <c r="O1924">
        <v>63</v>
      </c>
      <c r="P1924">
        <v>70</v>
      </c>
      <c r="Q1924">
        <v>77</v>
      </c>
      <c r="R1924">
        <v>78</v>
      </c>
      <c r="S1924">
        <v>90</v>
      </c>
      <c r="T1924">
        <v>40</v>
      </c>
      <c r="U1924">
        <v>0</v>
      </c>
      <c r="V1924" s="3">
        <f t="shared" si="121"/>
        <v>1178917</v>
      </c>
      <c r="W1924">
        <v>98243.083333333328</v>
      </c>
      <c r="X1924">
        <v>0</v>
      </c>
      <c r="Y1924">
        <f t="shared" si="122"/>
        <v>98243.083333333328</v>
      </c>
      <c r="Z1924">
        <f t="shared" si="123"/>
        <v>0</v>
      </c>
      <c r="AA1924">
        <v>0</v>
      </c>
    </row>
    <row r="1925" spans="1:27" x14ac:dyDescent="0.25">
      <c r="A1925" s="1">
        <v>1924</v>
      </c>
      <c r="B1925" t="s">
        <v>1720</v>
      </c>
      <c r="C1925" t="s">
        <v>1134</v>
      </c>
      <c r="D1925" t="s">
        <v>1138</v>
      </c>
      <c r="E1925" t="s">
        <v>1144</v>
      </c>
      <c r="H1925" t="s">
        <v>1202</v>
      </c>
      <c r="I1925" t="s">
        <v>1202</v>
      </c>
      <c r="J1925" t="s">
        <v>1270</v>
      </c>
      <c r="K1925" t="s">
        <v>1212</v>
      </c>
      <c r="M1925" s="3">
        <f t="shared" si="120"/>
        <v>62</v>
      </c>
      <c r="N1925">
        <v>25</v>
      </c>
      <c r="O1925">
        <v>71</v>
      </c>
      <c r="P1925">
        <v>63</v>
      </c>
      <c r="Q1925">
        <v>75</v>
      </c>
      <c r="R1925">
        <v>79</v>
      </c>
      <c r="S1925">
        <v>82</v>
      </c>
      <c r="T1925">
        <v>39</v>
      </c>
      <c r="U1925">
        <v>0</v>
      </c>
      <c r="V1925" s="3">
        <f t="shared" si="121"/>
        <v>839300</v>
      </c>
      <c r="W1925">
        <v>69941.666666666672</v>
      </c>
      <c r="X1925">
        <v>0</v>
      </c>
      <c r="Y1925">
        <f t="shared" si="122"/>
        <v>69941.666666666672</v>
      </c>
      <c r="Z1925">
        <f t="shared" si="123"/>
        <v>0</v>
      </c>
      <c r="AA1925">
        <v>0</v>
      </c>
    </row>
    <row r="1926" spans="1:27" x14ac:dyDescent="0.25">
      <c r="A1926" s="1">
        <v>1925</v>
      </c>
      <c r="B1926" t="s">
        <v>1718</v>
      </c>
      <c r="C1926" t="s">
        <v>1134</v>
      </c>
      <c r="D1926" t="s">
        <v>1138</v>
      </c>
      <c r="E1926" t="s">
        <v>1144</v>
      </c>
      <c r="H1926" t="s">
        <v>1202</v>
      </c>
      <c r="I1926" t="s">
        <v>1202</v>
      </c>
      <c r="J1926" t="s">
        <v>1270</v>
      </c>
      <c r="K1926" t="s">
        <v>1212</v>
      </c>
      <c r="M1926" s="3">
        <f t="shared" si="120"/>
        <v>58.285714285714285</v>
      </c>
      <c r="N1926">
        <v>21</v>
      </c>
      <c r="O1926">
        <v>66</v>
      </c>
      <c r="P1926">
        <v>60</v>
      </c>
      <c r="Q1926">
        <v>72</v>
      </c>
      <c r="R1926">
        <v>77</v>
      </c>
      <c r="S1926">
        <v>79</v>
      </c>
      <c r="T1926">
        <v>33</v>
      </c>
      <c r="U1926">
        <v>0</v>
      </c>
      <c r="V1926" s="3">
        <f t="shared" si="121"/>
        <v>452503</v>
      </c>
      <c r="W1926">
        <v>37708.583333333336</v>
      </c>
      <c r="X1926">
        <v>0</v>
      </c>
      <c r="Y1926">
        <f t="shared" si="122"/>
        <v>37708.583333333336</v>
      </c>
      <c r="Z1926">
        <f t="shared" si="123"/>
        <v>0</v>
      </c>
      <c r="AA1926">
        <v>0</v>
      </c>
    </row>
    <row r="1927" spans="1:27" x14ac:dyDescent="0.25">
      <c r="A1927" s="1">
        <v>1926</v>
      </c>
      <c r="B1927" t="s">
        <v>605</v>
      </c>
      <c r="C1927" t="s">
        <v>1135</v>
      </c>
      <c r="D1927" t="s">
        <v>1141</v>
      </c>
      <c r="E1927" t="s">
        <v>1145</v>
      </c>
      <c r="G1927" t="s">
        <v>1202</v>
      </c>
      <c r="H1927" t="s">
        <v>1202</v>
      </c>
      <c r="I1927" t="s">
        <v>1202</v>
      </c>
      <c r="J1927" t="s">
        <v>1270</v>
      </c>
      <c r="K1927" t="s">
        <v>1212</v>
      </c>
      <c r="M1927" s="3">
        <f t="shared" si="120"/>
        <v>65.285714285714292</v>
      </c>
      <c r="N1927">
        <v>40</v>
      </c>
      <c r="O1927">
        <v>65</v>
      </c>
      <c r="P1927">
        <v>83</v>
      </c>
      <c r="Q1927">
        <v>70</v>
      </c>
      <c r="R1927">
        <v>67</v>
      </c>
      <c r="S1927">
        <v>82</v>
      </c>
      <c r="T1927">
        <v>50</v>
      </c>
      <c r="U1927">
        <v>0</v>
      </c>
      <c r="V1927" s="3">
        <f t="shared" si="121"/>
        <v>1406636</v>
      </c>
      <c r="W1927">
        <v>117219.66666666667</v>
      </c>
      <c r="X1927">
        <v>0</v>
      </c>
      <c r="Y1927">
        <f t="shared" si="122"/>
        <v>117219.66666666667</v>
      </c>
      <c r="Z1927">
        <f t="shared" si="123"/>
        <v>0</v>
      </c>
      <c r="AA1927">
        <v>0</v>
      </c>
    </row>
    <row r="1928" spans="1:27" x14ac:dyDescent="0.25">
      <c r="A1928" s="1">
        <v>1927</v>
      </c>
      <c r="B1928" t="s">
        <v>534</v>
      </c>
      <c r="C1928" t="s">
        <v>1135</v>
      </c>
      <c r="D1928" t="s">
        <v>1141</v>
      </c>
      <c r="E1928" t="s">
        <v>1145</v>
      </c>
      <c r="G1928" t="s">
        <v>1179</v>
      </c>
      <c r="H1928" t="s">
        <v>1179</v>
      </c>
      <c r="I1928" t="s">
        <v>1179</v>
      </c>
      <c r="J1928" t="s">
        <v>1270</v>
      </c>
      <c r="K1928" t="s">
        <v>1212</v>
      </c>
      <c r="M1928" s="3">
        <f t="shared" si="120"/>
        <v>65.142857142857139</v>
      </c>
      <c r="N1928">
        <v>40</v>
      </c>
      <c r="O1928">
        <v>82</v>
      </c>
      <c r="P1928">
        <v>71</v>
      </c>
      <c r="Q1928">
        <v>70</v>
      </c>
      <c r="R1928">
        <v>71</v>
      </c>
      <c r="S1928">
        <v>70</v>
      </c>
      <c r="T1928">
        <v>52</v>
      </c>
      <c r="U1928">
        <v>0</v>
      </c>
      <c r="V1928" s="3">
        <f t="shared" si="121"/>
        <v>1376158</v>
      </c>
      <c r="W1928">
        <v>114679.83333333333</v>
      </c>
      <c r="X1928">
        <v>0</v>
      </c>
      <c r="Y1928">
        <f t="shared" si="122"/>
        <v>114679.83333333333</v>
      </c>
      <c r="Z1928">
        <f t="shared" si="123"/>
        <v>0</v>
      </c>
      <c r="AA1928">
        <v>0</v>
      </c>
    </row>
    <row r="1929" spans="1:27" x14ac:dyDescent="0.25">
      <c r="A1929" s="1">
        <v>1928</v>
      </c>
      <c r="B1929" t="s">
        <v>1721</v>
      </c>
      <c r="C1929" t="s">
        <v>1135</v>
      </c>
      <c r="D1929" t="s">
        <v>1141</v>
      </c>
      <c r="E1929" t="s">
        <v>1145</v>
      </c>
      <c r="H1929" t="s">
        <v>1202</v>
      </c>
      <c r="I1929" t="s">
        <v>1202</v>
      </c>
      <c r="J1929" t="s">
        <v>1270</v>
      </c>
      <c r="K1929" t="s">
        <v>1212</v>
      </c>
      <c r="M1929" s="3">
        <f t="shared" si="120"/>
        <v>67.857142857142861</v>
      </c>
      <c r="N1929">
        <v>28</v>
      </c>
      <c r="O1929">
        <v>79</v>
      </c>
      <c r="P1929">
        <v>77</v>
      </c>
      <c r="Q1929">
        <v>78</v>
      </c>
      <c r="R1929">
        <v>82</v>
      </c>
      <c r="S1929">
        <v>86</v>
      </c>
      <c r="T1929">
        <v>45</v>
      </c>
      <c r="U1929">
        <v>0</v>
      </c>
      <c r="V1929" s="3">
        <f t="shared" si="121"/>
        <v>2069931</v>
      </c>
      <c r="W1929">
        <v>172494.25</v>
      </c>
      <c r="X1929">
        <v>0</v>
      </c>
      <c r="Y1929">
        <f t="shared" si="122"/>
        <v>172494.25</v>
      </c>
      <c r="Z1929">
        <f t="shared" si="123"/>
        <v>0</v>
      </c>
      <c r="AA1929">
        <v>0</v>
      </c>
    </row>
    <row r="1930" spans="1:27" x14ac:dyDescent="0.25">
      <c r="A1930" s="1">
        <v>1929</v>
      </c>
      <c r="B1930" t="s">
        <v>975</v>
      </c>
      <c r="C1930" t="s">
        <v>1136</v>
      </c>
      <c r="D1930" t="s">
        <v>1144</v>
      </c>
      <c r="E1930" t="s">
        <v>1138</v>
      </c>
      <c r="G1930" t="s">
        <v>1202</v>
      </c>
      <c r="H1930" t="s">
        <v>1202</v>
      </c>
      <c r="I1930" t="s">
        <v>1202</v>
      </c>
      <c r="J1930" t="s">
        <v>1270</v>
      </c>
      <c r="K1930" t="s">
        <v>1212</v>
      </c>
      <c r="M1930" s="3">
        <f t="shared" si="120"/>
        <v>59.142857142857146</v>
      </c>
      <c r="N1930">
        <v>35</v>
      </c>
      <c r="O1930">
        <v>61</v>
      </c>
      <c r="P1930">
        <v>68</v>
      </c>
      <c r="Q1930">
        <v>66</v>
      </c>
      <c r="R1930">
        <v>75</v>
      </c>
      <c r="S1930">
        <v>72</v>
      </c>
      <c r="T1930">
        <v>37</v>
      </c>
      <c r="U1930">
        <v>0</v>
      </c>
      <c r="V1930" s="3">
        <f t="shared" si="121"/>
        <v>523629</v>
      </c>
      <c r="W1930">
        <v>43635.75</v>
      </c>
      <c r="X1930">
        <v>0</v>
      </c>
      <c r="Y1930">
        <f t="shared" si="122"/>
        <v>43635.75</v>
      </c>
      <c r="Z1930">
        <f t="shared" si="123"/>
        <v>0</v>
      </c>
      <c r="AA1930">
        <v>0</v>
      </c>
    </row>
    <row r="1931" spans="1:27" x14ac:dyDescent="0.25">
      <c r="A1931" s="1">
        <v>1930</v>
      </c>
      <c r="B1931" t="s">
        <v>1724</v>
      </c>
      <c r="C1931" t="s">
        <v>1136</v>
      </c>
      <c r="D1931" t="s">
        <v>1147</v>
      </c>
      <c r="E1931" t="s">
        <v>1145</v>
      </c>
      <c r="H1931" t="s">
        <v>1202</v>
      </c>
      <c r="I1931" t="s">
        <v>1202</v>
      </c>
      <c r="J1931" t="s">
        <v>1270</v>
      </c>
      <c r="K1931" t="s">
        <v>1212</v>
      </c>
      <c r="M1931" s="3">
        <f t="shared" si="120"/>
        <v>61.857142857142854</v>
      </c>
      <c r="N1931">
        <v>24</v>
      </c>
      <c r="O1931">
        <v>78</v>
      </c>
      <c r="P1931">
        <v>66</v>
      </c>
      <c r="Q1931">
        <v>73</v>
      </c>
      <c r="R1931">
        <v>76</v>
      </c>
      <c r="S1931">
        <v>75</v>
      </c>
      <c r="T1931">
        <v>41</v>
      </c>
      <c r="U1931">
        <v>0</v>
      </c>
      <c r="V1931" s="3">
        <f t="shared" si="121"/>
        <v>820160</v>
      </c>
      <c r="W1931">
        <v>68346.666666666672</v>
      </c>
      <c r="X1931">
        <v>0</v>
      </c>
      <c r="Y1931">
        <f t="shared" si="122"/>
        <v>68346.666666666672</v>
      </c>
      <c r="Z1931">
        <f t="shared" si="123"/>
        <v>0</v>
      </c>
      <c r="AA1931">
        <v>0</v>
      </c>
    </row>
    <row r="1932" spans="1:27" x14ac:dyDescent="0.25">
      <c r="A1932" s="1">
        <v>1931</v>
      </c>
      <c r="B1932" t="s">
        <v>1723</v>
      </c>
      <c r="C1932" t="s">
        <v>1136</v>
      </c>
      <c r="D1932" t="s">
        <v>1143</v>
      </c>
      <c r="E1932" t="s">
        <v>1144</v>
      </c>
      <c r="H1932" t="s">
        <v>1202</v>
      </c>
      <c r="I1932" t="s">
        <v>1202</v>
      </c>
      <c r="J1932" t="s">
        <v>1270</v>
      </c>
      <c r="K1932" t="s">
        <v>1212</v>
      </c>
      <c r="M1932" s="3">
        <f t="shared" si="120"/>
        <v>54.714285714285715</v>
      </c>
      <c r="N1932">
        <v>20</v>
      </c>
      <c r="O1932">
        <v>64</v>
      </c>
      <c r="P1932">
        <v>57</v>
      </c>
      <c r="Q1932">
        <v>71</v>
      </c>
      <c r="R1932">
        <v>68</v>
      </c>
      <c r="S1932">
        <v>73</v>
      </c>
      <c r="T1932">
        <v>30</v>
      </c>
      <c r="U1932">
        <v>0</v>
      </c>
      <c r="V1932" s="3">
        <f t="shared" si="121"/>
        <v>240441</v>
      </c>
      <c r="W1932">
        <v>20036.75</v>
      </c>
      <c r="X1932">
        <v>0</v>
      </c>
      <c r="Y1932">
        <f t="shared" si="122"/>
        <v>20036.75</v>
      </c>
      <c r="Z1932">
        <f t="shared" si="123"/>
        <v>0</v>
      </c>
      <c r="AA1932">
        <v>0</v>
      </c>
    </row>
    <row r="1933" spans="1:27" x14ac:dyDescent="0.25">
      <c r="A1933" s="1">
        <v>1932</v>
      </c>
      <c r="B1933" t="s">
        <v>972</v>
      </c>
      <c r="C1933" t="s">
        <v>1136</v>
      </c>
      <c r="D1933" t="s">
        <v>1143</v>
      </c>
      <c r="G1933" t="s">
        <v>1202</v>
      </c>
      <c r="H1933" t="s">
        <v>1202</v>
      </c>
      <c r="I1933" t="s">
        <v>1202</v>
      </c>
      <c r="J1933" t="s">
        <v>1270</v>
      </c>
      <c r="K1933" t="s">
        <v>1212</v>
      </c>
      <c r="M1933" s="3">
        <f t="shared" si="120"/>
        <v>50.285714285714285</v>
      </c>
      <c r="N1933">
        <v>25</v>
      </c>
      <c r="O1933">
        <v>50</v>
      </c>
      <c r="P1933">
        <v>53</v>
      </c>
      <c r="Q1933">
        <v>68</v>
      </c>
      <c r="R1933">
        <v>50</v>
      </c>
      <c r="S1933">
        <v>59</v>
      </c>
      <c r="T1933">
        <v>47</v>
      </c>
      <c r="U1933">
        <v>0</v>
      </c>
      <c r="V1933" s="3">
        <f t="shared" si="121"/>
        <v>103383</v>
      </c>
      <c r="W1933">
        <v>8615.25</v>
      </c>
      <c r="X1933">
        <v>0</v>
      </c>
      <c r="Y1933">
        <f t="shared" si="122"/>
        <v>8615.25</v>
      </c>
      <c r="Z1933">
        <f t="shared" si="123"/>
        <v>0</v>
      </c>
      <c r="AA1933">
        <v>0</v>
      </c>
    </row>
    <row r="1934" spans="1:27" x14ac:dyDescent="0.25">
      <c r="A1934" s="1">
        <v>1933</v>
      </c>
      <c r="B1934" t="s">
        <v>973</v>
      </c>
      <c r="C1934" t="s">
        <v>1136</v>
      </c>
      <c r="D1934" t="s">
        <v>1143</v>
      </c>
      <c r="E1934" t="s">
        <v>1144</v>
      </c>
      <c r="G1934" t="s">
        <v>1202</v>
      </c>
      <c r="H1934" t="s">
        <v>1202</v>
      </c>
      <c r="I1934" t="s">
        <v>1202</v>
      </c>
      <c r="J1934" t="s">
        <v>1270</v>
      </c>
      <c r="K1934" t="s">
        <v>1212</v>
      </c>
      <c r="M1934" s="3">
        <f t="shared" si="120"/>
        <v>58.285714285714285</v>
      </c>
      <c r="N1934">
        <v>65</v>
      </c>
      <c r="O1934">
        <v>60</v>
      </c>
      <c r="P1934">
        <v>50</v>
      </c>
      <c r="Q1934">
        <v>58</v>
      </c>
      <c r="R1934">
        <v>61</v>
      </c>
      <c r="S1934">
        <v>74</v>
      </c>
      <c r="T1934">
        <v>40</v>
      </c>
      <c r="U1934">
        <v>0</v>
      </c>
      <c r="V1934" s="3">
        <f t="shared" si="121"/>
        <v>452503</v>
      </c>
      <c r="W1934">
        <v>37708.583333333336</v>
      </c>
      <c r="X1934">
        <v>0</v>
      </c>
      <c r="Y1934">
        <f t="shared" si="122"/>
        <v>37708.583333333336</v>
      </c>
      <c r="Z1934">
        <f t="shared" si="123"/>
        <v>0</v>
      </c>
      <c r="AA1934">
        <v>0</v>
      </c>
    </row>
    <row r="1935" spans="1:27" x14ac:dyDescent="0.25">
      <c r="A1935" s="1">
        <v>1934</v>
      </c>
      <c r="B1935" t="s">
        <v>823</v>
      </c>
      <c r="C1935" t="s">
        <v>1136</v>
      </c>
      <c r="D1935" t="s">
        <v>1144</v>
      </c>
      <c r="E1935" t="s">
        <v>1138</v>
      </c>
      <c r="G1935" t="s">
        <v>1179</v>
      </c>
      <c r="H1935" t="s">
        <v>1179</v>
      </c>
      <c r="I1935" t="s">
        <v>1179</v>
      </c>
      <c r="J1935" t="s">
        <v>1270</v>
      </c>
      <c r="K1935" t="s">
        <v>1212</v>
      </c>
      <c r="M1935" s="3">
        <f t="shared" si="120"/>
        <v>79.857142857142861</v>
      </c>
      <c r="N1935">
        <v>80</v>
      </c>
      <c r="O1935">
        <v>79</v>
      </c>
      <c r="P1935">
        <v>83</v>
      </c>
      <c r="Q1935">
        <v>81</v>
      </c>
      <c r="R1935">
        <v>80</v>
      </c>
      <c r="S1935">
        <v>86</v>
      </c>
      <c r="T1935">
        <v>70</v>
      </c>
      <c r="U1935">
        <v>26</v>
      </c>
      <c r="V1935" s="3">
        <f t="shared" si="121"/>
        <v>15820819</v>
      </c>
      <c r="W1935">
        <v>1318401.5833333333</v>
      </c>
      <c r="X1935">
        <v>0</v>
      </c>
      <c r="Y1935">
        <f t="shared" si="122"/>
        <v>1318401.5833333333</v>
      </c>
      <c r="Z1935">
        <f t="shared" si="123"/>
        <v>0</v>
      </c>
      <c r="AA1935">
        <v>0</v>
      </c>
    </row>
    <row r="1936" spans="1:27" x14ac:dyDescent="0.25">
      <c r="A1936" s="1">
        <v>1935</v>
      </c>
      <c r="B1936" t="s">
        <v>1722</v>
      </c>
      <c r="C1936" t="s">
        <v>1136</v>
      </c>
      <c r="D1936" t="s">
        <v>1144</v>
      </c>
      <c r="E1936" t="s">
        <v>1138</v>
      </c>
      <c r="H1936" t="s">
        <v>1202</v>
      </c>
      <c r="I1936" t="s">
        <v>1202</v>
      </c>
      <c r="J1936" t="s">
        <v>1270</v>
      </c>
      <c r="K1936" t="s">
        <v>1212</v>
      </c>
      <c r="M1936" s="3">
        <f t="shared" si="120"/>
        <v>65</v>
      </c>
      <c r="N1936">
        <v>26</v>
      </c>
      <c r="O1936">
        <v>77</v>
      </c>
      <c r="P1936">
        <v>69</v>
      </c>
      <c r="Q1936">
        <v>82</v>
      </c>
      <c r="R1936">
        <v>78</v>
      </c>
      <c r="S1936">
        <v>80</v>
      </c>
      <c r="T1936">
        <v>43</v>
      </c>
      <c r="U1936">
        <v>0</v>
      </c>
      <c r="V1936" s="3">
        <f t="shared" si="121"/>
        <v>1346275</v>
      </c>
      <c r="W1936">
        <v>112189.58333333333</v>
      </c>
      <c r="X1936">
        <v>0</v>
      </c>
      <c r="Y1936">
        <f t="shared" si="122"/>
        <v>112189.58333333333</v>
      </c>
      <c r="Z1936">
        <f t="shared" si="123"/>
        <v>0</v>
      </c>
      <c r="AA1936">
        <v>0</v>
      </c>
    </row>
    <row r="1937" spans="1:27" x14ac:dyDescent="0.25">
      <c r="A1937" s="1">
        <v>1936</v>
      </c>
      <c r="B1937" t="s">
        <v>850</v>
      </c>
      <c r="C1937" t="s">
        <v>1136</v>
      </c>
      <c r="D1937" t="s">
        <v>1147</v>
      </c>
      <c r="E1937" t="s">
        <v>1144</v>
      </c>
      <c r="G1937" t="s">
        <v>1183</v>
      </c>
      <c r="H1937" t="s">
        <v>1183</v>
      </c>
      <c r="I1937" t="s">
        <v>1183</v>
      </c>
      <c r="J1937" t="s">
        <v>1270</v>
      </c>
      <c r="K1937" t="s">
        <v>1212</v>
      </c>
      <c r="M1937" s="3">
        <f t="shared" si="120"/>
        <v>81.714285714285708</v>
      </c>
      <c r="N1937">
        <v>76</v>
      </c>
      <c r="O1937">
        <v>93</v>
      </c>
      <c r="P1937">
        <v>82</v>
      </c>
      <c r="Q1937">
        <v>88</v>
      </c>
      <c r="R1937">
        <v>87</v>
      </c>
      <c r="S1937">
        <v>82</v>
      </c>
      <c r="T1937">
        <v>64</v>
      </c>
      <c r="U1937">
        <v>23</v>
      </c>
      <c r="V1937" s="3">
        <f t="shared" si="121"/>
        <v>19909995</v>
      </c>
      <c r="W1937">
        <v>1659166.25</v>
      </c>
      <c r="X1937">
        <v>0</v>
      </c>
      <c r="Y1937">
        <f t="shared" si="122"/>
        <v>1659166.25</v>
      </c>
      <c r="Z1937">
        <f t="shared" si="123"/>
        <v>0</v>
      </c>
      <c r="AA1937">
        <v>0</v>
      </c>
    </row>
    <row r="1938" spans="1:27" x14ac:dyDescent="0.25">
      <c r="A1938" s="1">
        <v>1937</v>
      </c>
      <c r="B1938" t="s">
        <v>974</v>
      </c>
      <c r="C1938" t="s">
        <v>1136</v>
      </c>
      <c r="D1938" t="s">
        <v>1144</v>
      </c>
      <c r="G1938" t="s">
        <v>1202</v>
      </c>
      <c r="H1938" t="s">
        <v>1202</v>
      </c>
      <c r="I1938" t="s">
        <v>1202</v>
      </c>
      <c r="J1938" t="s">
        <v>1270</v>
      </c>
      <c r="K1938" t="s">
        <v>1212</v>
      </c>
      <c r="M1938" s="3">
        <f t="shared" si="120"/>
        <v>55</v>
      </c>
      <c r="N1938">
        <v>48</v>
      </c>
      <c r="O1938">
        <v>52</v>
      </c>
      <c r="P1938">
        <v>64</v>
      </c>
      <c r="Q1938">
        <v>64</v>
      </c>
      <c r="R1938">
        <v>68</v>
      </c>
      <c r="S1938">
        <v>57</v>
      </c>
      <c r="T1938">
        <v>32</v>
      </c>
      <c r="U1938">
        <v>0</v>
      </c>
      <c r="V1938" s="3">
        <f t="shared" si="121"/>
        <v>253296</v>
      </c>
      <c r="W1938">
        <v>21108</v>
      </c>
      <c r="X1938">
        <v>0</v>
      </c>
      <c r="Y1938">
        <f t="shared" si="122"/>
        <v>21108</v>
      </c>
      <c r="Z1938">
        <f t="shared" si="123"/>
        <v>0</v>
      </c>
      <c r="AA1938">
        <v>0</v>
      </c>
    </row>
    <row r="1939" spans="1:27" x14ac:dyDescent="0.25">
      <c r="A1939" s="1">
        <v>1938</v>
      </c>
      <c r="B1939" t="s">
        <v>1725</v>
      </c>
      <c r="C1939" t="s">
        <v>1136</v>
      </c>
      <c r="D1939" t="s">
        <v>1146</v>
      </c>
      <c r="E1939" t="s">
        <v>1144</v>
      </c>
      <c r="H1939" t="s">
        <v>1202</v>
      </c>
      <c r="I1939" t="s">
        <v>1202</v>
      </c>
      <c r="J1939" t="s">
        <v>1270</v>
      </c>
      <c r="K1939" t="s">
        <v>1212</v>
      </c>
      <c r="M1939" s="3">
        <f t="shared" si="120"/>
        <v>57.714285714285715</v>
      </c>
      <c r="N1939">
        <v>22</v>
      </c>
      <c r="O1939">
        <v>70</v>
      </c>
      <c r="P1939">
        <v>61</v>
      </c>
      <c r="Q1939">
        <v>72</v>
      </c>
      <c r="R1939">
        <v>69</v>
      </c>
      <c r="S1939">
        <v>74</v>
      </c>
      <c r="T1939">
        <v>36</v>
      </c>
      <c r="U1939">
        <v>0</v>
      </c>
      <c r="V1939" s="3">
        <f t="shared" si="121"/>
        <v>410047</v>
      </c>
      <c r="W1939">
        <v>34170.583333333336</v>
      </c>
      <c r="X1939">
        <v>0</v>
      </c>
      <c r="Y1939">
        <f t="shared" si="122"/>
        <v>34170.583333333336</v>
      </c>
      <c r="Z1939">
        <f t="shared" si="123"/>
        <v>0</v>
      </c>
      <c r="AA1939">
        <v>0</v>
      </c>
    </row>
    <row r="1940" spans="1:27" x14ac:dyDescent="0.25">
      <c r="A1940" s="1">
        <v>1939</v>
      </c>
      <c r="B1940" t="s">
        <v>1100</v>
      </c>
      <c r="C1940" t="s">
        <v>1137</v>
      </c>
      <c r="D1940" t="s">
        <v>1137</v>
      </c>
      <c r="H1940" t="s">
        <v>1148</v>
      </c>
      <c r="I1940" t="s">
        <v>1148</v>
      </c>
      <c r="J1940" t="s">
        <v>1270</v>
      </c>
      <c r="K1940" t="s">
        <v>1212</v>
      </c>
      <c r="M1940" s="3">
        <f t="shared" si="120"/>
        <v>73.428571428571431</v>
      </c>
      <c r="N1940">
        <v>56</v>
      </c>
      <c r="O1940">
        <v>78</v>
      </c>
      <c r="P1940">
        <v>78</v>
      </c>
      <c r="Q1940">
        <v>74</v>
      </c>
      <c r="R1940">
        <v>77</v>
      </c>
      <c r="S1940">
        <v>85</v>
      </c>
      <c r="T1940">
        <v>66</v>
      </c>
      <c r="U1940">
        <v>0</v>
      </c>
      <c r="V1940" s="3">
        <f t="shared" si="121"/>
        <v>4556704</v>
      </c>
      <c r="W1940">
        <v>379725.33333333331</v>
      </c>
      <c r="X1940">
        <v>0</v>
      </c>
      <c r="Y1940">
        <f t="shared" si="122"/>
        <v>379725.33333333331</v>
      </c>
      <c r="Z1940">
        <f t="shared" si="123"/>
        <v>0</v>
      </c>
      <c r="AA1940">
        <v>0</v>
      </c>
    </row>
    <row r="1941" spans="1:27" x14ac:dyDescent="0.25">
      <c r="A1941" s="1">
        <v>1940</v>
      </c>
      <c r="B1941" t="s">
        <v>1648</v>
      </c>
      <c r="C1941" t="s">
        <v>1133</v>
      </c>
      <c r="D1941" t="s">
        <v>1133</v>
      </c>
      <c r="H1941" t="s">
        <v>1211</v>
      </c>
      <c r="I1941" t="s">
        <v>1211</v>
      </c>
      <c r="J1941" t="s">
        <v>1276</v>
      </c>
      <c r="K1941" t="s">
        <v>1212</v>
      </c>
      <c r="M1941" s="3">
        <f t="shared" si="120"/>
        <v>67.857142857142861</v>
      </c>
      <c r="N1941">
        <v>28</v>
      </c>
      <c r="O1941">
        <v>84</v>
      </c>
      <c r="P1941">
        <v>76</v>
      </c>
      <c r="Q1941">
        <v>80</v>
      </c>
      <c r="R1941">
        <v>75</v>
      </c>
      <c r="S1941">
        <v>79</v>
      </c>
      <c r="T1941">
        <v>53</v>
      </c>
      <c r="U1941">
        <v>0</v>
      </c>
      <c r="V1941" s="3">
        <f t="shared" si="121"/>
        <v>2069931</v>
      </c>
      <c r="W1941">
        <v>172494.25</v>
      </c>
      <c r="X1941">
        <v>0</v>
      </c>
      <c r="Y1941">
        <f t="shared" si="122"/>
        <v>172494.25</v>
      </c>
      <c r="Z1941">
        <f t="shared" si="123"/>
        <v>0</v>
      </c>
      <c r="AA1941">
        <v>0</v>
      </c>
    </row>
    <row r="1942" spans="1:27" x14ac:dyDescent="0.25">
      <c r="A1942" s="1">
        <v>1941</v>
      </c>
      <c r="B1942" t="s">
        <v>113</v>
      </c>
      <c r="C1942" t="s">
        <v>1133</v>
      </c>
      <c r="D1942" t="s">
        <v>1133</v>
      </c>
      <c r="G1942" t="s">
        <v>1211</v>
      </c>
      <c r="H1942" t="s">
        <v>1211</v>
      </c>
      <c r="I1942" t="s">
        <v>1211</v>
      </c>
      <c r="J1942" t="s">
        <v>1276</v>
      </c>
      <c r="K1942" t="s">
        <v>1212</v>
      </c>
      <c r="M1942" s="3">
        <f t="shared" si="120"/>
        <v>72.571428571428569</v>
      </c>
      <c r="N1942">
        <v>65</v>
      </c>
      <c r="O1942">
        <v>92</v>
      </c>
      <c r="P1942">
        <v>85</v>
      </c>
      <c r="Q1942">
        <v>78</v>
      </c>
      <c r="R1942">
        <v>79</v>
      </c>
      <c r="S1942">
        <v>75</v>
      </c>
      <c r="T1942">
        <v>34</v>
      </c>
      <c r="U1942">
        <v>29</v>
      </c>
      <c r="V1942" s="3">
        <f t="shared" si="121"/>
        <v>6077823</v>
      </c>
      <c r="W1942">
        <v>506485.25</v>
      </c>
      <c r="X1942">
        <v>0</v>
      </c>
      <c r="Y1942">
        <f t="shared" si="122"/>
        <v>506485.25</v>
      </c>
      <c r="Z1942">
        <f t="shared" si="123"/>
        <v>0</v>
      </c>
      <c r="AA1942">
        <v>0</v>
      </c>
    </row>
    <row r="1943" spans="1:27" x14ac:dyDescent="0.25">
      <c r="A1943" s="1">
        <v>1942</v>
      </c>
      <c r="B1943" t="s">
        <v>1651</v>
      </c>
      <c r="C1943" t="s">
        <v>1134</v>
      </c>
      <c r="D1943" t="s">
        <v>1138</v>
      </c>
      <c r="G1943" t="s">
        <v>1211</v>
      </c>
      <c r="H1943" t="s">
        <v>1211</v>
      </c>
      <c r="I1943" t="s">
        <v>1211</v>
      </c>
      <c r="J1943" t="s">
        <v>1276</v>
      </c>
      <c r="K1943" t="s">
        <v>1212</v>
      </c>
      <c r="M1943" s="3">
        <f t="shared" si="120"/>
        <v>70.285714285714292</v>
      </c>
      <c r="N1943">
        <v>25</v>
      </c>
      <c r="O1943">
        <v>88</v>
      </c>
      <c r="P1943">
        <v>66</v>
      </c>
      <c r="Q1943">
        <v>82</v>
      </c>
      <c r="R1943">
        <v>89</v>
      </c>
      <c r="S1943">
        <v>87</v>
      </c>
      <c r="T1943">
        <v>55</v>
      </c>
      <c r="U1943">
        <v>0</v>
      </c>
      <c r="V1943" s="3">
        <f t="shared" si="121"/>
        <v>2942190</v>
      </c>
      <c r="W1943">
        <v>245182.5</v>
      </c>
      <c r="X1943">
        <v>0</v>
      </c>
      <c r="Y1943">
        <f t="shared" si="122"/>
        <v>245182.5</v>
      </c>
      <c r="Z1943">
        <f t="shared" si="123"/>
        <v>0</v>
      </c>
      <c r="AA1943">
        <v>0</v>
      </c>
    </row>
    <row r="1944" spans="1:27" x14ac:dyDescent="0.25">
      <c r="A1944" s="1">
        <v>1943</v>
      </c>
      <c r="B1944" t="s">
        <v>427</v>
      </c>
      <c r="C1944" t="s">
        <v>1134</v>
      </c>
      <c r="D1944" t="s">
        <v>1138</v>
      </c>
      <c r="G1944" t="s">
        <v>1211</v>
      </c>
      <c r="H1944" t="s">
        <v>1211</v>
      </c>
      <c r="I1944" t="s">
        <v>1211</v>
      </c>
      <c r="J1944" t="s">
        <v>1276</v>
      </c>
      <c r="K1944" t="s">
        <v>1212</v>
      </c>
      <c r="M1944" s="3">
        <f t="shared" si="120"/>
        <v>77.857142857142861</v>
      </c>
      <c r="N1944">
        <v>65</v>
      </c>
      <c r="O1944">
        <v>85</v>
      </c>
      <c r="P1944">
        <v>76</v>
      </c>
      <c r="Q1944">
        <v>84</v>
      </c>
      <c r="R1944">
        <v>78</v>
      </c>
      <c r="S1944">
        <v>83</v>
      </c>
      <c r="T1944">
        <v>74</v>
      </c>
      <c r="U1944">
        <v>0</v>
      </c>
      <c r="V1944" s="3">
        <f t="shared" si="121"/>
        <v>8184359</v>
      </c>
      <c r="W1944">
        <v>621979.33333333337</v>
      </c>
      <c r="X1944">
        <v>0</v>
      </c>
      <c r="Y1944">
        <f t="shared" si="122"/>
        <v>682029.91666666663</v>
      </c>
      <c r="Z1944">
        <f t="shared" si="123"/>
        <v>-8.8000000000000007</v>
      </c>
      <c r="AA1944">
        <v>0</v>
      </c>
    </row>
    <row r="1945" spans="1:27" x14ac:dyDescent="0.25">
      <c r="A1945" s="1">
        <v>1944</v>
      </c>
      <c r="B1945" t="s">
        <v>2589</v>
      </c>
      <c r="C1945" t="s">
        <v>1134</v>
      </c>
      <c r="D1945" t="s">
        <v>1138</v>
      </c>
      <c r="E1945" t="s">
        <v>1140</v>
      </c>
      <c r="H1945" t="s">
        <v>1211</v>
      </c>
      <c r="I1945" t="s">
        <v>1211</v>
      </c>
      <c r="J1945" t="s">
        <v>1276</v>
      </c>
      <c r="K1945" t="s">
        <v>1212</v>
      </c>
      <c r="M1945" s="3">
        <f t="shared" si="120"/>
        <v>70.285714285714292</v>
      </c>
      <c r="N1945">
        <v>25</v>
      </c>
      <c r="O1945">
        <v>88</v>
      </c>
      <c r="P1945">
        <v>66</v>
      </c>
      <c r="Q1945">
        <v>82</v>
      </c>
      <c r="R1945">
        <v>89</v>
      </c>
      <c r="S1945">
        <v>87</v>
      </c>
      <c r="T1945">
        <v>55</v>
      </c>
      <c r="U1945">
        <v>0</v>
      </c>
      <c r="V1945" s="3">
        <f t="shared" si="121"/>
        <v>2942190</v>
      </c>
      <c r="W1945">
        <v>245182.5</v>
      </c>
      <c r="X1945">
        <v>0</v>
      </c>
      <c r="Y1945">
        <f t="shared" si="122"/>
        <v>245182.5</v>
      </c>
      <c r="Z1945">
        <f t="shared" si="123"/>
        <v>0</v>
      </c>
      <c r="AA1945">
        <v>0</v>
      </c>
    </row>
    <row r="1946" spans="1:27" x14ac:dyDescent="0.25">
      <c r="A1946" s="1">
        <v>1945</v>
      </c>
      <c r="B1946" t="s">
        <v>2648</v>
      </c>
      <c r="C1946" t="s">
        <v>1134</v>
      </c>
      <c r="D1946" t="s">
        <v>1138</v>
      </c>
      <c r="E1946" t="s">
        <v>1144</v>
      </c>
      <c r="H1946" t="s">
        <v>1211</v>
      </c>
      <c r="I1946" t="s">
        <v>1211</v>
      </c>
      <c r="J1946" t="s">
        <v>1276</v>
      </c>
      <c r="K1946" t="s">
        <v>1212</v>
      </c>
      <c r="M1946" s="3">
        <f t="shared" si="120"/>
        <v>71.142857142857139</v>
      </c>
      <c r="N1946">
        <v>40</v>
      </c>
      <c r="O1946">
        <v>83</v>
      </c>
      <c r="P1946">
        <v>75</v>
      </c>
      <c r="Q1946">
        <v>80</v>
      </c>
      <c r="R1946">
        <v>84</v>
      </c>
      <c r="S1946">
        <v>85</v>
      </c>
      <c r="T1946">
        <v>51</v>
      </c>
      <c r="U1946">
        <v>12</v>
      </c>
      <c r="V1946" s="3">
        <f t="shared" si="121"/>
        <v>4982007</v>
      </c>
      <c r="W1946">
        <v>145548.33333333334</v>
      </c>
      <c r="X1946">
        <v>0</v>
      </c>
      <c r="Y1946">
        <f t="shared" si="122"/>
        <v>415167.25</v>
      </c>
      <c r="Z1946">
        <f t="shared" si="123"/>
        <v>-64.94</v>
      </c>
      <c r="AA1946">
        <v>0</v>
      </c>
    </row>
    <row r="1947" spans="1:27" x14ac:dyDescent="0.25">
      <c r="A1947" s="1">
        <v>1946</v>
      </c>
      <c r="B1947" t="s">
        <v>426</v>
      </c>
      <c r="C1947" t="s">
        <v>1134</v>
      </c>
      <c r="D1947" t="s">
        <v>1138</v>
      </c>
      <c r="G1947" t="s">
        <v>1211</v>
      </c>
      <c r="H1947" t="s">
        <v>1211</v>
      </c>
      <c r="I1947" t="s">
        <v>1211</v>
      </c>
      <c r="J1947" t="s">
        <v>1276</v>
      </c>
      <c r="K1947" t="s">
        <v>1212</v>
      </c>
      <c r="M1947" s="3">
        <f t="shared" si="120"/>
        <v>77.142857142857139</v>
      </c>
      <c r="N1947">
        <v>70</v>
      </c>
      <c r="O1947">
        <v>75</v>
      </c>
      <c r="P1947">
        <v>77</v>
      </c>
      <c r="Q1947">
        <v>82</v>
      </c>
      <c r="R1947">
        <v>80</v>
      </c>
      <c r="S1947">
        <v>83</v>
      </c>
      <c r="T1947">
        <v>73</v>
      </c>
      <c r="U1947">
        <v>0</v>
      </c>
      <c r="V1947" s="3">
        <f t="shared" si="121"/>
        <v>7463752</v>
      </c>
      <c r="W1947">
        <v>621979.33333333337</v>
      </c>
      <c r="X1947">
        <v>0</v>
      </c>
      <c r="Y1947">
        <f t="shared" si="122"/>
        <v>621979.33333333337</v>
      </c>
      <c r="Z1947">
        <f t="shared" si="123"/>
        <v>0</v>
      </c>
      <c r="AA1947">
        <v>0</v>
      </c>
    </row>
    <row r="1948" spans="1:27" x14ac:dyDescent="0.25">
      <c r="A1948" s="1">
        <v>1947</v>
      </c>
      <c r="B1948" t="s">
        <v>425</v>
      </c>
      <c r="C1948" t="s">
        <v>1134</v>
      </c>
      <c r="D1948" t="s">
        <v>1138</v>
      </c>
      <c r="G1948" t="s">
        <v>1211</v>
      </c>
      <c r="H1948" t="s">
        <v>1211</v>
      </c>
      <c r="I1948" t="s">
        <v>1211</v>
      </c>
      <c r="J1948" t="s">
        <v>1276</v>
      </c>
      <c r="K1948" t="s">
        <v>1212</v>
      </c>
      <c r="M1948" s="3">
        <f t="shared" si="120"/>
        <v>75.428571428571431</v>
      </c>
      <c r="N1948">
        <v>60</v>
      </c>
      <c r="O1948">
        <v>72</v>
      </c>
      <c r="P1948">
        <v>75</v>
      </c>
      <c r="Q1948">
        <v>80</v>
      </c>
      <c r="R1948">
        <v>82</v>
      </c>
      <c r="S1948">
        <v>89</v>
      </c>
      <c r="T1948">
        <v>70</v>
      </c>
      <c r="U1948">
        <v>0</v>
      </c>
      <c r="V1948" s="3">
        <f t="shared" si="121"/>
        <v>5961545</v>
      </c>
      <c r="W1948">
        <v>496795.41666666669</v>
      </c>
      <c r="X1948">
        <v>0</v>
      </c>
      <c r="Y1948">
        <f t="shared" si="122"/>
        <v>496795.41666666669</v>
      </c>
      <c r="Z1948">
        <f t="shared" si="123"/>
        <v>0</v>
      </c>
      <c r="AA1948">
        <v>0</v>
      </c>
    </row>
    <row r="1949" spans="1:27" x14ac:dyDescent="0.25">
      <c r="A1949" s="1">
        <v>1948</v>
      </c>
      <c r="B1949" t="s">
        <v>428</v>
      </c>
      <c r="C1949" t="s">
        <v>1134</v>
      </c>
      <c r="D1949" t="s">
        <v>1138</v>
      </c>
      <c r="E1949" t="s">
        <v>1140</v>
      </c>
      <c r="G1949" t="s">
        <v>1211</v>
      </c>
      <c r="H1949" t="s">
        <v>1211</v>
      </c>
      <c r="I1949" t="s">
        <v>1211</v>
      </c>
      <c r="J1949" t="s">
        <v>1276</v>
      </c>
      <c r="K1949" t="s">
        <v>1212</v>
      </c>
      <c r="M1949" s="3">
        <f t="shared" si="120"/>
        <v>83.857142857142861</v>
      </c>
      <c r="N1949">
        <v>74</v>
      </c>
      <c r="O1949">
        <v>78</v>
      </c>
      <c r="P1949">
        <v>85</v>
      </c>
      <c r="Q1949">
        <v>85</v>
      </c>
      <c r="R1949">
        <v>85</v>
      </c>
      <c r="S1949">
        <v>94</v>
      </c>
      <c r="T1949">
        <v>86</v>
      </c>
      <c r="U1949">
        <v>18</v>
      </c>
      <c r="V1949" s="3">
        <f t="shared" si="121"/>
        <v>25792407</v>
      </c>
      <c r="W1949">
        <v>2149367.25</v>
      </c>
      <c r="X1949">
        <v>0</v>
      </c>
      <c r="Y1949">
        <f t="shared" si="122"/>
        <v>2149367.25</v>
      </c>
      <c r="Z1949">
        <f t="shared" si="123"/>
        <v>0</v>
      </c>
      <c r="AA1949">
        <v>0</v>
      </c>
    </row>
    <row r="1950" spans="1:27" x14ac:dyDescent="0.25">
      <c r="A1950" s="1">
        <v>1949</v>
      </c>
      <c r="B1950" t="s">
        <v>1649</v>
      </c>
      <c r="C1950" t="s">
        <v>1134</v>
      </c>
      <c r="D1950" t="s">
        <v>1138</v>
      </c>
      <c r="E1950" t="s">
        <v>1140</v>
      </c>
      <c r="H1950" t="s">
        <v>1211</v>
      </c>
      <c r="I1950" t="s">
        <v>1211</v>
      </c>
      <c r="J1950" t="s">
        <v>1276</v>
      </c>
      <c r="K1950" t="s">
        <v>1212</v>
      </c>
      <c r="M1950" s="3">
        <f t="shared" si="120"/>
        <v>72.428571428571431</v>
      </c>
      <c r="N1950">
        <v>34</v>
      </c>
      <c r="O1950">
        <v>86</v>
      </c>
      <c r="P1950">
        <v>70</v>
      </c>
      <c r="Q1950">
        <v>84</v>
      </c>
      <c r="R1950">
        <v>88</v>
      </c>
      <c r="S1950">
        <v>88</v>
      </c>
      <c r="T1950">
        <v>57</v>
      </c>
      <c r="U1950">
        <v>0</v>
      </c>
      <c r="V1950" s="3">
        <f t="shared" si="121"/>
        <v>3972823</v>
      </c>
      <c r="W1950">
        <v>331068.58333333331</v>
      </c>
      <c r="X1950">
        <v>0</v>
      </c>
      <c r="Y1950">
        <f t="shared" si="122"/>
        <v>331068.58333333331</v>
      </c>
      <c r="Z1950">
        <f t="shared" si="123"/>
        <v>0</v>
      </c>
      <c r="AA1950">
        <v>0</v>
      </c>
    </row>
    <row r="1951" spans="1:27" x14ac:dyDescent="0.25">
      <c r="A1951" s="1">
        <v>1950</v>
      </c>
      <c r="B1951" t="s">
        <v>625</v>
      </c>
      <c r="C1951" t="s">
        <v>1135</v>
      </c>
      <c r="D1951" t="s">
        <v>1141</v>
      </c>
      <c r="E1951" t="s">
        <v>1145</v>
      </c>
      <c r="G1951" t="s">
        <v>1211</v>
      </c>
      <c r="H1951" t="s">
        <v>1211</v>
      </c>
      <c r="I1951" t="s">
        <v>1211</v>
      </c>
      <c r="J1951" t="s">
        <v>1276</v>
      </c>
      <c r="K1951" t="s">
        <v>1212</v>
      </c>
      <c r="M1951" s="3">
        <f t="shared" si="120"/>
        <v>87</v>
      </c>
      <c r="N1951">
        <v>80</v>
      </c>
      <c r="O1951">
        <v>89</v>
      </c>
      <c r="P1951">
        <v>92</v>
      </c>
      <c r="Q1951">
        <v>86</v>
      </c>
      <c r="R1951">
        <v>84</v>
      </c>
      <c r="S1951">
        <v>90</v>
      </c>
      <c r="T1951">
        <v>88</v>
      </c>
      <c r="U1951">
        <v>7</v>
      </c>
      <c r="V1951" s="3">
        <f t="shared" si="121"/>
        <v>37263513</v>
      </c>
      <c r="W1951">
        <v>3105292.75</v>
      </c>
      <c r="X1951">
        <v>0</v>
      </c>
      <c r="Y1951">
        <f t="shared" si="122"/>
        <v>3105292.75</v>
      </c>
      <c r="Z1951">
        <f t="shared" si="123"/>
        <v>0</v>
      </c>
      <c r="AA1951">
        <v>0</v>
      </c>
    </row>
    <row r="1952" spans="1:27" x14ac:dyDescent="0.25">
      <c r="A1952" s="1">
        <v>1951</v>
      </c>
      <c r="B1952" t="s">
        <v>626</v>
      </c>
      <c r="C1952" t="s">
        <v>1135</v>
      </c>
      <c r="D1952" t="s">
        <v>1142</v>
      </c>
      <c r="E1952" t="s">
        <v>1147</v>
      </c>
      <c r="G1952" t="s">
        <v>1211</v>
      </c>
      <c r="H1952" t="s">
        <v>1211</v>
      </c>
      <c r="I1952" t="s">
        <v>1211</v>
      </c>
      <c r="J1952" t="s">
        <v>1276</v>
      </c>
      <c r="K1952" t="s">
        <v>1212</v>
      </c>
      <c r="M1952" s="3">
        <f t="shared" si="120"/>
        <v>86.285714285714292</v>
      </c>
      <c r="N1952">
        <v>75</v>
      </c>
      <c r="O1952">
        <v>86</v>
      </c>
      <c r="P1952">
        <v>86</v>
      </c>
      <c r="Q1952">
        <v>88</v>
      </c>
      <c r="R1952">
        <v>89</v>
      </c>
      <c r="S1952">
        <v>91</v>
      </c>
      <c r="T1952">
        <v>89</v>
      </c>
      <c r="U1952">
        <v>19</v>
      </c>
      <c r="V1952" s="3">
        <f t="shared" si="121"/>
        <v>34314704</v>
      </c>
      <c r="W1952">
        <v>2859558.6666666665</v>
      </c>
      <c r="X1952">
        <v>0</v>
      </c>
      <c r="Y1952">
        <f t="shared" si="122"/>
        <v>2859558.6666666665</v>
      </c>
      <c r="Z1952">
        <f t="shared" si="123"/>
        <v>0</v>
      </c>
      <c r="AA1952">
        <v>0</v>
      </c>
    </row>
    <row r="1953" spans="1:27" x14ac:dyDescent="0.25">
      <c r="A1953" s="1">
        <v>1952</v>
      </c>
      <c r="B1953" t="s">
        <v>489</v>
      </c>
      <c r="C1953" t="s">
        <v>1135</v>
      </c>
      <c r="D1953" t="s">
        <v>1141</v>
      </c>
      <c r="E1953" t="s">
        <v>1142</v>
      </c>
      <c r="G1953" t="s">
        <v>1165</v>
      </c>
      <c r="H1953" t="s">
        <v>1165</v>
      </c>
      <c r="I1953" t="s">
        <v>1165</v>
      </c>
      <c r="J1953" t="s">
        <v>1276</v>
      </c>
      <c r="K1953" t="s">
        <v>1212</v>
      </c>
      <c r="M1953" s="3">
        <f t="shared" si="120"/>
        <v>83.142857142857139</v>
      </c>
      <c r="N1953">
        <v>78</v>
      </c>
      <c r="O1953">
        <v>86</v>
      </c>
      <c r="P1953">
        <v>88</v>
      </c>
      <c r="Q1953">
        <v>85</v>
      </c>
      <c r="R1953">
        <v>83</v>
      </c>
      <c r="S1953">
        <v>76</v>
      </c>
      <c r="T1953">
        <v>86</v>
      </c>
      <c r="U1953">
        <v>5</v>
      </c>
      <c r="V1953" s="3">
        <f t="shared" si="121"/>
        <v>23677765</v>
      </c>
      <c r="W1953">
        <v>1973147.0833333333</v>
      </c>
      <c r="X1953">
        <v>0</v>
      </c>
      <c r="Y1953">
        <f t="shared" si="122"/>
        <v>1973147.0833333333</v>
      </c>
      <c r="Z1953">
        <f t="shared" si="123"/>
        <v>0</v>
      </c>
      <c r="AA1953">
        <v>0</v>
      </c>
    </row>
    <row r="1954" spans="1:27" x14ac:dyDescent="0.25">
      <c r="A1954" s="1">
        <v>1953</v>
      </c>
      <c r="B1954" t="s">
        <v>1652</v>
      </c>
      <c r="C1954" t="s">
        <v>1135</v>
      </c>
      <c r="D1954" t="s">
        <v>1141</v>
      </c>
      <c r="E1954" t="s">
        <v>1142</v>
      </c>
      <c r="G1954" t="s">
        <v>1211</v>
      </c>
      <c r="H1954" t="s">
        <v>1211</v>
      </c>
      <c r="I1954" t="s">
        <v>1211</v>
      </c>
      <c r="J1954" t="s">
        <v>1276</v>
      </c>
      <c r="K1954" t="s">
        <v>1212</v>
      </c>
      <c r="M1954" s="3">
        <f t="shared" si="120"/>
        <v>71.142857142857139</v>
      </c>
      <c r="N1954">
        <v>39</v>
      </c>
      <c r="O1954">
        <v>82</v>
      </c>
      <c r="P1954">
        <v>84</v>
      </c>
      <c r="Q1954">
        <v>80</v>
      </c>
      <c r="R1954">
        <v>79</v>
      </c>
      <c r="S1954">
        <v>76</v>
      </c>
      <c r="T1954">
        <v>58</v>
      </c>
      <c r="U1954">
        <v>0</v>
      </c>
      <c r="V1954" s="3">
        <f t="shared" si="121"/>
        <v>3321338</v>
      </c>
      <c r="W1954">
        <v>276778.16666666669</v>
      </c>
      <c r="X1954">
        <v>0</v>
      </c>
      <c r="Y1954">
        <f t="shared" si="122"/>
        <v>276778.16666666669</v>
      </c>
      <c r="Z1954">
        <f t="shared" si="123"/>
        <v>0</v>
      </c>
      <c r="AA1954">
        <v>0</v>
      </c>
    </row>
    <row r="1955" spans="1:27" x14ac:dyDescent="0.25">
      <c r="A1955" s="1">
        <v>1954</v>
      </c>
      <c r="B1955" t="s">
        <v>2601</v>
      </c>
      <c r="C1955" t="s">
        <v>1135</v>
      </c>
      <c r="D1955" t="s">
        <v>1141</v>
      </c>
      <c r="E1955" t="s">
        <v>1145</v>
      </c>
      <c r="H1955" t="s">
        <v>1211</v>
      </c>
      <c r="I1955" t="s">
        <v>1211</v>
      </c>
      <c r="J1955" t="s">
        <v>1276</v>
      </c>
      <c r="K1955" t="s">
        <v>1212</v>
      </c>
      <c r="M1955" s="3">
        <f t="shared" si="120"/>
        <v>68.142857142857139</v>
      </c>
      <c r="N1955">
        <v>24</v>
      </c>
      <c r="O1955">
        <v>85</v>
      </c>
      <c r="P1955">
        <v>70</v>
      </c>
      <c r="Q1955">
        <v>82</v>
      </c>
      <c r="R1955">
        <v>78</v>
      </c>
      <c r="S1955">
        <v>84</v>
      </c>
      <c r="T1955">
        <v>54</v>
      </c>
      <c r="U1955">
        <v>0</v>
      </c>
      <c r="V1955" s="3">
        <f t="shared" si="121"/>
        <v>2158756</v>
      </c>
      <c r="W1955">
        <v>179896.33333333334</v>
      </c>
      <c r="X1955">
        <v>0</v>
      </c>
      <c r="Y1955">
        <f t="shared" si="122"/>
        <v>179896.33333333334</v>
      </c>
      <c r="Z1955">
        <f t="shared" si="123"/>
        <v>0</v>
      </c>
      <c r="AA1955">
        <v>0</v>
      </c>
    </row>
    <row r="1956" spans="1:27" x14ac:dyDescent="0.25">
      <c r="A1956" s="1">
        <v>1955</v>
      </c>
      <c r="B1956" t="s">
        <v>1654</v>
      </c>
      <c r="C1956" t="s">
        <v>1135</v>
      </c>
      <c r="D1956" t="s">
        <v>1142</v>
      </c>
      <c r="E1956" t="s">
        <v>1147</v>
      </c>
      <c r="G1956" t="s">
        <v>1211</v>
      </c>
      <c r="H1956" t="s">
        <v>1211</v>
      </c>
      <c r="I1956" t="s">
        <v>1211</v>
      </c>
      <c r="J1956" t="s">
        <v>1276</v>
      </c>
      <c r="K1956" t="s">
        <v>1212</v>
      </c>
      <c r="M1956" s="3">
        <f t="shared" si="120"/>
        <v>72.714285714285708</v>
      </c>
      <c r="N1956">
        <v>32</v>
      </c>
      <c r="O1956">
        <v>79</v>
      </c>
      <c r="P1956">
        <v>86</v>
      </c>
      <c r="Q1956">
        <v>84</v>
      </c>
      <c r="R1956">
        <v>84</v>
      </c>
      <c r="S1956">
        <v>88</v>
      </c>
      <c r="T1956">
        <v>56</v>
      </c>
      <c r="U1956">
        <v>0</v>
      </c>
      <c r="V1956" s="3">
        <f t="shared" si="121"/>
        <v>4132354</v>
      </c>
      <c r="W1956">
        <v>344362.83333333331</v>
      </c>
      <c r="X1956">
        <v>0</v>
      </c>
      <c r="Y1956">
        <f t="shared" si="122"/>
        <v>344362.83333333331</v>
      </c>
      <c r="Z1956">
        <f t="shared" si="123"/>
        <v>0</v>
      </c>
      <c r="AA1956">
        <v>0</v>
      </c>
    </row>
    <row r="1957" spans="1:27" x14ac:dyDescent="0.25">
      <c r="A1957" s="1">
        <v>1956</v>
      </c>
      <c r="B1957" t="s">
        <v>1021</v>
      </c>
      <c r="C1957" t="s">
        <v>1136</v>
      </c>
      <c r="D1957" t="s">
        <v>1144</v>
      </c>
      <c r="E1957" t="s">
        <v>1138</v>
      </c>
      <c r="G1957" t="s">
        <v>1211</v>
      </c>
      <c r="H1957" t="s">
        <v>1217</v>
      </c>
      <c r="I1957" t="s">
        <v>1217</v>
      </c>
      <c r="J1957" t="s">
        <v>1276</v>
      </c>
      <c r="K1957" t="s">
        <v>1212</v>
      </c>
      <c r="M1957" s="3">
        <f t="shared" si="120"/>
        <v>79.285714285714292</v>
      </c>
      <c r="N1957">
        <v>70</v>
      </c>
      <c r="O1957">
        <v>83</v>
      </c>
      <c r="P1957">
        <v>85</v>
      </c>
      <c r="Q1957">
        <v>78</v>
      </c>
      <c r="R1957">
        <v>84</v>
      </c>
      <c r="S1957">
        <v>90</v>
      </c>
      <c r="T1957">
        <v>65</v>
      </c>
      <c r="U1957">
        <v>26</v>
      </c>
      <c r="V1957" s="3">
        <f t="shared" si="121"/>
        <v>14724505</v>
      </c>
      <c r="W1957">
        <v>1227042.0833333333</v>
      </c>
      <c r="X1957">
        <v>0</v>
      </c>
      <c r="Y1957">
        <f t="shared" si="122"/>
        <v>1227042.0833333333</v>
      </c>
      <c r="Z1957">
        <f t="shared" si="123"/>
        <v>0</v>
      </c>
      <c r="AA1957">
        <v>0</v>
      </c>
    </row>
    <row r="1958" spans="1:27" x14ac:dyDescent="0.25">
      <c r="A1958" s="1">
        <v>1957</v>
      </c>
      <c r="B1958" t="s">
        <v>1655</v>
      </c>
      <c r="C1958" t="s">
        <v>1136</v>
      </c>
      <c r="D1958" t="s">
        <v>1144</v>
      </c>
      <c r="E1958" t="s">
        <v>1138</v>
      </c>
      <c r="H1958" t="s">
        <v>1211</v>
      </c>
      <c r="I1958" t="s">
        <v>1211</v>
      </c>
      <c r="J1958" t="s">
        <v>1276</v>
      </c>
      <c r="K1958" t="s">
        <v>1212</v>
      </c>
      <c r="M1958" s="3">
        <f t="shared" si="120"/>
        <v>67.285714285714292</v>
      </c>
      <c r="N1958">
        <v>21</v>
      </c>
      <c r="O1958">
        <v>84</v>
      </c>
      <c r="P1958">
        <v>59</v>
      </c>
      <c r="Q1958">
        <v>78</v>
      </c>
      <c r="R1958">
        <v>90</v>
      </c>
      <c r="S1958">
        <v>87</v>
      </c>
      <c r="T1958">
        <v>52</v>
      </c>
      <c r="U1958">
        <v>0</v>
      </c>
      <c r="V1958" s="3">
        <f t="shared" si="121"/>
        <v>1902080</v>
      </c>
      <c r="W1958">
        <v>158506.66666666666</v>
      </c>
      <c r="X1958">
        <v>0</v>
      </c>
      <c r="Y1958">
        <f t="shared" si="122"/>
        <v>158506.66666666666</v>
      </c>
      <c r="Z1958">
        <f t="shared" si="123"/>
        <v>0</v>
      </c>
      <c r="AA1958">
        <v>0</v>
      </c>
    </row>
    <row r="1959" spans="1:27" x14ac:dyDescent="0.25">
      <c r="A1959" s="1">
        <v>1958</v>
      </c>
      <c r="B1959" t="s">
        <v>1022</v>
      </c>
      <c r="C1959" t="s">
        <v>1136</v>
      </c>
      <c r="D1959" t="s">
        <v>1146</v>
      </c>
      <c r="E1959" t="s">
        <v>1147</v>
      </c>
      <c r="F1959" t="s">
        <v>1143</v>
      </c>
      <c r="G1959" t="s">
        <v>1211</v>
      </c>
      <c r="H1959" t="s">
        <v>1211</v>
      </c>
      <c r="I1959" t="s">
        <v>1211</v>
      </c>
      <c r="J1959" t="s">
        <v>1276</v>
      </c>
      <c r="K1959" t="s">
        <v>1212</v>
      </c>
      <c r="M1959" s="3">
        <f t="shared" si="120"/>
        <v>83.857142857142861</v>
      </c>
      <c r="N1959">
        <v>81</v>
      </c>
      <c r="O1959">
        <v>88</v>
      </c>
      <c r="P1959">
        <v>84</v>
      </c>
      <c r="Q1959">
        <v>84</v>
      </c>
      <c r="R1959">
        <v>84</v>
      </c>
      <c r="S1959">
        <v>83</v>
      </c>
      <c r="T1959">
        <v>83</v>
      </c>
      <c r="U1959">
        <v>23</v>
      </c>
      <c r="V1959" s="3">
        <f t="shared" si="121"/>
        <v>25792407</v>
      </c>
      <c r="W1959">
        <v>2149367.25</v>
      </c>
      <c r="X1959">
        <v>0</v>
      </c>
      <c r="Y1959">
        <f t="shared" si="122"/>
        <v>2149367.25</v>
      </c>
      <c r="Z1959">
        <f t="shared" si="123"/>
        <v>0</v>
      </c>
      <c r="AA1959">
        <v>0</v>
      </c>
    </row>
    <row r="1960" spans="1:27" x14ac:dyDescent="0.25">
      <c r="A1960" s="1">
        <v>1959</v>
      </c>
      <c r="B1960" t="s">
        <v>1023</v>
      </c>
      <c r="C1960" t="s">
        <v>1136</v>
      </c>
      <c r="D1960" t="s">
        <v>1144</v>
      </c>
      <c r="E1960" t="s">
        <v>1138</v>
      </c>
      <c r="F1960" t="s">
        <v>1143</v>
      </c>
      <c r="G1960" t="s">
        <v>1211</v>
      </c>
      <c r="H1960" t="s">
        <v>1211</v>
      </c>
      <c r="I1960" t="s">
        <v>1211</v>
      </c>
      <c r="J1960" t="s">
        <v>1276</v>
      </c>
      <c r="K1960" t="s">
        <v>1212</v>
      </c>
      <c r="M1960" s="3">
        <f t="shared" si="120"/>
        <v>86.571428571428569</v>
      </c>
      <c r="N1960">
        <v>80</v>
      </c>
      <c r="O1960">
        <v>84</v>
      </c>
      <c r="P1960">
        <v>90</v>
      </c>
      <c r="Q1960">
        <v>82</v>
      </c>
      <c r="R1960">
        <v>90</v>
      </c>
      <c r="S1960">
        <v>95</v>
      </c>
      <c r="T1960">
        <v>85</v>
      </c>
      <c r="U1960">
        <v>18</v>
      </c>
      <c r="V1960" s="3">
        <f t="shared" si="121"/>
        <v>35468033</v>
      </c>
      <c r="W1960">
        <v>2955669.4166666665</v>
      </c>
      <c r="X1960">
        <v>0</v>
      </c>
      <c r="Y1960">
        <f t="shared" si="122"/>
        <v>2955669.4166666665</v>
      </c>
      <c r="Z1960">
        <f t="shared" si="123"/>
        <v>0</v>
      </c>
      <c r="AA1960">
        <v>0</v>
      </c>
    </row>
    <row r="1961" spans="1:27" x14ac:dyDescent="0.25">
      <c r="A1961" s="1">
        <v>1960</v>
      </c>
      <c r="B1961" t="s">
        <v>2609</v>
      </c>
      <c r="C1961" t="s">
        <v>1136</v>
      </c>
      <c r="D1961" t="s">
        <v>1146</v>
      </c>
      <c r="E1961" t="s">
        <v>1147</v>
      </c>
      <c r="H1961" t="s">
        <v>1211</v>
      </c>
      <c r="I1961" t="s">
        <v>1211</v>
      </c>
      <c r="J1961" t="s">
        <v>1276</v>
      </c>
      <c r="K1961" t="s">
        <v>1212</v>
      </c>
      <c r="M1961" s="3">
        <f t="shared" si="120"/>
        <v>70.714285714285708</v>
      </c>
      <c r="N1961">
        <v>27</v>
      </c>
      <c r="O1961">
        <v>90</v>
      </c>
      <c r="P1961">
        <v>72</v>
      </c>
      <c r="Q1961">
        <v>83</v>
      </c>
      <c r="R1961">
        <v>83</v>
      </c>
      <c r="S1961">
        <v>84</v>
      </c>
      <c r="T1961">
        <v>56</v>
      </c>
      <c r="U1961">
        <v>0</v>
      </c>
      <c r="V1961" s="3">
        <f t="shared" si="121"/>
        <v>3126595</v>
      </c>
      <c r="W1961">
        <v>260549.58333333334</v>
      </c>
      <c r="X1961">
        <v>0</v>
      </c>
      <c r="Y1961">
        <f t="shared" si="122"/>
        <v>260549.58333333334</v>
      </c>
      <c r="Z1961">
        <f t="shared" si="123"/>
        <v>0</v>
      </c>
      <c r="AA1961">
        <v>0</v>
      </c>
    </row>
    <row r="1962" spans="1:27" x14ac:dyDescent="0.25">
      <c r="A1962" s="1">
        <v>1961</v>
      </c>
      <c r="B1962" t="s">
        <v>1024</v>
      </c>
      <c r="C1962" t="s">
        <v>1136</v>
      </c>
      <c r="D1962" t="s">
        <v>1143</v>
      </c>
      <c r="E1962" t="s">
        <v>1144</v>
      </c>
      <c r="G1962" t="s">
        <v>1211</v>
      </c>
      <c r="H1962" t="s">
        <v>1211</v>
      </c>
      <c r="I1962" t="s">
        <v>1211</v>
      </c>
      <c r="J1962" t="s">
        <v>1276</v>
      </c>
      <c r="K1962" t="s">
        <v>1212</v>
      </c>
      <c r="M1962" s="3">
        <f t="shared" si="120"/>
        <v>89.428571428571431</v>
      </c>
      <c r="N1962">
        <v>90</v>
      </c>
      <c r="O1962">
        <v>91</v>
      </c>
      <c r="P1962">
        <v>92</v>
      </c>
      <c r="Q1962">
        <v>88</v>
      </c>
      <c r="R1962">
        <v>85</v>
      </c>
      <c r="S1962">
        <v>86</v>
      </c>
      <c r="T1962">
        <v>94</v>
      </c>
      <c r="U1962">
        <v>17</v>
      </c>
      <c r="V1962" s="3">
        <f t="shared" si="121"/>
        <v>49074309</v>
      </c>
      <c r="W1962">
        <v>4089525.75</v>
      </c>
      <c r="X1962">
        <v>0</v>
      </c>
      <c r="Y1962">
        <f t="shared" si="122"/>
        <v>4089525.75</v>
      </c>
      <c r="Z1962">
        <f t="shared" si="123"/>
        <v>0</v>
      </c>
      <c r="AA1962">
        <v>0</v>
      </c>
    </row>
    <row r="1963" spans="1:27" x14ac:dyDescent="0.25">
      <c r="A1963" s="1">
        <v>1962</v>
      </c>
      <c r="B1963" t="s">
        <v>1657</v>
      </c>
      <c r="C1963" t="s">
        <v>1137</v>
      </c>
      <c r="D1963" t="s">
        <v>1137</v>
      </c>
      <c r="H1963" t="s">
        <v>1211</v>
      </c>
      <c r="I1963" t="s">
        <v>1211</v>
      </c>
      <c r="J1963" t="s">
        <v>1276</v>
      </c>
      <c r="K1963" t="s">
        <v>1212</v>
      </c>
      <c r="M1963" s="3">
        <f t="shared" si="120"/>
        <v>65.285714285714292</v>
      </c>
      <c r="N1963">
        <v>27</v>
      </c>
      <c r="O1963">
        <v>72</v>
      </c>
      <c r="P1963">
        <v>70</v>
      </c>
      <c r="Q1963">
        <v>78</v>
      </c>
      <c r="R1963">
        <v>76</v>
      </c>
      <c r="S1963">
        <v>80</v>
      </c>
      <c r="T1963">
        <v>54</v>
      </c>
      <c r="U1963">
        <v>0</v>
      </c>
      <c r="V1963" s="3">
        <f t="shared" si="121"/>
        <v>1406636</v>
      </c>
      <c r="W1963">
        <v>117219.66666666667</v>
      </c>
      <c r="X1963">
        <v>0</v>
      </c>
      <c r="Y1963">
        <f t="shared" si="122"/>
        <v>117219.66666666667</v>
      </c>
      <c r="Z1963">
        <f t="shared" si="123"/>
        <v>0</v>
      </c>
      <c r="AA1963">
        <v>0</v>
      </c>
    </row>
    <row r="1964" spans="1:27" x14ac:dyDescent="0.25">
      <c r="A1964" s="1">
        <v>1963</v>
      </c>
      <c r="B1964" t="s">
        <v>86</v>
      </c>
      <c r="C1964" t="s">
        <v>1133</v>
      </c>
      <c r="D1964" t="s">
        <v>1133</v>
      </c>
      <c r="G1964" t="s">
        <v>1194</v>
      </c>
      <c r="H1964" t="s">
        <v>1174</v>
      </c>
      <c r="I1964" t="s">
        <v>1174</v>
      </c>
      <c r="J1964" t="s">
        <v>1226</v>
      </c>
      <c r="K1964" t="s">
        <v>1212</v>
      </c>
      <c r="M1964" s="3">
        <f t="shared" si="120"/>
        <v>69.142857142857139</v>
      </c>
      <c r="N1964">
        <v>65</v>
      </c>
      <c r="O1964">
        <v>70</v>
      </c>
      <c r="P1964">
        <v>95</v>
      </c>
      <c r="Q1964">
        <v>23</v>
      </c>
      <c r="R1964">
        <v>86</v>
      </c>
      <c r="S1964">
        <v>77</v>
      </c>
      <c r="T1964">
        <v>68</v>
      </c>
      <c r="U1964">
        <v>0</v>
      </c>
      <c r="V1964" s="3">
        <f t="shared" si="121"/>
        <v>2497315</v>
      </c>
      <c r="W1964">
        <v>208109.58333333334</v>
      </c>
      <c r="X1964">
        <v>0</v>
      </c>
      <c r="Y1964">
        <f t="shared" si="122"/>
        <v>208109.58333333334</v>
      </c>
      <c r="Z1964">
        <f t="shared" si="123"/>
        <v>0</v>
      </c>
      <c r="AA1964">
        <v>0</v>
      </c>
    </row>
    <row r="1965" spans="1:27" x14ac:dyDescent="0.25">
      <c r="A1965" s="1">
        <v>1964</v>
      </c>
      <c r="B1965" t="s">
        <v>23</v>
      </c>
      <c r="C1965" t="s">
        <v>1133</v>
      </c>
      <c r="D1965" t="s">
        <v>1133</v>
      </c>
      <c r="G1965" t="s">
        <v>1150</v>
      </c>
      <c r="H1965" t="s">
        <v>1150</v>
      </c>
      <c r="I1965" t="s">
        <v>1150</v>
      </c>
      <c r="J1965" t="s">
        <v>1226</v>
      </c>
      <c r="K1965" t="s">
        <v>1212</v>
      </c>
      <c r="M1965" s="3">
        <f t="shared" si="120"/>
        <v>79.571428571428569</v>
      </c>
      <c r="N1965">
        <v>65</v>
      </c>
      <c r="O1965">
        <v>85</v>
      </c>
      <c r="P1965">
        <v>72</v>
      </c>
      <c r="Q1965">
        <v>75</v>
      </c>
      <c r="R1965">
        <v>94</v>
      </c>
      <c r="S1965">
        <v>94</v>
      </c>
      <c r="T1965">
        <v>72</v>
      </c>
      <c r="U1965">
        <v>29</v>
      </c>
      <c r="V1965" s="3">
        <f t="shared" si="121"/>
        <v>15263806</v>
      </c>
      <c r="W1965">
        <v>1271983.8333333333</v>
      </c>
      <c r="X1965">
        <v>0</v>
      </c>
      <c r="Y1965">
        <f t="shared" si="122"/>
        <v>1271983.8333333333</v>
      </c>
      <c r="Z1965">
        <f t="shared" si="123"/>
        <v>0</v>
      </c>
      <c r="AA1965">
        <v>0</v>
      </c>
    </row>
    <row r="1966" spans="1:27" x14ac:dyDescent="0.25">
      <c r="A1966" s="1">
        <v>1965</v>
      </c>
      <c r="B1966" t="s">
        <v>410</v>
      </c>
      <c r="C1966" t="s">
        <v>1134</v>
      </c>
      <c r="D1966" t="s">
        <v>1138</v>
      </c>
      <c r="G1966" t="s">
        <v>1207</v>
      </c>
      <c r="H1966" t="s">
        <v>1207</v>
      </c>
      <c r="I1966" t="s">
        <v>1207</v>
      </c>
      <c r="J1966" t="s">
        <v>1226</v>
      </c>
      <c r="K1966" t="s">
        <v>1212</v>
      </c>
      <c r="M1966" s="3">
        <f t="shared" si="120"/>
        <v>76.714285714285708</v>
      </c>
      <c r="N1966">
        <v>54</v>
      </c>
      <c r="O1966">
        <v>75</v>
      </c>
      <c r="P1966">
        <v>77</v>
      </c>
      <c r="Q1966">
        <v>85</v>
      </c>
      <c r="R1966">
        <v>84</v>
      </c>
      <c r="S1966">
        <v>84</v>
      </c>
      <c r="T1966">
        <v>78</v>
      </c>
      <c r="U1966">
        <v>0</v>
      </c>
      <c r="V1966" s="3">
        <f t="shared" si="121"/>
        <v>7059314</v>
      </c>
      <c r="W1966">
        <v>588276.16666666663</v>
      </c>
      <c r="X1966">
        <v>0</v>
      </c>
      <c r="Y1966">
        <f t="shared" si="122"/>
        <v>588276.16666666663</v>
      </c>
      <c r="Z1966">
        <f t="shared" si="123"/>
        <v>0</v>
      </c>
      <c r="AA1966">
        <v>0</v>
      </c>
    </row>
    <row r="1967" spans="1:27" x14ac:dyDescent="0.25">
      <c r="A1967" s="1">
        <v>1966</v>
      </c>
      <c r="B1967" t="s">
        <v>408</v>
      </c>
      <c r="C1967" t="s">
        <v>1134</v>
      </c>
      <c r="D1967" t="s">
        <v>1138</v>
      </c>
      <c r="E1967" t="s">
        <v>1139</v>
      </c>
      <c r="G1967" t="s">
        <v>1207</v>
      </c>
      <c r="H1967" t="s">
        <v>1207</v>
      </c>
      <c r="I1967" t="s">
        <v>1207</v>
      </c>
      <c r="J1967" t="s">
        <v>1226</v>
      </c>
      <c r="K1967" t="s">
        <v>1212</v>
      </c>
      <c r="M1967" s="3">
        <f t="shared" si="120"/>
        <v>68.714285714285708</v>
      </c>
      <c r="N1967">
        <v>45</v>
      </c>
      <c r="O1967">
        <v>68</v>
      </c>
      <c r="P1967">
        <v>73</v>
      </c>
      <c r="Q1967">
        <v>70</v>
      </c>
      <c r="R1967">
        <v>82</v>
      </c>
      <c r="S1967">
        <v>88</v>
      </c>
      <c r="T1967">
        <v>55</v>
      </c>
      <c r="U1967">
        <v>0</v>
      </c>
      <c r="V1967" s="3">
        <f t="shared" si="121"/>
        <v>2346770</v>
      </c>
      <c r="W1967">
        <v>195564.16666666666</v>
      </c>
      <c r="X1967">
        <v>0</v>
      </c>
      <c r="Y1967">
        <f t="shared" si="122"/>
        <v>195564.16666666666</v>
      </c>
      <c r="Z1967">
        <f t="shared" si="123"/>
        <v>0</v>
      </c>
      <c r="AA1967">
        <v>0</v>
      </c>
    </row>
    <row r="1968" spans="1:27" x14ac:dyDescent="0.25">
      <c r="A1968" s="1">
        <v>1967</v>
      </c>
      <c r="B1968" t="s">
        <v>406</v>
      </c>
      <c r="C1968" t="s">
        <v>1134</v>
      </c>
      <c r="D1968" t="s">
        <v>1138</v>
      </c>
      <c r="G1968" t="s">
        <v>1207</v>
      </c>
      <c r="H1968" t="s">
        <v>1207</v>
      </c>
      <c r="I1968" t="s">
        <v>1207</v>
      </c>
      <c r="J1968" t="s">
        <v>1226</v>
      </c>
      <c r="K1968" t="s">
        <v>1212</v>
      </c>
      <c r="M1968" s="3">
        <f t="shared" si="120"/>
        <v>72</v>
      </c>
      <c r="N1968">
        <v>52</v>
      </c>
      <c r="O1968">
        <v>70</v>
      </c>
      <c r="P1968">
        <v>71</v>
      </c>
      <c r="Q1968">
        <v>78</v>
      </c>
      <c r="R1968">
        <v>81</v>
      </c>
      <c r="S1968">
        <v>92</v>
      </c>
      <c r="T1968">
        <v>60</v>
      </c>
      <c r="U1968">
        <v>0</v>
      </c>
      <c r="V1968" s="3">
        <f t="shared" si="121"/>
        <v>3743907</v>
      </c>
      <c r="W1968">
        <v>311992.25</v>
      </c>
      <c r="X1968">
        <v>0</v>
      </c>
      <c r="Y1968">
        <f t="shared" si="122"/>
        <v>311992.25</v>
      </c>
      <c r="Z1968">
        <f t="shared" si="123"/>
        <v>0</v>
      </c>
      <c r="AA1968">
        <v>0</v>
      </c>
    </row>
    <row r="1969" spans="1:27" x14ac:dyDescent="0.25">
      <c r="A1969" s="1">
        <v>1968</v>
      </c>
      <c r="B1969" t="s">
        <v>407</v>
      </c>
      <c r="C1969" t="s">
        <v>1134</v>
      </c>
      <c r="D1969" t="s">
        <v>1138</v>
      </c>
      <c r="G1969" t="s">
        <v>1207</v>
      </c>
      <c r="H1969" t="s">
        <v>1207</v>
      </c>
      <c r="I1969" t="s">
        <v>1207</v>
      </c>
      <c r="J1969" t="s">
        <v>1226</v>
      </c>
      <c r="K1969" t="s">
        <v>1212</v>
      </c>
      <c r="M1969" s="3">
        <f t="shared" si="120"/>
        <v>68.285714285714292</v>
      </c>
      <c r="N1969">
        <v>48</v>
      </c>
      <c r="O1969">
        <v>69</v>
      </c>
      <c r="P1969">
        <v>74</v>
      </c>
      <c r="Q1969">
        <v>71</v>
      </c>
      <c r="R1969">
        <v>78</v>
      </c>
      <c r="S1969">
        <v>87</v>
      </c>
      <c r="T1969">
        <v>51</v>
      </c>
      <c r="U1969">
        <v>0</v>
      </c>
      <c r="V1969" s="3">
        <f t="shared" si="121"/>
        <v>2204442</v>
      </c>
      <c r="W1969">
        <v>183703.5</v>
      </c>
      <c r="X1969">
        <v>0</v>
      </c>
      <c r="Y1969">
        <f t="shared" si="122"/>
        <v>183703.5</v>
      </c>
      <c r="Z1969">
        <f t="shared" si="123"/>
        <v>0</v>
      </c>
      <c r="AA1969">
        <v>0</v>
      </c>
    </row>
    <row r="1970" spans="1:27" x14ac:dyDescent="0.25">
      <c r="A1970" s="1">
        <v>1969</v>
      </c>
      <c r="B1970" t="s">
        <v>405</v>
      </c>
      <c r="C1970" t="s">
        <v>1134</v>
      </c>
      <c r="D1970" t="s">
        <v>1138</v>
      </c>
      <c r="G1970" t="s">
        <v>1207</v>
      </c>
      <c r="H1970" t="s">
        <v>1207</v>
      </c>
      <c r="I1970" t="s">
        <v>1207</v>
      </c>
      <c r="J1970" t="s">
        <v>1226</v>
      </c>
      <c r="K1970" t="s">
        <v>1212</v>
      </c>
      <c r="M1970" s="3">
        <f t="shared" si="120"/>
        <v>73.571428571428569</v>
      </c>
      <c r="N1970">
        <v>51</v>
      </c>
      <c r="O1970">
        <v>71</v>
      </c>
      <c r="P1970">
        <v>75</v>
      </c>
      <c r="Q1970">
        <v>80</v>
      </c>
      <c r="R1970">
        <v>84</v>
      </c>
      <c r="S1970">
        <v>89</v>
      </c>
      <c r="T1970">
        <v>65</v>
      </c>
      <c r="U1970">
        <v>0</v>
      </c>
      <c r="V1970" s="3">
        <f t="shared" si="121"/>
        <v>4646136</v>
      </c>
      <c r="W1970">
        <v>387178</v>
      </c>
      <c r="X1970">
        <v>0</v>
      </c>
      <c r="Y1970">
        <f t="shared" si="122"/>
        <v>387178</v>
      </c>
      <c r="Z1970">
        <f t="shared" si="123"/>
        <v>0</v>
      </c>
      <c r="AA1970">
        <v>0</v>
      </c>
    </row>
    <row r="1971" spans="1:27" x14ac:dyDescent="0.25">
      <c r="A1971" s="1">
        <v>1970</v>
      </c>
      <c r="B1971" t="s">
        <v>409</v>
      </c>
      <c r="C1971" t="s">
        <v>1134</v>
      </c>
      <c r="D1971" t="s">
        <v>1140</v>
      </c>
      <c r="E1971" t="s">
        <v>1138</v>
      </c>
      <c r="G1971" t="s">
        <v>1207</v>
      </c>
      <c r="H1971" t="s">
        <v>1207</v>
      </c>
      <c r="I1971" t="s">
        <v>1207</v>
      </c>
      <c r="J1971" t="s">
        <v>1226</v>
      </c>
      <c r="K1971" t="s">
        <v>1212</v>
      </c>
      <c r="M1971" s="3">
        <f t="shared" si="120"/>
        <v>73.428571428571431</v>
      </c>
      <c r="N1971">
        <v>51</v>
      </c>
      <c r="O1971">
        <v>77</v>
      </c>
      <c r="P1971">
        <v>74</v>
      </c>
      <c r="Q1971">
        <v>78</v>
      </c>
      <c r="R1971">
        <v>79</v>
      </c>
      <c r="S1971">
        <v>75</v>
      </c>
      <c r="T1971">
        <v>80</v>
      </c>
      <c r="U1971">
        <v>0</v>
      </c>
      <c r="V1971" s="3">
        <f t="shared" si="121"/>
        <v>4556704</v>
      </c>
      <c r="W1971">
        <v>379725.33333333331</v>
      </c>
      <c r="X1971">
        <v>0</v>
      </c>
      <c r="Y1971">
        <f t="shared" si="122"/>
        <v>379725.33333333331</v>
      </c>
      <c r="Z1971">
        <f t="shared" si="123"/>
        <v>0</v>
      </c>
      <c r="AA1971">
        <v>0</v>
      </c>
    </row>
    <row r="1972" spans="1:27" x14ac:dyDescent="0.25">
      <c r="A1972" s="1">
        <v>1971</v>
      </c>
      <c r="B1972" t="s">
        <v>301</v>
      </c>
      <c r="C1972" t="s">
        <v>1134</v>
      </c>
      <c r="D1972" t="s">
        <v>1138</v>
      </c>
      <c r="G1972" t="s">
        <v>1185</v>
      </c>
      <c r="H1972" t="s">
        <v>1185</v>
      </c>
      <c r="I1972" t="s">
        <v>1185</v>
      </c>
      <c r="J1972" t="s">
        <v>1226</v>
      </c>
      <c r="K1972" t="s">
        <v>1212</v>
      </c>
      <c r="M1972" s="3">
        <f t="shared" si="120"/>
        <v>67</v>
      </c>
      <c r="N1972">
        <v>62</v>
      </c>
      <c r="O1972">
        <v>71</v>
      </c>
      <c r="P1972">
        <v>75</v>
      </c>
      <c r="Q1972">
        <v>69</v>
      </c>
      <c r="R1972">
        <v>74</v>
      </c>
      <c r="S1972">
        <v>78</v>
      </c>
      <c r="T1972">
        <v>40</v>
      </c>
      <c r="U1972">
        <v>0</v>
      </c>
      <c r="V1972" s="3">
        <f t="shared" si="121"/>
        <v>1822838</v>
      </c>
      <c r="W1972">
        <v>151903.16666666666</v>
      </c>
      <c r="X1972">
        <v>0</v>
      </c>
      <c r="Y1972">
        <f t="shared" si="122"/>
        <v>151903.16666666666</v>
      </c>
      <c r="Z1972">
        <f t="shared" si="123"/>
        <v>0</v>
      </c>
      <c r="AA1972">
        <v>0</v>
      </c>
    </row>
    <row r="1973" spans="1:27" x14ac:dyDescent="0.25">
      <c r="A1973" s="1">
        <v>1972</v>
      </c>
      <c r="B1973" t="s">
        <v>616</v>
      </c>
      <c r="C1973" t="s">
        <v>1135</v>
      </c>
      <c r="D1973" t="s">
        <v>1141</v>
      </c>
      <c r="E1973" t="s">
        <v>1142</v>
      </c>
      <c r="G1973" t="s">
        <v>1207</v>
      </c>
      <c r="H1973" t="s">
        <v>1207</v>
      </c>
      <c r="I1973" t="s">
        <v>1207</v>
      </c>
      <c r="J1973" t="s">
        <v>1226</v>
      </c>
      <c r="K1973" t="s">
        <v>1212</v>
      </c>
      <c r="M1973" s="3">
        <f t="shared" si="120"/>
        <v>74.285714285714292</v>
      </c>
      <c r="N1973">
        <v>46</v>
      </c>
      <c r="O1973">
        <v>80</v>
      </c>
      <c r="P1973">
        <v>85</v>
      </c>
      <c r="Q1973">
        <v>75</v>
      </c>
      <c r="R1973">
        <v>80</v>
      </c>
      <c r="S1973">
        <v>91</v>
      </c>
      <c r="T1973">
        <v>63</v>
      </c>
      <c r="U1973">
        <v>7</v>
      </c>
      <c r="V1973" s="3">
        <f t="shared" si="121"/>
        <v>7676165</v>
      </c>
      <c r="W1973">
        <v>387178</v>
      </c>
      <c r="X1973">
        <v>0</v>
      </c>
      <c r="Y1973">
        <f t="shared" si="122"/>
        <v>639680.41666666663</v>
      </c>
      <c r="Z1973">
        <f t="shared" si="123"/>
        <v>-39.47</v>
      </c>
      <c r="AA1973">
        <v>0</v>
      </c>
    </row>
    <row r="1974" spans="1:27" x14ac:dyDescent="0.25">
      <c r="A1974" s="1">
        <v>1973</v>
      </c>
      <c r="B1974" t="s">
        <v>517</v>
      </c>
      <c r="C1974" t="s">
        <v>1135</v>
      </c>
      <c r="D1974" t="s">
        <v>1142</v>
      </c>
      <c r="E1974" t="s">
        <v>1141</v>
      </c>
      <c r="G1974" t="s">
        <v>1174</v>
      </c>
      <c r="H1974" t="s">
        <v>1174</v>
      </c>
      <c r="I1974" t="s">
        <v>1174</v>
      </c>
      <c r="J1974" t="s">
        <v>1226</v>
      </c>
      <c r="K1974" t="s">
        <v>1212</v>
      </c>
      <c r="M1974" s="3">
        <f t="shared" si="120"/>
        <v>69.857142857142861</v>
      </c>
      <c r="N1974">
        <v>46</v>
      </c>
      <c r="O1974">
        <v>80</v>
      </c>
      <c r="P1974">
        <v>70</v>
      </c>
      <c r="Q1974">
        <v>75</v>
      </c>
      <c r="R1974">
        <v>73</v>
      </c>
      <c r="S1974">
        <v>79</v>
      </c>
      <c r="T1974">
        <v>66</v>
      </c>
      <c r="U1974">
        <v>0</v>
      </c>
      <c r="V1974" s="3">
        <f t="shared" si="121"/>
        <v>2767632</v>
      </c>
      <c r="W1974">
        <v>230636</v>
      </c>
      <c r="X1974">
        <v>0</v>
      </c>
      <c r="Y1974">
        <f t="shared" si="122"/>
        <v>230636</v>
      </c>
      <c r="Z1974">
        <f t="shared" si="123"/>
        <v>0</v>
      </c>
      <c r="AA1974">
        <v>0</v>
      </c>
    </row>
    <row r="1975" spans="1:27" x14ac:dyDescent="0.25">
      <c r="A1975" s="1">
        <v>1974</v>
      </c>
      <c r="B1975" t="s">
        <v>1001</v>
      </c>
      <c r="C1975" t="s">
        <v>1136</v>
      </c>
      <c r="D1975" t="s">
        <v>1143</v>
      </c>
      <c r="E1975" t="s">
        <v>1147</v>
      </c>
      <c r="G1975" t="s">
        <v>1207</v>
      </c>
      <c r="H1975" t="s">
        <v>1207</v>
      </c>
      <c r="I1975" t="s">
        <v>1207</v>
      </c>
      <c r="J1975" t="s">
        <v>1226</v>
      </c>
      <c r="K1975" t="s">
        <v>1212</v>
      </c>
      <c r="M1975" s="3">
        <f t="shared" si="120"/>
        <v>53.428571428571431</v>
      </c>
      <c r="N1975">
        <v>27</v>
      </c>
      <c r="O1975">
        <v>61</v>
      </c>
      <c r="P1975">
        <v>65</v>
      </c>
      <c r="Q1975">
        <v>54</v>
      </c>
      <c r="R1975">
        <v>50</v>
      </c>
      <c r="S1975">
        <v>62</v>
      </c>
      <c r="T1975">
        <v>55</v>
      </c>
      <c r="U1975">
        <v>0</v>
      </c>
      <c r="V1975" s="3">
        <f t="shared" si="121"/>
        <v>189556</v>
      </c>
      <c r="W1975">
        <v>15796.333333333334</v>
      </c>
      <c r="X1975">
        <v>0</v>
      </c>
      <c r="Y1975">
        <f t="shared" si="122"/>
        <v>15796.333333333334</v>
      </c>
      <c r="Z1975">
        <f t="shared" si="123"/>
        <v>0</v>
      </c>
      <c r="AA1975">
        <v>0</v>
      </c>
    </row>
    <row r="1976" spans="1:27" x14ac:dyDescent="0.25">
      <c r="A1976" s="1">
        <v>1975</v>
      </c>
      <c r="B1976" t="s">
        <v>1000</v>
      </c>
      <c r="C1976" t="s">
        <v>1136</v>
      </c>
      <c r="D1976" t="s">
        <v>1145</v>
      </c>
      <c r="E1976" t="s">
        <v>1143</v>
      </c>
      <c r="G1976" t="s">
        <v>1207</v>
      </c>
      <c r="H1976" t="s">
        <v>1207</v>
      </c>
      <c r="I1976" t="s">
        <v>1207</v>
      </c>
      <c r="J1976" t="s">
        <v>1226</v>
      </c>
      <c r="K1976" t="s">
        <v>1212</v>
      </c>
      <c r="M1976" s="3">
        <f t="shared" si="120"/>
        <v>83.428571428571431</v>
      </c>
      <c r="N1976">
        <v>75</v>
      </c>
      <c r="O1976">
        <v>83</v>
      </c>
      <c r="P1976">
        <v>93</v>
      </c>
      <c r="Q1976">
        <v>82</v>
      </c>
      <c r="R1976">
        <v>80</v>
      </c>
      <c r="S1976">
        <v>83</v>
      </c>
      <c r="T1976">
        <v>88</v>
      </c>
      <c r="U1976">
        <v>21</v>
      </c>
      <c r="V1976" s="3">
        <f t="shared" si="121"/>
        <v>24504133</v>
      </c>
      <c r="W1976">
        <v>2042011.0833333333</v>
      </c>
      <c r="X1976">
        <v>0</v>
      </c>
      <c r="Y1976">
        <f t="shared" si="122"/>
        <v>2042011.0833333333</v>
      </c>
      <c r="Z1976">
        <f t="shared" si="123"/>
        <v>0</v>
      </c>
      <c r="AA1976">
        <v>0</v>
      </c>
    </row>
    <row r="1977" spans="1:27" x14ac:dyDescent="0.25">
      <c r="A1977" s="1">
        <v>1976</v>
      </c>
      <c r="B1977" t="s">
        <v>1002</v>
      </c>
      <c r="C1977" t="s">
        <v>1136</v>
      </c>
      <c r="D1977" t="s">
        <v>1147</v>
      </c>
      <c r="E1977" t="s">
        <v>1145</v>
      </c>
      <c r="G1977" t="s">
        <v>1207</v>
      </c>
      <c r="H1977" t="s">
        <v>1207</v>
      </c>
      <c r="I1977" t="s">
        <v>1207</v>
      </c>
      <c r="J1977" t="s">
        <v>1226</v>
      </c>
      <c r="K1977" t="s">
        <v>1212</v>
      </c>
      <c r="M1977" s="3">
        <f t="shared" si="120"/>
        <v>72.285714285714292</v>
      </c>
      <c r="N1977">
        <v>50</v>
      </c>
      <c r="O1977">
        <v>90</v>
      </c>
      <c r="P1977">
        <v>73</v>
      </c>
      <c r="Q1977">
        <v>80</v>
      </c>
      <c r="R1977">
        <v>73</v>
      </c>
      <c r="S1977">
        <v>70</v>
      </c>
      <c r="T1977">
        <v>70</v>
      </c>
      <c r="U1977">
        <v>22</v>
      </c>
      <c r="V1977" s="3">
        <f t="shared" si="121"/>
        <v>5842733</v>
      </c>
      <c r="W1977">
        <v>486894.41666666669</v>
      </c>
      <c r="X1977">
        <v>0</v>
      </c>
      <c r="Y1977">
        <f t="shared" si="122"/>
        <v>486894.41666666669</v>
      </c>
      <c r="Z1977">
        <f t="shared" si="123"/>
        <v>0</v>
      </c>
      <c r="AA1977">
        <v>0</v>
      </c>
    </row>
    <row r="1978" spans="1:27" x14ac:dyDescent="0.25">
      <c r="A1978" s="1">
        <v>1977</v>
      </c>
      <c r="B1978" t="s">
        <v>999</v>
      </c>
      <c r="C1978" t="s">
        <v>1136</v>
      </c>
      <c r="D1978" t="s">
        <v>1146</v>
      </c>
      <c r="E1978" t="s">
        <v>1143</v>
      </c>
      <c r="G1978" t="s">
        <v>1207</v>
      </c>
      <c r="H1978" t="s">
        <v>1185</v>
      </c>
      <c r="I1978" t="s">
        <v>1185</v>
      </c>
      <c r="J1978" t="s">
        <v>1226</v>
      </c>
      <c r="K1978" t="s">
        <v>1212</v>
      </c>
      <c r="M1978" s="3">
        <f t="shared" si="120"/>
        <v>52.714285714285715</v>
      </c>
      <c r="N1978">
        <v>27</v>
      </c>
      <c r="O1978">
        <v>74</v>
      </c>
      <c r="P1978">
        <v>55</v>
      </c>
      <c r="Q1978">
        <v>60</v>
      </c>
      <c r="R1978">
        <v>50</v>
      </c>
      <c r="S1978">
        <v>50</v>
      </c>
      <c r="T1978">
        <v>53</v>
      </c>
      <c r="U1978">
        <v>0</v>
      </c>
      <c r="V1978" s="3">
        <f t="shared" si="121"/>
        <v>165686</v>
      </c>
      <c r="W1978">
        <v>13807.166666666666</v>
      </c>
      <c r="X1978">
        <v>0</v>
      </c>
      <c r="Y1978">
        <f t="shared" si="122"/>
        <v>13807.166666666666</v>
      </c>
      <c r="Z1978">
        <f t="shared" si="123"/>
        <v>0</v>
      </c>
      <c r="AA1978">
        <v>0</v>
      </c>
    </row>
    <row r="1979" spans="1:27" x14ac:dyDescent="0.25">
      <c r="A1979" s="1">
        <v>1978</v>
      </c>
      <c r="B1979" t="s">
        <v>645</v>
      </c>
      <c r="C1979" t="s">
        <v>1136</v>
      </c>
      <c r="D1979" t="s">
        <v>1143</v>
      </c>
      <c r="E1979" t="s">
        <v>1147</v>
      </c>
      <c r="G1979" t="s">
        <v>1150</v>
      </c>
      <c r="H1979" t="s">
        <v>1150</v>
      </c>
      <c r="I1979" t="s">
        <v>1150</v>
      </c>
      <c r="J1979" t="s">
        <v>1226</v>
      </c>
      <c r="K1979" t="s">
        <v>1212</v>
      </c>
      <c r="M1979" s="3">
        <f t="shared" si="120"/>
        <v>81.285714285714292</v>
      </c>
      <c r="N1979">
        <v>53</v>
      </c>
      <c r="O1979">
        <v>80</v>
      </c>
      <c r="P1979">
        <v>90</v>
      </c>
      <c r="Q1979">
        <v>83</v>
      </c>
      <c r="R1979">
        <v>90</v>
      </c>
      <c r="S1979">
        <v>93</v>
      </c>
      <c r="T1979">
        <v>80</v>
      </c>
      <c r="U1979">
        <v>18</v>
      </c>
      <c r="V1979" s="3">
        <f t="shared" si="121"/>
        <v>18890069</v>
      </c>
      <c r="W1979">
        <v>1574172.4166666667</v>
      </c>
      <c r="X1979">
        <v>0</v>
      </c>
      <c r="Y1979">
        <f t="shared" si="122"/>
        <v>1574172.4166666667</v>
      </c>
      <c r="Z1979">
        <f t="shared" si="123"/>
        <v>0</v>
      </c>
      <c r="AA1979">
        <v>0</v>
      </c>
    </row>
    <row r="1980" spans="1:27" x14ac:dyDescent="0.25">
      <c r="A1980" s="1">
        <v>1979</v>
      </c>
      <c r="B1980" t="s">
        <v>918</v>
      </c>
      <c r="C1980" t="s">
        <v>1136</v>
      </c>
      <c r="D1980" t="s">
        <v>1146</v>
      </c>
      <c r="E1980" t="s">
        <v>1144</v>
      </c>
      <c r="G1980" t="s">
        <v>1194</v>
      </c>
      <c r="H1980" t="s">
        <v>1207</v>
      </c>
      <c r="I1980" t="s">
        <v>1207</v>
      </c>
      <c r="J1980" t="s">
        <v>1226</v>
      </c>
      <c r="K1980" t="s">
        <v>1212</v>
      </c>
      <c r="M1980" s="3">
        <f t="shared" si="120"/>
        <v>73.142857142857139</v>
      </c>
      <c r="N1980">
        <v>60</v>
      </c>
      <c r="O1980">
        <v>85</v>
      </c>
      <c r="P1980">
        <v>80</v>
      </c>
      <c r="Q1980">
        <v>79</v>
      </c>
      <c r="R1980">
        <v>85</v>
      </c>
      <c r="S1980">
        <v>73</v>
      </c>
      <c r="T1980">
        <v>50</v>
      </c>
      <c r="U1980">
        <v>0</v>
      </c>
      <c r="V1980" s="3">
        <f t="shared" si="121"/>
        <v>4382473</v>
      </c>
      <c r="W1980">
        <v>365206.08333333331</v>
      </c>
      <c r="X1980">
        <v>0</v>
      </c>
      <c r="Y1980">
        <f t="shared" si="122"/>
        <v>365206.08333333331</v>
      </c>
      <c r="Z1980">
        <f t="shared" si="123"/>
        <v>0</v>
      </c>
      <c r="AA1980">
        <v>0</v>
      </c>
    </row>
    <row r="1981" spans="1:27" x14ac:dyDescent="0.25">
      <c r="A1981" s="1">
        <v>1980</v>
      </c>
      <c r="B1981" t="s">
        <v>1053</v>
      </c>
      <c r="C1981" t="s">
        <v>1137</v>
      </c>
      <c r="D1981" t="s">
        <v>1137</v>
      </c>
      <c r="H1981" t="s">
        <v>1176</v>
      </c>
      <c r="I1981" t="s">
        <v>1176</v>
      </c>
      <c r="J1981" t="s">
        <v>1226</v>
      </c>
      <c r="K1981" t="s">
        <v>1212</v>
      </c>
      <c r="M1981" s="3">
        <f t="shared" si="120"/>
        <v>88.857142857142861</v>
      </c>
      <c r="N1981">
        <v>85</v>
      </c>
      <c r="O1981">
        <v>80</v>
      </c>
      <c r="P1981">
        <v>94</v>
      </c>
      <c r="Q1981">
        <v>96</v>
      </c>
      <c r="R1981">
        <v>95</v>
      </c>
      <c r="S1981">
        <v>89</v>
      </c>
      <c r="T1981">
        <v>83</v>
      </c>
      <c r="U1981">
        <v>0</v>
      </c>
      <c r="V1981" s="3">
        <f t="shared" si="121"/>
        <v>30684811</v>
      </c>
      <c r="W1981">
        <v>2557067.5833333335</v>
      </c>
      <c r="X1981">
        <v>0</v>
      </c>
      <c r="Y1981">
        <f t="shared" si="122"/>
        <v>2557067.5833333335</v>
      </c>
      <c r="Z1981">
        <f t="shared" si="123"/>
        <v>0</v>
      </c>
      <c r="AA1981">
        <v>0</v>
      </c>
    </row>
    <row r="1982" spans="1:27" x14ac:dyDescent="0.25">
      <c r="A1982" s="1">
        <v>1981</v>
      </c>
      <c r="B1982" t="s">
        <v>2560</v>
      </c>
      <c r="C1982" t="s">
        <v>1133</v>
      </c>
      <c r="D1982" t="s">
        <v>1133</v>
      </c>
      <c r="H1982" t="s">
        <v>1168</v>
      </c>
      <c r="I1982" t="s">
        <v>1168</v>
      </c>
      <c r="J1982" t="s">
        <v>2678</v>
      </c>
      <c r="K1982" t="s">
        <v>1212</v>
      </c>
      <c r="M1982" s="3">
        <f t="shared" si="120"/>
        <v>61.142857142857146</v>
      </c>
      <c r="N1982">
        <v>12</v>
      </c>
      <c r="O1982">
        <v>78</v>
      </c>
      <c r="P1982">
        <v>70</v>
      </c>
      <c r="Q1982">
        <v>76</v>
      </c>
      <c r="R1982">
        <v>78</v>
      </c>
      <c r="S1982">
        <v>80</v>
      </c>
      <c r="T1982">
        <v>34</v>
      </c>
      <c r="U1982">
        <v>0</v>
      </c>
      <c r="V1982" s="3">
        <f t="shared" si="121"/>
        <v>730226</v>
      </c>
      <c r="W1982">
        <v>60852.166666666664</v>
      </c>
      <c r="X1982">
        <v>0</v>
      </c>
      <c r="Y1982">
        <f t="shared" si="122"/>
        <v>60852.166666666664</v>
      </c>
      <c r="Z1982">
        <f t="shared" si="123"/>
        <v>0</v>
      </c>
      <c r="AA1982">
        <v>0</v>
      </c>
    </row>
    <row r="1983" spans="1:27" x14ac:dyDescent="0.25">
      <c r="A1983" s="1">
        <v>1982</v>
      </c>
      <c r="B1983" t="s">
        <v>50</v>
      </c>
      <c r="C1983" t="s">
        <v>1133</v>
      </c>
      <c r="D1983" t="s">
        <v>1133</v>
      </c>
      <c r="G1983" t="s">
        <v>1168</v>
      </c>
      <c r="H1983" t="s">
        <v>1168</v>
      </c>
      <c r="I1983" t="s">
        <v>1168</v>
      </c>
      <c r="J1983" t="s">
        <v>2678</v>
      </c>
      <c r="K1983" t="s">
        <v>1212</v>
      </c>
      <c r="M1983" s="3">
        <f t="shared" si="120"/>
        <v>74.142857142857139</v>
      </c>
      <c r="N1983">
        <v>56</v>
      </c>
      <c r="O1983">
        <v>80</v>
      </c>
      <c r="P1983">
        <v>67</v>
      </c>
      <c r="Q1983">
        <v>79</v>
      </c>
      <c r="R1983">
        <v>78</v>
      </c>
      <c r="S1983">
        <v>90</v>
      </c>
      <c r="T1983">
        <v>69</v>
      </c>
      <c r="U1983">
        <v>29</v>
      </c>
      <c r="V1983" s="3">
        <f t="shared" si="121"/>
        <v>7529818</v>
      </c>
      <c r="W1983">
        <v>627484.83333333337</v>
      </c>
      <c r="X1983">
        <v>0</v>
      </c>
      <c r="Y1983">
        <f t="shared" si="122"/>
        <v>627484.83333333337</v>
      </c>
      <c r="Z1983">
        <f t="shared" si="123"/>
        <v>0</v>
      </c>
      <c r="AA1983">
        <v>0</v>
      </c>
    </row>
    <row r="1984" spans="1:27" x14ac:dyDescent="0.25">
      <c r="A1984" s="1">
        <v>1983</v>
      </c>
      <c r="B1984" t="s">
        <v>2190</v>
      </c>
      <c r="C1984" t="s">
        <v>1134</v>
      </c>
      <c r="D1984" t="s">
        <v>1140</v>
      </c>
      <c r="E1984" t="s">
        <v>1138</v>
      </c>
      <c r="H1984" t="s">
        <v>1168</v>
      </c>
      <c r="I1984" t="s">
        <v>1168</v>
      </c>
      <c r="J1984" t="s">
        <v>2678</v>
      </c>
      <c r="K1984" t="s">
        <v>1212</v>
      </c>
      <c r="M1984" s="3">
        <f t="shared" si="120"/>
        <v>68</v>
      </c>
      <c r="N1984">
        <v>38</v>
      </c>
      <c r="O1984">
        <v>80</v>
      </c>
      <c r="P1984">
        <v>66</v>
      </c>
      <c r="Q1984">
        <v>72</v>
      </c>
      <c r="R1984">
        <v>85</v>
      </c>
      <c r="S1984">
        <v>84</v>
      </c>
      <c r="T1984">
        <v>51</v>
      </c>
      <c r="U1984">
        <v>0</v>
      </c>
      <c r="V1984" s="3">
        <f t="shared" si="121"/>
        <v>2113923</v>
      </c>
      <c r="W1984">
        <v>176160.25</v>
      </c>
      <c r="X1984">
        <v>0</v>
      </c>
      <c r="Y1984">
        <f t="shared" si="122"/>
        <v>176160.25</v>
      </c>
      <c r="Z1984">
        <f t="shared" si="123"/>
        <v>0</v>
      </c>
      <c r="AA1984">
        <v>0</v>
      </c>
    </row>
    <row r="1985" spans="1:27" x14ac:dyDescent="0.25">
      <c r="A1985" s="1">
        <v>1984</v>
      </c>
      <c r="B1985" t="s">
        <v>2617</v>
      </c>
      <c r="C1985" t="s">
        <v>1134</v>
      </c>
      <c r="D1985" t="s">
        <v>1138</v>
      </c>
      <c r="E1985" t="s">
        <v>1144</v>
      </c>
      <c r="H1985" t="s">
        <v>1168</v>
      </c>
      <c r="I1985" t="s">
        <v>1168</v>
      </c>
      <c r="J1985" t="s">
        <v>2678</v>
      </c>
      <c r="K1985" t="s">
        <v>1212</v>
      </c>
      <c r="M1985" s="3">
        <f t="shared" si="120"/>
        <v>55.571428571428569</v>
      </c>
      <c r="N1985">
        <v>8</v>
      </c>
      <c r="O1985">
        <v>72</v>
      </c>
      <c r="P1985">
        <v>65</v>
      </c>
      <c r="Q1985">
        <v>70</v>
      </c>
      <c r="R1985">
        <v>72</v>
      </c>
      <c r="S1985">
        <v>74</v>
      </c>
      <c r="T1985">
        <v>28</v>
      </c>
      <c r="U1985">
        <v>0</v>
      </c>
      <c r="V1985" s="3">
        <f t="shared" si="121"/>
        <v>280877</v>
      </c>
      <c r="W1985">
        <v>23406.416666666668</v>
      </c>
      <c r="X1985">
        <v>0</v>
      </c>
      <c r="Y1985">
        <f t="shared" si="122"/>
        <v>23406.416666666668</v>
      </c>
      <c r="Z1985">
        <f t="shared" si="123"/>
        <v>0</v>
      </c>
      <c r="AA1985">
        <v>0</v>
      </c>
    </row>
    <row r="1986" spans="1:27" x14ac:dyDescent="0.25">
      <c r="A1986" s="1">
        <v>1985</v>
      </c>
      <c r="B1986" t="s">
        <v>2192</v>
      </c>
      <c r="C1986" t="s">
        <v>1134</v>
      </c>
      <c r="D1986" t="s">
        <v>1139</v>
      </c>
      <c r="E1986" t="s">
        <v>1138</v>
      </c>
      <c r="H1986" t="s">
        <v>1168</v>
      </c>
      <c r="I1986" t="s">
        <v>1168</v>
      </c>
      <c r="J1986" t="s">
        <v>2678</v>
      </c>
      <c r="K1986" t="s">
        <v>1212</v>
      </c>
      <c r="M1986" s="3">
        <f t="shared" ref="M1986:M2049" si="124">AVERAGE(N1986:T1986)</f>
        <v>59.428571428571431</v>
      </c>
      <c r="N1986">
        <v>11</v>
      </c>
      <c r="O1986">
        <v>76</v>
      </c>
      <c r="P1986">
        <v>68</v>
      </c>
      <c r="Q1986">
        <v>74</v>
      </c>
      <c r="R1986">
        <v>76</v>
      </c>
      <c r="S1986">
        <v>78</v>
      </c>
      <c r="T1986">
        <v>33</v>
      </c>
      <c r="U1986">
        <v>0</v>
      </c>
      <c r="V1986" s="3">
        <f t="shared" ref="V1986:V2049" si="125">ROUNDUP(M1986^10/1000000000000 * IF(U1986&gt;0,1.5,1),0)</f>
        <v>549482</v>
      </c>
      <c r="W1986">
        <v>45790.166666666664</v>
      </c>
      <c r="X1986">
        <v>0</v>
      </c>
      <c r="Y1986">
        <f t="shared" ref="Y1986:Y2049" si="126">V1986/12</f>
        <v>45790.166666666664</v>
      </c>
      <c r="Z1986">
        <f t="shared" ref="Z1986:Z2049" si="127">ROUND(((W1986-Y1986)/Y1986)*100,2)</f>
        <v>0</v>
      </c>
      <c r="AA1986">
        <v>0</v>
      </c>
    </row>
    <row r="1987" spans="1:27" x14ac:dyDescent="0.25">
      <c r="A1987" s="1">
        <v>1986</v>
      </c>
      <c r="B1987" t="s">
        <v>2596</v>
      </c>
      <c r="C1987" t="s">
        <v>1134</v>
      </c>
      <c r="D1987" t="s">
        <v>1138</v>
      </c>
      <c r="E1987" t="s">
        <v>1139</v>
      </c>
      <c r="H1987" t="s">
        <v>1168</v>
      </c>
      <c r="I1987" t="s">
        <v>1168</v>
      </c>
      <c r="J1987" t="s">
        <v>2678</v>
      </c>
      <c r="K1987" t="s">
        <v>1212</v>
      </c>
      <c r="M1987" s="3">
        <f t="shared" si="124"/>
        <v>63.714285714285715</v>
      </c>
      <c r="N1987">
        <v>14</v>
      </c>
      <c r="O1987">
        <v>82</v>
      </c>
      <c r="P1987">
        <v>74</v>
      </c>
      <c r="Q1987">
        <v>78</v>
      </c>
      <c r="R1987">
        <v>80</v>
      </c>
      <c r="S1987">
        <v>82</v>
      </c>
      <c r="T1987">
        <v>36</v>
      </c>
      <c r="U1987">
        <v>0</v>
      </c>
      <c r="V1987" s="3">
        <f t="shared" si="125"/>
        <v>1102474</v>
      </c>
      <c r="W1987">
        <v>91872.833333333328</v>
      </c>
      <c r="X1987">
        <v>0</v>
      </c>
      <c r="Y1987">
        <f t="shared" si="126"/>
        <v>91872.833333333328</v>
      </c>
      <c r="Z1987">
        <f t="shared" si="127"/>
        <v>0</v>
      </c>
      <c r="AA1987">
        <v>0</v>
      </c>
    </row>
    <row r="1988" spans="1:27" x14ac:dyDescent="0.25">
      <c r="A1988" s="1">
        <v>1987</v>
      </c>
      <c r="B1988" t="s">
        <v>2191</v>
      </c>
      <c r="C1988" t="s">
        <v>1134</v>
      </c>
      <c r="D1988" t="s">
        <v>1140</v>
      </c>
      <c r="E1988" t="s">
        <v>1139</v>
      </c>
      <c r="H1988" t="s">
        <v>1168</v>
      </c>
      <c r="I1988" t="s">
        <v>1168</v>
      </c>
      <c r="J1988" t="s">
        <v>2678</v>
      </c>
      <c r="K1988" t="s">
        <v>1212</v>
      </c>
      <c r="M1988" s="3">
        <f t="shared" si="124"/>
        <v>52.142857142857146</v>
      </c>
      <c r="N1988">
        <v>7</v>
      </c>
      <c r="O1988">
        <v>68</v>
      </c>
      <c r="P1988">
        <v>60</v>
      </c>
      <c r="Q1988">
        <v>66</v>
      </c>
      <c r="R1988">
        <v>68</v>
      </c>
      <c r="S1988">
        <v>70</v>
      </c>
      <c r="T1988">
        <v>26</v>
      </c>
      <c r="U1988">
        <v>0</v>
      </c>
      <c r="V1988" s="3">
        <f t="shared" si="125"/>
        <v>148576</v>
      </c>
      <c r="W1988">
        <v>12381.333333333334</v>
      </c>
      <c r="X1988">
        <v>0</v>
      </c>
      <c r="Y1988">
        <f t="shared" si="126"/>
        <v>12381.333333333334</v>
      </c>
      <c r="Z1988">
        <f t="shared" si="127"/>
        <v>0</v>
      </c>
      <c r="AA1988">
        <v>0</v>
      </c>
    </row>
    <row r="1989" spans="1:27" x14ac:dyDescent="0.25">
      <c r="A1989" s="1">
        <v>1988</v>
      </c>
      <c r="B1989" t="s">
        <v>2632</v>
      </c>
      <c r="C1989" t="s">
        <v>1135</v>
      </c>
      <c r="D1989" t="s">
        <v>1141</v>
      </c>
      <c r="E1989" t="s">
        <v>1142</v>
      </c>
      <c r="H1989" t="s">
        <v>1168</v>
      </c>
      <c r="I1989" t="s">
        <v>1168</v>
      </c>
      <c r="J1989" t="s">
        <v>2678</v>
      </c>
      <c r="K1989" t="s">
        <v>1212</v>
      </c>
      <c r="M1989" s="3">
        <f t="shared" si="124"/>
        <v>69</v>
      </c>
      <c r="N1989">
        <v>17</v>
      </c>
      <c r="O1989">
        <v>86</v>
      </c>
      <c r="P1989">
        <v>84</v>
      </c>
      <c r="Q1989">
        <v>82</v>
      </c>
      <c r="R1989">
        <v>84</v>
      </c>
      <c r="S1989">
        <v>86</v>
      </c>
      <c r="T1989">
        <v>44</v>
      </c>
      <c r="U1989">
        <v>0</v>
      </c>
      <c r="V1989" s="3">
        <f t="shared" si="125"/>
        <v>2446195</v>
      </c>
      <c r="W1989">
        <v>203849.58333333334</v>
      </c>
      <c r="X1989">
        <v>0</v>
      </c>
      <c r="Y1989">
        <f t="shared" si="126"/>
        <v>203849.58333333334</v>
      </c>
      <c r="Z1989">
        <f t="shared" si="127"/>
        <v>0</v>
      </c>
      <c r="AA1989">
        <v>0</v>
      </c>
    </row>
    <row r="1990" spans="1:27" x14ac:dyDescent="0.25">
      <c r="A1990" s="1">
        <v>1989</v>
      </c>
      <c r="B1990" t="s">
        <v>2612</v>
      </c>
      <c r="C1990" t="s">
        <v>1135</v>
      </c>
      <c r="D1990" t="s">
        <v>1142</v>
      </c>
      <c r="E1990" t="s">
        <v>1141</v>
      </c>
      <c r="H1990" t="s">
        <v>1168</v>
      </c>
      <c r="I1990" t="s">
        <v>1168</v>
      </c>
      <c r="J1990" t="s">
        <v>2678</v>
      </c>
      <c r="K1990" t="s">
        <v>1212</v>
      </c>
      <c r="M1990" s="3">
        <f t="shared" si="124"/>
        <v>64.285714285714292</v>
      </c>
      <c r="N1990">
        <v>14</v>
      </c>
      <c r="O1990">
        <v>82</v>
      </c>
      <c r="P1990">
        <v>76</v>
      </c>
      <c r="Q1990">
        <v>78</v>
      </c>
      <c r="R1990">
        <v>80</v>
      </c>
      <c r="S1990">
        <v>82</v>
      </c>
      <c r="T1990">
        <v>38</v>
      </c>
      <c r="U1990">
        <v>0</v>
      </c>
      <c r="V1990" s="3">
        <f t="shared" si="125"/>
        <v>1205438</v>
      </c>
      <c r="W1990">
        <v>100453.16666666667</v>
      </c>
      <c r="X1990">
        <v>0</v>
      </c>
      <c r="Y1990">
        <f t="shared" si="126"/>
        <v>100453.16666666667</v>
      </c>
      <c r="Z1990">
        <f t="shared" si="127"/>
        <v>0</v>
      </c>
      <c r="AA1990">
        <v>0</v>
      </c>
    </row>
    <row r="1991" spans="1:27" x14ac:dyDescent="0.25">
      <c r="A1991" s="1">
        <v>1990</v>
      </c>
      <c r="B1991" t="s">
        <v>2547</v>
      </c>
      <c r="C1991" t="s">
        <v>1136</v>
      </c>
      <c r="D1991" t="s">
        <v>1146</v>
      </c>
      <c r="E1991" t="s">
        <v>1143</v>
      </c>
      <c r="H1991" t="s">
        <v>1168</v>
      </c>
      <c r="I1991" t="s">
        <v>1168</v>
      </c>
      <c r="J1991" t="s">
        <v>2678</v>
      </c>
      <c r="K1991" t="s">
        <v>1212</v>
      </c>
      <c r="M1991" s="3">
        <f t="shared" si="124"/>
        <v>60.857142857142854</v>
      </c>
      <c r="N1991">
        <v>33</v>
      </c>
      <c r="O1991">
        <v>75</v>
      </c>
      <c r="P1991">
        <v>70</v>
      </c>
      <c r="Q1991">
        <v>70</v>
      </c>
      <c r="R1991">
        <v>70</v>
      </c>
      <c r="S1991">
        <v>68</v>
      </c>
      <c r="T1991">
        <v>40</v>
      </c>
      <c r="U1991">
        <v>0</v>
      </c>
      <c r="V1991" s="3">
        <f t="shared" si="125"/>
        <v>696812</v>
      </c>
      <c r="W1991">
        <v>58067.666666666664</v>
      </c>
      <c r="X1991">
        <v>0</v>
      </c>
      <c r="Y1991">
        <f t="shared" si="126"/>
        <v>58067.666666666664</v>
      </c>
      <c r="Z1991">
        <f t="shared" si="127"/>
        <v>0</v>
      </c>
      <c r="AA1991">
        <v>0</v>
      </c>
    </row>
    <row r="1992" spans="1:27" x14ac:dyDescent="0.25">
      <c r="A1992" s="1">
        <v>1991</v>
      </c>
      <c r="B1992" t="s">
        <v>2201</v>
      </c>
      <c r="C1992" t="s">
        <v>1136</v>
      </c>
      <c r="D1992" t="s">
        <v>1143</v>
      </c>
      <c r="E1992" t="s">
        <v>1144</v>
      </c>
      <c r="H1992" t="s">
        <v>1168</v>
      </c>
      <c r="I1992" t="s">
        <v>1168</v>
      </c>
      <c r="J1992" t="s">
        <v>2678</v>
      </c>
      <c r="K1992" t="s">
        <v>1212</v>
      </c>
      <c r="M1992" s="3">
        <f t="shared" si="124"/>
        <v>73</v>
      </c>
      <c r="N1992">
        <v>30</v>
      </c>
      <c r="O1992">
        <v>83</v>
      </c>
      <c r="P1992">
        <v>80</v>
      </c>
      <c r="Q1992">
        <v>86</v>
      </c>
      <c r="R1992">
        <v>75</v>
      </c>
      <c r="S1992">
        <v>77</v>
      </c>
      <c r="T1992">
        <v>80</v>
      </c>
      <c r="U1992">
        <v>0</v>
      </c>
      <c r="V1992" s="3">
        <f t="shared" si="125"/>
        <v>4297626</v>
      </c>
      <c r="W1992">
        <v>358135.5</v>
      </c>
      <c r="X1992">
        <v>0</v>
      </c>
      <c r="Y1992">
        <f t="shared" si="126"/>
        <v>358135.5</v>
      </c>
      <c r="Z1992">
        <f t="shared" si="127"/>
        <v>0</v>
      </c>
      <c r="AA1992">
        <v>0</v>
      </c>
    </row>
    <row r="1993" spans="1:27" x14ac:dyDescent="0.25">
      <c r="A1993" s="1">
        <v>1992</v>
      </c>
      <c r="B1993" t="s">
        <v>2197</v>
      </c>
      <c r="C1993" t="s">
        <v>1136</v>
      </c>
      <c r="D1993" t="s">
        <v>1145</v>
      </c>
      <c r="E1993" t="s">
        <v>1147</v>
      </c>
      <c r="H1993" t="s">
        <v>1168</v>
      </c>
      <c r="I1993" t="s">
        <v>1168</v>
      </c>
      <c r="J1993" t="s">
        <v>2678</v>
      </c>
      <c r="K1993" t="s">
        <v>1212</v>
      </c>
      <c r="M1993" s="3">
        <f t="shared" si="124"/>
        <v>56.571428571428569</v>
      </c>
      <c r="N1993">
        <v>9</v>
      </c>
      <c r="O1993">
        <v>73</v>
      </c>
      <c r="P1993">
        <v>65</v>
      </c>
      <c r="Q1993">
        <v>71</v>
      </c>
      <c r="R1993">
        <v>73</v>
      </c>
      <c r="S1993">
        <v>75</v>
      </c>
      <c r="T1993">
        <v>30</v>
      </c>
      <c r="U1993">
        <v>0</v>
      </c>
      <c r="V1993" s="3">
        <f t="shared" si="125"/>
        <v>335716</v>
      </c>
      <c r="W1993">
        <v>27976.333333333332</v>
      </c>
      <c r="X1993">
        <v>0</v>
      </c>
      <c r="Y1993">
        <f t="shared" si="126"/>
        <v>27976.333333333332</v>
      </c>
      <c r="Z1993">
        <f t="shared" si="127"/>
        <v>0</v>
      </c>
      <c r="AA1993">
        <v>0</v>
      </c>
    </row>
    <row r="1994" spans="1:27" x14ac:dyDescent="0.25">
      <c r="A1994" s="1">
        <v>1993</v>
      </c>
      <c r="B1994" t="s">
        <v>2195</v>
      </c>
      <c r="C1994" t="s">
        <v>1136</v>
      </c>
      <c r="D1994" t="s">
        <v>1143</v>
      </c>
      <c r="E1994" t="s">
        <v>1146</v>
      </c>
      <c r="H1994" t="s">
        <v>1168</v>
      </c>
      <c r="I1994" t="s">
        <v>1168</v>
      </c>
      <c r="J1994" t="s">
        <v>2678</v>
      </c>
      <c r="K1994" t="s">
        <v>1212</v>
      </c>
      <c r="M1994" s="3">
        <f t="shared" si="124"/>
        <v>53</v>
      </c>
      <c r="N1994">
        <v>7</v>
      </c>
      <c r="O1994">
        <v>69</v>
      </c>
      <c r="P1994">
        <v>61</v>
      </c>
      <c r="Q1994">
        <v>67</v>
      </c>
      <c r="R1994">
        <v>69</v>
      </c>
      <c r="S1994">
        <v>71</v>
      </c>
      <c r="T1994">
        <v>27</v>
      </c>
      <c r="U1994">
        <v>0</v>
      </c>
      <c r="V1994" s="3">
        <f t="shared" si="125"/>
        <v>174888</v>
      </c>
      <c r="W1994">
        <v>14574</v>
      </c>
      <c r="X1994">
        <v>0</v>
      </c>
      <c r="Y1994">
        <f t="shared" si="126"/>
        <v>14574</v>
      </c>
      <c r="Z1994">
        <f t="shared" si="127"/>
        <v>0</v>
      </c>
      <c r="AA1994">
        <v>0</v>
      </c>
    </row>
    <row r="1995" spans="1:27" x14ac:dyDescent="0.25">
      <c r="A1995" s="1">
        <v>1994</v>
      </c>
      <c r="B1995" t="s">
        <v>2198</v>
      </c>
      <c r="C1995" t="s">
        <v>1136</v>
      </c>
      <c r="D1995" t="s">
        <v>1146</v>
      </c>
      <c r="E1995" t="s">
        <v>1144</v>
      </c>
      <c r="H1995" t="s">
        <v>1168</v>
      </c>
      <c r="I1995" t="s">
        <v>1168</v>
      </c>
      <c r="J1995" t="s">
        <v>2678</v>
      </c>
      <c r="K1995" t="s">
        <v>1212</v>
      </c>
      <c r="M1995" s="3">
        <f t="shared" si="124"/>
        <v>59.285714285714285</v>
      </c>
      <c r="N1995">
        <v>10</v>
      </c>
      <c r="O1995">
        <v>76</v>
      </c>
      <c r="P1995">
        <v>68</v>
      </c>
      <c r="Q1995">
        <v>74</v>
      </c>
      <c r="R1995">
        <v>76</v>
      </c>
      <c r="S1995">
        <v>78</v>
      </c>
      <c r="T1995">
        <v>33</v>
      </c>
      <c r="U1995">
        <v>0</v>
      </c>
      <c r="V1995" s="3">
        <f t="shared" si="125"/>
        <v>536415</v>
      </c>
      <c r="W1995">
        <v>44701.25</v>
      </c>
      <c r="X1995">
        <v>0</v>
      </c>
      <c r="Y1995">
        <f t="shared" si="126"/>
        <v>44701.25</v>
      </c>
      <c r="Z1995">
        <f t="shared" si="127"/>
        <v>0</v>
      </c>
      <c r="AA1995">
        <v>0</v>
      </c>
    </row>
    <row r="1996" spans="1:27" x14ac:dyDescent="0.25">
      <c r="A1996" s="1">
        <v>1995</v>
      </c>
      <c r="B1996" t="s">
        <v>2196</v>
      </c>
      <c r="C1996" t="s">
        <v>1136</v>
      </c>
      <c r="D1996" t="s">
        <v>1145</v>
      </c>
      <c r="E1996" t="s">
        <v>1143</v>
      </c>
      <c r="H1996" t="s">
        <v>1168</v>
      </c>
      <c r="I1996" t="s">
        <v>1168</v>
      </c>
      <c r="J1996" t="s">
        <v>2678</v>
      </c>
      <c r="K1996" t="s">
        <v>1212</v>
      </c>
      <c r="M1996" s="3">
        <f t="shared" si="124"/>
        <v>62.714285714285715</v>
      </c>
      <c r="N1996">
        <v>12</v>
      </c>
      <c r="O1996">
        <v>80</v>
      </c>
      <c r="P1996">
        <v>72</v>
      </c>
      <c r="Q1996">
        <v>78</v>
      </c>
      <c r="R1996">
        <v>80</v>
      </c>
      <c r="S1996">
        <v>82</v>
      </c>
      <c r="T1996">
        <v>35</v>
      </c>
      <c r="U1996">
        <v>0</v>
      </c>
      <c r="V1996" s="3">
        <f t="shared" si="125"/>
        <v>941163</v>
      </c>
      <c r="W1996">
        <v>78430.25</v>
      </c>
      <c r="X1996">
        <v>0</v>
      </c>
      <c r="Y1996">
        <f t="shared" si="126"/>
        <v>78430.25</v>
      </c>
      <c r="Z1996">
        <f t="shared" si="127"/>
        <v>0</v>
      </c>
      <c r="AA1996">
        <v>0</v>
      </c>
    </row>
    <row r="1997" spans="1:27" x14ac:dyDescent="0.25">
      <c r="A1997" s="1">
        <v>1996</v>
      </c>
      <c r="B1997" t="s">
        <v>2194</v>
      </c>
      <c r="C1997" t="s">
        <v>1136</v>
      </c>
      <c r="D1997" t="s">
        <v>1144</v>
      </c>
      <c r="E1997" t="s">
        <v>1138</v>
      </c>
      <c r="H1997" t="s">
        <v>1168</v>
      </c>
      <c r="I1997" t="s">
        <v>1168</v>
      </c>
      <c r="J1997" t="s">
        <v>2678</v>
      </c>
      <c r="K1997" t="s">
        <v>1212</v>
      </c>
      <c r="M1997" s="3">
        <f t="shared" si="124"/>
        <v>65.571428571428569</v>
      </c>
      <c r="N1997">
        <v>15</v>
      </c>
      <c r="O1997">
        <v>84</v>
      </c>
      <c r="P1997">
        <v>76</v>
      </c>
      <c r="Q1997">
        <v>80</v>
      </c>
      <c r="R1997">
        <v>82</v>
      </c>
      <c r="S1997">
        <v>84</v>
      </c>
      <c r="T1997">
        <v>38</v>
      </c>
      <c r="U1997">
        <v>0</v>
      </c>
      <c r="V1997" s="3">
        <f t="shared" si="125"/>
        <v>1469422</v>
      </c>
      <c r="W1997">
        <v>122451.83333333333</v>
      </c>
      <c r="X1997">
        <v>0</v>
      </c>
      <c r="Y1997">
        <f t="shared" si="126"/>
        <v>122451.83333333333</v>
      </c>
      <c r="Z1997">
        <f t="shared" si="127"/>
        <v>0</v>
      </c>
      <c r="AA1997">
        <v>0</v>
      </c>
    </row>
    <row r="1998" spans="1:27" x14ac:dyDescent="0.25">
      <c r="A1998" s="1">
        <v>1997</v>
      </c>
      <c r="B1998" t="s">
        <v>2193</v>
      </c>
      <c r="C1998" t="s">
        <v>1136</v>
      </c>
      <c r="D1998" t="s">
        <v>1144</v>
      </c>
      <c r="E1998" t="s">
        <v>1143</v>
      </c>
      <c r="H1998" t="s">
        <v>1168</v>
      </c>
      <c r="I1998" t="s">
        <v>1168</v>
      </c>
      <c r="J1998" t="s">
        <v>2678</v>
      </c>
      <c r="K1998" t="s">
        <v>1212</v>
      </c>
      <c r="M1998" s="3">
        <f t="shared" si="124"/>
        <v>55.142857142857146</v>
      </c>
      <c r="N1998">
        <v>8</v>
      </c>
      <c r="O1998">
        <v>70</v>
      </c>
      <c r="P1998">
        <v>63</v>
      </c>
      <c r="Q1998">
        <v>70</v>
      </c>
      <c r="R1998">
        <v>72</v>
      </c>
      <c r="S1998">
        <v>74</v>
      </c>
      <c r="T1998">
        <v>29</v>
      </c>
      <c r="U1998">
        <v>0</v>
      </c>
      <c r="V1998" s="3">
        <f t="shared" si="125"/>
        <v>259952</v>
      </c>
      <c r="W1998">
        <v>21662.666666666668</v>
      </c>
      <c r="X1998">
        <v>0</v>
      </c>
      <c r="Y1998">
        <f t="shared" si="126"/>
        <v>21662.666666666668</v>
      </c>
      <c r="Z1998">
        <f t="shared" si="127"/>
        <v>0</v>
      </c>
      <c r="AA1998">
        <v>0</v>
      </c>
    </row>
    <row r="1999" spans="1:27" x14ac:dyDescent="0.25">
      <c r="A1999" s="1">
        <v>1998</v>
      </c>
      <c r="B1999" t="s">
        <v>2199</v>
      </c>
      <c r="C1999" t="s">
        <v>1136</v>
      </c>
      <c r="D1999" t="s">
        <v>1147</v>
      </c>
      <c r="E1999" t="s">
        <v>1145</v>
      </c>
      <c r="H1999" t="s">
        <v>1168</v>
      </c>
      <c r="I1999" t="s">
        <v>1168</v>
      </c>
      <c r="J1999" t="s">
        <v>2678</v>
      </c>
      <c r="K1999" t="s">
        <v>1212</v>
      </c>
      <c r="M1999" s="3">
        <f t="shared" si="124"/>
        <v>70.857142857142861</v>
      </c>
      <c r="N1999">
        <v>18</v>
      </c>
      <c r="O1999">
        <v>88</v>
      </c>
      <c r="P1999">
        <v>86</v>
      </c>
      <c r="Q1999">
        <v>84</v>
      </c>
      <c r="R1999">
        <v>86</v>
      </c>
      <c r="S1999">
        <v>88</v>
      </c>
      <c r="T1999">
        <v>46</v>
      </c>
      <c r="U1999">
        <v>0</v>
      </c>
      <c r="V1999" s="3">
        <f t="shared" si="125"/>
        <v>3190336</v>
      </c>
      <c r="W1999">
        <v>265861.33333333331</v>
      </c>
      <c r="X1999">
        <v>0</v>
      </c>
      <c r="Y1999">
        <f t="shared" si="126"/>
        <v>265861.33333333331</v>
      </c>
      <c r="Z1999">
        <f t="shared" si="127"/>
        <v>0</v>
      </c>
      <c r="AA1999">
        <v>0</v>
      </c>
    </row>
    <row r="2000" spans="1:27" x14ac:dyDescent="0.25">
      <c r="A2000" s="1">
        <v>1999</v>
      </c>
      <c r="B2000" t="s">
        <v>2200</v>
      </c>
      <c r="C2000" t="s">
        <v>1136</v>
      </c>
      <c r="D2000" t="s">
        <v>1147</v>
      </c>
      <c r="E2000" t="s">
        <v>1146</v>
      </c>
      <c r="H2000" t="s">
        <v>1168</v>
      </c>
      <c r="I2000" t="s">
        <v>1168</v>
      </c>
      <c r="J2000" t="s">
        <v>2678</v>
      </c>
      <c r="K2000" t="s">
        <v>1212</v>
      </c>
      <c r="M2000" s="3">
        <f t="shared" si="124"/>
        <v>67.714285714285708</v>
      </c>
      <c r="N2000">
        <v>28</v>
      </c>
      <c r="O2000">
        <v>88</v>
      </c>
      <c r="P2000">
        <v>78</v>
      </c>
      <c r="Q2000">
        <v>80</v>
      </c>
      <c r="R2000">
        <v>72</v>
      </c>
      <c r="S2000">
        <v>74</v>
      </c>
      <c r="T2000">
        <v>54</v>
      </c>
      <c r="U2000">
        <v>23</v>
      </c>
      <c r="V2000" s="3">
        <f t="shared" si="125"/>
        <v>3040145</v>
      </c>
      <c r="W2000">
        <v>253345.41666666666</v>
      </c>
      <c r="X2000">
        <v>0</v>
      </c>
      <c r="Y2000">
        <f t="shared" si="126"/>
        <v>253345.41666666666</v>
      </c>
      <c r="Z2000">
        <f t="shared" si="127"/>
        <v>0</v>
      </c>
      <c r="AA2000">
        <v>0</v>
      </c>
    </row>
    <row r="2001" spans="1:27" x14ac:dyDescent="0.25">
      <c r="A2001" s="1">
        <v>2000</v>
      </c>
      <c r="B2001" t="s">
        <v>2189</v>
      </c>
      <c r="C2001" t="s">
        <v>1137</v>
      </c>
      <c r="D2001" t="s">
        <v>1137</v>
      </c>
      <c r="H2001" t="s">
        <v>1168</v>
      </c>
      <c r="I2001" t="s">
        <v>1168</v>
      </c>
      <c r="J2001" t="s">
        <v>2678</v>
      </c>
      <c r="K2001" t="s">
        <v>1212</v>
      </c>
      <c r="M2001" s="3">
        <f t="shared" si="124"/>
        <v>58.285714285714285</v>
      </c>
      <c r="N2001">
        <v>10</v>
      </c>
      <c r="O2001">
        <v>75</v>
      </c>
      <c r="P2001">
        <v>67</v>
      </c>
      <c r="Q2001">
        <v>73</v>
      </c>
      <c r="R2001">
        <v>75</v>
      </c>
      <c r="S2001">
        <v>77</v>
      </c>
      <c r="T2001">
        <v>31</v>
      </c>
      <c r="U2001">
        <v>0</v>
      </c>
      <c r="V2001" s="3">
        <f t="shared" si="125"/>
        <v>452503</v>
      </c>
      <c r="W2001">
        <v>37708.583333333336</v>
      </c>
      <c r="X2001">
        <v>0</v>
      </c>
      <c r="Y2001">
        <f t="shared" si="126"/>
        <v>37708.583333333336</v>
      </c>
      <c r="Z2001">
        <f t="shared" si="127"/>
        <v>0</v>
      </c>
      <c r="AA2001">
        <v>0</v>
      </c>
    </row>
    <row r="2002" spans="1:27" x14ac:dyDescent="0.25">
      <c r="A2002" s="1">
        <v>2001</v>
      </c>
      <c r="B2002" t="s">
        <v>29</v>
      </c>
      <c r="C2002" t="s">
        <v>1133</v>
      </c>
      <c r="D2002" t="s">
        <v>1133</v>
      </c>
      <c r="G2002" t="s">
        <v>1153</v>
      </c>
      <c r="H2002" t="s">
        <v>1153</v>
      </c>
      <c r="I2002" t="s">
        <v>1153</v>
      </c>
      <c r="J2002" t="s">
        <v>1341</v>
      </c>
      <c r="K2002" t="s">
        <v>1212</v>
      </c>
      <c r="M2002" s="3">
        <f t="shared" si="124"/>
        <v>96.285714285714292</v>
      </c>
      <c r="N2002">
        <v>95</v>
      </c>
      <c r="O2002">
        <v>95</v>
      </c>
      <c r="P2002">
        <v>95</v>
      </c>
      <c r="Q2002">
        <v>98</v>
      </c>
      <c r="R2002">
        <v>97</v>
      </c>
      <c r="S2002">
        <v>98</v>
      </c>
      <c r="T2002">
        <v>96</v>
      </c>
      <c r="U2002">
        <v>30</v>
      </c>
      <c r="V2002" s="3">
        <f t="shared" si="125"/>
        <v>102732966</v>
      </c>
      <c r="W2002">
        <v>8561080.5</v>
      </c>
      <c r="X2002">
        <v>0</v>
      </c>
      <c r="Y2002">
        <f t="shared" si="126"/>
        <v>8561080.5</v>
      </c>
      <c r="Z2002">
        <f t="shared" si="127"/>
        <v>0</v>
      </c>
      <c r="AA2002">
        <v>0</v>
      </c>
    </row>
    <row r="2003" spans="1:27" x14ac:dyDescent="0.25">
      <c r="A2003" s="1">
        <v>2002</v>
      </c>
      <c r="B2003" t="s">
        <v>146</v>
      </c>
      <c r="C2003" t="s">
        <v>1134</v>
      </c>
      <c r="D2003" t="s">
        <v>1140</v>
      </c>
      <c r="E2003" t="s">
        <v>1138</v>
      </c>
      <c r="G2003" t="s">
        <v>1153</v>
      </c>
      <c r="H2003" t="s">
        <v>1153</v>
      </c>
      <c r="I2003" t="s">
        <v>1153</v>
      </c>
      <c r="J2003" t="s">
        <v>1341</v>
      </c>
      <c r="K2003" t="s">
        <v>1212</v>
      </c>
      <c r="M2003" s="3">
        <f t="shared" si="124"/>
        <v>93.714285714285708</v>
      </c>
      <c r="N2003">
        <v>93</v>
      </c>
      <c r="O2003">
        <v>98</v>
      </c>
      <c r="P2003">
        <v>90</v>
      </c>
      <c r="Q2003">
        <v>95</v>
      </c>
      <c r="R2003">
        <v>90</v>
      </c>
      <c r="S2003">
        <v>94</v>
      </c>
      <c r="T2003">
        <v>96</v>
      </c>
      <c r="U2003">
        <v>23</v>
      </c>
      <c r="V2003" s="3">
        <f t="shared" si="125"/>
        <v>78369893</v>
      </c>
      <c r="W2003">
        <v>6530824.416666667</v>
      </c>
      <c r="X2003">
        <v>0</v>
      </c>
      <c r="Y2003">
        <f t="shared" si="126"/>
        <v>6530824.416666667</v>
      </c>
      <c r="Z2003">
        <f t="shared" si="127"/>
        <v>0</v>
      </c>
      <c r="AA2003">
        <v>0</v>
      </c>
    </row>
    <row r="2004" spans="1:27" x14ac:dyDescent="0.25">
      <c r="A2004" s="1">
        <v>2003</v>
      </c>
      <c r="B2004" t="s">
        <v>145</v>
      </c>
      <c r="C2004" t="s">
        <v>1134</v>
      </c>
      <c r="D2004" t="s">
        <v>1138</v>
      </c>
      <c r="E2004" t="s">
        <v>1140</v>
      </c>
      <c r="G2004" t="s">
        <v>1153</v>
      </c>
      <c r="H2004" t="s">
        <v>1153</v>
      </c>
      <c r="I2004" t="s">
        <v>1153</v>
      </c>
      <c r="J2004" t="s">
        <v>1341</v>
      </c>
      <c r="K2004" t="s">
        <v>1212</v>
      </c>
      <c r="M2004" s="3">
        <f t="shared" si="124"/>
        <v>94.857142857142861</v>
      </c>
      <c r="N2004">
        <v>91</v>
      </c>
      <c r="O2004">
        <v>85</v>
      </c>
      <c r="P2004">
        <v>95</v>
      </c>
      <c r="Q2004">
        <v>98</v>
      </c>
      <c r="R2004">
        <v>99</v>
      </c>
      <c r="S2004">
        <v>99</v>
      </c>
      <c r="T2004">
        <v>97</v>
      </c>
      <c r="U2004">
        <v>26</v>
      </c>
      <c r="V2004" s="3">
        <f t="shared" si="125"/>
        <v>88469109</v>
      </c>
      <c r="W2004">
        <v>7372425.75</v>
      </c>
      <c r="X2004">
        <v>0</v>
      </c>
      <c r="Y2004">
        <f t="shared" si="126"/>
        <v>7372425.75</v>
      </c>
      <c r="Z2004">
        <f t="shared" si="127"/>
        <v>0</v>
      </c>
      <c r="AA2004">
        <v>0</v>
      </c>
    </row>
    <row r="2005" spans="1:27" x14ac:dyDescent="0.25">
      <c r="A2005" s="1">
        <v>2004</v>
      </c>
      <c r="B2005" t="s">
        <v>259</v>
      </c>
      <c r="C2005" t="s">
        <v>1134</v>
      </c>
      <c r="D2005" t="s">
        <v>1138</v>
      </c>
      <c r="E2005" t="s">
        <v>1139</v>
      </c>
      <c r="G2005" t="s">
        <v>1176</v>
      </c>
      <c r="H2005" t="s">
        <v>1176</v>
      </c>
      <c r="I2005" t="s">
        <v>1176</v>
      </c>
      <c r="J2005" t="s">
        <v>1341</v>
      </c>
      <c r="K2005" t="s">
        <v>1212</v>
      </c>
      <c r="M2005" s="3">
        <f t="shared" si="124"/>
        <v>91.428571428571431</v>
      </c>
      <c r="N2005">
        <v>90</v>
      </c>
      <c r="O2005">
        <v>85</v>
      </c>
      <c r="P2005">
        <v>92</v>
      </c>
      <c r="Q2005">
        <v>96</v>
      </c>
      <c r="R2005">
        <v>95</v>
      </c>
      <c r="S2005">
        <v>92</v>
      </c>
      <c r="T2005">
        <v>90</v>
      </c>
      <c r="U2005">
        <v>27</v>
      </c>
      <c r="V2005" s="3">
        <f t="shared" si="125"/>
        <v>61222435</v>
      </c>
      <c r="W2005">
        <v>5101869.583333333</v>
      </c>
      <c r="X2005">
        <v>0</v>
      </c>
      <c r="Y2005">
        <f t="shared" si="126"/>
        <v>5101869.583333333</v>
      </c>
      <c r="Z2005">
        <f t="shared" si="127"/>
        <v>0</v>
      </c>
      <c r="AA2005">
        <v>0</v>
      </c>
    </row>
    <row r="2006" spans="1:27" x14ac:dyDescent="0.25">
      <c r="A2006" s="1">
        <v>2005</v>
      </c>
      <c r="B2006" t="s">
        <v>1420</v>
      </c>
      <c r="C2006" t="s">
        <v>1134</v>
      </c>
      <c r="D2006" t="s">
        <v>1140</v>
      </c>
      <c r="E2006" t="s">
        <v>1138</v>
      </c>
      <c r="H2006" t="s">
        <v>1153</v>
      </c>
      <c r="I2006" t="s">
        <v>1153</v>
      </c>
      <c r="J2006" t="s">
        <v>1341</v>
      </c>
      <c r="K2006" t="s">
        <v>1212</v>
      </c>
      <c r="M2006" s="3">
        <f t="shared" si="124"/>
        <v>72.571428571428569</v>
      </c>
      <c r="N2006">
        <v>35</v>
      </c>
      <c r="O2006">
        <v>74</v>
      </c>
      <c r="P2006">
        <v>70</v>
      </c>
      <c r="Q2006">
        <v>80</v>
      </c>
      <c r="R2006">
        <v>90</v>
      </c>
      <c r="S2006">
        <v>88</v>
      </c>
      <c r="T2006">
        <v>71</v>
      </c>
      <c r="U2006">
        <v>0</v>
      </c>
      <c r="V2006" s="3">
        <f t="shared" si="125"/>
        <v>4051882</v>
      </c>
      <c r="W2006">
        <v>337656.83333333331</v>
      </c>
      <c r="X2006">
        <v>0</v>
      </c>
      <c r="Y2006">
        <f t="shared" si="126"/>
        <v>337656.83333333331</v>
      </c>
      <c r="Z2006">
        <f t="shared" si="127"/>
        <v>0</v>
      </c>
      <c r="AA2006">
        <v>0</v>
      </c>
    </row>
    <row r="2007" spans="1:27" x14ac:dyDescent="0.25">
      <c r="A2007" s="1">
        <v>2006</v>
      </c>
      <c r="B2007" t="s">
        <v>1421</v>
      </c>
      <c r="C2007" t="s">
        <v>1134</v>
      </c>
      <c r="D2007" t="s">
        <v>1139</v>
      </c>
      <c r="E2007" t="s">
        <v>1146</v>
      </c>
      <c r="F2007" t="s">
        <v>1138</v>
      </c>
      <c r="H2007" t="s">
        <v>1153</v>
      </c>
      <c r="I2007" t="s">
        <v>1153</v>
      </c>
      <c r="J2007" t="s">
        <v>1341</v>
      </c>
      <c r="K2007" t="s">
        <v>1212</v>
      </c>
      <c r="M2007" s="3">
        <f t="shared" si="124"/>
        <v>75.285714285714292</v>
      </c>
      <c r="N2007">
        <v>45</v>
      </c>
      <c r="O2007">
        <v>88</v>
      </c>
      <c r="P2007">
        <v>75</v>
      </c>
      <c r="Q2007">
        <v>83</v>
      </c>
      <c r="R2007">
        <v>78</v>
      </c>
      <c r="S2007">
        <v>87</v>
      </c>
      <c r="T2007">
        <v>71</v>
      </c>
      <c r="U2007">
        <v>23</v>
      </c>
      <c r="V2007" s="3">
        <f t="shared" si="125"/>
        <v>8774392</v>
      </c>
      <c r="W2007">
        <v>731199.33333333337</v>
      </c>
      <c r="X2007">
        <v>0</v>
      </c>
      <c r="Y2007">
        <f t="shared" si="126"/>
        <v>731199.33333333337</v>
      </c>
      <c r="Z2007">
        <f t="shared" si="127"/>
        <v>0</v>
      </c>
      <c r="AA2007">
        <v>0</v>
      </c>
    </row>
    <row r="2008" spans="1:27" x14ac:dyDescent="0.25">
      <c r="A2008" s="1">
        <v>2007</v>
      </c>
      <c r="B2008" t="s">
        <v>1422</v>
      </c>
      <c r="C2008" t="s">
        <v>1134</v>
      </c>
      <c r="D2008" t="s">
        <v>1140</v>
      </c>
      <c r="E2008" t="s">
        <v>1147</v>
      </c>
      <c r="F2008" t="s">
        <v>1138</v>
      </c>
      <c r="H2008" t="s">
        <v>1153</v>
      </c>
      <c r="I2008" t="s">
        <v>1153</v>
      </c>
      <c r="J2008" t="s">
        <v>1341</v>
      </c>
      <c r="K2008" t="s">
        <v>1212</v>
      </c>
      <c r="M2008" s="3">
        <f t="shared" si="124"/>
        <v>75.285714285714292</v>
      </c>
      <c r="N2008">
        <v>45</v>
      </c>
      <c r="O2008">
        <v>90</v>
      </c>
      <c r="P2008">
        <v>74</v>
      </c>
      <c r="Q2008">
        <v>86</v>
      </c>
      <c r="R2008">
        <v>74</v>
      </c>
      <c r="S2008">
        <v>87</v>
      </c>
      <c r="T2008">
        <v>71</v>
      </c>
      <c r="U2008">
        <v>23</v>
      </c>
      <c r="V2008" s="3">
        <f t="shared" si="125"/>
        <v>8774392</v>
      </c>
      <c r="W2008">
        <v>731199.33333333337</v>
      </c>
      <c r="X2008">
        <v>0</v>
      </c>
      <c r="Y2008">
        <f t="shared" si="126"/>
        <v>731199.33333333337</v>
      </c>
      <c r="Z2008">
        <f t="shared" si="127"/>
        <v>0</v>
      </c>
      <c r="AA2008">
        <v>0</v>
      </c>
    </row>
    <row r="2009" spans="1:27" x14ac:dyDescent="0.25">
      <c r="A2009" s="1">
        <v>2008</v>
      </c>
      <c r="B2009" t="s">
        <v>1419</v>
      </c>
      <c r="C2009" t="s">
        <v>1134</v>
      </c>
      <c r="D2009" t="s">
        <v>1138</v>
      </c>
      <c r="E2009" t="s">
        <v>1139</v>
      </c>
      <c r="H2009" t="s">
        <v>1153</v>
      </c>
      <c r="I2009" t="s">
        <v>1153</v>
      </c>
      <c r="J2009" t="s">
        <v>1341</v>
      </c>
      <c r="K2009" t="s">
        <v>1212</v>
      </c>
      <c r="M2009" s="3">
        <f t="shared" si="124"/>
        <v>73.142857142857139</v>
      </c>
      <c r="N2009">
        <v>40</v>
      </c>
      <c r="O2009">
        <v>82</v>
      </c>
      <c r="P2009">
        <v>70</v>
      </c>
      <c r="Q2009">
        <v>81</v>
      </c>
      <c r="R2009">
        <v>83</v>
      </c>
      <c r="S2009">
        <v>86</v>
      </c>
      <c r="T2009">
        <v>70</v>
      </c>
      <c r="U2009">
        <v>0</v>
      </c>
      <c r="V2009" s="3">
        <f t="shared" si="125"/>
        <v>4382473</v>
      </c>
      <c r="W2009">
        <v>365206.08333333331</v>
      </c>
      <c r="X2009">
        <v>0</v>
      </c>
      <c r="Y2009">
        <f t="shared" si="126"/>
        <v>365206.08333333331</v>
      </c>
      <c r="Z2009">
        <f t="shared" si="127"/>
        <v>0</v>
      </c>
      <c r="AA2009">
        <v>0</v>
      </c>
    </row>
    <row r="2010" spans="1:27" x14ac:dyDescent="0.25">
      <c r="A2010" s="1">
        <v>2009</v>
      </c>
      <c r="B2010" t="s">
        <v>276</v>
      </c>
      <c r="C2010" t="s">
        <v>1134</v>
      </c>
      <c r="D2010" t="s">
        <v>1138</v>
      </c>
      <c r="E2010" t="s">
        <v>1140</v>
      </c>
      <c r="F2010" t="s">
        <v>1144</v>
      </c>
      <c r="G2010" t="s">
        <v>1179</v>
      </c>
      <c r="H2010" t="s">
        <v>1179</v>
      </c>
      <c r="I2010" t="s">
        <v>1153</v>
      </c>
      <c r="J2010" t="s">
        <v>1341</v>
      </c>
      <c r="K2010" t="s">
        <v>1212</v>
      </c>
      <c r="M2010" s="3">
        <f t="shared" si="124"/>
        <v>91.857142857142861</v>
      </c>
      <c r="N2010">
        <v>90</v>
      </c>
      <c r="O2010">
        <v>85</v>
      </c>
      <c r="P2010">
        <v>89</v>
      </c>
      <c r="Q2010">
        <v>96</v>
      </c>
      <c r="R2010">
        <v>97</v>
      </c>
      <c r="S2010">
        <v>91</v>
      </c>
      <c r="T2010">
        <v>95</v>
      </c>
      <c r="U2010">
        <v>18</v>
      </c>
      <c r="V2010" s="3">
        <f t="shared" si="125"/>
        <v>64153535</v>
      </c>
      <c r="W2010">
        <v>5346127.916666667</v>
      </c>
      <c r="X2010">
        <v>0</v>
      </c>
      <c r="Y2010">
        <f t="shared" si="126"/>
        <v>5346127.916666667</v>
      </c>
      <c r="Z2010">
        <f t="shared" si="127"/>
        <v>0</v>
      </c>
      <c r="AA2010">
        <v>0</v>
      </c>
    </row>
    <row r="2011" spans="1:27" x14ac:dyDescent="0.25">
      <c r="A2011" s="1">
        <v>2010</v>
      </c>
      <c r="B2011" t="s">
        <v>480</v>
      </c>
      <c r="C2011" t="s">
        <v>1135</v>
      </c>
      <c r="D2011" t="s">
        <v>1142</v>
      </c>
      <c r="E2011" t="s">
        <v>1145</v>
      </c>
      <c r="G2011" t="s">
        <v>1162</v>
      </c>
      <c r="H2011" t="s">
        <v>1162</v>
      </c>
      <c r="I2011" t="s">
        <v>1162</v>
      </c>
      <c r="J2011" t="s">
        <v>1341</v>
      </c>
      <c r="K2011" t="s">
        <v>1212</v>
      </c>
      <c r="M2011" s="3">
        <f t="shared" si="124"/>
        <v>89.571428571428569</v>
      </c>
      <c r="N2011">
        <v>90</v>
      </c>
      <c r="O2011">
        <v>95</v>
      </c>
      <c r="P2011">
        <v>88</v>
      </c>
      <c r="Q2011">
        <v>94</v>
      </c>
      <c r="R2011">
        <v>86</v>
      </c>
      <c r="S2011">
        <v>80</v>
      </c>
      <c r="T2011">
        <v>94</v>
      </c>
      <c r="U2011">
        <v>4</v>
      </c>
      <c r="V2011" s="3">
        <f t="shared" si="125"/>
        <v>49863903</v>
      </c>
      <c r="W2011">
        <v>4155325.25</v>
      </c>
      <c r="X2011">
        <v>0</v>
      </c>
      <c r="Y2011">
        <f t="shared" si="126"/>
        <v>4155325.25</v>
      </c>
      <c r="Z2011">
        <f t="shared" si="127"/>
        <v>0</v>
      </c>
      <c r="AA2011">
        <v>0</v>
      </c>
    </row>
    <row r="2012" spans="1:27" x14ac:dyDescent="0.25">
      <c r="A2012" s="1">
        <v>2011</v>
      </c>
      <c r="B2012" t="s">
        <v>1423</v>
      </c>
      <c r="C2012" t="s">
        <v>1135</v>
      </c>
      <c r="D2012" t="s">
        <v>1142</v>
      </c>
      <c r="E2012" t="s">
        <v>1141</v>
      </c>
      <c r="H2012" t="s">
        <v>1153</v>
      </c>
      <c r="I2012" t="s">
        <v>1153</v>
      </c>
      <c r="J2012" t="s">
        <v>1341</v>
      </c>
      <c r="K2012" t="s">
        <v>1212</v>
      </c>
      <c r="M2012" s="3">
        <f t="shared" si="124"/>
        <v>75.142857142857139</v>
      </c>
      <c r="N2012">
        <v>35</v>
      </c>
      <c r="O2012">
        <v>84</v>
      </c>
      <c r="P2012">
        <v>81</v>
      </c>
      <c r="Q2012">
        <v>84</v>
      </c>
      <c r="R2012">
        <v>75</v>
      </c>
      <c r="S2012">
        <v>89</v>
      </c>
      <c r="T2012">
        <v>78</v>
      </c>
      <c r="U2012">
        <v>0</v>
      </c>
      <c r="V2012" s="3">
        <f t="shared" si="125"/>
        <v>5739540</v>
      </c>
      <c r="W2012">
        <v>478295</v>
      </c>
      <c r="X2012">
        <v>0</v>
      </c>
      <c r="Y2012">
        <f t="shared" si="126"/>
        <v>478295</v>
      </c>
      <c r="Z2012">
        <f t="shared" si="127"/>
        <v>0</v>
      </c>
      <c r="AA2012">
        <v>0</v>
      </c>
    </row>
    <row r="2013" spans="1:27" x14ac:dyDescent="0.25">
      <c r="A2013" s="1">
        <v>2012</v>
      </c>
      <c r="B2013" t="s">
        <v>451</v>
      </c>
      <c r="C2013" t="s">
        <v>1135</v>
      </c>
      <c r="D2013" t="s">
        <v>1142</v>
      </c>
      <c r="G2013" t="s">
        <v>1153</v>
      </c>
      <c r="H2013" t="s">
        <v>1214</v>
      </c>
      <c r="I2013" t="s">
        <v>1153</v>
      </c>
      <c r="J2013" t="s">
        <v>1341</v>
      </c>
      <c r="K2013" t="s">
        <v>1212</v>
      </c>
      <c r="M2013" s="3">
        <f t="shared" si="124"/>
        <v>92</v>
      </c>
      <c r="N2013">
        <v>95</v>
      </c>
      <c r="O2013">
        <v>89</v>
      </c>
      <c r="P2013">
        <v>94</v>
      </c>
      <c r="Q2013">
        <v>95</v>
      </c>
      <c r="R2013">
        <v>86</v>
      </c>
      <c r="S2013">
        <v>87</v>
      </c>
      <c r="T2013">
        <v>98</v>
      </c>
      <c r="U2013">
        <v>10</v>
      </c>
      <c r="V2013" s="3">
        <f t="shared" si="125"/>
        <v>65158269</v>
      </c>
      <c r="W2013">
        <v>5429855.75</v>
      </c>
      <c r="X2013">
        <v>0</v>
      </c>
      <c r="Y2013">
        <f t="shared" si="126"/>
        <v>5429855.75</v>
      </c>
      <c r="Z2013">
        <f t="shared" si="127"/>
        <v>0</v>
      </c>
      <c r="AA2013">
        <v>0</v>
      </c>
    </row>
    <row r="2014" spans="1:27" x14ac:dyDescent="0.25">
      <c r="A2014" s="1">
        <v>2013</v>
      </c>
      <c r="B2014" t="s">
        <v>1424</v>
      </c>
      <c r="C2014" t="s">
        <v>1135</v>
      </c>
      <c r="D2014" t="s">
        <v>1141</v>
      </c>
      <c r="H2014" t="s">
        <v>1153</v>
      </c>
      <c r="I2014" t="s">
        <v>1153</v>
      </c>
      <c r="J2014" t="s">
        <v>1341</v>
      </c>
      <c r="K2014" t="s">
        <v>1212</v>
      </c>
      <c r="M2014" s="3">
        <f t="shared" si="124"/>
        <v>76.857142857142861</v>
      </c>
      <c r="N2014">
        <v>42</v>
      </c>
      <c r="O2014">
        <v>75</v>
      </c>
      <c r="P2014">
        <v>88</v>
      </c>
      <c r="Q2014">
        <v>85</v>
      </c>
      <c r="R2014">
        <v>80</v>
      </c>
      <c r="S2014">
        <v>96</v>
      </c>
      <c r="T2014">
        <v>72</v>
      </c>
      <c r="U2014">
        <v>6</v>
      </c>
      <c r="V2014" s="3">
        <f t="shared" si="125"/>
        <v>10787819</v>
      </c>
      <c r="W2014">
        <v>898984.91666666663</v>
      </c>
      <c r="X2014">
        <v>0</v>
      </c>
      <c r="Y2014">
        <f t="shared" si="126"/>
        <v>898984.91666666663</v>
      </c>
      <c r="Z2014">
        <f t="shared" si="127"/>
        <v>0</v>
      </c>
      <c r="AA2014">
        <v>0</v>
      </c>
    </row>
    <row r="2015" spans="1:27" x14ac:dyDescent="0.25">
      <c r="A2015" s="1">
        <v>2014</v>
      </c>
      <c r="B2015" t="s">
        <v>808</v>
      </c>
      <c r="C2015" t="s">
        <v>1136</v>
      </c>
      <c r="D2015" t="s">
        <v>1145</v>
      </c>
      <c r="E2015" t="s">
        <v>1147</v>
      </c>
      <c r="F2015" t="s">
        <v>1143</v>
      </c>
      <c r="G2015" t="s">
        <v>1177</v>
      </c>
      <c r="H2015" t="s">
        <v>1153</v>
      </c>
      <c r="I2015" t="s">
        <v>1153</v>
      </c>
      <c r="J2015" t="s">
        <v>1341</v>
      </c>
      <c r="K2015" t="s">
        <v>1212</v>
      </c>
      <c r="M2015" s="3">
        <f t="shared" si="124"/>
        <v>88.714285714285708</v>
      </c>
      <c r="N2015">
        <v>85</v>
      </c>
      <c r="O2015">
        <v>85</v>
      </c>
      <c r="P2015">
        <v>100</v>
      </c>
      <c r="Q2015">
        <v>88</v>
      </c>
      <c r="R2015">
        <v>92</v>
      </c>
      <c r="S2015">
        <v>89</v>
      </c>
      <c r="T2015">
        <v>82</v>
      </c>
      <c r="U2015">
        <v>1</v>
      </c>
      <c r="V2015" s="3">
        <f t="shared" si="125"/>
        <v>45292560</v>
      </c>
      <c r="W2015">
        <v>3774380</v>
      </c>
      <c r="X2015">
        <v>0</v>
      </c>
      <c r="Y2015">
        <f t="shared" si="126"/>
        <v>3774380</v>
      </c>
      <c r="Z2015">
        <f t="shared" si="127"/>
        <v>0</v>
      </c>
      <c r="AA2015">
        <v>0</v>
      </c>
    </row>
    <row r="2016" spans="1:27" x14ac:dyDescent="0.25">
      <c r="A2016" s="1">
        <v>2015</v>
      </c>
      <c r="B2016" t="s">
        <v>703</v>
      </c>
      <c r="C2016" t="s">
        <v>1136</v>
      </c>
      <c r="D2016" t="s">
        <v>1145</v>
      </c>
      <c r="E2016" t="s">
        <v>1147</v>
      </c>
      <c r="F2016" t="s">
        <v>1146</v>
      </c>
      <c r="G2016" t="s">
        <v>1160</v>
      </c>
      <c r="H2016" t="s">
        <v>1160</v>
      </c>
      <c r="I2016" t="s">
        <v>1160</v>
      </c>
      <c r="J2016" t="s">
        <v>1341</v>
      </c>
      <c r="K2016" t="s">
        <v>1212</v>
      </c>
      <c r="M2016" s="3">
        <f t="shared" si="124"/>
        <v>92</v>
      </c>
      <c r="N2016">
        <v>93</v>
      </c>
      <c r="O2016">
        <v>85</v>
      </c>
      <c r="P2016">
        <v>99</v>
      </c>
      <c r="Q2016">
        <v>92</v>
      </c>
      <c r="R2016">
        <v>92</v>
      </c>
      <c r="S2016">
        <v>95</v>
      </c>
      <c r="T2016">
        <v>88</v>
      </c>
      <c r="U2016">
        <v>1</v>
      </c>
      <c r="V2016" s="3">
        <f t="shared" si="125"/>
        <v>65158269</v>
      </c>
      <c r="W2016">
        <v>5429855.75</v>
      </c>
      <c r="X2016">
        <v>0</v>
      </c>
      <c r="Y2016">
        <f t="shared" si="126"/>
        <v>5429855.75</v>
      </c>
      <c r="Z2016">
        <f t="shared" si="127"/>
        <v>0</v>
      </c>
      <c r="AA2016">
        <v>0</v>
      </c>
    </row>
    <row r="2017" spans="1:27" x14ac:dyDescent="0.25">
      <c r="A2017" s="1">
        <v>2016</v>
      </c>
      <c r="B2017" t="s">
        <v>666</v>
      </c>
      <c r="C2017" t="s">
        <v>1136</v>
      </c>
      <c r="D2017" t="s">
        <v>1145</v>
      </c>
      <c r="E2017" t="s">
        <v>1146</v>
      </c>
      <c r="F2017" t="s">
        <v>1141</v>
      </c>
      <c r="G2017" t="s">
        <v>1153</v>
      </c>
      <c r="H2017" t="s">
        <v>1153</v>
      </c>
      <c r="I2017" t="s">
        <v>1153</v>
      </c>
      <c r="J2017" t="s">
        <v>1341</v>
      </c>
      <c r="K2017" t="s">
        <v>1212</v>
      </c>
      <c r="M2017" s="3">
        <f t="shared" si="124"/>
        <v>91.857142857142861</v>
      </c>
      <c r="N2017">
        <v>88</v>
      </c>
      <c r="O2017">
        <v>89</v>
      </c>
      <c r="P2017">
        <v>95</v>
      </c>
      <c r="Q2017">
        <v>95</v>
      </c>
      <c r="R2017">
        <v>89</v>
      </c>
      <c r="S2017">
        <v>92</v>
      </c>
      <c r="T2017">
        <v>95</v>
      </c>
      <c r="U2017">
        <v>25</v>
      </c>
      <c r="V2017" s="3">
        <f t="shared" si="125"/>
        <v>64153535</v>
      </c>
      <c r="W2017">
        <v>5346127.916666667</v>
      </c>
      <c r="X2017">
        <v>0</v>
      </c>
      <c r="Y2017">
        <f t="shared" si="126"/>
        <v>5346127.916666667</v>
      </c>
      <c r="Z2017">
        <f t="shared" si="127"/>
        <v>0</v>
      </c>
      <c r="AA2017">
        <v>0</v>
      </c>
    </row>
    <row r="2018" spans="1:27" x14ac:dyDescent="0.25">
      <c r="A2018" s="1">
        <v>2017</v>
      </c>
      <c r="B2018" t="s">
        <v>656</v>
      </c>
      <c r="C2018" t="s">
        <v>1136</v>
      </c>
      <c r="D2018" t="s">
        <v>1143</v>
      </c>
      <c r="E2018" t="s">
        <v>1146</v>
      </c>
      <c r="F2018" t="s">
        <v>1145</v>
      </c>
      <c r="G2018" t="s">
        <v>1151</v>
      </c>
      <c r="H2018" t="s">
        <v>1151</v>
      </c>
      <c r="I2018" t="s">
        <v>1151</v>
      </c>
      <c r="J2018" t="s">
        <v>1341</v>
      </c>
      <c r="K2018" t="s">
        <v>1212</v>
      </c>
      <c r="M2018" s="3">
        <f t="shared" si="124"/>
        <v>92.857142857142861</v>
      </c>
      <c r="N2018">
        <v>91</v>
      </c>
      <c r="O2018">
        <v>90</v>
      </c>
      <c r="P2018">
        <v>96</v>
      </c>
      <c r="Q2018">
        <v>98</v>
      </c>
      <c r="R2018">
        <v>93</v>
      </c>
      <c r="S2018">
        <v>89</v>
      </c>
      <c r="T2018">
        <v>93</v>
      </c>
      <c r="U2018">
        <v>24</v>
      </c>
      <c r="V2018" s="3">
        <f t="shared" si="125"/>
        <v>71489857</v>
      </c>
      <c r="W2018">
        <v>5957488.083333333</v>
      </c>
      <c r="X2018">
        <v>0</v>
      </c>
      <c r="Y2018">
        <f t="shared" si="126"/>
        <v>5957488.083333333</v>
      </c>
      <c r="Z2018">
        <f t="shared" si="127"/>
        <v>0</v>
      </c>
      <c r="AA2018">
        <v>0</v>
      </c>
    </row>
    <row r="2019" spans="1:27" x14ac:dyDescent="0.25">
      <c r="A2019" s="1">
        <v>2018</v>
      </c>
      <c r="B2019" t="s">
        <v>1005</v>
      </c>
      <c r="C2019" t="s">
        <v>1136</v>
      </c>
      <c r="D2019" t="s">
        <v>1144</v>
      </c>
      <c r="E2019" t="s">
        <v>1138</v>
      </c>
      <c r="G2019" t="s">
        <v>1208</v>
      </c>
      <c r="H2019" t="s">
        <v>1153</v>
      </c>
      <c r="I2019" t="s">
        <v>1153</v>
      </c>
      <c r="J2019" t="s">
        <v>1341</v>
      </c>
      <c r="K2019" t="s">
        <v>1212</v>
      </c>
      <c r="M2019" s="3">
        <f t="shared" si="124"/>
        <v>87.571428571428569</v>
      </c>
      <c r="N2019">
        <v>80</v>
      </c>
      <c r="O2019">
        <v>85</v>
      </c>
      <c r="P2019">
        <v>90</v>
      </c>
      <c r="Q2019">
        <v>89</v>
      </c>
      <c r="R2019">
        <v>90</v>
      </c>
      <c r="S2019">
        <v>91</v>
      </c>
      <c r="T2019">
        <v>88</v>
      </c>
      <c r="U2019">
        <v>18</v>
      </c>
      <c r="V2019" s="3">
        <f t="shared" si="125"/>
        <v>39784656</v>
      </c>
      <c r="W2019">
        <v>3315388</v>
      </c>
      <c r="X2019">
        <v>0</v>
      </c>
      <c r="Y2019">
        <f t="shared" si="126"/>
        <v>3315388</v>
      </c>
      <c r="Z2019">
        <f t="shared" si="127"/>
        <v>0</v>
      </c>
      <c r="AA2019">
        <v>0</v>
      </c>
    </row>
    <row r="2020" spans="1:27" x14ac:dyDescent="0.25">
      <c r="A2020" s="1">
        <v>2019</v>
      </c>
      <c r="B2020" t="s">
        <v>1018</v>
      </c>
      <c r="C2020" t="s">
        <v>1136</v>
      </c>
      <c r="D2020" t="s">
        <v>1145</v>
      </c>
      <c r="E2020" t="s">
        <v>1147</v>
      </c>
      <c r="G2020" t="s">
        <v>1210</v>
      </c>
      <c r="H2020" t="s">
        <v>1210</v>
      </c>
      <c r="I2020" t="s">
        <v>1210</v>
      </c>
      <c r="J2020" t="s">
        <v>1341</v>
      </c>
      <c r="K2020" t="s">
        <v>1212</v>
      </c>
      <c r="M2020" s="3">
        <f t="shared" si="124"/>
        <v>85.428571428571431</v>
      </c>
      <c r="N2020">
        <v>80</v>
      </c>
      <c r="O2020">
        <v>84</v>
      </c>
      <c r="P2020">
        <v>93</v>
      </c>
      <c r="Q2020">
        <v>85</v>
      </c>
      <c r="R2020">
        <v>83</v>
      </c>
      <c r="S2020">
        <v>89</v>
      </c>
      <c r="T2020">
        <v>84</v>
      </c>
      <c r="U2020">
        <v>12</v>
      </c>
      <c r="V2020" s="3">
        <f t="shared" si="125"/>
        <v>31054369</v>
      </c>
      <c r="W2020">
        <v>2587864.0833333335</v>
      </c>
      <c r="X2020">
        <v>0</v>
      </c>
      <c r="Y2020">
        <f t="shared" si="126"/>
        <v>2587864.0833333335</v>
      </c>
      <c r="Z2020">
        <f t="shared" si="127"/>
        <v>0</v>
      </c>
      <c r="AA2020">
        <v>0</v>
      </c>
    </row>
    <row r="2021" spans="1:27" x14ac:dyDescent="0.25">
      <c r="A2021" s="1">
        <v>2020</v>
      </c>
      <c r="B2021" t="s">
        <v>952</v>
      </c>
      <c r="C2021" t="s">
        <v>1136</v>
      </c>
      <c r="D2021" t="s">
        <v>1146</v>
      </c>
      <c r="E2021" t="s">
        <v>1143</v>
      </c>
      <c r="G2021" t="s">
        <v>1199</v>
      </c>
      <c r="H2021" t="s">
        <v>1153</v>
      </c>
      <c r="I2021" t="s">
        <v>1153</v>
      </c>
      <c r="J2021" t="s">
        <v>1341</v>
      </c>
      <c r="K2021" t="s">
        <v>1212</v>
      </c>
      <c r="M2021" s="3">
        <f t="shared" si="124"/>
        <v>90.428571428571431</v>
      </c>
      <c r="N2021">
        <v>90</v>
      </c>
      <c r="O2021">
        <v>95</v>
      </c>
      <c r="P2021">
        <v>90</v>
      </c>
      <c r="Q2021">
        <v>93</v>
      </c>
      <c r="R2021">
        <v>88</v>
      </c>
      <c r="S2021">
        <v>84</v>
      </c>
      <c r="T2021">
        <v>93</v>
      </c>
      <c r="U2021">
        <v>3</v>
      </c>
      <c r="V2021" s="3">
        <f t="shared" si="125"/>
        <v>54846379</v>
      </c>
      <c r="W2021">
        <v>4570531.583333333</v>
      </c>
      <c r="X2021">
        <v>0</v>
      </c>
      <c r="Y2021">
        <f t="shared" si="126"/>
        <v>4570531.583333333</v>
      </c>
      <c r="Z2021">
        <f t="shared" si="127"/>
        <v>0</v>
      </c>
      <c r="AA2021">
        <v>0</v>
      </c>
    </row>
    <row r="2022" spans="1:27" x14ac:dyDescent="0.25">
      <c r="A2022" s="1">
        <v>2021</v>
      </c>
      <c r="B2022" t="s">
        <v>874</v>
      </c>
      <c r="C2022" t="s">
        <v>1136</v>
      </c>
      <c r="D2022" t="s">
        <v>1143</v>
      </c>
      <c r="E2022" t="s">
        <v>1144</v>
      </c>
      <c r="G2022" t="s">
        <v>1188</v>
      </c>
      <c r="H2022" t="s">
        <v>1188</v>
      </c>
      <c r="I2022" t="s">
        <v>1188</v>
      </c>
      <c r="J2022" t="s">
        <v>1341</v>
      </c>
      <c r="K2022" t="s">
        <v>1212</v>
      </c>
      <c r="M2022" s="3">
        <f t="shared" si="124"/>
        <v>91.857142857142861</v>
      </c>
      <c r="N2022">
        <v>91</v>
      </c>
      <c r="O2022">
        <v>89</v>
      </c>
      <c r="P2022">
        <v>93</v>
      </c>
      <c r="Q2022">
        <v>99</v>
      </c>
      <c r="R2022">
        <v>83</v>
      </c>
      <c r="S2022">
        <v>90</v>
      </c>
      <c r="T2022">
        <v>98</v>
      </c>
      <c r="U2022">
        <v>24</v>
      </c>
      <c r="V2022" s="3">
        <f t="shared" si="125"/>
        <v>64153535</v>
      </c>
      <c r="W2022">
        <v>5346127.916666667</v>
      </c>
      <c r="X2022">
        <v>0</v>
      </c>
      <c r="Y2022">
        <f t="shared" si="126"/>
        <v>5346127.916666667</v>
      </c>
      <c r="Z2022">
        <f t="shared" si="127"/>
        <v>0</v>
      </c>
      <c r="AA2022">
        <v>0</v>
      </c>
    </row>
    <row r="2023" spans="1:27" x14ac:dyDescent="0.25">
      <c r="A2023" s="1">
        <v>2022</v>
      </c>
      <c r="B2023" t="s">
        <v>897</v>
      </c>
      <c r="C2023" t="s">
        <v>1136</v>
      </c>
      <c r="D2023" t="s">
        <v>1147</v>
      </c>
      <c r="E2023" t="s">
        <v>1145</v>
      </c>
      <c r="F2023" t="s">
        <v>1143</v>
      </c>
      <c r="G2023" t="s">
        <v>1192</v>
      </c>
      <c r="H2023" t="s">
        <v>1192</v>
      </c>
      <c r="I2023" t="s">
        <v>1192</v>
      </c>
      <c r="J2023" t="s">
        <v>1341</v>
      </c>
      <c r="K2023" t="s">
        <v>1212</v>
      </c>
      <c r="M2023" s="3">
        <f t="shared" si="124"/>
        <v>92.142857142857139</v>
      </c>
      <c r="N2023">
        <v>92</v>
      </c>
      <c r="O2023">
        <v>95</v>
      </c>
      <c r="P2023">
        <v>93</v>
      </c>
      <c r="Q2023">
        <v>94</v>
      </c>
      <c r="R2023">
        <v>91</v>
      </c>
      <c r="S2023">
        <v>86</v>
      </c>
      <c r="T2023">
        <v>94</v>
      </c>
      <c r="U2023">
        <v>10</v>
      </c>
      <c r="V2023" s="3">
        <f t="shared" si="125"/>
        <v>66177142</v>
      </c>
      <c r="W2023">
        <v>5514761.833333333</v>
      </c>
      <c r="X2023">
        <v>0</v>
      </c>
      <c r="Y2023">
        <f t="shared" si="126"/>
        <v>5514761.833333333</v>
      </c>
      <c r="Z2023">
        <f t="shared" si="127"/>
        <v>0</v>
      </c>
      <c r="AA2023">
        <v>0</v>
      </c>
    </row>
    <row r="2024" spans="1:27" x14ac:dyDescent="0.25">
      <c r="A2024" s="1">
        <v>2023</v>
      </c>
      <c r="B2024" t="s">
        <v>657</v>
      </c>
      <c r="C2024" t="s">
        <v>1136</v>
      </c>
      <c r="D2024" t="s">
        <v>1147</v>
      </c>
      <c r="E2024" t="s">
        <v>1144</v>
      </c>
      <c r="G2024" t="s">
        <v>1151</v>
      </c>
      <c r="H2024" t="s">
        <v>1151</v>
      </c>
      <c r="I2024" t="s">
        <v>1151</v>
      </c>
      <c r="J2024" t="s">
        <v>1341</v>
      </c>
      <c r="K2024" t="s">
        <v>1212</v>
      </c>
      <c r="M2024" s="3">
        <f t="shared" si="124"/>
        <v>95.857142857142861</v>
      </c>
      <c r="N2024">
        <v>100</v>
      </c>
      <c r="O2024">
        <v>100</v>
      </c>
      <c r="P2024">
        <v>100</v>
      </c>
      <c r="Q2024">
        <v>95</v>
      </c>
      <c r="R2024">
        <v>95</v>
      </c>
      <c r="S2024">
        <v>86</v>
      </c>
      <c r="T2024">
        <v>95</v>
      </c>
      <c r="U2024">
        <v>13</v>
      </c>
      <c r="V2024" s="3">
        <f t="shared" si="125"/>
        <v>98250793</v>
      </c>
      <c r="W2024">
        <v>8187566.083333333</v>
      </c>
      <c r="X2024">
        <v>0</v>
      </c>
      <c r="Y2024">
        <f t="shared" si="126"/>
        <v>8187566.083333333</v>
      </c>
      <c r="Z2024">
        <f t="shared" si="127"/>
        <v>0</v>
      </c>
      <c r="AA2024">
        <v>0</v>
      </c>
    </row>
    <row r="2025" spans="1:27" x14ac:dyDescent="0.25">
      <c r="A2025" s="1">
        <v>2024</v>
      </c>
      <c r="B2025" t="s">
        <v>765</v>
      </c>
      <c r="C2025" t="s">
        <v>1137</v>
      </c>
      <c r="D2025" t="s">
        <v>1137</v>
      </c>
      <c r="H2025" t="s">
        <v>1153</v>
      </c>
      <c r="I2025" t="s">
        <v>1153</v>
      </c>
      <c r="J2025" t="s">
        <v>1341</v>
      </c>
      <c r="K2025" t="s">
        <v>1212</v>
      </c>
      <c r="M2025" s="3">
        <f t="shared" si="124"/>
        <v>89.714285714285708</v>
      </c>
      <c r="N2025">
        <v>70</v>
      </c>
      <c r="O2025">
        <v>95</v>
      </c>
      <c r="P2025">
        <v>90</v>
      </c>
      <c r="Q2025">
        <v>96</v>
      </c>
      <c r="R2025">
        <v>92</v>
      </c>
      <c r="S2025">
        <v>90</v>
      </c>
      <c r="T2025">
        <v>95</v>
      </c>
      <c r="U2025">
        <v>0</v>
      </c>
      <c r="V2025" s="3">
        <f t="shared" si="125"/>
        <v>33776609</v>
      </c>
      <c r="W2025">
        <v>2814717.4166666665</v>
      </c>
      <c r="X2025">
        <v>0</v>
      </c>
      <c r="Y2025">
        <f t="shared" si="126"/>
        <v>2814717.4166666665</v>
      </c>
      <c r="Z2025">
        <f t="shared" si="127"/>
        <v>0</v>
      </c>
      <c r="AA2025">
        <v>0</v>
      </c>
    </row>
    <row r="2026" spans="1:27" x14ac:dyDescent="0.25">
      <c r="A2026" s="1">
        <v>2025</v>
      </c>
      <c r="B2026" t="s">
        <v>1588</v>
      </c>
      <c r="C2026" t="s">
        <v>1133</v>
      </c>
      <c r="D2026" t="s">
        <v>1133</v>
      </c>
      <c r="H2026" t="s">
        <v>1185</v>
      </c>
      <c r="I2026" t="s">
        <v>1185</v>
      </c>
      <c r="J2026" t="s">
        <v>1257</v>
      </c>
      <c r="K2026" t="s">
        <v>1212</v>
      </c>
      <c r="M2026" s="3">
        <f t="shared" si="124"/>
        <v>64</v>
      </c>
      <c r="N2026">
        <v>24</v>
      </c>
      <c r="O2026">
        <v>65</v>
      </c>
      <c r="P2026">
        <v>69</v>
      </c>
      <c r="Q2026">
        <v>74</v>
      </c>
      <c r="R2026">
        <v>82</v>
      </c>
      <c r="S2026">
        <v>79</v>
      </c>
      <c r="T2026">
        <v>55</v>
      </c>
      <c r="U2026">
        <v>0</v>
      </c>
      <c r="V2026" s="3">
        <f t="shared" si="125"/>
        <v>1152922</v>
      </c>
      <c r="W2026">
        <v>96076.833333333328</v>
      </c>
      <c r="X2026">
        <v>0</v>
      </c>
      <c r="Y2026">
        <f t="shared" si="126"/>
        <v>96076.833333333328</v>
      </c>
      <c r="Z2026">
        <f t="shared" si="127"/>
        <v>0</v>
      </c>
      <c r="AA2026">
        <v>0</v>
      </c>
    </row>
    <row r="2027" spans="1:27" x14ac:dyDescent="0.25">
      <c r="A2027" s="1">
        <v>2026</v>
      </c>
      <c r="B2027" t="s">
        <v>73</v>
      </c>
      <c r="C2027" t="s">
        <v>1133</v>
      </c>
      <c r="D2027" t="s">
        <v>1133</v>
      </c>
      <c r="G2027" t="s">
        <v>1185</v>
      </c>
      <c r="H2027" t="s">
        <v>1185</v>
      </c>
      <c r="I2027" t="s">
        <v>1185</v>
      </c>
      <c r="J2027" t="s">
        <v>1257</v>
      </c>
      <c r="K2027" t="s">
        <v>1212</v>
      </c>
      <c r="M2027" s="3">
        <f t="shared" si="124"/>
        <v>73.714285714285708</v>
      </c>
      <c r="N2027">
        <v>64</v>
      </c>
      <c r="O2027">
        <v>60</v>
      </c>
      <c r="P2027">
        <v>70</v>
      </c>
      <c r="Q2027">
        <v>75</v>
      </c>
      <c r="R2027">
        <v>81</v>
      </c>
      <c r="S2027">
        <v>80</v>
      </c>
      <c r="T2027">
        <v>86</v>
      </c>
      <c r="U2027">
        <v>31</v>
      </c>
      <c r="V2027" s="3">
        <f t="shared" si="125"/>
        <v>7105717</v>
      </c>
      <c r="W2027">
        <v>592143.08333333337</v>
      </c>
      <c r="X2027">
        <v>0</v>
      </c>
      <c r="Y2027">
        <f t="shared" si="126"/>
        <v>592143.08333333337</v>
      </c>
      <c r="Z2027">
        <f t="shared" si="127"/>
        <v>0</v>
      </c>
      <c r="AA2027">
        <v>0</v>
      </c>
    </row>
    <row r="2028" spans="1:27" x14ac:dyDescent="0.25">
      <c r="A2028" s="1">
        <v>2027</v>
      </c>
      <c r="B2028" t="s">
        <v>104</v>
      </c>
      <c r="C2028" t="s">
        <v>1133</v>
      </c>
      <c r="D2028" t="s">
        <v>1133</v>
      </c>
      <c r="G2028" t="s">
        <v>1205</v>
      </c>
      <c r="H2028" t="s">
        <v>1205</v>
      </c>
      <c r="I2028" t="s">
        <v>1205</v>
      </c>
      <c r="J2028" t="s">
        <v>1257</v>
      </c>
      <c r="K2028" t="s">
        <v>1212</v>
      </c>
      <c r="M2028" s="3">
        <f t="shared" si="124"/>
        <v>72.428571428571431</v>
      </c>
      <c r="N2028">
        <v>49</v>
      </c>
      <c r="O2028">
        <v>89</v>
      </c>
      <c r="P2028">
        <v>77</v>
      </c>
      <c r="Q2028">
        <v>70</v>
      </c>
      <c r="R2028">
        <v>93</v>
      </c>
      <c r="S2028">
        <v>80</v>
      </c>
      <c r="T2028">
        <v>49</v>
      </c>
      <c r="U2028">
        <v>0</v>
      </c>
      <c r="V2028" s="3">
        <f t="shared" si="125"/>
        <v>3972823</v>
      </c>
      <c r="W2028">
        <v>331068.58333333331</v>
      </c>
      <c r="X2028">
        <v>0</v>
      </c>
      <c r="Y2028">
        <f t="shared" si="126"/>
        <v>331068.58333333331</v>
      </c>
      <c r="Z2028">
        <f t="shared" si="127"/>
        <v>0</v>
      </c>
      <c r="AA2028">
        <v>0</v>
      </c>
    </row>
    <row r="2029" spans="1:27" x14ac:dyDescent="0.25">
      <c r="A2029" s="1">
        <v>2028</v>
      </c>
      <c r="B2029" t="s">
        <v>302</v>
      </c>
      <c r="C2029" t="s">
        <v>1134</v>
      </c>
      <c r="D2029" t="s">
        <v>1138</v>
      </c>
      <c r="E2029" t="s">
        <v>1144</v>
      </c>
      <c r="G2029" t="s">
        <v>1185</v>
      </c>
      <c r="H2029" t="s">
        <v>1185</v>
      </c>
      <c r="I2029" t="s">
        <v>1185</v>
      </c>
      <c r="J2029" t="s">
        <v>1257</v>
      </c>
      <c r="K2029" t="s">
        <v>1212</v>
      </c>
      <c r="M2029" s="3">
        <f t="shared" si="124"/>
        <v>69</v>
      </c>
      <c r="N2029">
        <v>56</v>
      </c>
      <c r="O2029">
        <v>70</v>
      </c>
      <c r="P2029">
        <v>73</v>
      </c>
      <c r="Q2029">
        <v>70</v>
      </c>
      <c r="R2029">
        <v>76</v>
      </c>
      <c r="S2029">
        <v>88</v>
      </c>
      <c r="T2029">
        <v>50</v>
      </c>
      <c r="U2029">
        <v>0</v>
      </c>
      <c r="V2029" s="3">
        <f t="shared" si="125"/>
        <v>2446195</v>
      </c>
      <c r="W2029">
        <v>203849.58333333334</v>
      </c>
      <c r="X2029">
        <v>0</v>
      </c>
      <c r="Y2029">
        <f t="shared" si="126"/>
        <v>203849.58333333334</v>
      </c>
      <c r="Z2029">
        <f t="shared" si="127"/>
        <v>0</v>
      </c>
      <c r="AA2029">
        <v>0</v>
      </c>
    </row>
    <row r="2030" spans="1:27" x14ac:dyDescent="0.25">
      <c r="A2030" s="1">
        <v>2029</v>
      </c>
      <c r="B2030" t="s">
        <v>1591</v>
      </c>
      <c r="C2030" t="s">
        <v>1134</v>
      </c>
      <c r="D2030" t="s">
        <v>1138</v>
      </c>
      <c r="E2030" t="s">
        <v>1144</v>
      </c>
      <c r="H2030" t="s">
        <v>1185</v>
      </c>
      <c r="I2030" t="s">
        <v>1185</v>
      </c>
      <c r="J2030" t="s">
        <v>1257</v>
      </c>
      <c r="K2030" t="s">
        <v>1212</v>
      </c>
      <c r="M2030" s="3">
        <f t="shared" si="124"/>
        <v>65.857142857142861</v>
      </c>
      <c r="N2030">
        <v>37</v>
      </c>
      <c r="O2030">
        <v>63</v>
      </c>
      <c r="P2030">
        <v>61</v>
      </c>
      <c r="Q2030">
        <v>83</v>
      </c>
      <c r="R2030">
        <v>79</v>
      </c>
      <c r="S2030">
        <v>81</v>
      </c>
      <c r="T2030">
        <v>57</v>
      </c>
      <c r="U2030">
        <v>0</v>
      </c>
      <c r="V2030" s="3">
        <f t="shared" si="125"/>
        <v>1534719</v>
      </c>
      <c r="W2030">
        <v>127893.25</v>
      </c>
      <c r="X2030">
        <v>0</v>
      </c>
      <c r="Y2030">
        <f t="shared" si="126"/>
        <v>127893.25</v>
      </c>
      <c r="Z2030">
        <f t="shared" si="127"/>
        <v>0</v>
      </c>
      <c r="AA2030">
        <v>0</v>
      </c>
    </row>
    <row r="2031" spans="1:27" x14ac:dyDescent="0.25">
      <c r="A2031" s="1">
        <v>2030</v>
      </c>
      <c r="B2031" t="s">
        <v>303</v>
      </c>
      <c r="C2031" t="s">
        <v>1134</v>
      </c>
      <c r="D2031" t="s">
        <v>1138</v>
      </c>
      <c r="E2031" t="s">
        <v>1140</v>
      </c>
      <c r="G2031" t="s">
        <v>1185</v>
      </c>
      <c r="H2031" t="s">
        <v>1185</v>
      </c>
      <c r="I2031" t="s">
        <v>1185</v>
      </c>
      <c r="J2031" t="s">
        <v>1257</v>
      </c>
      <c r="K2031" t="s">
        <v>1212</v>
      </c>
      <c r="M2031" s="3">
        <f t="shared" si="124"/>
        <v>79.714285714285708</v>
      </c>
      <c r="N2031">
        <v>70</v>
      </c>
      <c r="O2031">
        <v>78</v>
      </c>
      <c r="P2031">
        <v>80</v>
      </c>
      <c r="Q2031">
        <v>78</v>
      </c>
      <c r="R2031">
        <v>82</v>
      </c>
      <c r="S2031">
        <v>90</v>
      </c>
      <c r="T2031">
        <v>80</v>
      </c>
      <c r="U2031">
        <v>28</v>
      </c>
      <c r="V2031" s="3">
        <f t="shared" si="125"/>
        <v>15540066</v>
      </c>
      <c r="W2031">
        <v>1295005.5</v>
      </c>
      <c r="X2031">
        <v>0</v>
      </c>
      <c r="Y2031">
        <f t="shared" si="126"/>
        <v>1295005.5</v>
      </c>
      <c r="Z2031">
        <f t="shared" si="127"/>
        <v>0</v>
      </c>
      <c r="AA2031">
        <v>0</v>
      </c>
    </row>
    <row r="2032" spans="1:27" x14ac:dyDescent="0.25">
      <c r="A2032" s="1">
        <v>2031</v>
      </c>
      <c r="B2032" t="s">
        <v>1589</v>
      </c>
      <c r="C2032" t="s">
        <v>1134</v>
      </c>
      <c r="D2032" t="s">
        <v>1138</v>
      </c>
      <c r="E2032" t="s">
        <v>1139</v>
      </c>
      <c r="H2032" t="s">
        <v>1185</v>
      </c>
      <c r="I2032" t="s">
        <v>1185</v>
      </c>
      <c r="J2032" t="s">
        <v>1257</v>
      </c>
      <c r="K2032" t="s">
        <v>1212</v>
      </c>
      <c r="M2032" s="3">
        <f t="shared" si="124"/>
        <v>68.571428571428569</v>
      </c>
      <c r="N2032">
        <v>36</v>
      </c>
      <c r="O2032">
        <v>72</v>
      </c>
      <c r="P2032">
        <v>66</v>
      </c>
      <c r="Q2032">
        <v>80</v>
      </c>
      <c r="R2032">
        <v>83</v>
      </c>
      <c r="S2032">
        <v>84</v>
      </c>
      <c r="T2032">
        <v>59</v>
      </c>
      <c r="U2032">
        <v>0</v>
      </c>
      <c r="V2032" s="3">
        <f t="shared" si="125"/>
        <v>2298434</v>
      </c>
      <c r="W2032">
        <v>191536.16666666666</v>
      </c>
      <c r="X2032">
        <v>0</v>
      </c>
      <c r="Y2032">
        <f t="shared" si="126"/>
        <v>191536.16666666666</v>
      </c>
      <c r="Z2032">
        <f t="shared" si="127"/>
        <v>0</v>
      </c>
      <c r="AA2032">
        <v>0</v>
      </c>
    </row>
    <row r="2033" spans="1:27" x14ac:dyDescent="0.25">
      <c r="A2033" s="1">
        <v>2032</v>
      </c>
      <c r="B2033" t="s">
        <v>304</v>
      </c>
      <c r="C2033" t="s">
        <v>1134</v>
      </c>
      <c r="D2033" t="s">
        <v>1138</v>
      </c>
      <c r="G2033" t="s">
        <v>1185</v>
      </c>
      <c r="H2033" t="s">
        <v>1185</v>
      </c>
      <c r="I2033" t="s">
        <v>1185</v>
      </c>
      <c r="J2033" t="s">
        <v>1257</v>
      </c>
      <c r="K2033" t="s">
        <v>1212</v>
      </c>
      <c r="M2033" s="3">
        <f t="shared" si="124"/>
        <v>79.571428571428569</v>
      </c>
      <c r="N2033">
        <v>69</v>
      </c>
      <c r="O2033">
        <v>77</v>
      </c>
      <c r="P2033">
        <v>82</v>
      </c>
      <c r="Q2033">
        <v>83</v>
      </c>
      <c r="R2033">
        <v>80</v>
      </c>
      <c r="S2033">
        <v>85</v>
      </c>
      <c r="T2033">
        <v>81</v>
      </c>
      <c r="U2033">
        <v>28</v>
      </c>
      <c r="V2033" s="3">
        <f t="shared" si="125"/>
        <v>15263806</v>
      </c>
      <c r="W2033">
        <v>1271983.8333333333</v>
      </c>
      <c r="X2033">
        <v>0</v>
      </c>
      <c r="Y2033">
        <f t="shared" si="126"/>
        <v>1271983.8333333333</v>
      </c>
      <c r="Z2033">
        <f t="shared" si="127"/>
        <v>0</v>
      </c>
      <c r="AA2033">
        <v>0</v>
      </c>
    </row>
    <row r="2034" spans="1:27" x14ac:dyDescent="0.25">
      <c r="A2034" s="1">
        <v>2033</v>
      </c>
      <c r="B2034" t="s">
        <v>1590</v>
      </c>
      <c r="C2034" t="s">
        <v>1134</v>
      </c>
      <c r="D2034" t="s">
        <v>1140</v>
      </c>
      <c r="E2034" t="s">
        <v>1138</v>
      </c>
      <c r="H2034" t="s">
        <v>1185</v>
      </c>
      <c r="I2034" t="s">
        <v>1185</v>
      </c>
      <c r="J2034" t="s">
        <v>1257</v>
      </c>
      <c r="K2034" t="s">
        <v>1212</v>
      </c>
      <c r="M2034" s="3">
        <f t="shared" si="124"/>
        <v>62.857142857142854</v>
      </c>
      <c r="N2034">
        <v>28</v>
      </c>
      <c r="O2034">
        <v>81</v>
      </c>
      <c r="P2034">
        <v>52</v>
      </c>
      <c r="Q2034">
        <v>72</v>
      </c>
      <c r="R2034">
        <v>75</v>
      </c>
      <c r="S2034">
        <v>78</v>
      </c>
      <c r="T2034">
        <v>54</v>
      </c>
      <c r="U2034">
        <v>0</v>
      </c>
      <c r="V2034" s="3">
        <f t="shared" si="125"/>
        <v>962823</v>
      </c>
      <c r="W2034">
        <v>80235.25</v>
      </c>
      <c r="X2034">
        <v>0</v>
      </c>
      <c r="Y2034">
        <f t="shared" si="126"/>
        <v>80235.25</v>
      </c>
      <c r="Z2034">
        <f t="shared" si="127"/>
        <v>0</v>
      </c>
      <c r="AA2034">
        <v>0</v>
      </c>
    </row>
    <row r="2035" spans="1:27" x14ac:dyDescent="0.25">
      <c r="A2035" s="1">
        <v>2034</v>
      </c>
      <c r="B2035" t="s">
        <v>1592</v>
      </c>
      <c r="C2035" t="s">
        <v>1134</v>
      </c>
      <c r="D2035" t="s">
        <v>1140</v>
      </c>
      <c r="E2035" t="s">
        <v>1139</v>
      </c>
      <c r="H2035" t="s">
        <v>1185</v>
      </c>
      <c r="I2035" t="s">
        <v>1185</v>
      </c>
      <c r="J2035" t="s">
        <v>1257</v>
      </c>
      <c r="K2035" t="s">
        <v>1212</v>
      </c>
      <c r="M2035" s="3">
        <f t="shared" si="124"/>
        <v>60</v>
      </c>
      <c r="N2035">
        <v>22</v>
      </c>
      <c r="O2035">
        <v>78</v>
      </c>
      <c r="P2035">
        <v>49</v>
      </c>
      <c r="Q2035">
        <v>70</v>
      </c>
      <c r="R2035">
        <v>76</v>
      </c>
      <c r="S2035">
        <v>74</v>
      </c>
      <c r="T2035">
        <v>51</v>
      </c>
      <c r="U2035">
        <v>0</v>
      </c>
      <c r="V2035" s="3">
        <f t="shared" si="125"/>
        <v>604662</v>
      </c>
      <c r="W2035">
        <v>50388.5</v>
      </c>
      <c r="X2035">
        <v>0</v>
      </c>
      <c r="Y2035">
        <f t="shared" si="126"/>
        <v>50388.5</v>
      </c>
      <c r="Z2035">
        <f t="shared" si="127"/>
        <v>0</v>
      </c>
      <c r="AA2035">
        <v>0</v>
      </c>
    </row>
    <row r="2036" spans="1:27" x14ac:dyDescent="0.25">
      <c r="A2036" s="1">
        <v>2035</v>
      </c>
      <c r="B2036" t="s">
        <v>551</v>
      </c>
      <c r="C2036" t="s">
        <v>1135</v>
      </c>
      <c r="D2036" t="s">
        <v>1141</v>
      </c>
      <c r="G2036" t="s">
        <v>1185</v>
      </c>
      <c r="H2036" t="s">
        <v>1185</v>
      </c>
      <c r="I2036" t="s">
        <v>1185</v>
      </c>
      <c r="J2036" t="s">
        <v>1257</v>
      </c>
      <c r="K2036" t="s">
        <v>1212</v>
      </c>
      <c r="M2036" s="3">
        <f t="shared" si="124"/>
        <v>64.571428571428569</v>
      </c>
      <c r="N2036">
        <v>35</v>
      </c>
      <c r="O2036">
        <v>70</v>
      </c>
      <c r="P2036">
        <v>72</v>
      </c>
      <c r="Q2036">
        <v>72</v>
      </c>
      <c r="R2036">
        <v>70</v>
      </c>
      <c r="S2036">
        <v>82</v>
      </c>
      <c r="T2036">
        <v>51</v>
      </c>
      <c r="U2036">
        <v>0</v>
      </c>
      <c r="V2036" s="3">
        <f t="shared" si="125"/>
        <v>1260097</v>
      </c>
      <c r="W2036">
        <v>105008.08333333333</v>
      </c>
      <c r="X2036">
        <v>0</v>
      </c>
      <c r="Y2036">
        <f t="shared" si="126"/>
        <v>105008.08333333333</v>
      </c>
      <c r="Z2036">
        <f t="shared" si="127"/>
        <v>0</v>
      </c>
      <c r="AA2036">
        <v>0</v>
      </c>
    </row>
    <row r="2037" spans="1:27" x14ac:dyDescent="0.25">
      <c r="A2037" s="1">
        <v>2036</v>
      </c>
      <c r="B2037" t="s">
        <v>1597</v>
      </c>
      <c r="C2037" t="s">
        <v>1135</v>
      </c>
      <c r="D2037" t="s">
        <v>1141</v>
      </c>
      <c r="E2037" t="s">
        <v>1142</v>
      </c>
      <c r="H2037" t="s">
        <v>1185</v>
      </c>
      <c r="I2037" t="s">
        <v>1185</v>
      </c>
      <c r="J2037" t="s">
        <v>1257</v>
      </c>
      <c r="K2037" t="s">
        <v>1212</v>
      </c>
      <c r="M2037" s="3">
        <f t="shared" si="124"/>
        <v>65.285714285714292</v>
      </c>
      <c r="N2037">
        <v>32</v>
      </c>
      <c r="O2037">
        <v>77</v>
      </c>
      <c r="P2037">
        <v>65</v>
      </c>
      <c r="Q2037">
        <v>73</v>
      </c>
      <c r="R2037">
        <v>81</v>
      </c>
      <c r="S2037">
        <v>76</v>
      </c>
      <c r="T2037">
        <v>53</v>
      </c>
      <c r="U2037">
        <v>0</v>
      </c>
      <c r="V2037" s="3">
        <f t="shared" si="125"/>
        <v>1406636</v>
      </c>
      <c r="W2037">
        <v>117219.66666666667</v>
      </c>
      <c r="X2037">
        <v>0</v>
      </c>
      <c r="Y2037">
        <f t="shared" si="126"/>
        <v>117219.66666666667</v>
      </c>
      <c r="Z2037">
        <f t="shared" si="127"/>
        <v>0</v>
      </c>
      <c r="AA2037">
        <v>0</v>
      </c>
    </row>
    <row r="2038" spans="1:27" x14ac:dyDescent="0.25">
      <c r="A2038" s="1">
        <v>2037</v>
      </c>
      <c r="B2038" t="s">
        <v>552</v>
      </c>
      <c r="C2038" t="s">
        <v>1135</v>
      </c>
      <c r="D2038" t="s">
        <v>1141</v>
      </c>
      <c r="E2038" t="s">
        <v>1142</v>
      </c>
      <c r="F2038" t="s">
        <v>1145</v>
      </c>
      <c r="G2038" t="s">
        <v>1185</v>
      </c>
      <c r="H2038" t="s">
        <v>1185</v>
      </c>
      <c r="I2038" t="s">
        <v>1185</v>
      </c>
      <c r="J2038" t="s">
        <v>1257</v>
      </c>
      <c r="K2038" t="s">
        <v>1212</v>
      </c>
      <c r="M2038" s="3">
        <f t="shared" si="124"/>
        <v>82.571428571428569</v>
      </c>
      <c r="N2038">
        <v>80</v>
      </c>
      <c r="O2038">
        <v>83</v>
      </c>
      <c r="P2038">
        <v>86</v>
      </c>
      <c r="Q2038">
        <v>85</v>
      </c>
      <c r="R2038">
        <v>83</v>
      </c>
      <c r="S2038">
        <v>85</v>
      </c>
      <c r="T2038">
        <v>76</v>
      </c>
      <c r="U2038">
        <v>7</v>
      </c>
      <c r="V2038" s="3">
        <f t="shared" si="125"/>
        <v>22099846</v>
      </c>
      <c r="W2038">
        <v>1841653.8333333333</v>
      </c>
      <c r="X2038">
        <v>0</v>
      </c>
      <c r="Y2038">
        <f t="shared" si="126"/>
        <v>1841653.8333333333</v>
      </c>
      <c r="Z2038">
        <f t="shared" si="127"/>
        <v>0</v>
      </c>
      <c r="AA2038">
        <v>0</v>
      </c>
    </row>
    <row r="2039" spans="1:27" x14ac:dyDescent="0.25">
      <c r="A2039" s="1">
        <v>2038</v>
      </c>
      <c r="B2039" t="s">
        <v>704</v>
      </c>
      <c r="C2039" t="s">
        <v>1136</v>
      </c>
      <c r="D2039" t="s">
        <v>1145</v>
      </c>
      <c r="E2039" t="s">
        <v>1143</v>
      </c>
      <c r="F2039" t="s">
        <v>1141</v>
      </c>
      <c r="G2039" t="s">
        <v>1160</v>
      </c>
      <c r="H2039" t="s">
        <v>1160</v>
      </c>
      <c r="I2039" t="s">
        <v>1160</v>
      </c>
      <c r="J2039" t="s">
        <v>1257</v>
      </c>
      <c r="K2039" t="s">
        <v>1212</v>
      </c>
      <c r="M2039" s="3">
        <f t="shared" si="124"/>
        <v>85.142857142857139</v>
      </c>
      <c r="N2039">
        <v>83</v>
      </c>
      <c r="O2039">
        <v>86</v>
      </c>
      <c r="P2039">
        <v>91</v>
      </c>
      <c r="Q2039">
        <v>83</v>
      </c>
      <c r="R2039">
        <v>82</v>
      </c>
      <c r="S2039">
        <v>88</v>
      </c>
      <c r="T2039">
        <v>83</v>
      </c>
      <c r="U2039">
        <v>21</v>
      </c>
      <c r="V2039" s="3">
        <f t="shared" si="125"/>
        <v>30031254</v>
      </c>
      <c r="W2039">
        <v>2502604.5</v>
      </c>
      <c r="X2039">
        <v>0</v>
      </c>
      <c r="Y2039">
        <f t="shared" si="126"/>
        <v>2502604.5</v>
      </c>
      <c r="Z2039">
        <f t="shared" si="127"/>
        <v>0</v>
      </c>
      <c r="AA2039">
        <v>0</v>
      </c>
    </row>
    <row r="2040" spans="1:27" x14ac:dyDescent="0.25">
      <c r="A2040" s="1">
        <v>2039</v>
      </c>
      <c r="B2040" t="s">
        <v>1596</v>
      </c>
      <c r="C2040" t="s">
        <v>1136</v>
      </c>
      <c r="D2040" t="s">
        <v>1146</v>
      </c>
      <c r="E2040" t="s">
        <v>1143</v>
      </c>
      <c r="H2040" t="s">
        <v>1185</v>
      </c>
      <c r="I2040" t="s">
        <v>1185</v>
      </c>
      <c r="J2040" t="s">
        <v>1257</v>
      </c>
      <c r="K2040" t="s">
        <v>1212</v>
      </c>
      <c r="M2040" s="3">
        <f t="shared" si="124"/>
        <v>63.714285714285715</v>
      </c>
      <c r="N2040">
        <v>35</v>
      </c>
      <c r="O2040">
        <v>69</v>
      </c>
      <c r="P2040">
        <v>62</v>
      </c>
      <c r="Q2040">
        <v>74</v>
      </c>
      <c r="R2040">
        <v>77</v>
      </c>
      <c r="S2040">
        <v>75</v>
      </c>
      <c r="T2040">
        <v>54</v>
      </c>
      <c r="U2040">
        <v>0</v>
      </c>
      <c r="V2040" s="3">
        <f t="shared" si="125"/>
        <v>1102474</v>
      </c>
      <c r="W2040">
        <v>91872.833333333328</v>
      </c>
      <c r="X2040">
        <v>0</v>
      </c>
      <c r="Y2040">
        <f t="shared" si="126"/>
        <v>91872.833333333328</v>
      </c>
      <c r="Z2040">
        <f t="shared" si="127"/>
        <v>0</v>
      </c>
      <c r="AA2040">
        <v>0</v>
      </c>
    </row>
    <row r="2041" spans="1:27" x14ac:dyDescent="0.25">
      <c r="A2041" s="1">
        <v>2040</v>
      </c>
      <c r="B2041" t="s">
        <v>705</v>
      </c>
      <c r="C2041" t="s">
        <v>1136</v>
      </c>
      <c r="D2041" t="s">
        <v>1146</v>
      </c>
      <c r="E2041" t="s">
        <v>1143</v>
      </c>
      <c r="G2041" t="s">
        <v>1160</v>
      </c>
      <c r="H2041" t="s">
        <v>1160</v>
      </c>
      <c r="I2041" t="s">
        <v>1160</v>
      </c>
      <c r="J2041" t="s">
        <v>1257</v>
      </c>
      <c r="K2041" t="s">
        <v>1212</v>
      </c>
      <c r="M2041" s="3">
        <f t="shared" si="124"/>
        <v>80</v>
      </c>
      <c r="N2041">
        <v>78</v>
      </c>
      <c r="O2041">
        <v>91</v>
      </c>
      <c r="P2041">
        <v>85</v>
      </c>
      <c r="Q2041">
        <v>78</v>
      </c>
      <c r="R2041">
        <v>78</v>
      </c>
      <c r="S2041">
        <v>80</v>
      </c>
      <c r="T2041">
        <v>70</v>
      </c>
      <c r="U2041">
        <v>22</v>
      </c>
      <c r="V2041" s="3">
        <f t="shared" si="125"/>
        <v>16106128</v>
      </c>
      <c r="W2041">
        <v>1342177.3333333333</v>
      </c>
      <c r="X2041">
        <v>0</v>
      </c>
      <c r="Y2041">
        <f t="shared" si="126"/>
        <v>1342177.3333333333</v>
      </c>
      <c r="Z2041">
        <f t="shared" si="127"/>
        <v>0</v>
      </c>
      <c r="AA2041">
        <v>0</v>
      </c>
    </row>
    <row r="2042" spans="1:27" x14ac:dyDescent="0.25">
      <c r="A2042" s="1">
        <v>2041</v>
      </c>
      <c r="B2042" t="s">
        <v>856</v>
      </c>
      <c r="C2042" t="s">
        <v>1136</v>
      </c>
      <c r="D2042" t="s">
        <v>1146</v>
      </c>
      <c r="E2042" t="s">
        <v>1144</v>
      </c>
      <c r="G2042" t="s">
        <v>1185</v>
      </c>
      <c r="H2042" t="s">
        <v>1185</v>
      </c>
      <c r="I2042" t="s">
        <v>1185</v>
      </c>
      <c r="J2042" t="s">
        <v>1257</v>
      </c>
      <c r="K2042" t="s">
        <v>1212</v>
      </c>
      <c r="M2042" s="3">
        <f t="shared" si="124"/>
        <v>81.714285714285708</v>
      </c>
      <c r="N2042">
        <v>70</v>
      </c>
      <c r="O2042">
        <v>91</v>
      </c>
      <c r="P2042">
        <v>84</v>
      </c>
      <c r="Q2042">
        <v>86</v>
      </c>
      <c r="R2042">
        <v>82</v>
      </c>
      <c r="S2042">
        <v>84</v>
      </c>
      <c r="T2042">
        <v>75</v>
      </c>
      <c r="U2042">
        <v>17</v>
      </c>
      <c r="V2042" s="3">
        <f t="shared" si="125"/>
        <v>19909995</v>
      </c>
      <c r="W2042">
        <v>1659166.25</v>
      </c>
      <c r="X2042">
        <v>0</v>
      </c>
      <c r="Y2042">
        <f t="shared" si="126"/>
        <v>1659166.25</v>
      </c>
      <c r="Z2042">
        <f t="shared" si="127"/>
        <v>0</v>
      </c>
      <c r="AA2042">
        <v>0</v>
      </c>
    </row>
    <row r="2043" spans="1:27" x14ac:dyDescent="0.25">
      <c r="A2043" s="1">
        <v>2042</v>
      </c>
      <c r="B2043" t="s">
        <v>1593</v>
      </c>
      <c r="C2043" t="s">
        <v>1136</v>
      </c>
      <c r="D2043" t="s">
        <v>1144</v>
      </c>
      <c r="E2043" t="s">
        <v>1143</v>
      </c>
      <c r="H2043" t="s">
        <v>1185</v>
      </c>
      <c r="I2043" t="s">
        <v>1185</v>
      </c>
      <c r="J2043" t="s">
        <v>1257</v>
      </c>
      <c r="K2043" t="s">
        <v>1212</v>
      </c>
      <c r="M2043" s="3">
        <f t="shared" si="124"/>
        <v>68.428571428571431</v>
      </c>
      <c r="N2043">
        <v>39</v>
      </c>
      <c r="O2043">
        <v>71</v>
      </c>
      <c r="P2043">
        <v>67</v>
      </c>
      <c r="Q2043">
        <v>81</v>
      </c>
      <c r="R2043">
        <v>84</v>
      </c>
      <c r="S2043">
        <v>79</v>
      </c>
      <c r="T2043">
        <v>58</v>
      </c>
      <c r="U2043">
        <v>0</v>
      </c>
      <c r="V2043" s="3">
        <f t="shared" si="125"/>
        <v>2250997</v>
      </c>
      <c r="W2043">
        <v>187583.08333333334</v>
      </c>
      <c r="X2043">
        <v>0</v>
      </c>
      <c r="Y2043">
        <f t="shared" si="126"/>
        <v>187583.08333333334</v>
      </c>
      <c r="Z2043">
        <f t="shared" si="127"/>
        <v>0</v>
      </c>
      <c r="AA2043">
        <v>0</v>
      </c>
    </row>
    <row r="2044" spans="1:27" x14ac:dyDescent="0.25">
      <c r="A2044" s="1">
        <v>2043</v>
      </c>
      <c r="B2044" t="s">
        <v>1594</v>
      </c>
      <c r="C2044" t="s">
        <v>1136</v>
      </c>
      <c r="D2044" t="s">
        <v>1143</v>
      </c>
      <c r="E2044" t="s">
        <v>1145</v>
      </c>
      <c r="H2044" t="s">
        <v>1185</v>
      </c>
      <c r="I2044" t="s">
        <v>1185</v>
      </c>
      <c r="J2044" t="s">
        <v>1257</v>
      </c>
      <c r="K2044" t="s">
        <v>1212</v>
      </c>
      <c r="M2044" s="3">
        <f t="shared" si="124"/>
        <v>62.857142857142854</v>
      </c>
      <c r="N2044">
        <v>31</v>
      </c>
      <c r="O2044">
        <v>75</v>
      </c>
      <c r="P2044">
        <v>58</v>
      </c>
      <c r="Q2044">
        <v>77</v>
      </c>
      <c r="R2044">
        <v>70</v>
      </c>
      <c r="S2044">
        <v>73</v>
      </c>
      <c r="T2044">
        <v>56</v>
      </c>
      <c r="U2044">
        <v>0</v>
      </c>
      <c r="V2044" s="3">
        <f t="shared" si="125"/>
        <v>962823</v>
      </c>
      <c r="W2044">
        <v>80235.25</v>
      </c>
      <c r="X2044">
        <v>0</v>
      </c>
      <c r="Y2044">
        <f t="shared" si="126"/>
        <v>80235.25</v>
      </c>
      <c r="Z2044">
        <f t="shared" si="127"/>
        <v>0</v>
      </c>
      <c r="AA2044">
        <v>0</v>
      </c>
    </row>
    <row r="2045" spans="1:27" x14ac:dyDescent="0.25">
      <c r="A2045" s="1">
        <v>2044</v>
      </c>
      <c r="B2045" t="s">
        <v>1595</v>
      </c>
      <c r="C2045" t="s">
        <v>1136</v>
      </c>
      <c r="D2045" t="s">
        <v>1147</v>
      </c>
      <c r="E2045" t="s">
        <v>1145</v>
      </c>
      <c r="H2045" t="s">
        <v>1185</v>
      </c>
      <c r="I2045" t="s">
        <v>1185</v>
      </c>
      <c r="J2045" t="s">
        <v>1257</v>
      </c>
      <c r="K2045" t="s">
        <v>1212</v>
      </c>
      <c r="M2045" s="3">
        <f t="shared" si="124"/>
        <v>60.285714285714285</v>
      </c>
      <c r="N2045">
        <v>26</v>
      </c>
      <c r="O2045">
        <v>82</v>
      </c>
      <c r="P2045">
        <v>53</v>
      </c>
      <c r="Q2045">
        <v>68</v>
      </c>
      <c r="R2045">
        <v>72</v>
      </c>
      <c r="S2045">
        <v>71</v>
      </c>
      <c r="T2045">
        <v>50</v>
      </c>
      <c r="U2045">
        <v>0</v>
      </c>
      <c r="V2045" s="3">
        <f t="shared" si="125"/>
        <v>634081</v>
      </c>
      <c r="W2045">
        <v>52840.083333333336</v>
      </c>
      <c r="X2045">
        <v>0</v>
      </c>
      <c r="Y2045">
        <f t="shared" si="126"/>
        <v>52840.083333333336</v>
      </c>
      <c r="Z2045">
        <f t="shared" si="127"/>
        <v>0</v>
      </c>
      <c r="AA2045">
        <v>0</v>
      </c>
    </row>
    <row r="2046" spans="1:27" x14ac:dyDescent="0.25">
      <c r="A2046" s="1">
        <v>2045</v>
      </c>
      <c r="B2046" t="s">
        <v>857</v>
      </c>
      <c r="C2046" t="s">
        <v>1136</v>
      </c>
      <c r="D2046" t="s">
        <v>1143</v>
      </c>
      <c r="E2046" t="s">
        <v>1146</v>
      </c>
      <c r="F2046" t="s">
        <v>1144</v>
      </c>
      <c r="G2046" t="s">
        <v>1185</v>
      </c>
      <c r="H2046" t="s">
        <v>1185</v>
      </c>
      <c r="I2046" t="s">
        <v>1185</v>
      </c>
      <c r="J2046" t="s">
        <v>1257</v>
      </c>
      <c r="K2046" t="s">
        <v>1212</v>
      </c>
      <c r="M2046" s="3">
        <f t="shared" si="124"/>
        <v>86.571428571428569</v>
      </c>
      <c r="N2046">
        <v>80</v>
      </c>
      <c r="O2046">
        <v>85</v>
      </c>
      <c r="P2046">
        <v>91</v>
      </c>
      <c r="Q2046">
        <v>92</v>
      </c>
      <c r="R2046">
        <v>84</v>
      </c>
      <c r="S2046">
        <v>89</v>
      </c>
      <c r="T2046">
        <v>85</v>
      </c>
      <c r="U2046">
        <v>8</v>
      </c>
      <c r="V2046" s="3">
        <f t="shared" si="125"/>
        <v>35468033</v>
      </c>
      <c r="W2046">
        <v>2955669.4166666665</v>
      </c>
      <c r="X2046">
        <v>0</v>
      </c>
      <c r="Y2046">
        <f t="shared" si="126"/>
        <v>2955669.4166666665</v>
      </c>
      <c r="Z2046">
        <f t="shared" si="127"/>
        <v>0</v>
      </c>
      <c r="AA2046">
        <v>0</v>
      </c>
    </row>
    <row r="2047" spans="1:27" x14ac:dyDescent="0.25">
      <c r="A2047" s="1">
        <v>2046</v>
      </c>
      <c r="B2047" t="s">
        <v>859</v>
      </c>
      <c r="C2047" t="s">
        <v>1136</v>
      </c>
      <c r="D2047" t="s">
        <v>1144</v>
      </c>
      <c r="G2047" t="s">
        <v>1185</v>
      </c>
      <c r="H2047" t="s">
        <v>1185</v>
      </c>
      <c r="I2047" t="s">
        <v>1185</v>
      </c>
      <c r="J2047" t="s">
        <v>1257</v>
      </c>
      <c r="K2047" t="s">
        <v>1212</v>
      </c>
      <c r="M2047" s="3">
        <f t="shared" si="124"/>
        <v>64.428571428571431</v>
      </c>
      <c r="N2047">
        <v>47</v>
      </c>
      <c r="O2047">
        <v>75</v>
      </c>
      <c r="P2047">
        <v>70</v>
      </c>
      <c r="Q2047">
        <v>68</v>
      </c>
      <c r="R2047">
        <v>66</v>
      </c>
      <c r="S2047">
        <v>85</v>
      </c>
      <c r="T2047">
        <v>40</v>
      </c>
      <c r="U2047">
        <v>0</v>
      </c>
      <c r="V2047" s="3">
        <f t="shared" si="125"/>
        <v>1232495</v>
      </c>
      <c r="W2047">
        <v>102707.91666666667</v>
      </c>
      <c r="X2047">
        <v>0</v>
      </c>
      <c r="Y2047">
        <f t="shared" si="126"/>
        <v>102707.91666666667</v>
      </c>
      <c r="Z2047">
        <f t="shared" si="127"/>
        <v>0</v>
      </c>
      <c r="AA2047">
        <v>0</v>
      </c>
    </row>
    <row r="2048" spans="1:27" x14ac:dyDescent="0.25">
      <c r="A2048" s="1">
        <v>2047</v>
      </c>
      <c r="B2048" t="s">
        <v>860</v>
      </c>
      <c r="C2048" t="s">
        <v>1136</v>
      </c>
      <c r="D2048" t="s">
        <v>1143</v>
      </c>
      <c r="G2048" t="s">
        <v>1185</v>
      </c>
      <c r="H2048" t="s">
        <v>1185</v>
      </c>
      <c r="I2048" t="s">
        <v>1185</v>
      </c>
      <c r="J2048" t="s">
        <v>1257</v>
      </c>
      <c r="K2048" t="s">
        <v>1212</v>
      </c>
      <c r="M2048" s="3">
        <f t="shared" si="124"/>
        <v>64.142857142857139</v>
      </c>
      <c r="N2048">
        <v>39</v>
      </c>
      <c r="O2048">
        <v>70</v>
      </c>
      <c r="P2048">
        <v>78</v>
      </c>
      <c r="Q2048">
        <v>71</v>
      </c>
      <c r="R2048">
        <v>68</v>
      </c>
      <c r="S2048">
        <v>82</v>
      </c>
      <c r="T2048">
        <v>41</v>
      </c>
      <c r="U2048">
        <v>0</v>
      </c>
      <c r="V2048" s="3">
        <f t="shared" si="125"/>
        <v>1178917</v>
      </c>
      <c r="W2048">
        <v>98243.083333333328</v>
      </c>
      <c r="X2048">
        <v>0</v>
      </c>
      <c r="Y2048">
        <f t="shared" si="126"/>
        <v>98243.083333333328</v>
      </c>
      <c r="Z2048">
        <f t="shared" si="127"/>
        <v>0</v>
      </c>
      <c r="AA2048">
        <v>0</v>
      </c>
    </row>
    <row r="2049" spans="1:27" x14ac:dyDescent="0.25">
      <c r="A2049" s="1">
        <v>2048</v>
      </c>
      <c r="B2049" t="s">
        <v>858</v>
      </c>
      <c r="C2049" t="s">
        <v>1136</v>
      </c>
      <c r="D2049" t="s">
        <v>1146</v>
      </c>
      <c r="E2049" t="s">
        <v>1147</v>
      </c>
      <c r="G2049" t="s">
        <v>1185</v>
      </c>
      <c r="H2049" t="s">
        <v>1185</v>
      </c>
      <c r="I2049" t="s">
        <v>1185</v>
      </c>
      <c r="J2049" t="s">
        <v>1257</v>
      </c>
      <c r="K2049" t="s">
        <v>1212</v>
      </c>
      <c r="M2049" s="3">
        <f t="shared" si="124"/>
        <v>73.142857142857139</v>
      </c>
      <c r="N2049">
        <v>40</v>
      </c>
      <c r="O2049">
        <v>92</v>
      </c>
      <c r="P2049">
        <v>80</v>
      </c>
      <c r="Q2049">
        <v>84</v>
      </c>
      <c r="R2049">
        <v>78</v>
      </c>
      <c r="S2049">
        <v>78</v>
      </c>
      <c r="T2049">
        <v>60</v>
      </c>
      <c r="U2049">
        <v>23</v>
      </c>
      <c r="V2049" s="3">
        <f t="shared" si="125"/>
        <v>6573709</v>
      </c>
      <c r="W2049">
        <v>547809.08333333337</v>
      </c>
      <c r="X2049">
        <v>0</v>
      </c>
      <c r="Y2049">
        <f t="shared" si="126"/>
        <v>547809.08333333337</v>
      </c>
      <c r="Z2049">
        <f t="shared" si="127"/>
        <v>0</v>
      </c>
      <c r="AA2049">
        <v>0</v>
      </c>
    </row>
    <row r="2050" spans="1:27" x14ac:dyDescent="0.25">
      <c r="A2050" s="1">
        <v>2049</v>
      </c>
      <c r="B2050" t="s">
        <v>108</v>
      </c>
      <c r="C2050" t="s">
        <v>1133</v>
      </c>
      <c r="D2050" t="s">
        <v>1133</v>
      </c>
      <c r="G2050" t="s">
        <v>1207</v>
      </c>
      <c r="H2050" t="s">
        <v>1207</v>
      </c>
      <c r="I2050" t="s">
        <v>1207</v>
      </c>
      <c r="J2050" t="s">
        <v>1342</v>
      </c>
      <c r="K2050" t="s">
        <v>1212</v>
      </c>
      <c r="M2050" s="3">
        <f t="shared" ref="M2050:M2113" si="128">AVERAGE(N2050:T2050)</f>
        <v>66</v>
      </c>
      <c r="N2050">
        <v>35</v>
      </c>
      <c r="O2050">
        <v>54</v>
      </c>
      <c r="P2050">
        <v>73</v>
      </c>
      <c r="Q2050">
        <v>81</v>
      </c>
      <c r="R2050">
        <v>81</v>
      </c>
      <c r="S2050">
        <v>82</v>
      </c>
      <c r="T2050">
        <v>56</v>
      </c>
      <c r="U2050">
        <v>0</v>
      </c>
      <c r="V2050" s="3">
        <f t="shared" ref="V2050:V2113" si="129">ROUNDUP(M2050^10/1000000000000 * IF(U2050&gt;0,1.5,1),0)</f>
        <v>1568337</v>
      </c>
      <c r="W2050">
        <v>130694.75</v>
      </c>
      <c r="X2050">
        <v>0</v>
      </c>
      <c r="Y2050">
        <f t="shared" ref="Y2050:Y2113" si="130">V2050/12</f>
        <v>130694.75</v>
      </c>
      <c r="Z2050">
        <f t="shared" ref="Z2050:Z2113" si="131">ROUND(((W2050-Y2050)/Y2050)*100,2)</f>
        <v>0</v>
      </c>
      <c r="AA2050">
        <v>0</v>
      </c>
    </row>
    <row r="2051" spans="1:27" x14ac:dyDescent="0.25">
      <c r="A2051" s="1">
        <v>2050</v>
      </c>
      <c r="B2051" t="s">
        <v>102</v>
      </c>
      <c r="C2051" t="s">
        <v>1133</v>
      </c>
      <c r="D2051" t="s">
        <v>1133</v>
      </c>
      <c r="G2051" t="s">
        <v>1204</v>
      </c>
      <c r="H2051" t="s">
        <v>1204</v>
      </c>
      <c r="I2051" t="s">
        <v>1204</v>
      </c>
      <c r="J2051" t="s">
        <v>1342</v>
      </c>
      <c r="K2051" t="s">
        <v>1212</v>
      </c>
      <c r="M2051" s="3">
        <f t="shared" si="128"/>
        <v>54.714285714285715</v>
      </c>
      <c r="N2051">
        <v>22</v>
      </c>
      <c r="O2051">
        <v>60</v>
      </c>
      <c r="P2051">
        <v>65</v>
      </c>
      <c r="Q2051">
        <v>61</v>
      </c>
      <c r="R2051">
        <v>64</v>
      </c>
      <c r="S2051">
        <v>70</v>
      </c>
      <c r="T2051">
        <v>41</v>
      </c>
      <c r="U2051">
        <v>0</v>
      </c>
      <c r="V2051" s="3">
        <f t="shared" si="129"/>
        <v>240441</v>
      </c>
      <c r="W2051">
        <v>20036.75</v>
      </c>
      <c r="X2051">
        <v>0</v>
      </c>
      <c r="Y2051">
        <f t="shared" si="130"/>
        <v>20036.75</v>
      </c>
      <c r="Z2051">
        <f t="shared" si="131"/>
        <v>0</v>
      </c>
      <c r="AA2051">
        <v>0</v>
      </c>
    </row>
    <row r="2052" spans="1:27" x14ac:dyDescent="0.25">
      <c r="A2052" s="1">
        <v>2051</v>
      </c>
      <c r="B2052" t="s">
        <v>1878</v>
      </c>
      <c r="C2052" t="s">
        <v>1134</v>
      </c>
      <c r="D2052" t="s">
        <v>1138</v>
      </c>
      <c r="E2052" t="s">
        <v>1144</v>
      </c>
      <c r="H2052" t="s">
        <v>1153</v>
      </c>
      <c r="I2052" t="s">
        <v>1153</v>
      </c>
      <c r="J2052" t="s">
        <v>1342</v>
      </c>
      <c r="K2052" t="s">
        <v>1212</v>
      </c>
      <c r="M2052" s="3">
        <f t="shared" si="128"/>
        <v>76.285714285714292</v>
      </c>
      <c r="N2052">
        <v>33</v>
      </c>
      <c r="O2052">
        <v>86</v>
      </c>
      <c r="P2052">
        <v>80</v>
      </c>
      <c r="Q2052">
        <v>92</v>
      </c>
      <c r="R2052">
        <v>94</v>
      </c>
      <c r="S2052">
        <v>96</v>
      </c>
      <c r="T2052">
        <v>53</v>
      </c>
      <c r="U2052">
        <v>0</v>
      </c>
      <c r="V2052" s="3">
        <f t="shared" si="129"/>
        <v>6674707</v>
      </c>
      <c r="W2052">
        <v>556225.58333333337</v>
      </c>
      <c r="X2052">
        <v>0</v>
      </c>
      <c r="Y2052">
        <f t="shared" si="130"/>
        <v>556225.58333333337</v>
      </c>
      <c r="Z2052">
        <f t="shared" si="131"/>
        <v>0</v>
      </c>
      <c r="AA2052">
        <v>0</v>
      </c>
    </row>
    <row r="2053" spans="1:27" x14ac:dyDescent="0.25">
      <c r="A2053" s="1">
        <v>2052</v>
      </c>
      <c r="B2053" t="s">
        <v>393</v>
      </c>
      <c r="C2053" t="s">
        <v>1134</v>
      </c>
      <c r="D2053" t="s">
        <v>1138</v>
      </c>
      <c r="G2053" t="s">
        <v>1204</v>
      </c>
      <c r="H2053" t="s">
        <v>1204</v>
      </c>
      <c r="I2053" t="s">
        <v>1204</v>
      </c>
      <c r="J2053" t="s">
        <v>1342</v>
      </c>
      <c r="K2053" t="s">
        <v>1212</v>
      </c>
      <c r="M2053" s="3">
        <f t="shared" si="128"/>
        <v>70</v>
      </c>
      <c r="N2053">
        <v>40</v>
      </c>
      <c r="O2053">
        <v>67</v>
      </c>
      <c r="P2053">
        <v>70</v>
      </c>
      <c r="Q2053">
        <v>74</v>
      </c>
      <c r="R2053">
        <v>84</v>
      </c>
      <c r="S2053">
        <v>90</v>
      </c>
      <c r="T2053">
        <v>65</v>
      </c>
      <c r="U2053">
        <v>0</v>
      </c>
      <c r="V2053" s="3">
        <f t="shared" si="129"/>
        <v>2824753</v>
      </c>
      <c r="W2053">
        <v>235396.08333333334</v>
      </c>
      <c r="X2053">
        <v>0</v>
      </c>
      <c r="Y2053">
        <f t="shared" si="130"/>
        <v>235396.08333333334</v>
      </c>
      <c r="Z2053">
        <f t="shared" si="131"/>
        <v>0</v>
      </c>
      <c r="AA2053">
        <v>0</v>
      </c>
    </row>
    <row r="2054" spans="1:27" x14ac:dyDescent="0.25">
      <c r="A2054" s="1">
        <v>2053</v>
      </c>
      <c r="B2054" t="s">
        <v>139</v>
      </c>
      <c r="C2054" t="s">
        <v>1134</v>
      </c>
      <c r="D2054" t="s">
        <v>1140</v>
      </c>
      <c r="G2054" t="s">
        <v>1152</v>
      </c>
      <c r="H2054" t="s">
        <v>1152</v>
      </c>
      <c r="I2054" t="s">
        <v>1152</v>
      </c>
      <c r="J2054" t="s">
        <v>1342</v>
      </c>
      <c r="K2054" t="s">
        <v>1212</v>
      </c>
      <c r="M2054" s="3">
        <f t="shared" si="128"/>
        <v>79.428571428571431</v>
      </c>
      <c r="N2054">
        <v>70</v>
      </c>
      <c r="O2054">
        <v>93</v>
      </c>
      <c r="P2054">
        <v>81</v>
      </c>
      <c r="Q2054">
        <v>82</v>
      </c>
      <c r="R2054">
        <v>81</v>
      </c>
      <c r="S2054">
        <v>79</v>
      </c>
      <c r="T2054">
        <v>70</v>
      </c>
      <c r="U2054">
        <v>23</v>
      </c>
      <c r="V2054" s="3">
        <f t="shared" si="129"/>
        <v>14991973</v>
      </c>
      <c r="W2054">
        <v>1249331.0833333333</v>
      </c>
      <c r="X2054">
        <v>0</v>
      </c>
      <c r="Y2054">
        <f t="shared" si="130"/>
        <v>1249331.0833333333</v>
      </c>
      <c r="Z2054">
        <f t="shared" si="131"/>
        <v>0</v>
      </c>
      <c r="AA2054">
        <v>0</v>
      </c>
    </row>
    <row r="2055" spans="1:27" x14ac:dyDescent="0.25">
      <c r="A2055" s="1">
        <v>2054</v>
      </c>
      <c r="B2055" t="s">
        <v>1882</v>
      </c>
      <c r="C2055" t="s">
        <v>1134</v>
      </c>
      <c r="D2055" t="s">
        <v>1140</v>
      </c>
      <c r="E2055" t="s">
        <v>1147</v>
      </c>
      <c r="H2055" t="s">
        <v>1153</v>
      </c>
      <c r="I2055" t="s">
        <v>1153</v>
      </c>
      <c r="J2055" t="s">
        <v>1342</v>
      </c>
      <c r="K2055" t="s">
        <v>1212</v>
      </c>
      <c r="M2055" s="3">
        <f t="shared" si="128"/>
        <v>71</v>
      </c>
      <c r="N2055">
        <v>28</v>
      </c>
      <c r="O2055">
        <v>80</v>
      </c>
      <c r="P2055">
        <v>72</v>
      </c>
      <c r="Q2055">
        <v>80</v>
      </c>
      <c r="R2055">
        <v>84</v>
      </c>
      <c r="S2055">
        <v>87</v>
      </c>
      <c r="T2055">
        <v>66</v>
      </c>
      <c r="U2055">
        <v>23</v>
      </c>
      <c r="V2055" s="3">
        <f t="shared" si="129"/>
        <v>4882866</v>
      </c>
      <c r="W2055">
        <v>406905.5</v>
      </c>
      <c r="X2055">
        <v>0</v>
      </c>
      <c r="Y2055">
        <f t="shared" si="130"/>
        <v>406905.5</v>
      </c>
      <c r="Z2055">
        <f t="shared" si="131"/>
        <v>0</v>
      </c>
      <c r="AA2055">
        <v>0</v>
      </c>
    </row>
    <row r="2056" spans="1:27" x14ac:dyDescent="0.25">
      <c r="A2056" s="1">
        <v>2055</v>
      </c>
      <c r="B2056" t="s">
        <v>1874</v>
      </c>
      <c r="C2056" t="s">
        <v>1134</v>
      </c>
      <c r="D2056" t="s">
        <v>1139</v>
      </c>
      <c r="E2056" t="s">
        <v>1138</v>
      </c>
      <c r="H2056" t="s">
        <v>1153</v>
      </c>
      <c r="I2056" t="s">
        <v>1153</v>
      </c>
      <c r="J2056" t="s">
        <v>1342</v>
      </c>
      <c r="K2056" t="s">
        <v>1212</v>
      </c>
      <c r="M2056" s="3">
        <f t="shared" si="128"/>
        <v>68.857142857142861</v>
      </c>
      <c r="N2056">
        <v>26</v>
      </c>
      <c r="O2056">
        <v>76</v>
      </c>
      <c r="P2056">
        <v>72</v>
      </c>
      <c r="Q2056">
        <v>84</v>
      </c>
      <c r="R2056">
        <v>90</v>
      </c>
      <c r="S2056">
        <v>92</v>
      </c>
      <c r="T2056">
        <v>42</v>
      </c>
      <c r="U2056">
        <v>0</v>
      </c>
      <c r="V2056" s="3">
        <f t="shared" si="129"/>
        <v>2396018</v>
      </c>
      <c r="W2056">
        <v>199668.16666666666</v>
      </c>
      <c r="X2056">
        <v>0</v>
      </c>
      <c r="Y2056">
        <f t="shared" si="130"/>
        <v>199668.16666666666</v>
      </c>
      <c r="Z2056">
        <f t="shared" si="131"/>
        <v>0</v>
      </c>
      <c r="AA2056">
        <v>0</v>
      </c>
    </row>
    <row r="2057" spans="1:27" x14ac:dyDescent="0.25">
      <c r="A2057" s="1">
        <v>2056</v>
      </c>
      <c r="B2057" t="s">
        <v>172</v>
      </c>
      <c r="C2057" t="s">
        <v>1134</v>
      </c>
      <c r="D2057" t="s">
        <v>1138</v>
      </c>
      <c r="E2057" t="s">
        <v>1140</v>
      </c>
      <c r="G2057" t="s">
        <v>1158</v>
      </c>
      <c r="H2057" t="s">
        <v>1158</v>
      </c>
      <c r="I2057" t="s">
        <v>1158</v>
      </c>
      <c r="J2057" t="s">
        <v>1342</v>
      </c>
      <c r="K2057" t="s">
        <v>1212</v>
      </c>
      <c r="M2057" s="3">
        <f t="shared" si="128"/>
        <v>73.714285714285708</v>
      </c>
      <c r="N2057">
        <v>62</v>
      </c>
      <c r="O2057">
        <v>88</v>
      </c>
      <c r="P2057">
        <v>41</v>
      </c>
      <c r="Q2057">
        <v>71</v>
      </c>
      <c r="R2057">
        <v>79</v>
      </c>
      <c r="S2057">
        <v>95</v>
      </c>
      <c r="T2057">
        <v>80</v>
      </c>
      <c r="U2057">
        <v>0</v>
      </c>
      <c r="V2057" s="3">
        <f t="shared" si="129"/>
        <v>4737145</v>
      </c>
      <c r="W2057">
        <v>394762.08333333331</v>
      </c>
      <c r="X2057">
        <v>0</v>
      </c>
      <c r="Y2057">
        <f t="shared" si="130"/>
        <v>394762.08333333331</v>
      </c>
      <c r="Z2057">
        <f t="shared" si="131"/>
        <v>0</v>
      </c>
      <c r="AA2057">
        <v>0</v>
      </c>
    </row>
    <row r="2058" spans="1:27" x14ac:dyDescent="0.25">
      <c r="A2058" s="1">
        <v>2057</v>
      </c>
      <c r="B2058" t="s">
        <v>1879</v>
      </c>
      <c r="C2058" t="s">
        <v>1135</v>
      </c>
      <c r="D2058" t="s">
        <v>1141</v>
      </c>
      <c r="E2058" t="s">
        <v>1142</v>
      </c>
      <c r="H2058" t="s">
        <v>1153</v>
      </c>
      <c r="I2058" t="s">
        <v>1153</v>
      </c>
      <c r="J2058" t="s">
        <v>1342</v>
      </c>
      <c r="K2058" t="s">
        <v>1212</v>
      </c>
      <c r="M2058" s="3">
        <f t="shared" si="128"/>
        <v>79.428571428571431</v>
      </c>
      <c r="N2058">
        <v>44</v>
      </c>
      <c r="O2058">
        <v>90</v>
      </c>
      <c r="P2058">
        <v>90</v>
      </c>
      <c r="Q2058">
        <v>91</v>
      </c>
      <c r="R2058">
        <v>92</v>
      </c>
      <c r="S2058">
        <v>95</v>
      </c>
      <c r="T2058">
        <v>54</v>
      </c>
      <c r="U2058">
        <v>7</v>
      </c>
      <c r="V2058" s="3">
        <f t="shared" si="129"/>
        <v>14991973</v>
      </c>
      <c r="W2058">
        <v>1249331.0833333333</v>
      </c>
      <c r="X2058">
        <v>0</v>
      </c>
      <c r="Y2058">
        <f t="shared" si="130"/>
        <v>1249331.0833333333</v>
      </c>
      <c r="Z2058">
        <f t="shared" si="131"/>
        <v>0</v>
      </c>
      <c r="AA2058">
        <v>0</v>
      </c>
    </row>
    <row r="2059" spans="1:27" x14ac:dyDescent="0.25">
      <c r="A2059" s="1">
        <v>2058</v>
      </c>
      <c r="B2059" t="s">
        <v>618</v>
      </c>
      <c r="C2059" t="s">
        <v>1135</v>
      </c>
      <c r="D2059" t="s">
        <v>1141</v>
      </c>
      <c r="G2059" t="s">
        <v>1208</v>
      </c>
      <c r="H2059" t="s">
        <v>1208</v>
      </c>
      <c r="I2059" t="s">
        <v>1208</v>
      </c>
      <c r="J2059" t="s">
        <v>1342</v>
      </c>
      <c r="K2059" t="s">
        <v>1212</v>
      </c>
      <c r="M2059" s="3">
        <f t="shared" si="128"/>
        <v>58.428571428571431</v>
      </c>
      <c r="N2059">
        <v>32</v>
      </c>
      <c r="O2059">
        <v>70</v>
      </c>
      <c r="P2059">
        <v>68</v>
      </c>
      <c r="Q2059">
        <v>57</v>
      </c>
      <c r="R2059">
        <v>68</v>
      </c>
      <c r="S2059">
        <v>70</v>
      </c>
      <c r="T2059">
        <v>44</v>
      </c>
      <c r="U2059">
        <v>0</v>
      </c>
      <c r="V2059" s="3">
        <f t="shared" si="129"/>
        <v>463717</v>
      </c>
      <c r="W2059">
        <v>38643.083333333336</v>
      </c>
      <c r="X2059">
        <v>0</v>
      </c>
      <c r="Y2059">
        <f t="shared" si="130"/>
        <v>38643.083333333336</v>
      </c>
      <c r="Z2059">
        <f t="shared" si="131"/>
        <v>0</v>
      </c>
      <c r="AA2059">
        <v>0</v>
      </c>
    </row>
    <row r="2060" spans="1:27" x14ac:dyDescent="0.25">
      <c r="A2060" s="1">
        <v>2059</v>
      </c>
      <c r="B2060" t="s">
        <v>610</v>
      </c>
      <c r="C2060" t="s">
        <v>1135</v>
      </c>
      <c r="D2060" t="s">
        <v>1142</v>
      </c>
      <c r="G2060" t="s">
        <v>1204</v>
      </c>
      <c r="H2060" t="s">
        <v>1204</v>
      </c>
      <c r="I2060" t="s">
        <v>1204</v>
      </c>
      <c r="J2060" t="s">
        <v>1342</v>
      </c>
      <c r="K2060" t="s">
        <v>1212</v>
      </c>
      <c r="M2060" s="3">
        <f t="shared" si="128"/>
        <v>73.714285714285708</v>
      </c>
      <c r="N2060">
        <v>60</v>
      </c>
      <c r="O2060">
        <v>80</v>
      </c>
      <c r="P2060">
        <v>80</v>
      </c>
      <c r="Q2060">
        <v>76</v>
      </c>
      <c r="R2060">
        <v>75</v>
      </c>
      <c r="S2060">
        <v>75</v>
      </c>
      <c r="T2060">
        <v>70</v>
      </c>
      <c r="U2060">
        <v>19</v>
      </c>
      <c r="V2060" s="3">
        <f t="shared" si="129"/>
        <v>7105717</v>
      </c>
      <c r="W2060">
        <v>145548.33333333334</v>
      </c>
      <c r="X2060">
        <v>0</v>
      </c>
      <c r="Y2060">
        <f t="shared" si="130"/>
        <v>592143.08333333337</v>
      </c>
      <c r="Z2060">
        <f t="shared" si="131"/>
        <v>-75.42</v>
      </c>
      <c r="AA2060">
        <v>0</v>
      </c>
    </row>
    <row r="2061" spans="1:27" x14ac:dyDescent="0.25">
      <c r="A2061" s="1">
        <v>2060</v>
      </c>
      <c r="B2061" t="s">
        <v>1006</v>
      </c>
      <c r="C2061" t="s">
        <v>1136</v>
      </c>
      <c r="D2061" t="s">
        <v>1143</v>
      </c>
      <c r="E2061" t="s">
        <v>1144</v>
      </c>
      <c r="G2061" t="s">
        <v>1208</v>
      </c>
      <c r="H2061" t="s">
        <v>1153</v>
      </c>
      <c r="I2061" t="s">
        <v>1153</v>
      </c>
      <c r="J2061" t="s">
        <v>1342</v>
      </c>
      <c r="K2061" t="s">
        <v>1212</v>
      </c>
      <c r="M2061" s="3">
        <f t="shared" si="128"/>
        <v>72.142857142857139</v>
      </c>
      <c r="N2061">
        <v>55</v>
      </c>
      <c r="O2061">
        <v>75</v>
      </c>
      <c r="P2061">
        <v>77</v>
      </c>
      <c r="Q2061">
        <v>73</v>
      </c>
      <c r="R2061">
        <v>74</v>
      </c>
      <c r="S2061">
        <v>80</v>
      </c>
      <c r="T2061">
        <v>71</v>
      </c>
      <c r="U2061">
        <v>0</v>
      </c>
      <c r="V2061" s="3">
        <f t="shared" si="129"/>
        <v>3818857</v>
      </c>
      <c r="W2061">
        <v>318238.08333333331</v>
      </c>
      <c r="X2061">
        <v>0</v>
      </c>
      <c r="Y2061">
        <f t="shared" si="130"/>
        <v>318238.08333333331</v>
      </c>
      <c r="Z2061">
        <f t="shared" si="131"/>
        <v>0</v>
      </c>
      <c r="AA2061">
        <v>0</v>
      </c>
    </row>
    <row r="2062" spans="1:27" x14ac:dyDescent="0.25">
      <c r="A2062" s="1">
        <v>2061</v>
      </c>
      <c r="B2062" t="s">
        <v>1877</v>
      </c>
      <c r="C2062" t="s">
        <v>1136</v>
      </c>
      <c r="D2062" t="s">
        <v>1145</v>
      </c>
      <c r="E2062" t="s">
        <v>1143</v>
      </c>
      <c r="H2062" t="s">
        <v>1153</v>
      </c>
      <c r="I2062" t="s">
        <v>1153</v>
      </c>
      <c r="J2062" t="s">
        <v>1342</v>
      </c>
      <c r="K2062" t="s">
        <v>1212</v>
      </c>
      <c r="M2062" s="3">
        <f t="shared" si="128"/>
        <v>71.571428571428569</v>
      </c>
      <c r="N2062">
        <v>31</v>
      </c>
      <c r="O2062">
        <v>82</v>
      </c>
      <c r="P2062">
        <v>78</v>
      </c>
      <c r="Q2062">
        <v>90</v>
      </c>
      <c r="R2062">
        <v>86</v>
      </c>
      <c r="S2062">
        <v>88</v>
      </c>
      <c r="T2062">
        <v>46</v>
      </c>
      <c r="U2062">
        <v>0</v>
      </c>
      <c r="V2062" s="3">
        <f t="shared" si="129"/>
        <v>3526931</v>
      </c>
      <c r="W2062">
        <v>293910.91666666669</v>
      </c>
      <c r="X2062">
        <v>0</v>
      </c>
      <c r="Y2062">
        <f t="shared" si="130"/>
        <v>293910.91666666669</v>
      </c>
      <c r="Z2062">
        <f t="shared" si="131"/>
        <v>0</v>
      </c>
      <c r="AA2062">
        <v>0</v>
      </c>
    </row>
    <row r="2063" spans="1:27" x14ac:dyDescent="0.25">
      <c r="A2063" s="1">
        <v>2062</v>
      </c>
      <c r="B2063" t="s">
        <v>1875</v>
      </c>
      <c r="C2063" t="s">
        <v>1136</v>
      </c>
      <c r="D2063" t="s">
        <v>1146</v>
      </c>
      <c r="E2063" t="s">
        <v>1144</v>
      </c>
      <c r="H2063" t="s">
        <v>1153</v>
      </c>
      <c r="I2063" t="s">
        <v>1153</v>
      </c>
      <c r="J2063" t="s">
        <v>1342</v>
      </c>
      <c r="K2063" t="s">
        <v>1212</v>
      </c>
      <c r="M2063" s="3">
        <f t="shared" si="128"/>
        <v>69.428571428571431</v>
      </c>
      <c r="N2063">
        <v>28</v>
      </c>
      <c r="O2063">
        <v>90</v>
      </c>
      <c r="P2063">
        <v>76</v>
      </c>
      <c r="Q2063">
        <v>84</v>
      </c>
      <c r="R2063">
        <v>82</v>
      </c>
      <c r="S2063">
        <v>85</v>
      </c>
      <c r="T2063">
        <v>41</v>
      </c>
      <c r="U2063">
        <v>0</v>
      </c>
      <c r="V2063" s="3">
        <f t="shared" si="129"/>
        <v>2602450</v>
      </c>
      <c r="W2063">
        <v>216870.83333333334</v>
      </c>
      <c r="X2063">
        <v>0</v>
      </c>
      <c r="Y2063">
        <f t="shared" si="130"/>
        <v>216870.83333333334</v>
      </c>
      <c r="Z2063">
        <f t="shared" si="131"/>
        <v>0</v>
      </c>
      <c r="AA2063">
        <v>0</v>
      </c>
    </row>
    <row r="2064" spans="1:27" x14ac:dyDescent="0.25">
      <c r="A2064" s="1">
        <v>2063</v>
      </c>
      <c r="B2064" t="s">
        <v>1880</v>
      </c>
      <c r="C2064" t="s">
        <v>1136</v>
      </c>
      <c r="D2064" t="s">
        <v>1143</v>
      </c>
      <c r="E2064" t="s">
        <v>1144</v>
      </c>
      <c r="H2064" t="s">
        <v>1153</v>
      </c>
      <c r="I2064" t="s">
        <v>1153</v>
      </c>
      <c r="J2064" t="s">
        <v>1342</v>
      </c>
      <c r="K2064" t="s">
        <v>1212</v>
      </c>
      <c r="M2064" s="3">
        <f t="shared" si="128"/>
        <v>64.714285714285708</v>
      </c>
      <c r="N2064">
        <v>26</v>
      </c>
      <c r="O2064">
        <v>70</v>
      </c>
      <c r="P2064">
        <v>74</v>
      </c>
      <c r="Q2064">
        <v>82</v>
      </c>
      <c r="R2064">
        <v>80</v>
      </c>
      <c r="S2064">
        <v>83</v>
      </c>
      <c r="T2064">
        <v>38</v>
      </c>
      <c r="U2064">
        <v>0</v>
      </c>
      <c r="V2064" s="3">
        <f t="shared" si="129"/>
        <v>1288255</v>
      </c>
      <c r="W2064">
        <v>107354.58333333333</v>
      </c>
      <c r="X2064">
        <v>0</v>
      </c>
      <c r="Y2064">
        <f t="shared" si="130"/>
        <v>107354.58333333333</v>
      </c>
      <c r="Z2064">
        <f t="shared" si="131"/>
        <v>0</v>
      </c>
      <c r="AA2064">
        <v>0</v>
      </c>
    </row>
    <row r="2065" spans="1:27" x14ac:dyDescent="0.25">
      <c r="A2065" s="1">
        <v>2064</v>
      </c>
      <c r="B2065" t="s">
        <v>660</v>
      </c>
      <c r="C2065" t="s">
        <v>1136</v>
      </c>
      <c r="D2065" t="s">
        <v>1143</v>
      </c>
      <c r="E2065" t="s">
        <v>1147</v>
      </c>
      <c r="G2065" t="s">
        <v>1152</v>
      </c>
      <c r="H2065" t="s">
        <v>1152</v>
      </c>
      <c r="I2065" t="s">
        <v>1152</v>
      </c>
      <c r="J2065" t="s">
        <v>1342</v>
      </c>
      <c r="K2065" t="s">
        <v>1212</v>
      </c>
      <c r="M2065" s="3">
        <f t="shared" si="128"/>
        <v>59.285714285714285</v>
      </c>
      <c r="N2065">
        <v>22</v>
      </c>
      <c r="O2065">
        <v>57</v>
      </c>
      <c r="P2065">
        <v>71</v>
      </c>
      <c r="Q2065">
        <v>68</v>
      </c>
      <c r="R2065">
        <v>78</v>
      </c>
      <c r="S2065">
        <v>88</v>
      </c>
      <c r="T2065">
        <v>31</v>
      </c>
      <c r="U2065">
        <v>0</v>
      </c>
      <c r="V2065" s="3">
        <f t="shared" si="129"/>
        <v>536415</v>
      </c>
      <c r="W2065">
        <v>44701.25</v>
      </c>
      <c r="X2065">
        <v>0</v>
      </c>
      <c r="Y2065">
        <f t="shared" si="130"/>
        <v>44701.25</v>
      </c>
      <c r="Z2065">
        <f t="shared" si="131"/>
        <v>0</v>
      </c>
      <c r="AA2065">
        <v>0</v>
      </c>
    </row>
    <row r="2066" spans="1:27" x14ac:dyDescent="0.25">
      <c r="A2066" s="1">
        <v>2065</v>
      </c>
      <c r="B2066" t="s">
        <v>1876</v>
      </c>
      <c r="C2066" t="s">
        <v>1136</v>
      </c>
      <c r="D2066" t="s">
        <v>1147</v>
      </c>
      <c r="E2066" t="s">
        <v>1146</v>
      </c>
      <c r="H2066" t="s">
        <v>1153</v>
      </c>
      <c r="I2066" t="s">
        <v>1153</v>
      </c>
      <c r="J2066" t="s">
        <v>1342</v>
      </c>
      <c r="K2066" t="s">
        <v>1212</v>
      </c>
      <c r="M2066" s="3">
        <f t="shared" si="128"/>
        <v>69.428571428571431</v>
      </c>
      <c r="N2066">
        <v>29</v>
      </c>
      <c r="O2066">
        <v>80</v>
      </c>
      <c r="P2066">
        <v>78</v>
      </c>
      <c r="Q2066">
        <v>86</v>
      </c>
      <c r="R2066">
        <v>84</v>
      </c>
      <c r="S2066">
        <v>86</v>
      </c>
      <c r="T2066">
        <v>43</v>
      </c>
      <c r="U2066">
        <v>0</v>
      </c>
      <c r="V2066" s="3">
        <f t="shared" si="129"/>
        <v>2602450</v>
      </c>
      <c r="W2066">
        <v>216870.83333333334</v>
      </c>
      <c r="X2066">
        <v>0</v>
      </c>
      <c r="Y2066">
        <f t="shared" si="130"/>
        <v>216870.83333333334</v>
      </c>
      <c r="Z2066">
        <f t="shared" si="131"/>
        <v>0</v>
      </c>
      <c r="AA2066">
        <v>0</v>
      </c>
    </row>
    <row r="2067" spans="1:27" x14ac:dyDescent="0.25">
      <c r="A2067" s="1">
        <v>2066</v>
      </c>
      <c r="B2067" t="s">
        <v>1881</v>
      </c>
      <c r="C2067" t="s">
        <v>1136</v>
      </c>
      <c r="D2067" t="s">
        <v>1144</v>
      </c>
      <c r="E2067" t="s">
        <v>1143</v>
      </c>
      <c r="H2067" t="s">
        <v>1153</v>
      </c>
      <c r="I2067" t="s">
        <v>1153</v>
      </c>
      <c r="J2067" t="s">
        <v>1342</v>
      </c>
      <c r="K2067" t="s">
        <v>1212</v>
      </c>
      <c r="M2067" s="3">
        <f t="shared" si="128"/>
        <v>75.571428571428569</v>
      </c>
      <c r="N2067">
        <v>34</v>
      </c>
      <c r="O2067">
        <v>88</v>
      </c>
      <c r="P2067">
        <v>84</v>
      </c>
      <c r="Q2067">
        <v>94</v>
      </c>
      <c r="R2067">
        <v>88</v>
      </c>
      <c r="S2067">
        <v>90</v>
      </c>
      <c r="T2067">
        <v>51</v>
      </c>
      <c r="U2067">
        <v>0</v>
      </c>
      <c r="V2067" s="3">
        <f t="shared" si="129"/>
        <v>6075421</v>
      </c>
      <c r="W2067">
        <v>506285.08333333331</v>
      </c>
      <c r="X2067">
        <v>0</v>
      </c>
      <c r="Y2067">
        <f t="shared" si="130"/>
        <v>506285.08333333331</v>
      </c>
      <c r="Z2067">
        <f t="shared" si="131"/>
        <v>0</v>
      </c>
      <c r="AA2067">
        <v>0</v>
      </c>
    </row>
    <row r="2068" spans="1:27" x14ac:dyDescent="0.25">
      <c r="A2068" s="1">
        <v>2067</v>
      </c>
      <c r="B2068" t="s">
        <v>984</v>
      </c>
      <c r="C2068" t="s">
        <v>1136</v>
      </c>
      <c r="D2068" t="s">
        <v>1145</v>
      </c>
      <c r="G2068" t="s">
        <v>1204</v>
      </c>
      <c r="H2068" t="s">
        <v>1204</v>
      </c>
      <c r="I2068" t="s">
        <v>1204</v>
      </c>
      <c r="J2068" t="s">
        <v>1342</v>
      </c>
      <c r="K2068" t="s">
        <v>1212</v>
      </c>
      <c r="M2068" s="3">
        <f t="shared" si="128"/>
        <v>53.571428571428569</v>
      </c>
      <c r="N2068">
        <v>53</v>
      </c>
      <c r="O2068">
        <v>58</v>
      </c>
      <c r="P2068">
        <v>74</v>
      </c>
      <c r="Q2068">
        <v>55</v>
      </c>
      <c r="R2068">
        <v>56</v>
      </c>
      <c r="S2068">
        <v>50</v>
      </c>
      <c r="T2068">
        <v>29</v>
      </c>
      <c r="U2068">
        <v>0</v>
      </c>
      <c r="V2068" s="3">
        <f t="shared" si="129"/>
        <v>194685</v>
      </c>
      <c r="W2068">
        <v>16223.75</v>
      </c>
      <c r="X2068">
        <v>0</v>
      </c>
      <c r="Y2068">
        <f t="shared" si="130"/>
        <v>16223.75</v>
      </c>
      <c r="Z2068">
        <f t="shared" si="131"/>
        <v>0</v>
      </c>
      <c r="AA2068">
        <v>0</v>
      </c>
    </row>
    <row r="2069" spans="1:27" x14ac:dyDescent="0.25">
      <c r="A2069" s="1">
        <v>2068</v>
      </c>
      <c r="B2069" t="s">
        <v>1883</v>
      </c>
      <c r="C2069" t="s">
        <v>1137</v>
      </c>
      <c r="D2069" t="s">
        <v>1137</v>
      </c>
      <c r="H2069" t="s">
        <v>1153</v>
      </c>
      <c r="I2069" t="s">
        <v>1153</v>
      </c>
      <c r="J2069" t="s">
        <v>1342</v>
      </c>
      <c r="K2069" t="s">
        <v>1212</v>
      </c>
      <c r="M2069" s="3">
        <f t="shared" si="128"/>
        <v>71.857142857142861</v>
      </c>
      <c r="N2069">
        <v>31</v>
      </c>
      <c r="O2069">
        <v>82</v>
      </c>
      <c r="P2069">
        <v>76</v>
      </c>
      <c r="Q2069">
        <v>86</v>
      </c>
      <c r="R2069">
        <v>88</v>
      </c>
      <c r="S2069">
        <v>90</v>
      </c>
      <c r="T2069">
        <v>50</v>
      </c>
      <c r="U2069">
        <v>0</v>
      </c>
      <c r="V2069" s="3">
        <f t="shared" si="129"/>
        <v>3670283</v>
      </c>
      <c r="W2069">
        <v>305856.91666666669</v>
      </c>
      <c r="X2069">
        <v>0</v>
      </c>
      <c r="Y2069">
        <f t="shared" si="130"/>
        <v>305856.91666666669</v>
      </c>
      <c r="Z2069">
        <f t="shared" si="131"/>
        <v>0</v>
      </c>
      <c r="AA2069">
        <v>0</v>
      </c>
    </row>
    <row r="2070" spans="1:27" x14ac:dyDescent="0.25">
      <c r="A2070" s="1">
        <v>2069</v>
      </c>
      <c r="B2070" t="s">
        <v>94</v>
      </c>
      <c r="C2070" t="s">
        <v>1133</v>
      </c>
      <c r="D2070" t="s">
        <v>1133</v>
      </c>
      <c r="G2070" t="s">
        <v>1199</v>
      </c>
      <c r="H2070" t="s">
        <v>1153</v>
      </c>
      <c r="I2070" t="s">
        <v>1153</v>
      </c>
      <c r="J2070" t="s">
        <v>1343</v>
      </c>
      <c r="K2070" t="s">
        <v>1212</v>
      </c>
      <c r="M2070" s="3">
        <f t="shared" si="128"/>
        <v>95.571428571428569</v>
      </c>
      <c r="N2070">
        <v>95</v>
      </c>
      <c r="O2070">
        <v>80</v>
      </c>
      <c r="P2070">
        <v>95</v>
      </c>
      <c r="Q2070">
        <v>99</v>
      </c>
      <c r="R2070">
        <v>100</v>
      </c>
      <c r="S2070">
        <v>100</v>
      </c>
      <c r="T2070">
        <v>100</v>
      </c>
      <c r="U2070">
        <v>29</v>
      </c>
      <c r="V2070" s="3">
        <f t="shared" si="129"/>
        <v>95361273</v>
      </c>
      <c r="W2070">
        <v>7946772.75</v>
      </c>
      <c r="X2070">
        <v>0</v>
      </c>
      <c r="Y2070">
        <f t="shared" si="130"/>
        <v>7946772.75</v>
      </c>
      <c r="Z2070">
        <f t="shared" si="131"/>
        <v>0</v>
      </c>
      <c r="AA2070">
        <v>0</v>
      </c>
    </row>
    <row r="2071" spans="1:27" x14ac:dyDescent="0.25">
      <c r="A2071" s="1">
        <v>2070</v>
      </c>
      <c r="B2071" t="s">
        <v>1441</v>
      </c>
      <c r="C2071" t="s">
        <v>1134</v>
      </c>
      <c r="D2071" t="s">
        <v>1139</v>
      </c>
      <c r="H2071" t="s">
        <v>1153</v>
      </c>
      <c r="I2071" t="s">
        <v>1153</v>
      </c>
      <c r="J2071" t="s">
        <v>1343</v>
      </c>
      <c r="K2071" t="s">
        <v>1212</v>
      </c>
      <c r="M2071" s="3">
        <f t="shared" si="128"/>
        <v>74.428571428571431</v>
      </c>
      <c r="N2071">
        <v>40</v>
      </c>
      <c r="O2071">
        <v>83</v>
      </c>
      <c r="P2071">
        <v>90</v>
      </c>
      <c r="Q2071">
        <v>89</v>
      </c>
      <c r="R2071">
        <v>84</v>
      </c>
      <c r="S2071">
        <v>70</v>
      </c>
      <c r="T2071">
        <v>65</v>
      </c>
      <c r="U2071">
        <v>0</v>
      </c>
      <c r="V2071" s="3">
        <f t="shared" si="129"/>
        <v>5216712</v>
      </c>
      <c r="W2071">
        <v>434726</v>
      </c>
      <c r="X2071">
        <v>0</v>
      </c>
      <c r="Y2071">
        <f t="shared" si="130"/>
        <v>434726</v>
      </c>
      <c r="Z2071">
        <f t="shared" si="131"/>
        <v>0</v>
      </c>
      <c r="AA2071">
        <v>0</v>
      </c>
    </row>
    <row r="2072" spans="1:27" x14ac:dyDescent="0.25">
      <c r="A2072" s="1">
        <v>2071</v>
      </c>
      <c r="B2072" t="s">
        <v>126</v>
      </c>
      <c r="C2072" t="s">
        <v>1134</v>
      </c>
      <c r="D2072" t="s">
        <v>1138</v>
      </c>
      <c r="E2072" t="s">
        <v>1140</v>
      </c>
      <c r="G2072" t="s">
        <v>1150</v>
      </c>
      <c r="H2072" t="s">
        <v>1150</v>
      </c>
      <c r="I2072" t="s">
        <v>1150</v>
      </c>
      <c r="J2072" t="s">
        <v>1343</v>
      </c>
      <c r="K2072" t="s">
        <v>1212</v>
      </c>
      <c r="M2072" s="3">
        <f t="shared" si="128"/>
        <v>80.428571428571431</v>
      </c>
      <c r="N2072">
        <v>68</v>
      </c>
      <c r="O2072">
        <v>77</v>
      </c>
      <c r="P2072">
        <v>79</v>
      </c>
      <c r="Q2072">
        <v>80</v>
      </c>
      <c r="R2072">
        <v>90</v>
      </c>
      <c r="S2072">
        <v>89</v>
      </c>
      <c r="T2072">
        <v>80</v>
      </c>
      <c r="U2072">
        <v>28</v>
      </c>
      <c r="V2072" s="3">
        <f t="shared" si="129"/>
        <v>16990056</v>
      </c>
      <c r="W2072">
        <v>1415838</v>
      </c>
      <c r="X2072">
        <v>0</v>
      </c>
      <c r="Y2072">
        <f t="shared" si="130"/>
        <v>1415838</v>
      </c>
      <c r="Z2072">
        <f t="shared" si="131"/>
        <v>0</v>
      </c>
      <c r="AA2072">
        <v>0</v>
      </c>
    </row>
    <row r="2073" spans="1:27" x14ac:dyDescent="0.25">
      <c r="A2073" s="1">
        <v>2072</v>
      </c>
      <c r="B2073" t="s">
        <v>372</v>
      </c>
      <c r="C2073" t="s">
        <v>1134</v>
      </c>
      <c r="D2073" t="s">
        <v>1139</v>
      </c>
      <c r="E2073" t="s">
        <v>1140</v>
      </c>
      <c r="F2073" t="s">
        <v>1138</v>
      </c>
      <c r="G2073" t="s">
        <v>1199</v>
      </c>
      <c r="H2073" t="s">
        <v>1153</v>
      </c>
      <c r="I2073" t="s">
        <v>1153</v>
      </c>
      <c r="J2073" t="s">
        <v>1343</v>
      </c>
      <c r="K2073" t="s">
        <v>1212</v>
      </c>
      <c r="M2073" s="3">
        <f t="shared" si="128"/>
        <v>91.857142857142861</v>
      </c>
      <c r="N2073">
        <v>92</v>
      </c>
      <c r="O2073">
        <v>88</v>
      </c>
      <c r="P2073">
        <v>92</v>
      </c>
      <c r="Q2073">
        <v>90</v>
      </c>
      <c r="R2073">
        <v>91</v>
      </c>
      <c r="S2073">
        <v>96</v>
      </c>
      <c r="T2073">
        <v>94</v>
      </c>
      <c r="U2073">
        <v>26</v>
      </c>
      <c r="V2073" s="3">
        <f t="shared" si="129"/>
        <v>64153535</v>
      </c>
      <c r="W2073">
        <v>5346127.916666667</v>
      </c>
      <c r="X2073">
        <v>0</v>
      </c>
      <c r="Y2073">
        <f t="shared" si="130"/>
        <v>5346127.916666667</v>
      </c>
      <c r="Z2073">
        <f t="shared" si="131"/>
        <v>0</v>
      </c>
      <c r="AA2073">
        <v>0</v>
      </c>
    </row>
    <row r="2074" spans="1:27" x14ac:dyDescent="0.25">
      <c r="A2074" s="1">
        <v>2073</v>
      </c>
      <c r="B2074" t="s">
        <v>2575</v>
      </c>
      <c r="C2074" t="s">
        <v>1134</v>
      </c>
      <c r="D2074" t="s">
        <v>1139</v>
      </c>
      <c r="E2074" t="s">
        <v>1146</v>
      </c>
      <c r="H2074" t="s">
        <v>1153</v>
      </c>
      <c r="I2074" t="s">
        <v>1153</v>
      </c>
      <c r="J2074" t="s">
        <v>1343</v>
      </c>
      <c r="K2074" t="s">
        <v>1212</v>
      </c>
      <c r="M2074" s="3">
        <f t="shared" si="128"/>
        <v>76</v>
      </c>
      <c r="N2074">
        <v>42</v>
      </c>
      <c r="O2074">
        <v>92</v>
      </c>
      <c r="P2074">
        <v>86</v>
      </c>
      <c r="Q2074">
        <v>82</v>
      </c>
      <c r="R2074">
        <v>80</v>
      </c>
      <c r="S2074">
        <v>80</v>
      </c>
      <c r="T2074">
        <v>70</v>
      </c>
      <c r="U2074">
        <v>23</v>
      </c>
      <c r="V2074" s="3">
        <f t="shared" si="129"/>
        <v>9643334</v>
      </c>
      <c r="W2074">
        <v>803611.16666666663</v>
      </c>
      <c r="X2074">
        <v>0</v>
      </c>
      <c r="Y2074">
        <f t="shared" si="130"/>
        <v>803611.16666666663</v>
      </c>
      <c r="Z2074">
        <f t="shared" si="131"/>
        <v>0</v>
      </c>
      <c r="AA2074">
        <v>0</v>
      </c>
    </row>
    <row r="2075" spans="1:27" x14ac:dyDescent="0.25">
      <c r="A2075" s="1">
        <v>2074</v>
      </c>
      <c r="B2075" t="s">
        <v>148</v>
      </c>
      <c r="C2075" t="s">
        <v>1134</v>
      </c>
      <c r="D2075" t="s">
        <v>1140</v>
      </c>
      <c r="E2075" t="s">
        <v>1138</v>
      </c>
      <c r="F2075" t="s">
        <v>1144</v>
      </c>
      <c r="G2075" t="s">
        <v>1153</v>
      </c>
      <c r="H2075" t="s">
        <v>1153</v>
      </c>
      <c r="I2075" t="s">
        <v>1153</v>
      </c>
      <c r="J2075" t="s">
        <v>1343</v>
      </c>
      <c r="K2075" t="s">
        <v>1212</v>
      </c>
      <c r="M2075" s="3">
        <f t="shared" si="128"/>
        <v>89.285714285714292</v>
      </c>
      <c r="N2075">
        <v>83</v>
      </c>
      <c r="O2075">
        <v>85</v>
      </c>
      <c r="P2075">
        <v>88</v>
      </c>
      <c r="Q2075">
        <v>94</v>
      </c>
      <c r="R2075">
        <v>90</v>
      </c>
      <c r="S2075">
        <v>98</v>
      </c>
      <c r="T2075">
        <v>87</v>
      </c>
      <c r="U2075">
        <v>28</v>
      </c>
      <c r="V2075" s="3">
        <f t="shared" si="129"/>
        <v>48295986</v>
      </c>
      <c r="W2075">
        <v>4024665.5</v>
      </c>
      <c r="X2075">
        <v>0</v>
      </c>
      <c r="Y2075">
        <f t="shared" si="130"/>
        <v>4024665.5</v>
      </c>
      <c r="Z2075">
        <f t="shared" si="131"/>
        <v>0</v>
      </c>
      <c r="AA2075">
        <v>0</v>
      </c>
    </row>
    <row r="2076" spans="1:27" x14ac:dyDescent="0.25">
      <c r="A2076" s="1">
        <v>2075</v>
      </c>
      <c r="B2076" t="s">
        <v>193</v>
      </c>
      <c r="C2076" t="s">
        <v>1134</v>
      </c>
      <c r="D2076" t="s">
        <v>1138</v>
      </c>
      <c r="E2076" t="s">
        <v>1139</v>
      </c>
      <c r="F2076" t="s">
        <v>1140</v>
      </c>
      <c r="G2076" t="s">
        <v>1162</v>
      </c>
      <c r="H2076" t="s">
        <v>1162</v>
      </c>
      <c r="I2076" t="s">
        <v>1162</v>
      </c>
      <c r="J2076" t="s">
        <v>1343</v>
      </c>
      <c r="K2076" t="s">
        <v>1212</v>
      </c>
      <c r="M2076" s="3">
        <f t="shared" si="128"/>
        <v>85.857142857142861</v>
      </c>
      <c r="N2076">
        <v>80</v>
      </c>
      <c r="O2076">
        <v>75</v>
      </c>
      <c r="P2076">
        <v>92</v>
      </c>
      <c r="Q2076">
        <v>84</v>
      </c>
      <c r="R2076">
        <v>90</v>
      </c>
      <c r="S2076">
        <v>93</v>
      </c>
      <c r="T2076">
        <v>87</v>
      </c>
      <c r="U2076">
        <v>26</v>
      </c>
      <c r="V2076" s="3">
        <f t="shared" si="129"/>
        <v>32647925</v>
      </c>
      <c r="W2076">
        <v>2720660.4166666665</v>
      </c>
      <c r="X2076">
        <v>0</v>
      </c>
      <c r="Y2076">
        <f t="shared" si="130"/>
        <v>2720660.4166666665</v>
      </c>
      <c r="Z2076">
        <f t="shared" si="131"/>
        <v>0</v>
      </c>
      <c r="AA2076">
        <v>0</v>
      </c>
    </row>
    <row r="2077" spans="1:27" x14ac:dyDescent="0.25">
      <c r="A2077" s="1">
        <v>2076</v>
      </c>
      <c r="B2077" t="s">
        <v>1442</v>
      </c>
      <c r="C2077" t="s">
        <v>1134</v>
      </c>
      <c r="D2077" t="s">
        <v>1140</v>
      </c>
      <c r="H2077" t="s">
        <v>1153</v>
      </c>
      <c r="I2077" t="s">
        <v>1153</v>
      </c>
      <c r="J2077" t="s">
        <v>1343</v>
      </c>
      <c r="K2077" t="s">
        <v>1212</v>
      </c>
      <c r="M2077" s="3">
        <f t="shared" si="128"/>
        <v>71.714285714285708</v>
      </c>
      <c r="N2077">
        <v>44</v>
      </c>
      <c r="O2077">
        <v>84</v>
      </c>
      <c r="P2077">
        <v>75</v>
      </c>
      <c r="Q2077">
        <v>72</v>
      </c>
      <c r="R2077">
        <v>84</v>
      </c>
      <c r="S2077">
        <v>80</v>
      </c>
      <c r="T2077">
        <v>63</v>
      </c>
      <c r="U2077">
        <v>0</v>
      </c>
      <c r="V2077" s="3">
        <f t="shared" si="129"/>
        <v>3597964</v>
      </c>
      <c r="W2077">
        <v>299830.33333333331</v>
      </c>
      <c r="X2077">
        <v>0</v>
      </c>
      <c r="Y2077">
        <f t="shared" si="130"/>
        <v>299830.33333333331</v>
      </c>
      <c r="Z2077">
        <f t="shared" si="131"/>
        <v>0</v>
      </c>
      <c r="AA2077">
        <v>0</v>
      </c>
    </row>
    <row r="2078" spans="1:27" x14ac:dyDescent="0.25">
      <c r="A2078" s="1">
        <v>2077</v>
      </c>
      <c r="B2078" t="s">
        <v>147</v>
      </c>
      <c r="C2078" t="s">
        <v>1134</v>
      </c>
      <c r="D2078" t="s">
        <v>1138</v>
      </c>
      <c r="E2078" t="s">
        <v>1144</v>
      </c>
      <c r="F2078" t="s">
        <v>1139</v>
      </c>
      <c r="G2078" t="s">
        <v>1153</v>
      </c>
      <c r="H2078" t="s">
        <v>1153</v>
      </c>
      <c r="I2078" t="s">
        <v>1153</v>
      </c>
      <c r="J2078" t="s">
        <v>1343</v>
      </c>
      <c r="K2078" t="s">
        <v>1212</v>
      </c>
      <c r="M2078" s="3">
        <f t="shared" si="128"/>
        <v>89.714285714285708</v>
      </c>
      <c r="N2078">
        <v>85</v>
      </c>
      <c r="O2078">
        <v>82</v>
      </c>
      <c r="P2078">
        <v>90</v>
      </c>
      <c r="Q2078">
        <v>91</v>
      </c>
      <c r="R2078">
        <v>93</v>
      </c>
      <c r="S2078">
        <v>97</v>
      </c>
      <c r="T2078">
        <v>90</v>
      </c>
      <c r="U2078">
        <v>27</v>
      </c>
      <c r="V2078" s="3">
        <f t="shared" si="129"/>
        <v>50664913</v>
      </c>
      <c r="W2078">
        <v>4222076.083333333</v>
      </c>
      <c r="X2078">
        <v>0</v>
      </c>
      <c r="Y2078">
        <f t="shared" si="130"/>
        <v>4222076.083333333</v>
      </c>
      <c r="Z2078">
        <f t="shared" si="131"/>
        <v>0</v>
      </c>
      <c r="AA2078">
        <v>0</v>
      </c>
    </row>
    <row r="2079" spans="1:27" x14ac:dyDescent="0.25">
      <c r="A2079" s="1">
        <v>2078</v>
      </c>
      <c r="B2079" t="s">
        <v>452</v>
      </c>
      <c r="C2079" t="s">
        <v>1135</v>
      </c>
      <c r="D2079" t="s">
        <v>1141</v>
      </c>
      <c r="E2079" t="s">
        <v>1145</v>
      </c>
      <c r="F2079" t="s">
        <v>1142</v>
      </c>
      <c r="G2079" t="s">
        <v>1153</v>
      </c>
      <c r="H2079" t="s">
        <v>1218</v>
      </c>
      <c r="I2079" t="s">
        <v>1218</v>
      </c>
      <c r="J2079" t="s">
        <v>1343</v>
      </c>
      <c r="K2079" t="s">
        <v>1212</v>
      </c>
      <c r="M2079" s="3">
        <f t="shared" si="128"/>
        <v>94</v>
      </c>
      <c r="N2079">
        <v>96</v>
      </c>
      <c r="O2079">
        <v>90</v>
      </c>
      <c r="P2079">
        <v>96</v>
      </c>
      <c r="Q2079">
        <v>96</v>
      </c>
      <c r="R2079">
        <v>92</v>
      </c>
      <c r="S2079">
        <v>93</v>
      </c>
      <c r="T2079">
        <v>95</v>
      </c>
      <c r="U2079">
        <v>7</v>
      </c>
      <c r="V2079" s="3">
        <f t="shared" si="129"/>
        <v>80792268</v>
      </c>
      <c r="W2079">
        <v>6732689</v>
      </c>
      <c r="X2079">
        <v>0</v>
      </c>
      <c r="Y2079">
        <f t="shared" si="130"/>
        <v>6732689</v>
      </c>
      <c r="Z2079">
        <f t="shared" si="131"/>
        <v>0</v>
      </c>
      <c r="AA2079">
        <v>0</v>
      </c>
    </row>
    <row r="2080" spans="1:27" x14ac:dyDescent="0.25">
      <c r="A2080" s="1">
        <v>2079</v>
      </c>
      <c r="B2080" t="s">
        <v>619</v>
      </c>
      <c r="C2080" t="s">
        <v>1135</v>
      </c>
      <c r="D2080" t="s">
        <v>1141</v>
      </c>
      <c r="E2080" t="s">
        <v>1145</v>
      </c>
      <c r="G2080" t="s">
        <v>1208</v>
      </c>
      <c r="H2080" t="s">
        <v>1153</v>
      </c>
      <c r="I2080" t="s">
        <v>1153</v>
      </c>
      <c r="J2080" t="s">
        <v>1343</v>
      </c>
      <c r="K2080" t="s">
        <v>1212</v>
      </c>
      <c r="M2080" s="3">
        <f t="shared" si="128"/>
        <v>91.142857142857139</v>
      </c>
      <c r="N2080">
        <v>89</v>
      </c>
      <c r="O2080">
        <v>86</v>
      </c>
      <c r="P2080">
        <v>95</v>
      </c>
      <c r="Q2080">
        <v>93</v>
      </c>
      <c r="R2080">
        <v>89</v>
      </c>
      <c r="S2080">
        <v>92</v>
      </c>
      <c r="T2080">
        <v>94</v>
      </c>
      <c r="U2080">
        <v>7</v>
      </c>
      <c r="V2080" s="3">
        <f t="shared" si="129"/>
        <v>59335916</v>
      </c>
      <c r="W2080">
        <v>4944659.666666667</v>
      </c>
      <c r="X2080">
        <v>0</v>
      </c>
      <c r="Y2080">
        <f t="shared" si="130"/>
        <v>4944659.666666667</v>
      </c>
      <c r="Z2080">
        <f t="shared" si="131"/>
        <v>0</v>
      </c>
      <c r="AA2080">
        <v>0</v>
      </c>
    </row>
    <row r="2081" spans="1:27" x14ac:dyDescent="0.25">
      <c r="A2081" s="1">
        <v>2080</v>
      </c>
      <c r="B2081" t="s">
        <v>492</v>
      </c>
      <c r="C2081" t="s">
        <v>1135</v>
      </c>
      <c r="D2081" t="s">
        <v>1142</v>
      </c>
      <c r="E2081" t="s">
        <v>1146</v>
      </c>
      <c r="G2081" t="s">
        <v>1166</v>
      </c>
      <c r="H2081" t="s">
        <v>1166</v>
      </c>
      <c r="I2081" t="s">
        <v>1166</v>
      </c>
      <c r="J2081" t="s">
        <v>1343</v>
      </c>
      <c r="K2081" t="s">
        <v>1212</v>
      </c>
      <c r="M2081" s="3">
        <f t="shared" si="128"/>
        <v>87.428571428571431</v>
      </c>
      <c r="N2081">
        <v>86</v>
      </c>
      <c r="O2081">
        <v>93</v>
      </c>
      <c r="P2081">
        <v>86</v>
      </c>
      <c r="Q2081">
        <v>94</v>
      </c>
      <c r="R2081">
        <v>84</v>
      </c>
      <c r="S2081">
        <v>80</v>
      </c>
      <c r="T2081">
        <v>89</v>
      </c>
      <c r="U2081">
        <v>5</v>
      </c>
      <c r="V2081" s="3">
        <f t="shared" si="129"/>
        <v>39140384</v>
      </c>
      <c r="W2081">
        <v>3261698.6666666665</v>
      </c>
      <c r="X2081">
        <v>0</v>
      </c>
      <c r="Y2081">
        <f t="shared" si="130"/>
        <v>3261698.6666666665</v>
      </c>
      <c r="Z2081">
        <f t="shared" si="131"/>
        <v>0</v>
      </c>
      <c r="AA2081">
        <v>0</v>
      </c>
    </row>
    <row r="2082" spans="1:27" x14ac:dyDescent="0.25">
      <c r="A2082" s="1">
        <v>2081</v>
      </c>
      <c r="B2082" t="s">
        <v>1447</v>
      </c>
      <c r="C2082" t="s">
        <v>1135</v>
      </c>
      <c r="D2082" t="s">
        <v>1141</v>
      </c>
      <c r="H2082" t="s">
        <v>1153</v>
      </c>
      <c r="I2082" t="s">
        <v>1153</v>
      </c>
      <c r="J2082" t="s">
        <v>1343</v>
      </c>
      <c r="K2082" t="s">
        <v>1212</v>
      </c>
      <c r="M2082" s="3">
        <f t="shared" si="128"/>
        <v>77.285714285714292</v>
      </c>
      <c r="N2082">
        <v>45</v>
      </c>
      <c r="O2082">
        <v>73</v>
      </c>
      <c r="P2082">
        <v>88</v>
      </c>
      <c r="Q2082">
        <v>81</v>
      </c>
      <c r="R2082">
        <v>90</v>
      </c>
      <c r="S2082">
        <v>91</v>
      </c>
      <c r="T2082">
        <v>73</v>
      </c>
      <c r="U2082">
        <v>6</v>
      </c>
      <c r="V2082" s="3">
        <f t="shared" si="129"/>
        <v>11404691</v>
      </c>
      <c r="W2082">
        <v>950390.91666666663</v>
      </c>
      <c r="X2082">
        <v>0</v>
      </c>
      <c r="Y2082">
        <f t="shared" si="130"/>
        <v>950390.91666666663</v>
      </c>
      <c r="Z2082">
        <f t="shared" si="131"/>
        <v>0</v>
      </c>
      <c r="AA2082">
        <v>0</v>
      </c>
    </row>
    <row r="2083" spans="1:27" x14ac:dyDescent="0.25">
      <c r="A2083" s="1">
        <v>2082</v>
      </c>
      <c r="B2083" t="s">
        <v>1446</v>
      </c>
      <c r="C2083" t="s">
        <v>1136</v>
      </c>
      <c r="D2083" t="s">
        <v>1145</v>
      </c>
      <c r="E2083" t="s">
        <v>1143</v>
      </c>
      <c r="H2083" t="s">
        <v>1153</v>
      </c>
      <c r="I2083" t="s">
        <v>1153</v>
      </c>
      <c r="J2083" t="s">
        <v>1343</v>
      </c>
      <c r="K2083" t="s">
        <v>1212</v>
      </c>
      <c r="M2083" s="3">
        <f t="shared" si="128"/>
        <v>69</v>
      </c>
      <c r="N2083">
        <v>30</v>
      </c>
      <c r="O2083">
        <v>80</v>
      </c>
      <c r="P2083">
        <v>75</v>
      </c>
      <c r="Q2083">
        <v>76</v>
      </c>
      <c r="R2083">
        <v>71</v>
      </c>
      <c r="S2083">
        <v>81</v>
      </c>
      <c r="T2083">
        <v>70</v>
      </c>
      <c r="U2083">
        <v>0</v>
      </c>
      <c r="V2083" s="3">
        <f t="shared" si="129"/>
        <v>2446195</v>
      </c>
      <c r="W2083">
        <v>203849.58333333334</v>
      </c>
      <c r="X2083">
        <v>0</v>
      </c>
      <c r="Y2083">
        <f t="shared" si="130"/>
        <v>203849.58333333334</v>
      </c>
      <c r="Z2083">
        <f t="shared" si="131"/>
        <v>0</v>
      </c>
      <c r="AA2083">
        <v>0</v>
      </c>
    </row>
    <row r="2084" spans="1:27" x14ac:dyDescent="0.25">
      <c r="A2084" s="1">
        <v>2083</v>
      </c>
      <c r="B2084" t="s">
        <v>667</v>
      </c>
      <c r="C2084" t="s">
        <v>1136</v>
      </c>
      <c r="D2084" t="s">
        <v>1143</v>
      </c>
      <c r="E2084" t="s">
        <v>1147</v>
      </c>
      <c r="F2084" t="s">
        <v>1145</v>
      </c>
      <c r="G2084" t="s">
        <v>1153</v>
      </c>
      <c r="H2084" t="s">
        <v>1153</v>
      </c>
      <c r="I2084" t="s">
        <v>1153</v>
      </c>
      <c r="J2084" t="s">
        <v>1343</v>
      </c>
      <c r="K2084" t="s">
        <v>1212</v>
      </c>
      <c r="M2084" s="3">
        <f t="shared" si="128"/>
        <v>93.857142857142861</v>
      </c>
      <c r="N2084">
        <v>99</v>
      </c>
      <c r="O2084">
        <v>98</v>
      </c>
      <c r="P2084">
        <v>93</v>
      </c>
      <c r="Q2084">
        <v>100</v>
      </c>
      <c r="R2084">
        <v>86</v>
      </c>
      <c r="S2084">
        <v>82</v>
      </c>
      <c r="T2084">
        <v>99</v>
      </c>
      <c r="U2084">
        <v>8</v>
      </c>
      <c r="V2084" s="3">
        <f t="shared" si="129"/>
        <v>79572785</v>
      </c>
      <c r="W2084">
        <v>6631065.416666667</v>
      </c>
      <c r="X2084">
        <v>0</v>
      </c>
      <c r="Y2084">
        <f t="shared" si="130"/>
        <v>6631065.416666667</v>
      </c>
      <c r="Z2084">
        <f t="shared" si="131"/>
        <v>0</v>
      </c>
      <c r="AA2084">
        <v>0</v>
      </c>
    </row>
    <row r="2085" spans="1:27" x14ac:dyDescent="0.25">
      <c r="A2085" s="1">
        <v>2084</v>
      </c>
      <c r="B2085" t="s">
        <v>1443</v>
      </c>
      <c r="C2085" t="s">
        <v>1136</v>
      </c>
      <c r="D2085" t="s">
        <v>1147</v>
      </c>
      <c r="E2085" t="s">
        <v>1143</v>
      </c>
      <c r="H2085" t="s">
        <v>1153</v>
      </c>
      <c r="I2085" t="s">
        <v>1153</v>
      </c>
      <c r="J2085" t="s">
        <v>1343</v>
      </c>
      <c r="K2085" t="s">
        <v>1212</v>
      </c>
      <c r="M2085" s="3">
        <f t="shared" si="128"/>
        <v>70.142857142857139</v>
      </c>
      <c r="N2085">
        <v>30</v>
      </c>
      <c r="O2085">
        <v>85</v>
      </c>
      <c r="P2085">
        <v>85</v>
      </c>
      <c r="Q2085">
        <v>76</v>
      </c>
      <c r="R2085">
        <v>82</v>
      </c>
      <c r="S2085">
        <v>73</v>
      </c>
      <c r="T2085">
        <v>60</v>
      </c>
      <c r="U2085">
        <v>0</v>
      </c>
      <c r="V2085" s="3">
        <f t="shared" si="129"/>
        <v>2882933</v>
      </c>
      <c r="W2085">
        <v>240244.41666666666</v>
      </c>
      <c r="X2085">
        <v>0</v>
      </c>
      <c r="Y2085">
        <f t="shared" si="130"/>
        <v>240244.41666666666</v>
      </c>
      <c r="Z2085">
        <f t="shared" si="131"/>
        <v>0</v>
      </c>
      <c r="AA2085">
        <v>0</v>
      </c>
    </row>
    <row r="2086" spans="1:27" x14ac:dyDescent="0.25">
      <c r="A2086" s="1">
        <v>2085</v>
      </c>
      <c r="B2086" t="s">
        <v>1445</v>
      </c>
      <c r="C2086" t="s">
        <v>1136</v>
      </c>
      <c r="D2086" t="s">
        <v>1144</v>
      </c>
      <c r="E2086" t="s">
        <v>1143</v>
      </c>
      <c r="H2086" t="s">
        <v>1153</v>
      </c>
      <c r="I2086" t="s">
        <v>1153</v>
      </c>
      <c r="J2086" t="s">
        <v>1343</v>
      </c>
      <c r="K2086" t="s">
        <v>1212</v>
      </c>
      <c r="M2086" s="3">
        <f t="shared" si="128"/>
        <v>73.142857142857139</v>
      </c>
      <c r="N2086">
        <v>48</v>
      </c>
      <c r="O2086">
        <v>78</v>
      </c>
      <c r="P2086">
        <v>72</v>
      </c>
      <c r="Q2086">
        <v>70</v>
      </c>
      <c r="R2086">
        <v>88</v>
      </c>
      <c r="S2086">
        <v>76</v>
      </c>
      <c r="T2086">
        <v>80</v>
      </c>
      <c r="U2086">
        <v>18</v>
      </c>
      <c r="V2086" s="3">
        <f t="shared" si="129"/>
        <v>6573709</v>
      </c>
      <c r="W2086">
        <v>547809.08333333337</v>
      </c>
      <c r="X2086">
        <v>0</v>
      </c>
      <c r="Y2086">
        <f t="shared" si="130"/>
        <v>547809.08333333337</v>
      </c>
      <c r="Z2086">
        <f t="shared" si="131"/>
        <v>0</v>
      </c>
      <c r="AA2086">
        <v>0</v>
      </c>
    </row>
    <row r="2087" spans="1:27" x14ac:dyDescent="0.25">
      <c r="A2087" s="1">
        <v>2086</v>
      </c>
      <c r="B2087" t="s">
        <v>962</v>
      </c>
      <c r="C2087" t="s">
        <v>1136</v>
      </c>
      <c r="D2087" t="s">
        <v>1144</v>
      </c>
      <c r="E2087" t="s">
        <v>1143</v>
      </c>
      <c r="F2087" t="s">
        <v>1138</v>
      </c>
      <c r="G2087" t="s">
        <v>1200</v>
      </c>
      <c r="H2087" t="s">
        <v>1200</v>
      </c>
      <c r="I2087" t="s">
        <v>1200</v>
      </c>
      <c r="J2087" t="s">
        <v>1343</v>
      </c>
      <c r="K2087" t="s">
        <v>1212</v>
      </c>
      <c r="M2087" s="3">
        <f t="shared" si="128"/>
        <v>93.285714285714292</v>
      </c>
      <c r="N2087">
        <v>93</v>
      </c>
      <c r="O2087">
        <v>95</v>
      </c>
      <c r="P2087">
        <v>93</v>
      </c>
      <c r="Q2087">
        <v>92</v>
      </c>
      <c r="R2087">
        <v>97</v>
      </c>
      <c r="S2087">
        <v>93</v>
      </c>
      <c r="T2087">
        <v>90</v>
      </c>
      <c r="U2087">
        <v>23</v>
      </c>
      <c r="V2087" s="3">
        <f t="shared" si="129"/>
        <v>74858768</v>
      </c>
      <c r="W2087">
        <v>6238230.666666667</v>
      </c>
      <c r="X2087">
        <v>0</v>
      </c>
      <c r="Y2087">
        <f t="shared" si="130"/>
        <v>6238230.666666667</v>
      </c>
      <c r="Z2087">
        <f t="shared" si="131"/>
        <v>0</v>
      </c>
      <c r="AA2087">
        <v>0</v>
      </c>
    </row>
    <row r="2088" spans="1:27" x14ac:dyDescent="0.25">
      <c r="A2088" s="1">
        <v>2087</v>
      </c>
      <c r="B2088" t="s">
        <v>668</v>
      </c>
      <c r="C2088" t="s">
        <v>1136</v>
      </c>
      <c r="D2088" t="s">
        <v>1146</v>
      </c>
      <c r="E2088" t="s">
        <v>1143</v>
      </c>
      <c r="F2088" t="s">
        <v>1145</v>
      </c>
      <c r="G2088" t="s">
        <v>1153</v>
      </c>
      <c r="H2088" t="s">
        <v>1218</v>
      </c>
      <c r="I2088" t="s">
        <v>1218</v>
      </c>
      <c r="J2088" t="s">
        <v>1343</v>
      </c>
      <c r="K2088" t="s">
        <v>1212</v>
      </c>
      <c r="M2088" s="3">
        <f t="shared" si="128"/>
        <v>88.857142857142861</v>
      </c>
      <c r="N2088">
        <v>88</v>
      </c>
      <c r="O2088">
        <v>97</v>
      </c>
      <c r="P2088">
        <v>85</v>
      </c>
      <c r="Q2088">
        <v>92</v>
      </c>
      <c r="R2088">
        <v>88</v>
      </c>
      <c r="S2088">
        <v>81</v>
      </c>
      <c r="T2088">
        <v>91</v>
      </c>
      <c r="U2088">
        <v>3</v>
      </c>
      <c r="V2088" s="3">
        <f t="shared" si="129"/>
        <v>46027216</v>
      </c>
      <c r="W2088">
        <v>3835601.3333333335</v>
      </c>
      <c r="X2088">
        <v>0</v>
      </c>
      <c r="Y2088">
        <f t="shared" si="130"/>
        <v>3835601.3333333335</v>
      </c>
      <c r="Z2088">
        <f t="shared" si="131"/>
        <v>0</v>
      </c>
      <c r="AA2088">
        <v>0</v>
      </c>
    </row>
    <row r="2089" spans="1:27" x14ac:dyDescent="0.25">
      <c r="A2089" s="1">
        <v>2088</v>
      </c>
      <c r="B2089" t="s">
        <v>669</v>
      </c>
      <c r="C2089" t="s">
        <v>1136</v>
      </c>
      <c r="D2089" t="s">
        <v>1143</v>
      </c>
      <c r="E2089" t="s">
        <v>1144</v>
      </c>
      <c r="F2089" t="s">
        <v>1145</v>
      </c>
      <c r="G2089" t="s">
        <v>1153</v>
      </c>
      <c r="H2089" t="s">
        <v>1153</v>
      </c>
      <c r="I2089" t="s">
        <v>1153</v>
      </c>
      <c r="J2089" t="s">
        <v>1343</v>
      </c>
      <c r="K2089" t="s">
        <v>1212</v>
      </c>
      <c r="M2089" s="3">
        <f t="shared" si="128"/>
        <v>90.714285714285708</v>
      </c>
      <c r="N2089">
        <v>89</v>
      </c>
      <c r="O2089">
        <v>87</v>
      </c>
      <c r="P2089">
        <v>90</v>
      </c>
      <c r="Q2089">
        <v>93</v>
      </c>
      <c r="R2089">
        <v>93</v>
      </c>
      <c r="S2089">
        <v>91</v>
      </c>
      <c r="T2089">
        <v>92</v>
      </c>
      <c r="U2089">
        <v>22</v>
      </c>
      <c r="V2089" s="3">
        <f t="shared" si="129"/>
        <v>56604129</v>
      </c>
      <c r="W2089">
        <v>4717010.75</v>
      </c>
      <c r="X2089">
        <v>0</v>
      </c>
      <c r="Y2089">
        <f t="shared" si="130"/>
        <v>4717010.75</v>
      </c>
      <c r="Z2089">
        <f t="shared" si="131"/>
        <v>0</v>
      </c>
      <c r="AA2089">
        <v>0</v>
      </c>
    </row>
    <row r="2090" spans="1:27" x14ac:dyDescent="0.25">
      <c r="A2090" s="1">
        <v>2089</v>
      </c>
      <c r="B2090" t="s">
        <v>678</v>
      </c>
      <c r="C2090" t="s">
        <v>1136</v>
      </c>
      <c r="D2090" t="s">
        <v>1143</v>
      </c>
      <c r="E2090" t="s">
        <v>1145</v>
      </c>
      <c r="F2090" t="s">
        <v>1146</v>
      </c>
      <c r="G2090" t="s">
        <v>1155</v>
      </c>
      <c r="H2090" t="s">
        <v>1155</v>
      </c>
      <c r="I2090" t="s">
        <v>1155</v>
      </c>
      <c r="J2090" t="s">
        <v>1343</v>
      </c>
      <c r="K2090" t="s">
        <v>1212</v>
      </c>
      <c r="M2090" s="3">
        <f t="shared" si="128"/>
        <v>93.142857142857139</v>
      </c>
      <c r="N2090">
        <v>92</v>
      </c>
      <c r="O2090">
        <v>92</v>
      </c>
      <c r="P2090">
        <v>93</v>
      </c>
      <c r="Q2090">
        <v>98</v>
      </c>
      <c r="R2090">
        <v>89</v>
      </c>
      <c r="S2090">
        <v>91</v>
      </c>
      <c r="T2090">
        <v>97</v>
      </c>
      <c r="U2090">
        <v>22</v>
      </c>
      <c r="V2090" s="3">
        <f t="shared" si="129"/>
        <v>73720253</v>
      </c>
      <c r="W2090">
        <v>6143354.416666667</v>
      </c>
      <c r="X2090">
        <v>0</v>
      </c>
      <c r="Y2090">
        <f t="shared" si="130"/>
        <v>6143354.416666667</v>
      </c>
      <c r="Z2090">
        <f t="shared" si="131"/>
        <v>0</v>
      </c>
      <c r="AA2090">
        <v>0</v>
      </c>
    </row>
    <row r="2091" spans="1:27" x14ac:dyDescent="0.25">
      <c r="A2091" s="1">
        <v>2090</v>
      </c>
      <c r="B2091" t="s">
        <v>924</v>
      </c>
      <c r="C2091" t="s">
        <v>1136</v>
      </c>
      <c r="D2091" t="s">
        <v>1147</v>
      </c>
      <c r="E2091" t="s">
        <v>1144</v>
      </c>
      <c r="F2091" t="s">
        <v>1143</v>
      </c>
      <c r="G2091" t="s">
        <v>1195</v>
      </c>
      <c r="H2091" t="s">
        <v>1195</v>
      </c>
      <c r="I2091" t="s">
        <v>1195</v>
      </c>
      <c r="J2091" t="s">
        <v>1343</v>
      </c>
      <c r="K2091" t="s">
        <v>1212</v>
      </c>
      <c r="M2091" s="3">
        <f t="shared" si="128"/>
        <v>92.285714285714292</v>
      </c>
      <c r="N2091">
        <v>94</v>
      </c>
      <c r="O2091">
        <v>99</v>
      </c>
      <c r="P2091">
        <v>89</v>
      </c>
      <c r="Q2091">
        <v>92</v>
      </c>
      <c r="R2091">
        <v>89</v>
      </c>
      <c r="S2091">
        <v>87</v>
      </c>
      <c r="T2091">
        <v>96</v>
      </c>
      <c r="U2091">
        <v>10</v>
      </c>
      <c r="V2091" s="3">
        <f t="shared" si="129"/>
        <v>67210332</v>
      </c>
      <c r="W2091">
        <v>5600861</v>
      </c>
      <c r="X2091">
        <v>0</v>
      </c>
      <c r="Y2091">
        <f t="shared" si="130"/>
        <v>5600861</v>
      </c>
      <c r="Z2091">
        <f t="shared" si="131"/>
        <v>0</v>
      </c>
      <c r="AA2091">
        <v>0</v>
      </c>
    </row>
    <row r="2092" spans="1:27" x14ac:dyDescent="0.25">
      <c r="A2092" s="1">
        <v>2091</v>
      </c>
      <c r="B2092" t="s">
        <v>1444</v>
      </c>
      <c r="C2092" t="s">
        <v>1136</v>
      </c>
      <c r="D2092" t="s">
        <v>1146</v>
      </c>
      <c r="E2092" t="s">
        <v>1145</v>
      </c>
      <c r="H2092" t="s">
        <v>1153</v>
      </c>
      <c r="I2092" t="s">
        <v>1153</v>
      </c>
      <c r="J2092" t="s">
        <v>1343</v>
      </c>
      <c r="K2092" t="s">
        <v>1212</v>
      </c>
      <c r="M2092" s="3">
        <f t="shared" si="128"/>
        <v>74.571428571428569</v>
      </c>
      <c r="N2092">
        <v>42</v>
      </c>
      <c r="O2092">
        <v>84</v>
      </c>
      <c r="P2092">
        <v>81</v>
      </c>
      <c r="Q2092">
        <v>88</v>
      </c>
      <c r="R2092">
        <v>82</v>
      </c>
      <c r="S2092">
        <v>87</v>
      </c>
      <c r="T2092">
        <v>58</v>
      </c>
      <c r="U2092">
        <v>0</v>
      </c>
      <c r="V2092" s="3">
        <f t="shared" si="129"/>
        <v>5317710</v>
      </c>
      <c r="W2092">
        <v>443142.5</v>
      </c>
      <c r="X2092">
        <v>0</v>
      </c>
      <c r="Y2092">
        <f t="shared" si="130"/>
        <v>443142.5</v>
      </c>
      <c r="Z2092">
        <f t="shared" si="131"/>
        <v>0</v>
      </c>
      <c r="AA2092">
        <v>0</v>
      </c>
    </row>
    <row r="2093" spans="1:27" x14ac:dyDescent="0.25">
      <c r="A2093" s="1">
        <v>2092</v>
      </c>
      <c r="B2093" t="s">
        <v>1089</v>
      </c>
      <c r="C2093" t="s">
        <v>1137</v>
      </c>
      <c r="D2093" t="s">
        <v>1137</v>
      </c>
      <c r="G2093" t="s">
        <v>1212</v>
      </c>
      <c r="H2093" t="s">
        <v>1159</v>
      </c>
      <c r="I2093" t="s">
        <v>1159</v>
      </c>
      <c r="J2093" t="s">
        <v>1343</v>
      </c>
      <c r="K2093" t="s">
        <v>1212</v>
      </c>
      <c r="M2093" s="3">
        <f t="shared" si="128"/>
        <v>94.571428571428569</v>
      </c>
      <c r="N2093">
        <v>98</v>
      </c>
      <c r="O2093">
        <v>91</v>
      </c>
      <c r="P2093">
        <v>93</v>
      </c>
      <c r="Q2093">
        <v>100</v>
      </c>
      <c r="R2093">
        <v>90</v>
      </c>
      <c r="S2093">
        <v>92</v>
      </c>
      <c r="T2093">
        <v>98</v>
      </c>
      <c r="U2093">
        <v>0</v>
      </c>
      <c r="V2093" s="3">
        <f t="shared" si="129"/>
        <v>57226805</v>
      </c>
      <c r="W2093">
        <v>4768900.416666667</v>
      </c>
      <c r="X2093">
        <v>0</v>
      </c>
      <c r="Y2093">
        <f t="shared" si="130"/>
        <v>4768900.416666667</v>
      </c>
      <c r="Z2093">
        <f t="shared" si="131"/>
        <v>0</v>
      </c>
      <c r="AA2093">
        <v>0</v>
      </c>
    </row>
    <row r="2094" spans="1:27" x14ac:dyDescent="0.25">
      <c r="A2094" s="1">
        <v>2093</v>
      </c>
      <c r="B2094" t="s">
        <v>61</v>
      </c>
      <c r="C2094" t="s">
        <v>1133</v>
      </c>
      <c r="D2094" t="s">
        <v>1133</v>
      </c>
      <c r="G2094" t="s">
        <v>1175</v>
      </c>
      <c r="H2094" t="s">
        <v>1175</v>
      </c>
      <c r="I2094" t="s">
        <v>1175</v>
      </c>
      <c r="J2094" t="s">
        <v>1249</v>
      </c>
      <c r="K2094" t="s">
        <v>1212</v>
      </c>
      <c r="M2094" s="3">
        <f t="shared" si="128"/>
        <v>91</v>
      </c>
      <c r="N2094">
        <v>86</v>
      </c>
      <c r="O2094">
        <v>88</v>
      </c>
      <c r="P2094">
        <v>88</v>
      </c>
      <c r="Q2094">
        <v>85</v>
      </c>
      <c r="R2094">
        <v>99</v>
      </c>
      <c r="S2094">
        <v>97</v>
      </c>
      <c r="T2094">
        <v>94</v>
      </c>
      <c r="U2094">
        <v>29</v>
      </c>
      <c r="V2094" s="3">
        <f t="shared" si="129"/>
        <v>58412418</v>
      </c>
      <c r="W2094">
        <v>4867701.5</v>
      </c>
      <c r="X2094">
        <v>0</v>
      </c>
      <c r="Y2094">
        <f t="shared" si="130"/>
        <v>4867701.5</v>
      </c>
      <c r="Z2094">
        <f t="shared" si="131"/>
        <v>0</v>
      </c>
      <c r="AA2094">
        <v>0</v>
      </c>
    </row>
    <row r="2095" spans="1:27" x14ac:dyDescent="0.25">
      <c r="A2095" s="1">
        <v>2094</v>
      </c>
      <c r="B2095" t="s">
        <v>1700</v>
      </c>
      <c r="C2095" t="s">
        <v>1133</v>
      </c>
      <c r="D2095" t="s">
        <v>1133</v>
      </c>
      <c r="H2095" t="s">
        <v>1175</v>
      </c>
      <c r="I2095" t="s">
        <v>1175</v>
      </c>
      <c r="J2095" t="s">
        <v>1249</v>
      </c>
      <c r="K2095" t="s">
        <v>1212</v>
      </c>
      <c r="M2095" s="3">
        <f t="shared" si="128"/>
        <v>64.142857142857139</v>
      </c>
      <c r="N2095">
        <v>26</v>
      </c>
      <c r="O2095">
        <v>74</v>
      </c>
      <c r="P2095">
        <v>70</v>
      </c>
      <c r="Q2095">
        <v>76</v>
      </c>
      <c r="R2095">
        <v>79</v>
      </c>
      <c r="S2095">
        <v>80</v>
      </c>
      <c r="T2095">
        <v>44</v>
      </c>
      <c r="U2095">
        <v>0</v>
      </c>
      <c r="V2095" s="3">
        <f t="shared" si="129"/>
        <v>1178917</v>
      </c>
      <c r="W2095">
        <v>98243.083333333328</v>
      </c>
      <c r="X2095">
        <v>0</v>
      </c>
      <c r="Y2095">
        <f t="shared" si="130"/>
        <v>98243.083333333328</v>
      </c>
      <c r="Z2095">
        <f t="shared" si="131"/>
        <v>0</v>
      </c>
      <c r="AA2095">
        <v>0</v>
      </c>
    </row>
    <row r="2096" spans="1:27" x14ac:dyDescent="0.25">
      <c r="A2096" s="1">
        <v>2095</v>
      </c>
      <c r="B2096" t="s">
        <v>168</v>
      </c>
      <c r="C2096" t="s">
        <v>1134</v>
      </c>
      <c r="D2096" t="s">
        <v>1138</v>
      </c>
      <c r="E2096" t="s">
        <v>1140</v>
      </c>
      <c r="G2096" t="s">
        <v>1157</v>
      </c>
      <c r="H2096" t="s">
        <v>1157</v>
      </c>
      <c r="I2096" t="s">
        <v>1157</v>
      </c>
      <c r="J2096" t="s">
        <v>1249</v>
      </c>
      <c r="K2096" t="s">
        <v>1212</v>
      </c>
      <c r="M2096" s="3">
        <f t="shared" si="128"/>
        <v>75.571428571428569</v>
      </c>
      <c r="N2096">
        <v>61</v>
      </c>
      <c r="O2096">
        <v>71</v>
      </c>
      <c r="P2096">
        <v>77</v>
      </c>
      <c r="Q2096">
        <v>67</v>
      </c>
      <c r="R2096">
        <v>80</v>
      </c>
      <c r="S2096">
        <v>87</v>
      </c>
      <c r="T2096">
        <v>86</v>
      </c>
      <c r="U2096">
        <v>0</v>
      </c>
      <c r="V2096" s="3">
        <f t="shared" si="129"/>
        <v>6075421</v>
      </c>
      <c r="W2096">
        <v>506285.08333333331</v>
      </c>
      <c r="X2096">
        <v>0</v>
      </c>
      <c r="Y2096">
        <f t="shared" si="130"/>
        <v>506285.08333333331</v>
      </c>
      <c r="Z2096">
        <f t="shared" si="131"/>
        <v>0</v>
      </c>
      <c r="AA2096">
        <v>0</v>
      </c>
    </row>
    <row r="2097" spans="1:27" x14ac:dyDescent="0.25">
      <c r="A2097" s="1">
        <v>2096</v>
      </c>
      <c r="B2097" t="s">
        <v>2567</v>
      </c>
      <c r="C2097" t="s">
        <v>1134</v>
      </c>
      <c r="D2097" t="s">
        <v>1138</v>
      </c>
      <c r="E2097" t="s">
        <v>1140</v>
      </c>
      <c r="H2097" t="s">
        <v>1175</v>
      </c>
      <c r="I2097" t="s">
        <v>1175</v>
      </c>
      <c r="J2097" t="s">
        <v>1249</v>
      </c>
      <c r="K2097" t="s">
        <v>1212</v>
      </c>
      <c r="M2097" s="3">
        <f t="shared" si="128"/>
        <v>62</v>
      </c>
      <c r="N2097">
        <v>25</v>
      </c>
      <c r="O2097">
        <v>71</v>
      </c>
      <c r="P2097">
        <v>63</v>
      </c>
      <c r="Q2097">
        <v>75</v>
      </c>
      <c r="R2097">
        <v>79</v>
      </c>
      <c r="S2097">
        <v>82</v>
      </c>
      <c r="T2097">
        <v>39</v>
      </c>
      <c r="U2097">
        <v>0</v>
      </c>
      <c r="V2097" s="3">
        <f t="shared" si="129"/>
        <v>839300</v>
      </c>
      <c r="W2097">
        <v>69941.666666666672</v>
      </c>
      <c r="X2097">
        <v>0</v>
      </c>
      <c r="Y2097">
        <f t="shared" si="130"/>
        <v>69941.666666666672</v>
      </c>
      <c r="Z2097">
        <f t="shared" si="131"/>
        <v>0</v>
      </c>
      <c r="AA2097">
        <v>0</v>
      </c>
    </row>
    <row r="2098" spans="1:27" x14ac:dyDescent="0.25">
      <c r="A2098" s="1">
        <v>2097</v>
      </c>
      <c r="B2098" t="s">
        <v>256</v>
      </c>
      <c r="C2098" t="s">
        <v>1134</v>
      </c>
      <c r="D2098" t="s">
        <v>1138</v>
      </c>
      <c r="E2098" t="s">
        <v>1144</v>
      </c>
      <c r="G2098" t="s">
        <v>1175</v>
      </c>
      <c r="H2098" t="s">
        <v>1175</v>
      </c>
      <c r="I2098" t="s">
        <v>1175</v>
      </c>
      <c r="J2098" t="s">
        <v>1249</v>
      </c>
      <c r="K2098" t="s">
        <v>1212</v>
      </c>
      <c r="M2098" s="3">
        <f t="shared" si="128"/>
        <v>73.857142857142861</v>
      </c>
      <c r="N2098">
        <v>60</v>
      </c>
      <c r="O2098">
        <v>65</v>
      </c>
      <c r="P2098">
        <v>75</v>
      </c>
      <c r="Q2098">
        <v>80</v>
      </c>
      <c r="R2098">
        <v>82</v>
      </c>
      <c r="S2098">
        <v>81</v>
      </c>
      <c r="T2098">
        <v>74</v>
      </c>
      <c r="U2098">
        <v>0</v>
      </c>
      <c r="V2098" s="3">
        <f t="shared" si="129"/>
        <v>4829755</v>
      </c>
      <c r="W2098">
        <v>402479.58333333331</v>
      </c>
      <c r="X2098">
        <v>0</v>
      </c>
      <c r="Y2098">
        <f t="shared" si="130"/>
        <v>402479.58333333331</v>
      </c>
      <c r="Z2098">
        <f t="shared" si="131"/>
        <v>0</v>
      </c>
      <c r="AA2098">
        <v>0</v>
      </c>
    </row>
    <row r="2099" spans="1:27" x14ac:dyDescent="0.25">
      <c r="A2099" s="1">
        <v>2098</v>
      </c>
      <c r="B2099" t="s">
        <v>255</v>
      </c>
      <c r="C2099" t="s">
        <v>1134</v>
      </c>
      <c r="D2099" t="s">
        <v>1138</v>
      </c>
      <c r="E2099" t="s">
        <v>1144</v>
      </c>
      <c r="G2099" t="s">
        <v>1175</v>
      </c>
      <c r="H2099" t="s">
        <v>1175</v>
      </c>
      <c r="I2099" t="s">
        <v>1175</v>
      </c>
      <c r="J2099" t="s">
        <v>1249</v>
      </c>
      <c r="K2099" t="s">
        <v>1212</v>
      </c>
      <c r="M2099" s="3">
        <f t="shared" si="128"/>
        <v>75</v>
      </c>
      <c r="N2099">
        <v>65</v>
      </c>
      <c r="O2099">
        <v>70</v>
      </c>
      <c r="P2099">
        <v>80</v>
      </c>
      <c r="Q2099">
        <v>76</v>
      </c>
      <c r="R2099">
        <v>84</v>
      </c>
      <c r="S2099">
        <v>80</v>
      </c>
      <c r="T2099">
        <v>70</v>
      </c>
      <c r="U2099">
        <v>0</v>
      </c>
      <c r="V2099" s="3">
        <f t="shared" si="129"/>
        <v>5631352</v>
      </c>
      <c r="W2099">
        <v>469279.33333333331</v>
      </c>
      <c r="X2099">
        <v>0</v>
      </c>
      <c r="Y2099">
        <f t="shared" si="130"/>
        <v>469279.33333333331</v>
      </c>
      <c r="Z2099">
        <f t="shared" si="131"/>
        <v>0</v>
      </c>
      <c r="AA2099">
        <v>0</v>
      </c>
    </row>
    <row r="2100" spans="1:27" x14ac:dyDescent="0.25">
      <c r="A2100" s="1">
        <v>2099</v>
      </c>
      <c r="B2100" t="s">
        <v>1701</v>
      </c>
      <c r="C2100" t="s">
        <v>1134</v>
      </c>
      <c r="D2100" t="s">
        <v>1138</v>
      </c>
      <c r="E2100" t="s">
        <v>1139</v>
      </c>
      <c r="G2100" t="s">
        <v>1175</v>
      </c>
      <c r="H2100" t="s">
        <v>1175</v>
      </c>
      <c r="I2100" t="s">
        <v>1175</v>
      </c>
      <c r="J2100" t="s">
        <v>1249</v>
      </c>
      <c r="K2100" t="s">
        <v>1212</v>
      </c>
      <c r="M2100" s="3">
        <f t="shared" si="128"/>
        <v>66.714285714285708</v>
      </c>
      <c r="N2100">
        <v>29</v>
      </c>
      <c r="O2100">
        <v>76</v>
      </c>
      <c r="P2100">
        <v>68</v>
      </c>
      <c r="Q2100">
        <v>81</v>
      </c>
      <c r="R2100">
        <v>83</v>
      </c>
      <c r="S2100">
        <v>84</v>
      </c>
      <c r="T2100">
        <v>46</v>
      </c>
      <c r="U2100">
        <v>0</v>
      </c>
      <c r="V2100" s="3">
        <f t="shared" si="129"/>
        <v>1746580</v>
      </c>
      <c r="W2100">
        <v>145548.33333333334</v>
      </c>
      <c r="X2100">
        <v>0</v>
      </c>
      <c r="Y2100">
        <f t="shared" si="130"/>
        <v>145548.33333333334</v>
      </c>
      <c r="Z2100">
        <f t="shared" si="131"/>
        <v>0</v>
      </c>
      <c r="AA2100">
        <v>0</v>
      </c>
    </row>
    <row r="2101" spans="1:27" x14ac:dyDescent="0.25">
      <c r="A2101" s="1">
        <v>2100</v>
      </c>
      <c r="B2101" t="s">
        <v>2635</v>
      </c>
      <c r="C2101" t="s">
        <v>1134</v>
      </c>
      <c r="D2101" t="s">
        <v>1138</v>
      </c>
      <c r="E2101" t="s">
        <v>1144</v>
      </c>
      <c r="H2101" t="s">
        <v>1175</v>
      </c>
      <c r="I2101" t="s">
        <v>1175</v>
      </c>
      <c r="J2101" t="s">
        <v>1249</v>
      </c>
      <c r="K2101" t="s">
        <v>1212</v>
      </c>
      <c r="M2101" s="3">
        <f t="shared" si="128"/>
        <v>58.285714285714285</v>
      </c>
      <c r="N2101">
        <v>21</v>
      </c>
      <c r="O2101">
        <v>66</v>
      </c>
      <c r="P2101">
        <v>60</v>
      </c>
      <c r="Q2101">
        <v>72</v>
      </c>
      <c r="R2101">
        <v>77</v>
      </c>
      <c r="S2101">
        <v>79</v>
      </c>
      <c r="T2101">
        <v>33</v>
      </c>
      <c r="U2101">
        <v>0</v>
      </c>
      <c r="V2101" s="3">
        <f t="shared" si="129"/>
        <v>452503</v>
      </c>
      <c r="W2101">
        <v>37708.583333333336</v>
      </c>
      <c r="X2101">
        <v>0</v>
      </c>
      <c r="Y2101">
        <f t="shared" si="130"/>
        <v>37708.583333333336</v>
      </c>
      <c r="Z2101">
        <f t="shared" si="131"/>
        <v>0</v>
      </c>
      <c r="AA2101">
        <v>0</v>
      </c>
    </row>
    <row r="2102" spans="1:27" x14ac:dyDescent="0.25">
      <c r="A2102" s="1">
        <v>2101</v>
      </c>
      <c r="B2102" t="s">
        <v>257</v>
      </c>
      <c r="C2102" t="s">
        <v>1134</v>
      </c>
      <c r="D2102" t="s">
        <v>1138</v>
      </c>
      <c r="G2102" t="s">
        <v>1175</v>
      </c>
      <c r="H2102" t="s">
        <v>1175</v>
      </c>
      <c r="I2102" t="s">
        <v>1175</v>
      </c>
      <c r="J2102" t="s">
        <v>1249</v>
      </c>
      <c r="K2102" t="s">
        <v>1212</v>
      </c>
      <c r="M2102" s="3">
        <f t="shared" si="128"/>
        <v>71.714285714285708</v>
      </c>
      <c r="N2102">
        <v>62</v>
      </c>
      <c r="O2102">
        <v>69</v>
      </c>
      <c r="P2102">
        <v>70</v>
      </c>
      <c r="Q2102">
        <v>77</v>
      </c>
      <c r="R2102">
        <v>80</v>
      </c>
      <c r="S2102">
        <v>84</v>
      </c>
      <c r="T2102">
        <v>60</v>
      </c>
      <c r="U2102">
        <v>0</v>
      </c>
      <c r="V2102" s="3">
        <f t="shared" si="129"/>
        <v>3597964</v>
      </c>
      <c r="W2102">
        <v>299830.33333333331</v>
      </c>
      <c r="X2102">
        <v>0</v>
      </c>
      <c r="Y2102">
        <f t="shared" si="130"/>
        <v>299830.33333333331</v>
      </c>
      <c r="Z2102">
        <f t="shared" si="131"/>
        <v>0</v>
      </c>
      <c r="AA2102">
        <v>0</v>
      </c>
    </row>
    <row r="2103" spans="1:27" x14ac:dyDescent="0.25">
      <c r="A2103" s="1">
        <v>2102</v>
      </c>
      <c r="B2103" t="s">
        <v>2610</v>
      </c>
      <c r="C2103" t="s">
        <v>1134</v>
      </c>
      <c r="D2103" t="s">
        <v>1138</v>
      </c>
      <c r="G2103" t="s">
        <v>1175</v>
      </c>
      <c r="H2103" t="s">
        <v>1175</v>
      </c>
      <c r="I2103" t="s">
        <v>1175</v>
      </c>
      <c r="J2103" t="s">
        <v>1249</v>
      </c>
      <c r="K2103" t="s">
        <v>1212</v>
      </c>
      <c r="M2103" s="3">
        <f t="shared" si="128"/>
        <v>66.714285714285708</v>
      </c>
      <c r="N2103">
        <v>29</v>
      </c>
      <c r="O2103">
        <v>76</v>
      </c>
      <c r="P2103">
        <v>68</v>
      </c>
      <c r="Q2103">
        <v>81</v>
      </c>
      <c r="R2103">
        <v>83</v>
      </c>
      <c r="S2103">
        <v>84</v>
      </c>
      <c r="T2103">
        <v>46</v>
      </c>
      <c r="U2103">
        <v>0</v>
      </c>
      <c r="V2103" s="3">
        <f t="shared" si="129"/>
        <v>1746580</v>
      </c>
      <c r="W2103">
        <v>145548.33333333334</v>
      </c>
      <c r="X2103">
        <v>0</v>
      </c>
      <c r="Y2103">
        <f t="shared" si="130"/>
        <v>145548.33333333334</v>
      </c>
      <c r="Z2103">
        <f t="shared" si="131"/>
        <v>0</v>
      </c>
      <c r="AA2103">
        <v>0</v>
      </c>
    </row>
    <row r="2104" spans="1:27" x14ac:dyDescent="0.25">
      <c r="A2104" s="1">
        <v>2103</v>
      </c>
      <c r="B2104" t="s">
        <v>2573</v>
      </c>
      <c r="C2104" t="s">
        <v>1135</v>
      </c>
      <c r="D2104" t="s">
        <v>1141</v>
      </c>
      <c r="H2104" t="s">
        <v>1175</v>
      </c>
      <c r="I2104" t="s">
        <v>1175</v>
      </c>
      <c r="J2104" t="s">
        <v>1249</v>
      </c>
      <c r="K2104" t="s">
        <v>1212</v>
      </c>
      <c r="M2104" s="3">
        <f t="shared" si="128"/>
        <v>67.857142857142861</v>
      </c>
      <c r="N2104">
        <v>28</v>
      </c>
      <c r="O2104">
        <v>79</v>
      </c>
      <c r="P2104">
        <v>77</v>
      </c>
      <c r="Q2104">
        <v>78</v>
      </c>
      <c r="R2104">
        <v>82</v>
      </c>
      <c r="S2104">
        <v>86</v>
      </c>
      <c r="T2104">
        <v>45</v>
      </c>
      <c r="U2104">
        <v>0</v>
      </c>
      <c r="V2104" s="3">
        <f t="shared" si="129"/>
        <v>2069931</v>
      </c>
      <c r="W2104">
        <v>172494.25</v>
      </c>
      <c r="X2104">
        <v>0</v>
      </c>
      <c r="Y2104">
        <f t="shared" si="130"/>
        <v>172494.25</v>
      </c>
      <c r="Z2104">
        <f t="shared" si="131"/>
        <v>0</v>
      </c>
      <c r="AA2104">
        <v>0</v>
      </c>
    </row>
    <row r="2105" spans="1:27" x14ac:dyDescent="0.25">
      <c r="A2105" s="1">
        <v>2104</v>
      </c>
      <c r="B2105" t="s">
        <v>519</v>
      </c>
      <c r="C2105" t="s">
        <v>1135</v>
      </c>
      <c r="D2105" t="s">
        <v>1141</v>
      </c>
      <c r="G2105" t="s">
        <v>1175</v>
      </c>
      <c r="H2105" t="s">
        <v>1175</v>
      </c>
      <c r="I2105" t="s">
        <v>1175</v>
      </c>
      <c r="J2105" t="s">
        <v>1249</v>
      </c>
      <c r="K2105" t="s">
        <v>1212</v>
      </c>
      <c r="M2105" s="3">
        <f t="shared" si="128"/>
        <v>89.571428571428569</v>
      </c>
      <c r="N2105">
        <v>85</v>
      </c>
      <c r="O2105">
        <v>94</v>
      </c>
      <c r="P2105">
        <v>91</v>
      </c>
      <c r="Q2105">
        <v>90</v>
      </c>
      <c r="R2105">
        <v>89</v>
      </c>
      <c r="S2105">
        <v>88</v>
      </c>
      <c r="T2105">
        <v>90</v>
      </c>
      <c r="U2105">
        <v>12</v>
      </c>
      <c r="V2105" s="3">
        <f t="shared" si="129"/>
        <v>49863903</v>
      </c>
      <c r="W2105">
        <v>1408687.0833333333</v>
      </c>
      <c r="X2105">
        <v>0</v>
      </c>
      <c r="Y2105">
        <f t="shared" si="130"/>
        <v>4155325.25</v>
      </c>
      <c r="Z2105">
        <f t="shared" si="131"/>
        <v>-66.099999999999994</v>
      </c>
      <c r="AA2105">
        <v>0</v>
      </c>
    </row>
    <row r="2106" spans="1:27" x14ac:dyDescent="0.25">
      <c r="A2106" s="1">
        <v>2105</v>
      </c>
      <c r="B2106" t="s">
        <v>520</v>
      </c>
      <c r="C2106" t="s">
        <v>1135</v>
      </c>
      <c r="D2106" t="s">
        <v>1142</v>
      </c>
      <c r="E2106" t="s">
        <v>1147</v>
      </c>
      <c r="G2106" t="s">
        <v>1175</v>
      </c>
      <c r="H2106" t="s">
        <v>1175</v>
      </c>
      <c r="I2106" t="s">
        <v>1175</v>
      </c>
      <c r="J2106" t="s">
        <v>1249</v>
      </c>
      <c r="K2106" t="s">
        <v>1212</v>
      </c>
      <c r="M2106" s="3">
        <f t="shared" si="128"/>
        <v>81.428571428571431</v>
      </c>
      <c r="N2106">
        <v>71</v>
      </c>
      <c r="O2106">
        <v>92</v>
      </c>
      <c r="P2106">
        <v>82</v>
      </c>
      <c r="Q2106">
        <v>83</v>
      </c>
      <c r="R2106">
        <v>80</v>
      </c>
      <c r="S2106">
        <v>86</v>
      </c>
      <c r="T2106">
        <v>76</v>
      </c>
      <c r="U2106">
        <v>0</v>
      </c>
      <c r="V2106" s="3">
        <f t="shared" si="129"/>
        <v>12816463</v>
      </c>
      <c r="W2106">
        <v>1068038.5833333333</v>
      </c>
      <c r="X2106">
        <v>0</v>
      </c>
      <c r="Y2106">
        <f t="shared" si="130"/>
        <v>1068038.5833333333</v>
      </c>
      <c r="Z2106">
        <f t="shared" si="131"/>
        <v>0</v>
      </c>
      <c r="AA2106">
        <v>0</v>
      </c>
    </row>
    <row r="2107" spans="1:27" x14ac:dyDescent="0.25">
      <c r="A2107" s="1">
        <v>2106</v>
      </c>
      <c r="B2107" t="s">
        <v>1703</v>
      </c>
      <c r="C2107" t="s">
        <v>1135</v>
      </c>
      <c r="D2107" t="s">
        <v>1141</v>
      </c>
      <c r="E2107" t="s">
        <v>1142</v>
      </c>
      <c r="H2107" t="s">
        <v>1175</v>
      </c>
      <c r="I2107" t="s">
        <v>1175</v>
      </c>
      <c r="J2107" t="s">
        <v>1249</v>
      </c>
      <c r="K2107" t="s">
        <v>1212</v>
      </c>
      <c r="M2107" s="3">
        <f t="shared" si="128"/>
        <v>73.428571428571431</v>
      </c>
      <c r="N2107">
        <v>40</v>
      </c>
      <c r="O2107">
        <v>83</v>
      </c>
      <c r="P2107">
        <v>85</v>
      </c>
      <c r="Q2107">
        <v>78</v>
      </c>
      <c r="R2107">
        <v>82</v>
      </c>
      <c r="S2107">
        <v>86</v>
      </c>
      <c r="T2107">
        <v>60</v>
      </c>
      <c r="U2107">
        <v>7</v>
      </c>
      <c r="V2107" s="3">
        <f t="shared" si="129"/>
        <v>6835056</v>
      </c>
      <c r="W2107">
        <v>569588</v>
      </c>
      <c r="X2107">
        <v>0</v>
      </c>
      <c r="Y2107">
        <f t="shared" si="130"/>
        <v>569588</v>
      </c>
      <c r="Z2107">
        <f t="shared" si="131"/>
        <v>0</v>
      </c>
      <c r="AA2107">
        <v>0</v>
      </c>
    </row>
    <row r="2108" spans="1:27" x14ac:dyDescent="0.25">
      <c r="A2108" s="1">
        <v>2107</v>
      </c>
      <c r="B2108" t="s">
        <v>471</v>
      </c>
      <c r="C2108" t="s">
        <v>1135</v>
      </c>
      <c r="D2108" t="s">
        <v>1142</v>
      </c>
      <c r="E2108" t="s">
        <v>1141</v>
      </c>
      <c r="F2108" t="s">
        <v>1147</v>
      </c>
      <c r="G2108" t="s">
        <v>1160</v>
      </c>
      <c r="H2108" t="s">
        <v>1160</v>
      </c>
      <c r="I2108" t="s">
        <v>1160</v>
      </c>
      <c r="J2108" t="s">
        <v>1249</v>
      </c>
      <c r="K2108" t="s">
        <v>1212</v>
      </c>
      <c r="M2108" s="3">
        <f t="shared" si="128"/>
        <v>80.571428571428569</v>
      </c>
      <c r="N2108">
        <v>77</v>
      </c>
      <c r="O2108">
        <v>95</v>
      </c>
      <c r="P2108">
        <v>72</v>
      </c>
      <c r="Q2108">
        <v>85</v>
      </c>
      <c r="R2108">
        <v>90</v>
      </c>
      <c r="S2108">
        <v>60</v>
      </c>
      <c r="T2108">
        <v>85</v>
      </c>
      <c r="U2108">
        <v>3</v>
      </c>
      <c r="V2108" s="3">
        <f t="shared" si="129"/>
        <v>17294257</v>
      </c>
      <c r="W2108">
        <v>1441188.0833333333</v>
      </c>
      <c r="X2108">
        <v>0</v>
      </c>
      <c r="Y2108">
        <f t="shared" si="130"/>
        <v>1441188.0833333333</v>
      </c>
      <c r="Z2108">
        <f t="shared" si="131"/>
        <v>0</v>
      </c>
      <c r="AA2108">
        <v>0</v>
      </c>
    </row>
    <row r="2109" spans="1:27" x14ac:dyDescent="0.25">
      <c r="A2109" s="1">
        <v>2108</v>
      </c>
      <c r="B2109" t="s">
        <v>1704</v>
      </c>
      <c r="C2109" t="s">
        <v>1135</v>
      </c>
      <c r="D2109" t="s">
        <v>1141</v>
      </c>
      <c r="H2109" t="s">
        <v>1175</v>
      </c>
      <c r="I2109" t="s">
        <v>1175</v>
      </c>
      <c r="J2109" t="s">
        <v>1249</v>
      </c>
      <c r="K2109" t="s">
        <v>1212</v>
      </c>
      <c r="M2109" s="3">
        <f t="shared" si="128"/>
        <v>67.857142857142861</v>
      </c>
      <c r="N2109">
        <v>28</v>
      </c>
      <c r="O2109">
        <v>79</v>
      </c>
      <c r="P2109">
        <v>77</v>
      </c>
      <c r="Q2109">
        <v>78</v>
      </c>
      <c r="R2109">
        <v>82</v>
      </c>
      <c r="S2109">
        <v>86</v>
      </c>
      <c r="T2109">
        <v>45</v>
      </c>
      <c r="U2109">
        <v>0</v>
      </c>
      <c r="V2109" s="3">
        <f t="shared" si="129"/>
        <v>2069931</v>
      </c>
      <c r="W2109">
        <v>172494.25</v>
      </c>
      <c r="X2109">
        <v>0</v>
      </c>
      <c r="Y2109">
        <f t="shared" si="130"/>
        <v>172494.25</v>
      </c>
      <c r="Z2109">
        <f t="shared" si="131"/>
        <v>0</v>
      </c>
      <c r="AA2109">
        <v>0</v>
      </c>
    </row>
    <row r="2110" spans="1:27" x14ac:dyDescent="0.25">
      <c r="A2110" s="1">
        <v>2109</v>
      </c>
      <c r="B2110" t="s">
        <v>791</v>
      </c>
      <c r="C2110" t="s">
        <v>1136</v>
      </c>
      <c r="D2110" t="s">
        <v>1143</v>
      </c>
      <c r="E2110" t="s">
        <v>1145</v>
      </c>
      <c r="F2110" t="s">
        <v>1146</v>
      </c>
      <c r="G2110" t="s">
        <v>1175</v>
      </c>
      <c r="H2110" t="s">
        <v>1175</v>
      </c>
      <c r="I2110" t="s">
        <v>1175</v>
      </c>
      <c r="J2110" t="s">
        <v>1249</v>
      </c>
      <c r="K2110" t="s">
        <v>1212</v>
      </c>
      <c r="M2110" s="3">
        <f t="shared" si="128"/>
        <v>70.571428571428569</v>
      </c>
      <c r="N2110">
        <v>44</v>
      </c>
      <c r="O2110">
        <v>81</v>
      </c>
      <c r="P2110">
        <v>81</v>
      </c>
      <c r="Q2110">
        <v>71</v>
      </c>
      <c r="R2110">
        <v>73</v>
      </c>
      <c r="S2110">
        <v>82</v>
      </c>
      <c r="T2110">
        <v>62</v>
      </c>
      <c r="U2110">
        <v>0</v>
      </c>
      <c r="V2110" s="3">
        <f t="shared" si="129"/>
        <v>3064003</v>
      </c>
      <c r="W2110">
        <v>255333.58333333334</v>
      </c>
      <c r="X2110">
        <v>0</v>
      </c>
      <c r="Y2110">
        <f t="shared" si="130"/>
        <v>255333.58333333334</v>
      </c>
      <c r="Z2110">
        <f t="shared" si="131"/>
        <v>0</v>
      </c>
      <c r="AA2110">
        <v>0</v>
      </c>
    </row>
    <row r="2111" spans="1:27" x14ac:dyDescent="0.25">
      <c r="A2111" s="1">
        <v>2110</v>
      </c>
      <c r="B2111" t="s">
        <v>1705</v>
      </c>
      <c r="C2111" t="s">
        <v>1136</v>
      </c>
      <c r="D2111" t="s">
        <v>1143</v>
      </c>
      <c r="E2111" t="s">
        <v>1145</v>
      </c>
      <c r="H2111" t="s">
        <v>1175</v>
      </c>
      <c r="I2111" t="s">
        <v>1175</v>
      </c>
      <c r="J2111" t="s">
        <v>1249</v>
      </c>
      <c r="K2111" t="s">
        <v>1212</v>
      </c>
      <c r="M2111" s="3">
        <f t="shared" si="128"/>
        <v>65</v>
      </c>
      <c r="N2111">
        <v>26</v>
      </c>
      <c r="O2111">
        <v>77</v>
      </c>
      <c r="P2111">
        <v>69</v>
      </c>
      <c r="Q2111">
        <v>82</v>
      </c>
      <c r="R2111">
        <v>78</v>
      </c>
      <c r="S2111">
        <v>80</v>
      </c>
      <c r="T2111">
        <v>43</v>
      </c>
      <c r="U2111">
        <v>0</v>
      </c>
      <c r="V2111" s="3">
        <f t="shared" si="129"/>
        <v>1346275</v>
      </c>
      <c r="W2111">
        <v>112189.58333333333</v>
      </c>
      <c r="X2111">
        <v>0</v>
      </c>
      <c r="Y2111">
        <f t="shared" si="130"/>
        <v>112189.58333333333</v>
      </c>
      <c r="Z2111">
        <f t="shared" si="131"/>
        <v>0</v>
      </c>
      <c r="AA2111">
        <v>0</v>
      </c>
    </row>
    <row r="2112" spans="1:27" x14ac:dyDescent="0.25">
      <c r="A2112" s="1">
        <v>2111</v>
      </c>
      <c r="B2112" t="s">
        <v>792</v>
      </c>
      <c r="C2112" t="s">
        <v>1136</v>
      </c>
      <c r="D2112" t="s">
        <v>1144</v>
      </c>
      <c r="E2112" t="s">
        <v>1138</v>
      </c>
      <c r="F2112" t="s">
        <v>1143</v>
      </c>
      <c r="G2112" t="s">
        <v>1175</v>
      </c>
      <c r="H2112" t="s">
        <v>1175</v>
      </c>
      <c r="I2112" t="s">
        <v>1175</v>
      </c>
      <c r="J2112" t="s">
        <v>1249</v>
      </c>
      <c r="K2112" t="s">
        <v>1212</v>
      </c>
      <c r="M2112" s="3">
        <f t="shared" si="128"/>
        <v>80.857142857142861</v>
      </c>
      <c r="N2112">
        <v>53</v>
      </c>
      <c r="O2112">
        <v>84</v>
      </c>
      <c r="P2112">
        <v>86</v>
      </c>
      <c r="Q2112">
        <v>84</v>
      </c>
      <c r="R2112">
        <v>82</v>
      </c>
      <c r="S2112">
        <v>94</v>
      </c>
      <c r="T2112">
        <v>83</v>
      </c>
      <c r="U2112">
        <v>17</v>
      </c>
      <c r="V2112" s="3">
        <f t="shared" si="129"/>
        <v>17917408</v>
      </c>
      <c r="W2112">
        <v>1493117.3333333333</v>
      </c>
      <c r="X2112">
        <v>0</v>
      </c>
      <c r="Y2112">
        <f t="shared" si="130"/>
        <v>1493117.3333333333</v>
      </c>
      <c r="Z2112">
        <f t="shared" si="131"/>
        <v>0</v>
      </c>
      <c r="AA2112">
        <v>0</v>
      </c>
    </row>
    <row r="2113" spans="1:27" x14ac:dyDescent="0.25">
      <c r="A2113" s="1">
        <v>2112</v>
      </c>
      <c r="B2113" t="s">
        <v>793</v>
      </c>
      <c r="C2113" t="s">
        <v>1136</v>
      </c>
      <c r="D2113" t="s">
        <v>1144</v>
      </c>
      <c r="E2113" t="s">
        <v>1138</v>
      </c>
      <c r="F2113" t="s">
        <v>1143</v>
      </c>
      <c r="G2113" t="s">
        <v>1175</v>
      </c>
      <c r="H2113" t="s">
        <v>1175</v>
      </c>
      <c r="I2113" t="s">
        <v>1175</v>
      </c>
      <c r="J2113" t="s">
        <v>1249</v>
      </c>
      <c r="K2113" t="s">
        <v>1212</v>
      </c>
      <c r="M2113" s="3">
        <f t="shared" si="128"/>
        <v>80.857142857142861</v>
      </c>
      <c r="N2113">
        <v>51</v>
      </c>
      <c r="O2113">
        <v>83</v>
      </c>
      <c r="P2113">
        <v>85</v>
      </c>
      <c r="Q2113">
        <v>83</v>
      </c>
      <c r="R2113">
        <v>86</v>
      </c>
      <c r="S2113">
        <v>98</v>
      </c>
      <c r="T2113">
        <v>80</v>
      </c>
      <c r="U2113">
        <v>18</v>
      </c>
      <c r="V2113" s="3">
        <f t="shared" si="129"/>
        <v>17917408</v>
      </c>
      <c r="W2113">
        <v>1493117.3333333333</v>
      </c>
      <c r="X2113">
        <v>0</v>
      </c>
      <c r="Y2113">
        <f t="shared" si="130"/>
        <v>1493117.3333333333</v>
      </c>
      <c r="Z2113">
        <f t="shared" si="131"/>
        <v>0</v>
      </c>
      <c r="AA2113">
        <v>0</v>
      </c>
    </row>
    <row r="2114" spans="1:27" x14ac:dyDescent="0.25">
      <c r="A2114" s="1">
        <v>2113</v>
      </c>
      <c r="B2114" t="s">
        <v>1706</v>
      </c>
      <c r="C2114" t="s">
        <v>1137</v>
      </c>
      <c r="D2114" t="s">
        <v>1137</v>
      </c>
      <c r="H2114" t="s">
        <v>1175</v>
      </c>
      <c r="I2114" t="s">
        <v>1175</v>
      </c>
      <c r="J2114" t="s">
        <v>1249</v>
      </c>
      <c r="K2114" t="s">
        <v>1212</v>
      </c>
      <c r="M2114" s="3">
        <f t="shared" ref="M2114:M2177" si="132">AVERAGE(N2114:T2114)</f>
        <v>61</v>
      </c>
      <c r="N2114">
        <v>24</v>
      </c>
      <c r="O2114">
        <v>72</v>
      </c>
      <c r="P2114">
        <v>67</v>
      </c>
      <c r="Q2114">
        <v>76</v>
      </c>
      <c r="R2114">
        <v>74</v>
      </c>
      <c r="S2114">
        <v>77</v>
      </c>
      <c r="T2114">
        <v>37</v>
      </c>
      <c r="U2114">
        <v>0</v>
      </c>
      <c r="V2114" s="3">
        <f t="shared" ref="V2114:V2177" si="133">ROUNDUP(M2114^10/1000000000000 * IF(U2114&gt;0,1.5,1),0)</f>
        <v>713343</v>
      </c>
      <c r="W2114">
        <v>59445.25</v>
      </c>
      <c r="X2114">
        <v>0</v>
      </c>
      <c r="Y2114">
        <f t="shared" ref="Y2114:Y2177" si="134">V2114/12</f>
        <v>59445.25</v>
      </c>
      <c r="Z2114">
        <f t="shared" ref="Z2114:Z2177" si="135">ROUND(((W2114-Y2114)/Y2114)*100,2)</f>
        <v>0</v>
      </c>
      <c r="AA2114">
        <v>0</v>
      </c>
    </row>
    <row r="2115" spans="1:27" x14ac:dyDescent="0.25">
      <c r="A2115" s="1">
        <v>2114</v>
      </c>
      <c r="B2115" t="s">
        <v>1766</v>
      </c>
      <c r="C2115" t="s">
        <v>1133</v>
      </c>
      <c r="D2115" t="s">
        <v>1133</v>
      </c>
      <c r="G2115" t="s">
        <v>1164</v>
      </c>
      <c r="H2115" t="s">
        <v>1164</v>
      </c>
      <c r="I2115" t="s">
        <v>1164</v>
      </c>
      <c r="J2115" t="s">
        <v>1238</v>
      </c>
      <c r="K2115" t="s">
        <v>1212</v>
      </c>
      <c r="M2115" s="3">
        <f t="shared" si="132"/>
        <v>62.142857142857146</v>
      </c>
      <c r="N2115">
        <v>22</v>
      </c>
      <c r="O2115">
        <v>70</v>
      </c>
      <c r="P2115">
        <v>74</v>
      </c>
      <c r="Q2115">
        <v>72</v>
      </c>
      <c r="R2115">
        <v>79</v>
      </c>
      <c r="S2115">
        <v>78</v>
      </c>
      <c r="T2115">
        <v>40</v>
      </c>
      <c r="U2115">
        <v>0</v>
      </c>
      <c r="V2115" s="3">
        <f t="shared" si="133"/>
        <v>858840</v>
      </c>
      <c r="W2115">
        <v>71570</v>
      </c>
      <c r="X2115">
        <v>0</v>
      </c>
      <c r="Y2115">
        <f t="shared" si="134"/>
        <v>71570</v>
      </c>
      <c r="Z2115">
        <f t="shared" si="135"/>
        <v>0</v>
      </c>
      <c r="AA2115">
        <v>0</v>
      </c>
    </row>
    <row r="2116" spans="1:27" x14ac:dyDescent="0.25">
      <c r="A2116" s="1">
        <v>2115</v>
      </c>
      <c r="B2116" t="s">
        <v>44</v>
      </c>
      <c r="C2116" t="s">
        <v>1133</v>
      </c>
      <c r="D2116" t="s">
        <v>1133</v>
      </c>
      <c r="G2116" t="s">
        <v>1164</v>
      </c>
      <c r="H2116" t="s">
        <v>1164</v>
      </c>
      <c r="I2116" t="s">
        <v>1164</v>
      </c>
      <c r="J2116" t="s">
        <v>1238</v>
      </c>
      <c r="K2116" t="s">
        <v>1212</v>
      </c>
      <c r="M2116" s="3">
        <f t="shared" si="132"/>
        <v>61.142857142857146</v>
      </c>
      <c r="N2116">
        <v>44</v>
      </c>
      <c r="O2116">
        <v>61</v>
      </c>
      <c r="P2116">
        <v>86</v>
      </c>
      <c r="Q2116">
        <v>59</v>
      </c>
      <c r="R2116">
        <v>70</v>
      </c>
      <c r="S2116">
        <v>71</v>
      </c>
      <c r="T2116">
        <v>37</v>
      </c>
      <c r="U2116">
        <v>0</v>
      </c>
      <c r="V2116" s="3">
        <f t="shared" si="133"/>
        <v>730226</v>
      </c>
      <c r="W2116">
        <v>60852.166666666664</v>
      </c>
      <c r="X2116">
        <v>0</v>
      </c>
      <c r="Y2116">
        <f t="shared" si="134"/>
        <v>60852.166666666664</v>
      </c>
      <c r="Z2116">
        <f t="shared" si="135"/>
        <v>0</v>
      </c>
      <c r="AA2116">
        <v>0</v>
      </c>
    </row>
    <row r="2117" spans="1:27" x14ac:dyDescent="0.25">
      <c r="A2117" s="1">
        <v>2116</v>
      </c>
      <c r="B2117" t="s">
        <v>45</v>
      </c>
      <c r="C2117" t="s">
        <v>1133</v>
      </c>
      <c r="D2117" t="s">
        <v>1133</v>
      </c>
      <c r="G2117" t="s">
        <v>1164</v>
      </c>
      <c r="H2117" t="s">
        <v>1164</v>
      </c>
      <c r="I2117" t="s">
        <v>1164</v>
      </c>
      <c r="J2117" t="s">
        <v>1238</v>
      </c>
      <c r="K2117" t="s">
        <v>1212</v>
      </c>
      <c r="M2117" s="3">
        <f t="shared" si="132"/>
        <v>66</v>
      </c>
      <c r="N2117">
        <v>43</v>
      </c>
      <c r="O2117">
        <v>73</v>
      </c>
      <c r="P2117">
        <v>61</v>
      </c>
      <c r="Q2117">
        <v>48</v>
      </c>
      <c r="R2117">
        <v>81</v>
      </c>
      <c r="S2117">
        <v>76</v>
      </c>
      <c r="T2117">
        <v>80</v>
      </c>
      <c r="U2117">
        <v>0</v>
      </c>
      <c r="V2117" s="3">
        <f t="shared" si="133"/>
        <v>1568337</v>
      </c>
      <c r="W2117">
        <v>130694.75</v>
      </c>
      <c r="X2117">
        <v>0</v>
      </c>
      <c r="Y2117">
        <f t="shared" si="134"/>
        <v>130694.75</v>
      </c>
      <c r="Z2117">
        <f t="shared" si="135"/>
        <v>0</v>
      </c>
      <c r="AA2117">
        <v>0</v>
      </c>
    </row>
    <row r="2118" spans="1:27" x14ac:dyDescent="0.25">
      <c r="A2118" s="1">
        <v>2117</v>
      </c>
      <c r="B2118" t="s">
        <v>1769</v>
      </c>
      <c r="C2118" t="s">
        <v>1134</v>
      </c>
      <c r="D2118" t="s">
        <v>1138</v>
      </c>
      <c r="E2118" t="s">
        <v>1139</v>
      </c>
      <c r="G2118" t="s">
        <v>1164</v>
      </c>
      <c r="H2118" t="s">
        <v>1164</v>
      </c>
      <c r="I2118" t="s">
        <v>1164</v>
      </c>
      <c r="J2118" t="s">
        <v>1238</v>
      </c>
      <c r="K2118" t="s">
        <v>1212</v>
      </c>
      <c r="M2118" s="3">
        <f t="shared" si="132"/>
        <v>67</v>
      </c>
      <c r="N2118">
        <v>25</v>
      </c>
      <c r="O2118">
        <v>76</v>
      </c>
      <c r="P2118">
        <v>72</v>
      </c>
      <c r="Q2118">
        <v>82</v>
      </c>
      <c r="R2118">
        <v>84</v>
      </c>
      <c r="S2118">
        <v>86</v>
      </c>
      <c r="T2118">
        <v>44</v>
      </c>
      <c r="U2118">
        <v>0</v>
      </c>
      <c r="V2118" s="3">
        <f t="shared" si="133"/>
        <v>1822838</v>
      </c>
      <c r="W2118">
        <v>151903.16666666666</v>
      </c>
      <c r="X2118">
        <v>0</v>
      </c>
      <c r="Y2118">
        <f t="shared" si="134"/>
        <v>151903.16666666666</v>
      </c>
      <c r="Z2118">
        <f t="shared" si="135"/>
        <v>0</v>
      </c>
      <c r="AA2118">
        <v>0</v>
      </c>
    </row>
    <row r="2119" spans="1:27" x14ac:dyDescent="0.25">
      <c r="A2119" s="1">
        <v>2118</v>
      </c>
      <c r="B2119" t="s">
        <v>1770</v>
      </c>
      <c r="C2119" t="s">
        <v>1134</v>
      </c>
      <c r="D2119" t="s">
        <v>1138</v>
      </c>
      <c r="G2119" t="s">
        <v>1164</v>
      </c>
      <c r="H2119" t="s">
        <v>1164</v>
      </c>
      <c r="I2119" t="s">
        <v>1164</v>
      </c>
      <c r="J2119" t="s">
        <v>1238</v>
      </c>
      <c r="K2119" t="s">
        <v>1212</v>
      </c>
      <c r="M2119" s="3">
        <f t="shared" si="132"/>
        <v>57</v>
      </c>
      <c r="N2119">
        <v>18</v>
      </c>
      <c r="O2119">
        <v>62</v>
      </c>
      <c r="P2119">
        <v>64</v>
      </c>
      <c r="Q2119">
        <v>71</v>
      </c>
      <c r="R2119">
        <v>75</v>
      </c>
      <c r="S2119">
        <v>78</v>
      </c>
      <c r="T2119">
        <v>31</v>
      </c>
      <c r="U2119">
        <v>0</v>
      </c>
      <c r="V2119" s="3">
        <f t="shared" si="133"/>
        <v>362034</v>
      </c>
      <c r="W2119">
        <v>30169.5</v>
      </c>
      <c r="X2119">
        <v>0</v>
      </c>
      <c r="Y2119">
        <f t="shared" si="134"/>
        <v>30169.5</v>
      </c>
      <c r="Z2119">
        <f t="shared" si="135"/>
        <v>0</v>
      </c>
      <c r="AA2119">
        <v>0</v>
      </c>
    </row>
    <row r="2120" spans="1:27" x14ac:dyDescent="0.25">
      <c r="A2120" s="1">
        <v>2119</v>
      </c>
      <c r="B2120" t="s">
        <v>201</v>
      </c>
      <c r="C2120" t="s">
        <v>1134</v>
      </c>
      <c r="D2120" t="s">
        <v>1140</v>
      </c>
      <c r="G2120" t="s">
        <v>1164</v>
      </c>
      <c r="H2120" t="s">
        <v>1164</v>
      </c>
      <c r="I2120" t="s">
        <v>1164</v>
      </c>
      <c r="J2120" t="s">
        <v>1238</v>
      </c>
      <c r="K2120" t="s">
        <v>1212</v>
      </c>
      <c r="M2120" s="3">
        <f t="shared" si="132"/>
        <v>61.428571428571431</v>
      </c>
      <c r="N2120">
        <v>47</v>
      </c>
      <c r="O2120">
        <v>79</v>
      </c>
      <c r="P2120">
        <v>68</v>
      </c>
      <c r="Q2120">
        <v>77</v>
      </c>
      <c r="R2120">
        <v>67</v>
      </c>
      <c r="S2120">
        <v>61</v>
      </c>
      <c r="T2120">
        <v>31</v>
      </c>
      <c r="U2120">
        <v>0</v>
      </c>
      <c r="V2120" s="3">
        <f t="shared" si="133"/>
        <v>765076</v>
      </c>
      <c r="W2120">
        <v>63756.333333333336</v>
      </c>
      <c r="X2120">
        <v>0</v>
      </c>
      <c r="Y2120">
        <f t="shared" si="134"/>
        <v>63756.333333333336</v>
      </c>
      <c r="Z2120">
        <f t="shared" si="135"/>
        <v>0</v>
      </c>
      <c r="AA2120">
        <v>0</v>
      </c>
    </row>
    <row r="2121" spans="1:27" x14ac:dyDescent="0.25">
      <c r="A2121" s="1">
        <v>2120</v>
      </c>
      <c r="B2121" t="s">
        <v>1767</v>
      </c>
      <c r="C2121" t="s">
        <v>1134</v>
      </c>
      <c r="D2121" t="s">
        <v>1138</v>
      </c>
      <c r="E2121" t="s">
        <v>1144</v>
      </c>
      <c r="G2121" t="s">
        <v>1164</v>
      </c>
      <c r="H2121" t="s">
        <v>1164</v>
      </c>
      <c r="I2121" t="s">
        <v>1164</v>
      </c>
      <c r="J2121" t="s">
        <v>1238</v>
      </c>
      <c r="K2121" t="s">
        <v>1212</v>
      </c>
      <c r="M2121" s="3">
        <f t="shared" si="132"/>
        <v>60.571428571428569</v>
      </c>
      <c r="N2121">
        <v>16</v>
      </c>
      <c r="O2121">
        <v>68</v>
      </c>
      <c r="P2121">
        <v>70</v>
      </c>
      <c r="Q2121">
        <v>76</v>
      </c>
      <c r="R2121">
        <v>80</v>
      </c>
      <c r="S2121">
        <v>81</v>
      </c>
      <c r="T2121">
        <v>33</v>
      </c>
      <c r="U2121">
        <v>0</v>
      </c>
      <c r="V2121" s="3">
        <f t="shared" si="133"/>
        <v>664781</v>
      </c>
      <c r="W2121">
        <v>55398.416666666664</v>
      </c>
      <c r="X2121">
        <v>0</v>
      </c>
      <c r="Y2121">
        <f t="shared" si="134"/>
        <v>55398.416666666664</v>
      </c>
      <c r="Z2121">
        <f t="shared" si="135"/>
        <v>0</v>
      </c>
      <c r="AA2121">
        <v>0</v>
      </c>
    </row>
    <row r="2122" spans="1:27" x14ac:dyDescent="0.25">
      <c r="A2122" s="1">
        <v>2121</v>
      </c>
      <c r="B2122" t="s">
        <v>1768</v>
      </c>
      <c r="C2122" t="s">
        <v>1134</v>
      </c>
      <c r="D2122" t="s">
        <v>1138</v>
      </c>
      <c r="G2122" t="s">
        <v>1164</v>
      </c>
      <c r="H2122" t="s">
        <v>1164</v>
      </c>
      <c r="I2122" t="s">
        <v>1164</v>
      </c>
      <c r="J2122" t="s">
        <v>1238</v>
      </c>
      <c r="K2122" t="s">
        <v>1212</v>
      </c>
      <c r="M2122" s="3">
        <f t="shared" si="132"/>
        <v>52</v>
      </c>
      <c r="N2122">
        <v>15</v>
      </c>
      <c r="O2122">
        <v>55</v>
      </c>
      <c r="P2122">
        <v>60</v>
      </c>
      <c r="Q2122">
        <v>66</v>
      </c>
      <c r="R2122">
        <v>68</v>
      </c>
      <c r="S2122">
        <v>72</v>
      </c>
      <c r="T2122">
        <v>28</v>
      </c>
      <c r="U2122">
        <v>0</v>
      </c>
      <c r="V2122" s="3">
        <f t="shared" si="133"/>
        <v>144556</v>
      </c>
      <c r="W2122">
        <v>12046.333333333334</v>
      </c>
      <c r="X2122">
        <v>0</v>
      </c>
      <c r="Y2122">
        <f t="shared" si="134"/>
        <v>12046.333333333334</v>
      </c>
      <c r="Z2122">
        <f t="shared" si="135"/>
        <v>0</v>
      </c>
      <c r="AA2122">
        <v>0</v>
      </c>
    </row>
    <row r="2123" spans="1:27" x14ac:dyDescent="0.25">
      <c r="A2123" s="1">
        <v>2122</v>
      </c>
      <c r="B2123" t="s">
        <v>202</v>
      </c>
      <c r="C2123" t="s">
        <v>1134</v>
      </c>
      <c r="D2123" t="s">
        <v>1138</v>
      </c>
      <c r="G2123" t="s">
        <v>1164</v>
      </c>
      <c r="H2123" t="s">
        <v>1164</v>
      </c>
      <c r="I2123" t="s">
        <v>1164</v>
      </c>
      <c r="J2123" t="s">
        <v>1238</v>
      </c>
      <c r="K2123" t="s">
        <v>1212</v>
      </c>
      <c r="M2123" s="3">
        <f t="shared" si="132"/>
        <v>57.857142857142854</v>
      </c>
      <c r="N2123">
        <v>20</v>
      </c>
      <c r="O2123">
        <v>39</v>
      </c>
      <c r="P2123">
        <v>48</v>
      </c>
      <c r="Q2123">
        <v>91</v>
      </c>
      <c r="R2123">
        <v>56</v>
      </c>
      <c r="S2123">
        <v>90</v>
      </c>
      <c r="T2123">
        <v>61</v>
      </c>
      <c r="U2123">
        <v>0</v>
      </c>
      <c r="V2123" s="3">
        <f t="shared" si="133"/>
        <v>420311</v>
      </c>
      <c r="W2123">
        <v>35025.916666666664</v>
      </c>
      <c r="X2123">
        <v>0</v>
      </c>
      <c r="Y2123">
        <f t="shared" si="134"/>
        <v>35025.916666666664</v>
      </c>
      <c r="Z2123">
        <f t="shared" si="135"/>
        <v>0</v>
      </c>
      <c r="AA2123">
        <v>0</v>
      </c>
    </row>
    <row r="2124" spans="1:27" x14ac:dyDescent="0.25">
      <c r="A2124" s="1">
        <v>2123</v>
      </c>
      <c r="B2124" t="s">
        <v>200</v>
      </c>
      <c r="C2124" t="s">
        <v>1134</v>
      </c>
      <c r="D2124" t="s">
        <v>1138</v>
      </c>
      <c r="G2124" t="s">
        <v>1164</v>
      </c>
      <c r="H2124" t="s">
        <v>1164</v>
      </c>
      <c r="I2124" t="s">
        <v>1164</v>
      </c>
      <c r="J2124" t="s">
        <v>1238</v>
      </c>
      <c r="K2124" t="s">
        <v>1212</v>
      </c>
      <c r="M2124" s="3">
        <f t="shared" si="132"/>
        <v>54.571428571428569</v>
      </c>
      <c r="N2124">
        <v>26</v>
      </c>
      <c r="O2124">
        <v>83</v>
      </c>
      <c r="P2124">
        <v>12</v>
      </c>
      <c r="Q2124">
        <v>96</v>
      </c>
      <c r="R2124">
        <v>55</v>
      </c>
      <c r="S2124">
        <v>86</v>
      </c>
      <c r="T2124">
        <v>24</v>
      </c>
      <c r="U2124">
        <v>0</v>
      </c>
      <c r="V2124" s="3">
        <f t="shared" si="133"/>
        <v>234236</v>
      </c>
      <c r="W2124">
        <v>19519.666666666668</v>
      </c>
      <c r="X2124">
        <v>0</v>
      </c>
      <c r="Y2124">
        <f t="shared" si="134"/>
        <v>19519.666666666668</v>
      </c>
      <c r="Z2124">
        <f t="shared" si="135"/>
        <v>0</v>
      </c>
      <c r="AA2124">
        <v>0</v>
      </c>
    </row>
    <row r="2125" spans="1:27" x14ac:dyDescent="0.25">
      <c r="A2125" s="1">
        <v>2124</v>
      </c>
      <c r="B2125" t="s">
        <v>484</v>
      </c>
      <c r="C2125" t="s">
        <v>1135</v>
      </c>
      <c r="D2125" t="s">
        <v>1142</v>
      </c>
      <c r="E2125" t="s">
        <v>1147</v>
      </c>
      <c r="G2125" t="s">
        <v>1164</v>
      </c>
      <c r="H2125" t="s">
        <v>1164</v>
      </c>
      <c r="I2125" t="s">
        <v>1164</v>
      </c>
      <c r="J2125" t="s">
        <v>1238</v>
      </c>
      <c r="K2125" t="s">
        <v>1212</v>
      </c>
      <c r="M2125" s="3">
        <f t="shared" si="132"/>
        <v>63</v>
      </c>
      <c r="N2125">
        <v>36</v>
      </c>
      <c r="O2125">
        <v>80</v>
      </c>
      <c r="P2125">
        <v>68</v>
      </c>
      <c r="Q2125">
        <v>74</v>
      </c>
      <c r="R2125">
        <v>70</v>
      </c>
      <c r="S2125">
        <v>68</v>
      </c>
      <c r="T2125">
        <v>45</v>
      </c>
      <c r="U2125">
        <v>0</v>
      </c>
      <c r="V2125" s="3">
        <f t="shared" si="133"/>
        <v>984931</v>
      </c>
      <c r="W2125">
        <v>82077.583333333328</v>
      </c>
      <c r="X2125">
        <v>0</v>
      </c>
      <c r="Y2125">
        <f t="shared" si="134"/>
        <v>82077.583333333328</v>
      </c>
      <c r="Z2125">
        <f t="shared" si="135"/>
        <v>0</v>
      </c>
      <c r="AA2125">
        <v>0</v>
      </c>
    </row>
    <row r="2126" spans="1:27" x14ac:dyDescent="0.25">
      <c r="A2126" s="1">
        <v>2125</v>
      </c>
      <c r="B2126" t="s">
        <v>1771</v>
      </c>
      <c r="C2126" t="s">
        <v>1135</v>
      </c>
      <c r="D2126" t="s">
        <v>1141</v>
      </c>
      <c r="E2126" t="s">
        <v>1142</v>
      </c>
      <c r="G2126" t="s">
        <v>1164</v>
      </c>
      <c r="H2126" t="s">
        <v>1164</v>
      </c>
      <c r="I2126" t="s">
        <v>1164</v>
      </c>
      <c r="J2126" t="s">
        <v>1238</v>
      </c>
      <c r="K2126" t="s">
        <v>1212</v>
      </c>
      <c r="M2126" s="3">
        <f t="shared" si="132"/>
        <v>68.428571428571431</v>
      </c>
      <c r="N2126">
        <v>26</v>
      </c>
      <c r="O2126">
        <v>80</v>
      </c>
      <c r="P2126">
        <v>82</v>
      </c>
      <c r="Q2126">
        <v>79</v>
      </c>
      <c r="R2126">
        <v>82</v>
      </c>
      <c r="S2126">
        <v>85</v>
      </c>
      <c r="T2126">
        <v>45</v>
      </c>
      <c r="U2126">
        <v>0</v>
      </c>
      <c r="V2126" s="3">
        <f t="shared" si="133"/>
        <v>2250997</v>
      </c>
      <c r="W2126">
        <v>187583.08333333334</v>
      </c>
      <c r="X2126">
        <v>0</v>
      </c>
      <c r="Y2126">
        <f t="shared" si="134"/>
        <v>187583.08333333334</v>
      </c>
      <c r="Z2126">
        <f t="shared" si="135"/>
        <v>0</v>
      </c>
      <c r="AA2126">
        <v>0</v>
      </c>
    </row>
    <row r="2127" spans="1:27" x14ac:dyDescent="0.25">
      <c r="A2127" s="1">
        <v>2126</v>
      </c>
      <c r="B2127" t="s">
        <v>485</v>
      </c>
      <c r="C2127" t="s">
        <v>1135</v>
      </c>
      <c r="D2127" t="s">
        <v>1141</v>
      </c>
      <c r="E2127" t="s">
        <v>1145</v>
      </c>
      <c r="G2127" t="s">
        <v>1164</v>
      </c>
      <c r="H2127" t="s">
        <v>1164</v>
      </c>
      <c r="I2127" t="s">
        <v>1164</v>
      </c>
      <c r="J2127" t="s">
        <v>1238</v>
      </c>
      <c r="K2127" t="s">
        <v>1212</v>
      </c>
      <c r="M2127" s="3">
        <f t="shared" si="132"/>
        <v>63.428571428571431</v>
      </c>
      <c r="N2127">
        <v>35</v>
      </c>
      <c r="O2127">
        <v>75</v>
      </c>
      <c r="P2127">
        <v>70</v>
      </c>
      <c r="Q2127">
        <v>70</v>
      </c>
      <c r="R2127">
        <v>68</v>
      </c>
      <c r="S2127">
        <v>80</v>
      </c>
      <c r="T2127">
        <v>46</v>
      </c>
      <c r="U2127">
        <v>0</v>
      </c>
      <c r="V2127" s="3">
        <f t="shared" si="133"/>
        <v>1054022</v>
      </c>
      <c r="W2127">
        <v>87835.166666666672</v>
      </c>
      <c r="X2127">
        <v>0</v>
      </c>
      <c r="Y2127">
        <f t="shared" si="134"/>
        <v>87835.166666666672</v>
      </c>
      <c r="Z2127">
        <f t="shared" si="135"/>
        <v>0</v>
      </c>
      <c r="AA2127">
        <v>0</v>
      </c>
    </row>
    <row r="2128" spans="1:27" x14ac:dyDescent="0.25">
      <c r="A2128" s="1">
        <v>2127</v>
      </c>
      <c r="B2128" t="s">
        <v>1772</v>
      </c>
      <c r="C2128" t="s">
        <v>1136</v>
      </c>
      <c r="D2128" t="s">
        <v>1145</v>
      </c>
      <c r="G2128" t="s">
        <v>1164</v>
      </c>
      <c r="H2128" t="s">
        <v>1164</v>
      </c>
      <c r="I2128" t="s">
        <v>1164</v>
      </c>
      <c r="J2128" t="s">
        <v>1238</v>
      </c>
      <c r="K2128" t="s">
        <v>1212</v>
      </c>
      <c r="M2128" s="3">
        <f t="shared" si="132"/>
        <v>68.428571428571431</v>
      </c>
      <c r="N2128">
        <v>26</v>
      </c>
      <c r="O2128">
        <v>80</v>
      </c>
      <c r="P2128">
        <v>82</v>
      </c>
      <c r="Q2128">
        <v>79</v>
      </c>
      <c r="R2128">
        <v>82</v>
      </c>
      <c r="S2128">
        <v>85</v>
      </c>
      <c r="T2128">
        <v>45</v>
      </c>
      <c r="U2128">
        <v>0</v>
      </c>
      <c r="V2128" s="3">
        <f t="shared" si="133"/>
        <v>2250997</v>
      </c>
      <c r="W2128">
        <v>187583.08333333334</v>
      </c>
      <c r="X2128">
        <v>0</v>
      </c>
      <c r="Y2128">
        <f t="shared" si="134"/>
        <v>187583.08333333334</v>
      </c>
      <c r="Z2128">
        <f t="shared" si="135"/>
        <v>0</v>
      </c>
      <c r="AA2128">
        <v>0</v>
      </c>
    </row>
    <row r="2129" spans="1:27" x14ac:dyDescent="0.25">
      <c r="A2129" s="1">
        <v>2128</v>
      </c>
      <c r="B2129" t="s">
        <v>732</v>
      </c>
      <c r="C2129" t="s">
        <v>1136</v>
      </c>
      <c r="D2129" t="s">
        <v>1144</v>
      </c>
      <c r="E2129" t="s">
        <v>1143</v>
      </c>
      <c r="G2129" t="s">
        <v>1164</v>
      </c>
      <c r="H2129" t="s">
        <v>1164</v>
      </c>
      <c r="I2129" t="s">
        <v>1164</v>
      </c>
      <c r="J2129" t="s">
        <v>1238</v>
      </c>
      <c r="K2129" t="s">
        <v>1212</v>
      </c>
      <c r="M2129" s="3">
        <f t="shared" si="132"/>
        <v>65</v>
      </c>
      <c r="N2129">
        <v>48</v>
      </c>
      <c r="O2129">
        <v>69</v>
      </c>
      <c r="P2129">
        <v>70</v>
      </c>
      <c r="Q2129">
        <v>68</v>
      </c>
      <c r="R2129">
        <v>75</v>
      </c>
      <c r="S2129">
        <v>72</v>
      </c>
      <c r="T2129">
        <v>53</v>
      </c>
      <c r="U2129">
        <v>0</v>
      </c>
      <c r="V2129" s="3">
        <f t="shared" si="133"/>
        <v>1346275</v>
      </c>
      <c r="W2129">
        <v>112189.58333333333</v>
      </c>
      <c r="X2129">
        <v>0</v>
      </c>
      <c r="Y2129">
        <f t="shared" si="134"/>
        <v>112189.58333333333</v>
      </c>
      <c r="Z2129">
        <f t="shared" si="135"/>
        <v>0</v>
      </c>
      <c r="AA2129">
        <v>0</v>
      </c>
    </row>
    <row r="2130" spans="1:27" x14ac:dyDescent="0.25">
      <c r="A2130" s="1">
        <v>2129</v>
      </c>
      <c r="B2130" t="s">
        <v>728</v>
      </c>
      <c r="C2130" t="s">
        <v>1136</v>
      </c>
      <c r="D2130" t="s">
        <v>1145</v>
      </c>
      <c r="G2130" t="s">
        <v>1164</v>
      </c>
      <c r="H2130" t="s">
        <v>1164</v>
      </c>
      <c r="I2130" t="s">
        <v>1164</v>
      </c>
      <c r="J2130" t="s">
        <v>1238</v>
      </c>
      <c r="K2130" t="s">
        <v>1212</v>
      </c>
      <c r="M2130" s="3">
        <f t="shared" si="132"/>
        <v>72.571428571428569</v>
      </c>
      <c r="N2130">
        <v>65</v>
      </c>
      <c r="O2130">
        <v>71</v>
      </c>
      <c r="P2130">
        <v>76</v>
      </c>
      <c r="Q2130">
        <v>75</v>
      </c>
      <c r="R2130">
        <v>72</v>
      </c>
      <c r="S2130">
        <v>76</v>
      </c>
      <c r="T2130">
        <v>73</v>
      </c>
      <c r="U2130">
        <v>12</v>
      </c>
      <c r="V2130" s="3">
        <f t="shared" si="133"/>
        <v>6077823</v>
      </c>
      <c r="W2130">
        <v>506485.25</v>
      </c>
      <c r="X2130">
        <v>0</v>
      </c>
      <c r="Y2130">
        <f t="shared" si="134"/>
        <v>506485.25</v>
      </c>
      <c r="Z2130">
        <f t="shared" si="135"/>
        <v>0</v>
      </c>
      <c r="AA2130">
        <v>0</v>
      </c>
    </row>
    <row r="2131" spans="1:27" x14ac:dyDescent="0.25">
      <c r="A2131" s="1">
        <v>2130</v>
      </c>
      <c r="B2131" t="s">
        <v>1774</v>
      </c>
      <c r="C2131" t="s">
        <v>1136</v>
      </c>
      <c r="D2131" t="s">
        <v>1144</v>
      </c>
      <c r="G2131" t="s">
        <v>1164</v>
      </c>
      <c r="H2131" t="s">
        <v>1164</v>
      </c>
      <c r="I2131" t="s">
        <v>1164</v>
      </c>
      <c r="J2131" t="s">
        <v>1238</v>
      </c>
      <c r="K2131" t="s">
        <v>1212</v>
      </c>
      <c r="M2131" s="3">
        <f t="shared" si="132"/>
        <v>60.714285714285715</v>
      </c>
      <c r="N2131">
        <v>21</v>
      </c>
      <c r="O2131">
        <v>78</v>
      </c>
      <c r="P2131">
        <v>68</v>
      </c>
      <c r="Q2131">
        <v>72</v>
      </c>
      <c r="R2131">
        <v>74</v>
      </c>
      <c r="S2131">
        <v>76</v>
      </c>
      <c r="T2131">
        <v>36</v>
      </c>
      <c r="U2131">
        <v>0</v>
      </c>
      <c r="V2131" s="3">
        <f t="shared" si="133"/>
        <v>680627</v>
      </c>
      <c r="W2131">
        <v>56718.916666666664</v>
      </c>
      <c r="X2131">
        <v>0</v>
      </c>
      <c r="Y2131">
        <f t="shared" si="134"/>
        <v>56718.916666666664</v>
      </c>
      <c r="Z2131">
        <f t="shared" si="135"/>
        <v>0</v>
      </c>
      <c r="AA2131">
        <v>0</v>
      </c>
    </row>
    <row r="2132" spans="1:27" x14ac:dyDescent="0.25">
      <c r="A2132" s="1">
        <v>2131</v>
      </c>
      <c r="B2132" t="s">
        <v>1773</v>
      </c>
      <c r="C2132" t="s">
        <v>1136</v>
      </c>
      <c r="D2132" t="s">
        <v>1143</v>
      </c>
      <c r="G2132" t="s">
        <v>1164</v>
      </c>
      <c r="H2132" t="s">
        <v>1164</v>
      </c>
      <c r="I2132" t="s">
        <v>1164</v>
      </c>
      <c r="J2132" t="s">
        <v>1238</v>
      </c>
      <c r="K2132" t="s">
        <v>1212</v>
      </c>
      <c r="M2132" s="3">
        <f t="shared" si="132"/>
        <v>53.857142857142854</v>
      </c>
      <c r="N2132">
        <v>16</v>
      </c>
      <c r="O2132">
        <v>60</v>
      </c>
      <c r="P2132">
        <v>62</v>
      </c>
      <c r="Q2132">
        <v>68</v>
      </c>
      <c r="R2132">
        <v>70</v>
      </c>
      <c r="S2132">
        <v>73</v>
      </c>
      <c r="T2132">
        <v>28</v>
      </c>
      <c r="U2132">
        <v>0</v>
      </c>
      <c r="V2132" s="3">
        <f t="shared" si="133"/>
        <v>205321</v>
      </c>
      <c r="W2132">
        <v>17110.083333333332</v>
      </c>
      <c r="X2132">
        <v>0</v>
      </c>
      <c r="Y2132">
        <f t="shared" si="134"/>
        <v>17110.083333333332</v>
      </c>
      <c r="Z2132">
        <f t="shared" si="135"/>
        <v>0</v>
      </c>
      <c r="AA2132">
        <v>0</v>
      </c>
    </row>
    <row r="2133" spans="1:27" x14ac:dyDescent="0.25">
      <c r="A2133" s="1">
        <v>2132</v>
      </c>
      <c r="B2133" t="s">
        <v>776</v>
      </c>
      <c r="C2133" t="s">
        <v>1136</v>
      </c>
      <c r="D2133" t="s">
        <v>1144</v>
      </c>
      <c r="E2133" t="s">
        <v>1143</v>
      </c>
      <c r="G2133" t="s">
        <v>1173</v>
      </c>
      <c r="H2133" t="s">
        <v>1173</v>
      </c>
      <c r="I2133" t="s">
        <v>1173</v>
      </c>
      <c r="J2133" t="s">
        <v>1238</v>
      </c>
      <c r="K2133" t="s">
        <v>1212</v>
      </c>
      <c r="M2133" s="3">
        <f t="shared" si="132"/>
        <v>73.285714285714292</v>
      </c>
      <c r="N2133">
        <v>68</v>
      </c>
      <c r="O2133">
        <v>71</v>
      </c>
      <c r="P2133">
        <v>80</v>
      </c>
      <c r="Q2133">
        <v>76</v>
      </c>
      <c r="R2133">
        <v>80</v>
      </c>
      <c r="S2133">
        <v>88</v>
      </c>
      <c r="T2133">
        <v>50</v>
      </c>
      <c r="U2133">
        <v>0</v>
      </c>
      <c r="V2133" s="3">
        <f t="shared" si="133"/>
        <v>4468825</v>
      </c>
      <c r="W2133">
        <v>372402.08333333331</v>
      </c>
      <c r="X2133">
        <v>0</v>
      </c>
      <c r="Y2133">
        <f t="shared" si="134"/>
        <v>372402.08333333331</v>
      </c>
      <c r="Z2133">
        <f t="shared" si="135"/>
        <v>0</v>
      </c>
      <c r="AA2133">
        <v>0</v>
      </c>
    </row>
    <row r="2134" spans="1:27" x14ac:dyDescent="0.25">
      <c r="A2134" s="1">
        <v>2133</v>
      </c>
      <c r="B2134" t="s">
        <v>729</v>
      </c>
      <c r="C2134" t="s">
        <v>1136</v>
      </c>
      <c r="D2134" t="s">
        <v>1143</v>
      </c>
      <c r="G2134" t="s">
        <v>1164</v>
      </c>
      <c r="H2134" t="s">
        <v>1164</v>
      </c>
      <c r="I2134" t="s">
        <v>1164</v>
      </c>
      <c r="J2134" t="s">
        <v>1238</v>
      </c>
      <c r="K2134" t="s">
        <v>1212</v>
      </c>
      <c r="M2134" s="3">
        <f t="shared" si="132"/>
        <v>61.428571428571431</v>
      </c>
      <c r="N2134">
        <v>40</v>
      </c>
      <c r="O2134">
        <v>65</v>
      </c>
      <c r="P2134">
        <v>68</v>
      </c>
      <c r="Q2134">
        <v>70</v>
      </c>
      <c r="R2134">
        <v>65</v>
      </c>
      <c r="S2134">
        <v>70</v>
      </c>
      <c r="T2134">
        <v>52</v>
      </c>
      <c r="U2134">
        <v>0</v>
      </c>
      <c r="V2134" s="3">
        <f t="shared" si="133"/>
        <v>765076</v>
      </c>
      <c r="W2134">
        <v>63756.333333333336</v>
      </c>
      <c r="X2134">
        <v>0</v>
      </c>
      <c r="Y2134">
        <f t="shared" si="134"/>
        <v>63756.333333333336</v>
      </c>
      <c r="Z2134">
        <f t="shared" si="135"/>
        <v>0</v>
      </c>
      <c r="AA2134">
        <v>0</v>
      </c>
    </row>
    <row r="2135" spans="1:27" x14ac:dyDescent="0.25">
      <c r="A2135" s="1">
        <v>2134</v>
      </c>
      <c r="B2135" t="s">
        <v>1775</v>
      </c>
      <c r="C2135" t="s">
        <v>1136</v>
      </c>
      <c r="D2135" t="s">
        <v>1143</v>
      </c>
      <c r="E2135" t="s">
        <v>1147</v>
      </c>
      <c r="G2135" t="s">
        <v>1164</v>
      </c>
      <c r="H2135" t="s">
        <v>1164</v>
      </c>
      <c r="I2135" t="s">
        <v>1164</v>
      </c>
      <c r="J2135" t="s">
        <v>1238</v>
      </c>
      <c r="K2135" t="s">
        <v>1212</v>
      </c>
      <c r="M2135" s="3">
        <f t="shared" si="132"/>
        <v>58.285714285714285</v>
      </c>
      <c r="N2135">
        <v>19</v>
      </c>
      <c r="O2135">
        <v>70</v>
      </c>
      <c r="P2135">
        <v>66</v>
      </c>
      <c r="Q2135">
        <v>73</v>
      </c>
      <c r="R2135">
        <v>72</v>
      </c>
      <c r="S2135">
        <v>74</v>
      </c>
      <c r="T2135">
        <v>34</v>
      </c>
      <c r="U2135">
        <v>0</v>
      </c>
      <c r="V2135" s="3">
        <f t="shared" si="133"/>
        <v>452503</v>
      </c>
      <c r="W2135">
        <v>37708.583333333336</v>
      </c>
      <c r="X2135">
        <v>0</v>
      </c>
      <c r="Y2135">
        <f t="shared" si="134"/>
        <v>37708.583333333336</v>
      </c>
      <c r="Z2135">
        <f t="shared" si="135"/>
        <v>0</v>
      </c>
      <c r="AA2135">
        <v>0</v>
      </c>
    </row>
    <row r="2136" spans="1:27" x14ac:dyDescent="0.25">
      <c r="A2136" s="1">
        <v>2135</v>
      </c>
      <c r="B2136" t="s">
        <v>731</v>
      </c>
      <c r="C2136" t="s">
        <v>1136</v>
      </c>
      <c r="D2136" t="s">
        <v>1143</v>
      </c>
      <c r="E2136" t="s">
        <v>1147</v>
      </c>
      <c r="G2136" t="s">
        <v>1164</v>
      </c>
      <c r="H2136" t="s">
        <v>1164</v>
      </c>
      <c r="I2136" t="s">
        <v>1164</v>
      </c>
      <c r="J2136" t="s">
        <v>1238</v>
      </c>
      <c r="K2136" t="s">
        <v>1212</v>
      </c>
      <c r="M2136" s="3">
        <f t="shared" si="132"/>
        <v>71.428571428571431</v>
      </c>
      <c r="N2136">
        <v>60</v>
      </c>
      <c r="O2136">
        <v>70</v>
      </c>
      <c r="P2136">
        <v>75</v>
      </c>
      <c r="Q2136">
        <v>77</v>
      </c>
      <c r="R2136">
        <v>73</v>
      </c>
      <c r="S2136">
        <v>75</v>
      </c>
      <c r="T2136">
        <v>70</v>
      </c>
      <c r="U2136">
        <v>12</v>
      </c>
      <c r="V2136" s="3">
        <f t="shared" si="133"/>
        <v>5185742</v>
      </c>
      <c r="W2136">
        <v>432145.16666666669</v>
      </c>
      <c r="X2136">
        <v>0</v>
      </c>
      <c r="Y2136">
        <f t="shared" si="134"/>
        <v>432145.16666666669</v>
      </c>
      <c r="Z2136">
        <f t="shared" si="135"/>
        <v>0</v>
      </c>
      <c r="AA2136">
        <v>0</v>
      </c>
    </row>
    <row r="2137" spans="1:27" x14ac:dyDescent="0.25">
      <c r="A2137" s="1">
        <v>2136</v>
      </c>
      <c r="B2137" t="s">
        <v>730</v>
      </c>
      <c r="C2137" t="s">
        <v>1136</v>
      </c>
      <c r="D2137" t="s">
        <v>1144</v>
      </c>
      <c r="G2137" t="s">
        <v>1164</v>
      </c>
      <c r="H2137" t="s">
        <v>1164</v>
      </c>
      <c r="I2137" t="s">
        <v>1164</v>
      </c>
      <c r="J2137" t="s">
        <v>1238</v>
      </c>
      <c r="K2137" t="s">
        <v>1212</v>
      </c>
      <c r="M2137" s="3">
        <f t="shared" si="132"/>
        <v>61.571428571428569</v>
      </c>
      <c r="N2137">
        <v>42</v>
      </c>
      <c r="O2137">
        <v>63</v>
      </c>
      <c r="P2137">
        <v>66</v>
      </c>
      <c r="Q2137">
        <v>68</v>
      </c>
      <c r="R2137">
        <v>68</v>
      </c>
      <c r="S2137">
        <v>71</v>
      </c>
      <c r="T2137">
        <v>53</v>
      </c>
      <c r="U2137">
        <v>0</v>
      </c>
      <c r="V2137" s="3">
        <f t="shared" si="133"/>
        <v>783056</v>
      </c>
      <c r="W2137">
        <v>65254.666666666664</v>
      </c>
      <c r="X2137">
        <v>0</v>
      </c>
      <c r="Y2137">
        <f t="shared" si="134"/>
        <v>65254.666666666664</v>
      </c>
      <c r="Z2137">
        <f t="shared" si="135"/>
        <v>0</v>
      </c>
      <c r="AA2137">
        <v>0</v>
      </c>
    </row>
    <row r="2138" spans="1:27" x14ac:dyDescent="0.25">
      <c r="A2138" s="1">
        <v>2137</v>
      </c>
      <c r="B2138" t="s">
        <v>1776</v>
      </c>
      <c r="C2138" t="s">
        <v>1137</v>
      </c>
      <c r="D2138" t="s">
        <v>1137</v>
      </c>
      <c r="G2138" t="s">
        <v>1164</v>
      </c>
      <c r="H2138" t="s">
        <v>1164</v>
      </c>
      <c r="I2138" t="s">
        <v>1164</v>
      </c>
      <c r="J2138" t="s">
        <v>1238</v>
      </c>
      <c r="K2138" t="s">
        <v>1212</v>
      </c>
      <c r="M2138" s="3">
        <f t="shared" si="132"/>
        <v>61.571428571428569</v>
      </c>
      <c r="N2138">
        <v>20</v>
      </c>
      <c r="O2138">
        <v>72</v>
      </c>
      <c r="P2138">
        <v>70</v>
      </c>
      <c r="Q2138">
        <v>78</v>
      </c>
      <c r="R2138">
        <v>76</v>
      </c>
      <c r="S2138">
        <v>77</v>
      </c>
      <c r="T2138">
        <v>38</v>
      </c>
      <c r="U2138">
        <v>0</v>
      </c>
      <c r="V2138" s="3">
        <f t="shared" si="133"/>
        <v>783056</v>
      </c>
      <c r="W2138">
        <v>65254.666666666664</v>
      </c>
      <c r="X2138">
        <v>0</v>
      </c>
      <c r="Y2138">
        <f t="shared" si="134"/>
        <v>65254.666666666664</v>
      </c>
      <c r="Z2138">
        <f t="shared" si="135"/>
        <v>0</v>
      </c>
      <c r="AA2138">
        <v>0</v>
      </c>
    </row>
    <row r="2139" spans="1:27" x14ac:dyDescent="0.25">
      <c r="A2139" s="1">
        <v>2138</v>
      </c>
      <c r="B2139" t="s">
        <v>64</v>
      </c>
      <c r="C2139" t="s">
        <v>1133</v>
      </c>
      <c r="D2139" t="s">
        <v>1133</v>
      </c>
      <c r="G2139" t="s">
        <v>1178</v>
      </c>
      <c r="H2139" t="s">
        <v>1178</v>
      </c>
      <c r="I2139" t="s">
        <v>1178</v>
      </c>
      <c r="J2139" t="s">
        <v>1251</v>
      </c>
      <c r="K2139" t="s">
        <v>1212</v>
      </c>
      <c r="M2139" s="3">
        <f t="shared" si="132"/>
        <v>62.714285714285715</v>
      </c>
      <c r="N2139">
        <v>23</v>
      </c>
      <c r="O2139">
        <v>67</v>
      </c>
      <c r="P2139">
        <v>58</v>
      </c>
      <c r="Q2139">
        <v>70</v>
      </c>
      <c r="R2139">
        <v>80</v>
      </c>
      <c r="S2139">
        <v>76</v>
      </c>
      <c r="T2139">
        <v>65</v>
      </c>
      <c r="U2139">
        <v>0</v>
      </c>
      <c r="V2139" s="3">
        <f t="shared" si="133"/>
        <v>941163</v>
      </c>
      <c r="W2139">
        <v>78430.25</v>
      </c>
      <c r="X2139">
        <v>0</v>
      </c>
      <c r="Y2139">
        <f t="shared" si="134"/>
        <v>78430.25</v>
      </c>
      <c r="Z2139">
        <f t="shared" si="135"/>
        <v>0</v>
      </c>
      <c r="AA2139">
        <v>0</v>
      </c>
    </row>
    <row r="2140" spans="1:27" x14ac:dyDescent="0.25">
      <c r="A2140" s="1">
        <v>2139</v>
      </c>
      <c r="B2140" t="s">
        <v>1914</v>
      </c>
      <c r="C2140" t="s">
        <v>1134</v>
      </c>
      <c r="D2140" t="s">
        <v>1139</v>
      </c>
      <c r="E2140" t="s">
        <v>1138</v>
      </c>
      <c r="H2140" t="s">
        <v>1178</v>
      </c>
      <c r="I2140" t="s">
        <v>1178</v>
      </c>
      <c r="J2140" t="s">
        <v>1251</v>
      </c>
      <c r="K2140" t="s">
        <v>1212</v>
      </c>
      <c r="M2140" s="3">
        <f t="shared" si="132"/>
        <v>43.285714285714285</v>
      </c>
      <c r="N2140">
        <v>10</v>
      </c>
      <c r="O2140">
        <v>48</v>
      </c>
      <c r="P2140">
        <v>47</v>
      </c>
      <c r="Q2140">
        <v>55</v>
      </c>
      <c r="R2140">
        <v>59</v>
      </c>
      <c r="S2140">
        <v>62</v>
      </c>
      <c r="T2140">
        <v>22</v>
      </c>
      <c r="U2140">
        <v>0</v>
      </c>
      <c r="V2140" s="3">
        <f t="shared" si="133"/>
        <v>23092</v>
      </c>
      <c r="W2140">
        <v>1924.3333333333333</v>
      </c>
      <c r="X2140">
        <v>0</v>
      </c>
      <c r="Y2140">
        <f t="shared" si="134"/>
        <v>1924.3333333333333</v>
      </c>
      <c r="Z2140">
        <f t="shared" si="135"/>
        <v>0</v>
      </c>
      <c r="AA2140">
        <v>0</v>
      </c>
    </row>
    <row r="2141" spans="1:27" x14ac:dyDescent="0.25">
      <c r="A2141" s="1">
        <v>2140</v>
      </c>
      <c r="B2141" t="s">
        <v>271</v>
      </c>
      <c r="C2141" t="s">
        <v>1134</v>
      </c>
      <c r="D2141" t="s">
        <v>1138</v>
      </c>
      <c r="G2141" t="s">
        <v>1178</v>
      </c>
      <c r="H2141" t="s">
        <v>1178</v>
      </c>
      <c r="I2141" t="s">
        <v>1178</v>
      </c>
      <c r="J2141" t="s">
        <v>1251</v>
      </c>
      <c r="K2141" t="s">
        <v>1212</v>
      </c>
      <c r="M2141" s="3">
        <f t="shared" si="132"/>
        <v>62.285714285714285</v>
      </c>
      <c r="N2141">
        <v>22</v>
      </c>
      <c r="O2141">
        <v>65</v>
      </c>
      <c r="P2141">
        <v>70</v>
      </c>
      <c r="Q2141">
        <v>69</v>
      </c>
      <c r="R2141">
        <v>74</v>
      </c>
      <c r="S2141">
        <v>75</v>
      </c>
      <c r="T2141">
        <v>61</v>
      </c>
      <c r="U2141">
        <v>0</v>
      </c>
      <c r="V2141" s="3">
        <f t="shared" si="133"/>
        <v>878789</v>
      </c>
      <c r="W2141">
        <v>73232.416666666672</v>
      </c>
      <c r="X2141">
        <v>0</v>
      </c>
      <c r="Y2141">
        <f t="shared" si="134"/>
        <v>73232.416666666672</v>
      </c>
      <c r="Z2141">
        <f t="shared" si="135"/>
        <v>0</v>
      </c>
      <c r="AA2141">
        <v>0</v>
      </c>
    </row>
    <row r="2142" spans="1:27" x14ac:dyDescent="0.25">
      <c r="A2142" s="1">
        <v>2141</v>
      </c>
      <c r="B2142" t="s">
        <v>1915</v>
      </c>
      <c r="C2142" t="s">
        <v>1134</v>
      </c>
      <c r="D2142" t="s">
        <v>1138</v>
      </c>
      <c r="E2142" t="s">
        <v>1144</v>
      </c>
      <c r="H2142" t="s">
        <v>1178</v>
      </c>
      <c r="I2142" t="s">
        <v>1178</v>
      </c>
      <c r="J2142" t="s">
        <v>1251</v>
      </c>
      <c r="K2142" t="s">
        <v>1212</v>
      </c>
      <c r="M2142" s="3">
        <f t="shared" si="132"/>
        <v>51.857142857142854</v>
      </c>
      <c r="N2142">
        <v>12</v>
      </c>
      <c r="O2142">
        <v>61</v>
      </c>
      <c r="P2142">
        <v>55</v>
      </c>
      <c r="Q2142">
        <v>67</v>
      </c>
      <c r="R2142">
        <v>69</v>
      </c>
      <c r="S2142">
        <v>71</v>
      </c>
      <c r="T2142">
        <v>28</v>
      </c>
      <c r="U2142">
        <v>0</v>
      </c>
      <c r="V2142" s="3">
        <f t="shared" si="133"/>
        <v>140633</v>
      </c>
      <c r="W2142">
        <v>11719.416666666666</v>
      </c>
      <c r="X2142">
        <v>0</v>
      </c>
      <c r="Y2142">
        <f t="shared" si="134"/>
        <v>11719.416666666666</v>
      </c>
      <c r="Z2142">
        <f t="shared" si="135"/>
        <v>0</v>
      </c>
      <c r="AA2142">
        <v>0</v>
      </c>
    </row>
    <row r="2143" spans="1:27" x14ac:dyDescent="0.25">
      <c r="A2143" s="1">
        <v>2142</v>
      </c>
      <c r="B2143" t="s">
        <v>270</v>
      </c>
      <c r="C2143" t="s">
        <v>1134</v>
      </c>
      <c r="D2143" t="s">
        <v>1138</v>
      </c>
      <c r="E2143" t="s">
        <v>1140</v>
      </c>
      <c r="G2143" t="s">
        <v>1178</v>
      </c>
      <c r="H2143" t="s">
        <v>1178</v>
      </c>
      <c r="I2143" t="s">
        <v>1178</v>
      </c>
      <c r="J2143" t="s">
        <v>1251</v>
      </c>
      <c r="K2143" t="s">
        <v>1212</v>
      </c>
      <c r="M2143" s="3">
        <f t="shared" si="132"/>
        <v>74</v>
      </c>
      <c r="N2143">
        <v>50</v>
      </c>
      <c r="O2143">
        <v>75</v>
      </c>
      <c r="P2143">
        <v>73</v>
      </c>
      <c r="Q2143">
        <v>75</v>
      </c>
      <c r="R2143">
        <v>85</v>
      </c>
      <c r="S2143">
        <v>90</v>
      </c>
      <c r="T2143">
        <v>70</v>
      </c>
      <c r="U2143">
        <v>26</v>
      </c>
      <c r="V2143" s="3">
        <f t="shared" si="133"/>
        <v>7385986</v>
      </c>
      <c r="W2143">
        <v>230636</v>
      </c>
      <c r="X2143">
        <v>0</v>
      </c>
      <c r="Y2143">
        <f t="shared" si="134"/>
        <v>615498.83333333337</v>
      </c>
      <c r="Z2143">
        <f t="shared" si="135"/>
        <v>-62.53</v>
      </c>
      <c r="AA2143">
        <v>0</v>
      </c>
    </row>
    <row r="2144" spans="1:27" x14ac:dyDescent="0.25">
      <c r="A2144" s="1">
        <v>2143</v>
      </c>
      <c r="B2144" t="s">
        <v>1922</v>
      </c>
      <c r="C2144" t="s">
        <v>1135</v>
      </c>
      <c r="D2144" t="s">
        <v>1141</v>
      </c>
      <c r="E2144" t="s">
        <v>1142</v>
      </c>
      <c r="G2144" t="s">
        <v>1178</v>
      </c>
      <c r="H2144" t="s">
        <v>1178</v>
      </c>
      <c r="I2144" t="s">
        <v>1178</v>
      </c>
      <c r="J2144" t="s">
        <v>1251</v>
      </c>
      <c r="K2144" t="s">
        <v>1212</v>
      </c>
      <c r="M2144" s="3">
        <f t="shared" si="132"/>
        <v>64.714285714285708</v>
      </c>
      <c r="N2144">
        <v>40</v>
      </c>
      <c r="O2144">
        <v>75</v>
      </c>
      <c r="P2144">
        <v>84</v>
      </c>
      <c r="Q2144">
        <v>63</v>
      </c>
      <c r="R2144">
        <v>80</v>
      </c>
      <c r="S2144">
        <v>88</v>
      </c>
      <c r="T2144">
        <v>23</v>
      </c>
      <c r="U2144">
        <v>6</v>
      </c>
      <c r="V2144" s="3">
        <f t="shared" si="133"/>
        <v>1932382</v>
      </c>
      <c r="W2144">
        <v>161031.83333333334</v>
      </c>
      <c r="X2144">
        <v>0</v>
      </c>
      <c r="Y2144">
        <f t="shared" si="134"/>
        <v>161031.83333333334</v>
      </c>
      <c r="Z2144">
        <f t="shared" si="135"/>
        <v>0</v>
      </c>
      <c r="AA2144">
        <v>0</v>
      </c>
    </row>
    <row r="2145" spans="1:27" x14ac:dyDescent="0.25">
      <c r="A2145" s="1">
        <v>2144</v>
      </c>
      <c r="B2145" t="s">
        <v>1921</v>
      </c>
      <c r="C2145" t="s">
        <v>1135</v>
      </c>
      <c r="D2145" t="s">
        <v>1142</v>
      </c>
      <c r="E2145" t="s">
        <v>1147</v>
      </c>
      <c r="H2145" t="s">
        <v>1178</v>
      </c>
      <c r="I2145" t="s">
        <v>1178</v>
      </c>
      <c r="J2145" t="s">
        <v>1251</v>
      </c>
      <c r="K2145" t="s">
        <v>1212</v>
      </c>
      <c r="M2145" s="3">
        <f t="shared" si="132"/>
        <v>45.714285714285715</v>
      </c>
      <c r="N2145">
        <v>10</v>
      </c>
      <c r="O2145">
        <v>61</v>
      </c>
      <c r="P2145">
        <v>49</v>
      </c>
      <c r="Q2145">
        <v>61</v>
      </c>
      <c r="R2145">
        <v>59</v>
      </c>
      <c r="S2145">
        <v>61</v>
      </c>
      <c r="T2145">
        <v>19</v>
      </c>
      <c r="U2145">
        <v>0</v>
      </c>
      <c r="V2145" s="3">
        <f t="shared" si="133"/>
        <v>39859</v>
      </c>
      <c r="W2145">
        <v>3321.5833333333335</v>
      </c>
      <c r="X2145">
        <v>0</v>
      </c>
      <c r="Y2145">
        <f t="shared" si="134"/>
        <v>3321.5833333333335</v>
      </c>
      <c r="Z2145">
        <f t="shared" si="135"/>
        <v>0</v>
      </c>
      <c r="AA2145">
        <v>0</v>
      </c>
    </row>
    <row r="2146" spans="1:27" x14ac:dyDescent="0.25">
      <c r="A2146" s="1">
        <v>2145</v>
      </c>
      <c r="B2146" t="s">
        <v>1920</v>
      </c>
      <c r="C2146" t="s">
        <v>1136</v>
      </c>
      <c r="D2146" t="s">
        <v>1147</v>
      </c>
      <c r="E2146" t="s">
        <v>1146</v>
      </c>
      <c r="H2146" t="s">
        <v>1178</v>
      </c>
      <c r="I2146" t="s">
        <v>1178</v>
      </c>
      <c r="J2146" t="s">
        <v>1251</v>
      </c>
      <c r="K2146" t="s">
        <v>1212</v>
      </c>
      <c r="M2146" s="3">
        <f t="shared" si="132"/>
        <v>43.714285714285715</v>
      </c>
      <c r="N2146">
        <v>10</v>
      </c>
      <c r="O2146">
        <v>53</v>
      </c>
      <c r="P2146">
        <v>51</v>
      </c>
      <c r="Q2146">
        <v>55</v>
      </c>
      <c r="R2146">
        <v>57</v>
      </c>
      <c r="S2146">
        <v>60</v>
      </c>
      <c r="T2146">
        <v>20</v>
      </c>
      <c r="U2146">
        <v>0</v>
      </c>
      <c r="V2146" s="3">
        <f t="shared" si="133"/>
        <v>25483</v>
      </c>
      <c r="W2146">
        <v>2123.5833333333335</v>
      </c>
      <c r="X2146">
        <v>0</v>
      </c>
      <c r="Y2146">
        <f t="shared" si="134"/>
        <v>2123.5833333333335</v>
      </c>
      <c r="Z2146">
        <f t="shared" si="135"/>
        <v>0</v>
      </c>
      <c r="AA2146">
        <v>0</v>
      </c>
    </row>
    <row r="2147" spans="1:27" x14ac:dyDescent="0.25">
      <c r="A2147" s="1">
        <v>2146</v>
      </c>
      <c r="B2147" t="s">
        <v>1917</v>
      </c>
      <c r="C2147" t="s">
        <v>1136</v>
      </c>
      <c r="D2147" t="s">
        <v>1143</v>
      </c>
      <c r="E2147" t="s">
        <v>1144</v>
      </c>
      <c r="H2147" t="s">
        <v>1178</v>
      </c>
      <c r="I2147" t="s">
        <v>1178</v>
      </c>
      <c r="J2147" t="s">
        <v>1251</v>
      </c>
      <c r="K2147" t="s">
        <v>1212</v>
      </c>
      <c r="M2147" s="3">
        <f t="shared" si="132"/>
        <v>52</v>
      </c>
      <c r="N2147">
        <v>13</v>
      </c>
      <c r="O2147">
        <v>63</v>
      </c>
      <c r="P2147">
        <v>57</v>
      </c>
      <c r="Q2147">
        <v>67</v>
      </c>
      <c r="R2147">
        <v>69</v>
      </c>
      <c r="S2147">
        <v>71</v>
      </c>
      <c r="T2147">
        <v>24</v>
      </c>
      <c r="U2147">
        <v>0</v>
      </c>
      <c r="V2147" s="3">
        <f t="shared" si="133"/>
        <v>144556</v>
      </c>
      <c r="W2147">
        <v>12046.333333333334</v>
      </c>
      <c r="X2147">
        <v>0</v>
      </c>
      <c r="Y2147">
        <f t="shared" si="134"/>
        <v>12046.333333333334</v>
      </c>
      <c r="Z2147">
        <f t="shared" si="135"/>
        <v>0</v>
      </c>
      <c r="AA2147">
        <v>0</v>
      </c>
    </row>
    <row r="2148" spans="1:27" x14ac:dyDescent="0.25">
      <c r="A2148" s="1">
        <v>2147</v>
      </c>
      <c r="B2148" t="s">
        <v>815</v>
      </c>
      <c r="C2148" t="s">
        <v>1136</v>
      </c>
      <c r="D2148" t="s">
        <v>1144</v>
      </c>
      <c r="G2148" t="s">
        <v>1178</v>
      </c>
      <c r="H2148" t="s">
        <v>1178</v>
      </c>
      <c r="I2148" t="s">
        <v>1178</v>
      </c>
      <c r="J2148" t="s">
        <v>1251</v>
      </c>
      <c r="K2148" t="s">
        <v>1212</v>
      </c>
      <c r="M2148" s="3">
        <f t="shared" si="132"/>
        <v>55.428571428571431</v>
      </c>
      <c r="N2148">
        <v>60</v>
      </c>
      <c r="O2148">
        <v>58</v>
      </c>
      <c r="P2148">
        <v>61</v>
      </c>
      <c r="Q2148">
        <v>72</v>
      </c>
      <c r="R2148">
        <v>58</v>
      </c>
      <c r="S2148">
        <v>73</v>
      </c>
      <c r="T2148">
        <v>6</v>
      </c>
      <c r="U2148">
        <v>0</v>
      </c>
      <c r="V2148" s="3">
        <f t="shared" si="133"/>
        <v>273740</v>
      </c>
      <c r="W2148">
        <v>22811.666666666668</v>
      </c>
      <c r="X2148">
        <v>0</v>
      </c>
      <c r="Y2148">
        <f t="shared" si="134"/>
        <v>22811.666666666668</v>
      </c>
      <c r="Z2148">
        <f t="shared" si="135"/>
        <v>0</v>
      </c>
      <c r="AA2148">
        <v>0</v>
      </c>
    </row>
    <row r="2149" spans="1:27" x14ac:dyDescent="0.25">
      <c r="A2149" s="1">
        <v>2148</v>
      </c>
      <c r="B2149" t="s">
        <v>1919</v>
      </c>
      <c r="C2149" t="s">
        <v>1136</v>
      </c>
      <c r="D2149" t="s">
        <v>1146</v>
      </c>
      <c r="E2149" t="s">
        <v>1147</v>
      </c>
      <c r="H2149" t="s">
        <v>1178</v>
      </c>
      <c r="I2149" t="s">
        <v>1178</v>
      </c>
      <c r="J2149" t="s">
        <v>1251</v>
      </c>
      <c r="K2149" t="s">
        <v>1212</v>
      </c>
      <c r="M2149" s="3">
        <f t="shared" si="132"/>
        <v>47.285714285714285</v>
      </c>
      <c r="N2149">
        <v>11</v>
      </c>
      <c r="O2149">
        <v>59</v>
      </c>
      <c r="P2149">
        <v>53</v>
      </c>
      <c r="Q2149">
        <v>63</v>
      </c>
      <c r="R2149">
        <v>61</v>
      </c>
      <c r="S2149">
        <v>63</v>
      </c>
      <c r="T2149">
        <v>21</v>
      </c>
      <c r="U2149">
        <v>0</v>
      </c>
      <c r="V2149" s="3">
        <f t="shared" si="133"/>
        <v>55886</v>
      </c>
      <c r="W2149">
        <v>4657.166666666667</v>
      </c>
      <c r="X2149">
        <v>0</v>
      </c>
      <c r="Y2149">
        <f t="shared" si="134"/>
        <v>4657.166666666667</v>
      </c>
      <c r="Z2149">
        <f t="shared" si="135"/>
        <v>0</v>
      </c>
      <c r="AA2149">
        <v>0</v>
      </c>
    </row>
    <row r="2150" spans="1:27" x14ac:dyDescent="0.25">
      <c r="A2150" s="1">
        <v>2149</v>
      </c>
      <c r="B2150" t="s">
        <v>1918</v>
      </c>
      <c r="C2150" t="s">
        <v>1136</v>
      </c>
      <c r="D2150" t="s">
        <v>1145</v>
      </c>
      <c r="E2150" t="s">
        <v>1143</v>
      </c>
      <c r="H2150" t="s">
        <v>1178</v>
      </c>
      <c r="I2150" t="s">
        <v>1178</v>
      </c>
      <c r="J2150" t="s">
        <v>1251</v>
      </c>
      <c r="K2150" t="s">
        <v>1212</v>
      </c>
      <c r="M2150" s="3">
        <f t="shared" si="132"/>
        <v>42.142857142857146</v>
      </c>
      <c r="N2150">
        <v>10</v>
      </c>
      <c r="O2150">
        <v>45</v>
      </c>
      <c r="P2150">
        <v>49</v>
      </c>
      <c r="Q2150">
        <v>57</v>
      </c>
      <c r="R2150">
        <v>55</v>
      </c>
      <c r="S2150">
        <v>58</v>
      </c>
      <c r="T2150">
        <v>21</v>
      </c>
      <c r="U2150">
        <v>0</v>
      </c>
      <c r="V2150" s="3">
        <f t="shared" si="133"/>
        <v>17671</v>
      </c>
      <c r="W2150">
        <v>1472.5833333333333</v>
      </c>
      <c r="X2150">
        <v>0</v>
      </c>
      <c r="Y2150">
        <f t="shared" si="134"/>
        <v>1472.5833333333333</v>
      </c>
      <c r="Z2150">
        <f t="shared" si="135"/>
        <v>0</v>
      </c>
      <c r="AA2150">
        <v>0</v>
      </c>
    </row>
    <row r="2151" spans="1:27" x14ac:dyDescent="0.25">
      <c r="A2151" s="1">
        <v>2150</v>
      </c>
      <c r="B2151" t="s">
        <v>814</v>
      </c>
      <c r="C2151" t="s">
        <v>1136</v>
      </c>
      <c r="D2151" t="s">
        <v>1143</v>
      </c>
      <c r="G2151" t="s">
        <v>1178</v>
      </c>
      <c r="H2151" t="s">
        <v>1178</v>
      </c>
      <c r="I2151" t="s">
        <v>1178</v>
      </c>
      <c r="J2151" t="s">
        <v>1251</v>
      </c>
      <c r="K2151" t="s">
        <v>1212</v>
      </c>
      <c r="M2151" s="3">
        <f t="shared" si="132"/>
        <v>58</v>
      </c>
      <c r="N2151">
        <v>15</v>
      </c>
      <c r="O2151">
        <v>66</v>
      </c>
      <c r="P2151">
        <v>68</v>
      </c>
      <c r="Q2151">
        <v>72</v>
      </c>
      <c r="R2151">
        <v>53</v>
      </c>
      <c r="S2151">
        <v>73</v>
      </c>
      <c r="T2151">
        <v>59</v>
      </c>
      <c r="U2151">
        <v>0</v>
      </c>
      <c r="V2151" s="3">
        <f t="shared" si="133"/>
        <v>430805</v>
      </c>
      <c r="W2151">
        <v>35900.416666666664</v>
      </c>
      <c r="X2151">
        <v>0</v>
      </c>
      <c r="Y2151">
        <f t="shared" si="134"/>
        <v>35900.416666666664</v>
      </c>
      <c r="Z2151">
        <f t="shared" si="135"/>
        <v>0</v>
      </c>
      <c r="AA2151">
        <v>0</v>
      </c>
    </row>
    <row r="2152" spans="1:27" x14ac:dyDescent="0.25">
      <c r="A2152" s="1">
        <v>2151</v>
      </c>
      <c r="B2152" t="s">
        <v>1916</v>
      </c>
      <c r="C2152" t="s">
        <v>1136</v>
      </c>
      <c r="D2152" t="s">
        <v>1144</v>
      </c>
      <c r="E2152" t="s">
        <v>1143</v>
      </c>
      <c r="H2152" t="s">
        <v>1178</v>
      </c>
      <c r="I2152" t="s">
        <v>1178</v>
      </c>
      <c r="J2152" t="s">
        <v>1251</v>
      </c>
      <c r="K2152" t="s">
        <v>1212</v>
      </c>
      <c r="M2152" s="3">
        <f t="shared" si="132"/>
        <v>42.571428571428569</v>
      </c>
      <c r="N2152">
        <v>10</v>
      </c>
      <c r="O2152">
        <v>47</v>
      </c>
      <c r="P2152">
        <v>47</v>
      </c>
      <c r="Q2152">
        <v>55</v>
      </c>
      <c r="R2152">
        <v>59</v>
      </c>
      <c r="S2152">
        <v>62</v>
      </c>
      <c r="T2152">
        <v>18</v>
      </c>
      <c r="U2152">
        <v>0</v>
      </c>
      <c r="V2152" s="3">
        <f t="shared" si="133"/>
        <v>19552</v>
      </c>
      <c r="W2152">
        <v>1629.3333333333333</v>
      </c>
      <c r="X2152">
        <v>0</v>
      </c>
      <c r="Y2152">
        <f t="shared" si="134"/>
        <v>1629.3333333333333</v>
      </c>
      <c r="Z2152">
        <f t="shared" si="135"/>
        <v>0</v>
      </c>
      <c r="AA2152">
        <v>0</v>
      </c>
    </row>
    <row r="2153" spans="1:27" x14ac:dyDescent="0.25">
      <c r="A2153" s="1">
        <v>2152</v>
      </c>
      <c r="B2153" t="s">
        <v>812</v>
      </c>
      <c r="C2153" t="s">
        <v>1136</v>
      </c>
      <c r="D2153" t="s">
        <v>1143</v>
      </c>
      <c r="G2153" t="s">
        <v>1178</v>
      </c>
      <c r="H2153" t="s">
        <v>1178</v>
      </c>
      <c r="I2153" t="s">
        <v>1178</v>
      </c>
      <c r="J2153" t="s">
        <v>1251</v>
      </c>
      <c r="K2153" t="s">
        <v>1212</v>
      </c>
      <c r="M2153" s="3">
        <f t="shared" si="132"/>
        <v>53.714285714285715</v>
      </c>
      <c r="N2153">
        <v>44</v>
      </c>
      <c r="O2153">
        <v>64</v>
      </c>
      <c r="P2153">
        <v>59</v>
      </c>
      <c r="Q2153">
        <v>58</v>
      </c>
      <c r="R2153">
        <v>60</v>
      </c>
      <c r="S2153">
        <v>73</v>
      </c>
      <c r="T2153">
        <v>18</v>
      </c>
      <c r="U2153">
        <v>0</v>
      </c>
      <c r="V2153" s="3">
        <f t="shared" si="133"/>
        <v>199940</v>
      </c>
      <c r="W2153">
        <v>16661.666666666668</v>
      </c>
      <c r="X2153">
        <v>0</v>
      </c>
      <c r="Y2153">
        <f t="shared" si="134"/>
        <v>16661.666666666668</v>
      </c>
      <c r="Z2153">
        <f t="shared" si="135"/>
        <v>0</v>
      </c>
      <c r="AA2153">
        <v>0</v>
      </c>
    </row>
    <row r="2154" spans="1:27" x14ac:dyDescent="0.25">
      <c r="A2154" s="1">
        <v>2153</v>
      </c>
      <c r="B2154" t="s">
        <v>811</v>
      </c>
      <c r="C2154" t="s">
        <v>1136</v>
      </c>
      <c r="D2154" t="s">
        <v>1144</v>
      </c>
      <c r="G2154" t="s">
        <v>1178</v>
      </c>
      <c r="H2154" t="s">
        <v>1178</v>
      </c>
      <c r="I2154" t="s">
        <v>1178</v>
      </c>
      <c r="J2154" t="s">
        <v>1251</v>
      </c>
      <c r="K2154" t="s">
        <v>1212</v>
      </c>
      <c r="M2154" s="3">
        <f t="shared" si="132"/>
        <v>59.142857142857146</v>
      </c>
      <c r="N2154">
        <v>43</v>
      </c>
      <c r="O2154">
        <v>64</v>
      </c>
      <c r="P2154">
        <v>60</v>
      </c>
      <c r="Q2154">
        <v>65</v>
      </c>
      <c r="R2154">
        <v>75</v>
      </c>
      <c r="S2154">
        <v>58</v>
      </c>
      <c r="T2154">
        <v>49</v>
      </c>
      <c r="U2154">
        <v>0</v>
      </c>
      <c r="V2154" s="3">
        <f t="shared" si="133"/>
        <v>523629</v>
      </c>
      <c r="W2154">
        <v>43635.75</v>
      </c>
      <c r="X2154">
        <v>0</v>
      </c>
      <c r="Y2154">
        <f t="shared" si="134"/>
        <v>43635.75</v>
      </c>
      <c r="Z2154">
        <f t="shared" si="135"/>
        <v>0</v>
      </c>
      <c r="AA2154">
        <v>0</v>
      </c>
    </row>
    <row r="2155" spans="1:27" x14ac:dyDescent="0.25">
      <c r="A2155" s="1">
        <v>2154</v>
      </c>
      <c r="B2155" t="s">
        <v>810</v>
      </c>
      <c r="C2155" t="s">
        <v>1136</v>
      </c>
      <c r="D2155" t="s">
        <v>1145</v>
      </c>
      <c r="E2155" t="s">
        <v>1143</v>
      </c>
      <c r="G2155" t="s">
        <v>1178</v>
      </c>
      <c r="H2155" t="s">
        <v>1178</v>
      </c>
      <c r="I2155" t="s">
        <v>1178</v>
      </c>
      <c r="J2155" t="s">
        <v>1251</v>
      </c>
      <c r="K2155" t="s">
        <v>1212</v>
      </c>
      <c r="M2155" s="3">
        <f t="shared" si="132"/>
        <v>80.142857142857139</v>
      </c>
      <c r="N2155">
        <v>80</v>
      </c>
      <c r="O2155">
        <v>80</v>
      </c>
      <c r="P2155">
        <v>90</v>
      </c>
      <c r="Q2155">
        <v>82</v>
      </c>
      <c r="R2155">
        <v>83</v>
      </c>
      <c r="S2155">
        <v>76</v>
      </c>
      <c r="T2155">
        <v>70</v>
      </c>
      <c r="U2155">
        <v>17</v>
      </c>
      <c r="V2155" s="3">
        <f t="shared" si="133"/>
        <v>16396059</v>
      </c>
      <c r="W2155">
        <v>1366338.25</v>
      </c>
      <c r="X2155">
        <v>0</v>
      </c>
      <c r="Y2155">
        <f t="shared" si="134"/>
        <v>1366338.25</v>
      </c>
      <c r="Z2155">
        <f t="shared" si="135"/>
        <v>0</v>
      </c>
      <c r="AA2155">
        <v>0</v>
      </c>
    </row>
    <row r="2156" spans="1:27" x14ac:dyDescent="0.25">
      <c r="A2156" s="1">
        <v>2155</v>
      </c>
      <c r="B2156" t="s">
        <v>813</v>
      </c>
      <c r="C2156" t="s">
        <v>1136</v>
      </c>
      <c r="D2156" t="s">
        <v>1143</v>
      </c>
      <c r="E2156" t="s">
        <v>1147</v>
      </c>
      <c r="G2156" t="s">
        <v>1178</v>
      </c>
      <c r="H2156" t="s">
        <v>1178</v>
      </c>
      <c r="I2156" t="s">
        <v>1178</v>
      </c>
      <c r="J2156" t="s">
        <v>1251</v>
      </c>
      <c r="K2156" t="s">
        <v>1212</v>
      </c>
      <c r="M2156" s="3">
        <f t="shared" si="132"/>
        <v>63.714285714285715</v>
      </c>
      <c r="N2156">
        <v>59</v>
      </c>
      <c r="O2156">
        <v>72</v>
      </c>
      <c r="P2156">
        <v>73</v>
      </c>
      <c r="Q2156">
        <v>61</v>
      </c>
      <c r="R2156">
        <v>63</v>
      </c>
      <c r="S2156">
        <v>73</v>
      </c>
      <c r="T2156">
        <v>45</v>
      </c>
      <c r="U2156">
        <v>0</v>
      </c>
      <c r="V2156" s="3">
        <f t="shared" si="133"/>
        <v>1102474</v>
      </c>
      <c r="W2156">
        <v>91872.833333333328</v>
      </c>
      <c r="X2156">
        <v>0</v>
      </c>
      <c r="Y2156">
        <f t="shared" si="134"/>
        <v>91872.833333333328</v>
      </c>
      <c r="Z2156">
        <f t="shared" si="135"/>
        <v>0</v>
      </c>
      <c r="AA2156">
        <v>0</v>
      </c>
    </row>
    <row r="2157" spans="1:27" x14ac:dyDescent="0.25">
      <c r="A2157" s="1">
        <v>2156</v>
      </c>
      <c r="B2157" t="s">
        <v>1913</v>
      </c>
      <c r="C2157" t="s">
        <v>1137</v>
      </c>
      <c r="D2157" t="s">
        <v>1137</v>
      </c>
      <c r="H2157" t="s">
        <v>1178</v>
      </c>
      <c r="I2157" t="s">
        <v>1178</v>
      </c>
      <c r="J2157" t="s">
        <v>1251</v>
      </c>
      <c r="K2157" t="s">
        <v>1212</v>
      </c>
      <c r="M2157" s="3">
        <f t="shared" si="132"/>
        <v>47.428571428571431</v>
      </c>
      <c r="N2157">
        <v>10</v>
      </c>
      <c r="O2157">
        <v>57</v>
      </c>
      <c r="P2157">
        <v>51</v>
      </c>
      <c r="Q2157">
        <v>61</v>
      </c>
      <c r="R2157">
        <v>63</v>
      </c>
      <c r="S2157">
        <v>65</v>
      </c>
      <c r="T2157">
        <v>25</v>
      </c>
      <c r="U2157">
        <v>0</v>
      </c>
      <c r="V2157" s="3">
        <f t="shared" si="133"/>
        <v>57598</v>
      </c>
      <c r="W2157">
        <v>4799.833333333333</v>
      </c>
      <c r="X2157">
        <v>0</v>
      </c>
      <c r="Y2157">
        <f t="shared" si="134"/>
        <v>4799.833333333333</v>
      </c>
      <c r="Z2157">
        <f t="shared" si="135"/>
        <v>0</v>
      </c>
      <c r="AA2157">
        <v>0</v>
      </c>
    </row>
    <row r="2158" spans="1:27" x14ac:dyDescent="0.25">
      <c r="A2158" s="1">
        <v>2157</v>
      </c>
      <c r="B2158" t="s">
        <v>85</v>
      </c>
      <c r="C2158" t="s">
        <v>1133</v>
      </c>
      <c r="D2158" t="s">
        <v>1133</v>
      </c>
      <c r="G2158" t="s">
        <v>1194</v>
      </c>
      <c r="H2158" t="s">
        <v>1194</v>
      </c>
      <c r="I2158" t="s">
        <v>1194</v>
      </c>
      <c r="J2158" t="s">
        <v>1264</v>
      </c>
      <c r="K2158" t="s">
        <v>1212</v>
      </c>
      <c r="M2158" s="3">
        <f t="shared" si="132"/>
        <v>72.714285714285708</v>
      </c>
      <c r="N2158">
        <v>69</v>
      </c>
      <c r="O2158">
        <v>80</v>
      </c>
      <c r="P2158">
        <v>64</v>
      </c>
      <c r="Q2158">
        <v>60</v>
      </c>
      <c r="R2158">
        <v>82</v>
      </c>
      <c r="S2158">
        <v>84</v>
      </c>
      <c r="T2158">
        <v>70</v>
      </c>
      <c r="U2158">
        <v>0</v>
      </c>
      <c r="V2158" s="3">
        <f t="shared" si="133"/>
        <v>4132354</v>
      </c>
      <c r="W2158">
        <v>344362.83333333331</v>
      </c>
      <c r="X2158">
        <v>0</v>
      </c>
      <c r="Y2158">
        <f t="shared" si="134"/>
        <v>344362.83333333331</v>
      </c>
      <c r="Z2158">
        <f t="shared" si="135"/>
        <v>0</v>
      </c>
      <c r="AA2158">
        <v>0</v>
      </c>
    </row>
    <row r="2159" spans="1:27" x14ac:dyDescent="0.25">
      <c r="A2159" s="1">
        <v>2158</v>
      </c>
      <c r="B2159" t="s">
        <v>88</v>
      </c>
      <c r="C2159" t="s">
        <v>1133</v>
      </c>
      <c r="D2159" t="s">
        <v>1133</v>
      </c>
      <c r="G2159" t="s">
        <v>1196</v>
      </c>
      <c r="H2159" t="s">
        <v>1196</v>
      </c>
      <c r="I2159" t="s">
        <v>1196</v>
      </c>
      <c r="J2159" t="s">
        <v>1264</v>
      </c>
      <c r="K2159" t="s">
        <v>1212</v>
      </c>
      <c r="M2159" s="3">
        <f t="shared" si="132"/>
        <v>90.142857142857139</v>
      </c>
      <c r="N2159">
        <v>91</v>
      </c>
      <c r="O2159">
        <v>97</v>
      </c>
      <c r="P2159">
        <v>100</v>
      </c>
      <c r="Q2159">
        <v>80</v>
      </c>
      <c r="R2159">
        <v>92</v>
      </c>
      <c r="S2159">
        <v>90</v>
      </c>
      <c r="T2159">
        <v>81</v>
      </c>
      <c r="U2159">
        <v>1</v>
      </c>
      <c r="V2159" s="3">
        <f t="shared" si="133"/>
        <v>53137908</v>
      </c>
      <c r="W2159">
        <v>4428159</v>
      </c>
      <c r="X2159">
        <v>0</v>
      </c>
      <c r="Y2159">
        <f t="shared" si="134"/>
        <v>4428159</v>
      </c>
      <c r="Z2159">
        <f t="shared" si="135"/>
        <v>0</v>
      </c>
      <c r="AA2159">
        <v>0</v>
      </c>
    </row>
    <row r="2160" spans="1:27" x14ac:dyDescent="0.25">
      <c r="A2160" s="1">
        <v>2159</v>
      </c>
      <c r="B2160" t="s">
        <v>391</v>
      </c>
      <c r="C2160" t="s">
        <v>1134</v>
      </c>
      <c r="D2160" t="s">
        <v>1138</v>
      </c>
      <c r="E2160" t="s">
        <v>1140</v>
      </c>
      <c r="G2160" t="s">
        <v>1204</v>
      </c>
      <c r="H2160" t="s">
        <v>1204</v>
      </c>
      <c r="I2160" t="s">
        <v>1204</v>
      </c>
      <c r="J2160" t="s">
        <v>1264</v>
      </c>
      <c r="K2160" t="s">
        <v>1212</v>
      </c>
      <c r="M2160" s="3">
        <f t="shared" si="132"/>
        <v>79.142857142857139</v>
      </c>
      <c r="N2160">
        <v>60</v>
      </c>
      <c r="O2160">
        <v>74</v>
      </c>
      <c r="P2160">
        <v>80</v>
      </c>
      <c r="Q2160">
        <v>82</v>
      </c>
      <c r="R2160">
        <v>83</v>
      </c>
      <c r="S2160">
        <v>93</v>
      </c>
      <c r="T2160">
        <v>82</v>
      </c>
      <c r="U2160">
        <v>0</v>
      </c>
      <c r="V2160" s="3">
        <f t="shared" si="133"/>
        <v>9640893</v>
      </c>
      <c r="W2160">
        <v>803407.75</v>
      </c>
      <c r="X2160">
        <v>0</v>
      </c>
      <c r="Y2160">
        <f t="shared" si="134"/>
        <v>803407.75</v>
      </c>
      <c r="Z2160">
        <f t="shared" si="135"/>
        <v>0</v>
      </c>
      <c r="AA2160">
        <v>0</v>
      </c>
    </row>
    <row r="2161" spans="1:27" x14ac:dyDescent="0.25">
      <c r="A2161" s="1">
        <v>2160</v>
      </c>
      <c r="B2161" t="s">
        <v>345</v>
      </c>
      <c r="C2161" t="s">
        <v>1134</v>
      </c>
      <c r="D2161" t="s">
        <v>1139</v>
      </c>
      <c r="E2161" t="s">
        <v>1138</v>
      </c>
      <c r="F2161" t="s">
        <v>1140</v>
      </c>
      <c r="G2161" t="s">
        <v>1194</v>
      </c>
      <c r="H2161" t="s">
        <v>1194</v>
      </c>
      <c r="I2161" t="s">
        <v>1194</v>
      </c>
      <c r="J2161" t="s">
        <v>1264</v>
      </c>
      <c r="K2161" t="s">
        <v>1212</v>
      </c>
      <c r="M2161" s="3">
        <f t="shared" si="132"/>
        <v>79.714285714285708</v>
      </c>
      <c r="N2161">
        <v>70</v>
      </c>
      <c r="O2161">
        <v>72</v>
      </c>
      <c r="P2161">
        <v>86</v>
      </c>
      <c r="Q2161">
        <v>83</v>
      </c>
      <c r="R2161">
        <v>87</v>
      </c>
      <c r="S2161">
        <v>96</v>
      </c>
      <c r="T2161">
        <v>64</v>
      </c>
      <c r="U2161">
        <v>0</v>
      </c>
      <c r="V2161" s="3">
        <f t="shared" si="133"/>
        <v>10360044</v>
      </c>
      <c r="W2161">
        <v>863337</v>
      </c>
      <c r="X2161">
        <v>0</v>
      </c>
      <c r="Y2161">
        <f t="shared" si="134"/>
        <v>863337</v>
      </c>
      <c r="Z2161">
        <f t="shared" si="135"/>
        <v>0</v>
      </c>
      <c r="AA2161">
        <v>0</v>
      </c>
    </row>
    <row r="2162" spans="1:27" x14ac:dyDescent="0.25">
      <c r="A2162" s="1">
        <v>2161</v>
      </c>
      <c r="B2162" t="s">
        <v>349</v>
      </c>
      <c r="C2162" t="s">
        <v>1134</v>
      </c>
      <c r="D2162" t="s">
        <v>1140</v>
      </c>
      <c r="G2162" t="s">
        <v>1194</v>
      </c>
      <c r="H2162" t="s">
        <v>1200</v>
      </c>
      <c r="I2162" t="s">
        <v>1200</v>
      </c>
      <c r="J2162" t="s">
        <v>1264</v>
      </c>
      <c r="K2162" t="s">
        <v>1212</v>
      </c>
      <c r="M2162" s="3">
        <f t="shared" si="132"/>
        <v>78.142857142857139</v>
      </c>
      <c r="N2162">
        <v>61</v>
      </c>
      <c r="O2162">
        <v>87</v>
      </c>
      <c r="P2162">
        <v>76</v>
      </c>
      <c r="Q2162">
        <v>80</v>
      </c>
      <c r="R2162">
        <v>85</v>
      </c>
      <c r="S2162">
        <v>81</v>
      </c>
      <c r="T2162">
        <v>77</v>
      </c>
      <c r="U2162">
        <v>0</v>
      </c>
      <c r="V2162" s="3">
        <f t="shared" si="133"/>
        <v>8489711</v>
      </c>
      <c r="W2162">
        <v>707475.91666666663</v>
      </c>
      <c r="X2162">
        <v>0</v>
      </c>
      <c r="Y2162">
        <f t="shared" si="134"/>
        <v>707475.91666666663</v>
      </c>
      <c r="Z2162">
        <f t="shared" si="135"/>
        <v>0</v>
      </c>
      <c r="AA2162">
        <v>0</v>
      </c>
    </row>
    <row r="2163" spans="1:27" x14ac:dyDescent="0.25">
      <c r="A2163" s="1">
        <v>2162</v>
      </c>
      <c r="B2163" t="s">
        <v>218</v>
      </c>
      <c r="C2163" t="s">
        <v>1134</v>
      </c>
      <c r="D2163" t="s">
        <v>1138</v>
      </c>
      <c r="E2163" t="s">
        <v>1140</v>
      </c>
      <c r="G2163" t="s">
        <v>1168</v>
      </c>
      <c r="H2163" t="s">
        <v>1168</v>
      </c>
      <c r="I2163" t="s">
        <v>1168</v>
      </c>
      <c r="J2163" t="s">
        <v>1264</v>
      </c>
      <c r="K2163" t="s">
        <v>1212</v>
      </c>
      <c r="M2163" s="3">
        <f t="shared" si="132"/>
        <v>93</v>
      </c>
      <c r="N2163">
        <v>90</v>
      </c>
      <c r="O2163">
        <v>83</v>
      </c>
      <c r="P2163">
        <v>94</v>
      </c>
      <c r="Q2163">
        <v>90</v>
      </c>
      <c r="R2163">
        <v>97</v>
      </c>
      <c r="S2163">
        <v>99</v>
      </c>
      <c r="T2163">
        <v>98</v>
      </c>
      <c r="U2163">
        <v>26</v>
      </c>
      <c r="V2163" s="3">
        <f t="shared" si="133"/>
        <v>72597347</v>
      </c>
      <c r="W2163">
        <v>6049778.916666667</v>
      </c>
      <c r="X2163">
        <v>0</v>
      </c>
      <c r="Y2163">
        <f t="shared" si="134"/>
        <v>6049778.916666667</v>
      </c>
      <c r="Z2163">
        <f t="shared" si="135"/>
        <v>0</v>
      </c>
      <c r="AA2163">
        <v>0</v>
      </c>
    </row>
    <row r="2164" spans="1:27" x14ac:dyDescent="0.25">
      <c r="A2164" s="1">
        <v>2163</v>
      </c>
      <c r="B2164" t="s">
        <v>347</v>
      </c>
      <c r="C2164" t="s">
        <v>1134</v>
      </c>
      <c r="D2164" t="s">
        <v>1138</v>
      </c>
      <c r="E2164" t="s">
        <v>1144</v>
      </c>
      <c r="G2164" t="s">
        <v>1194</v>
      </c>
      <c r="H2164" t="s">
        <v>1194</v>
      </c>
      <c r="I2164" t="s">
        <v>1194</v>
      </c>
      <c r="J2164" t="s">
        <v>1264</v>
      </c>
      <c r="K2164" t="s">
        <v>1212</v>
      </c>
      <c r="M2164" s="3">
        <f t="shared" si="132"/>
        <v>67.714285714285708</v>
      </c>
      <c r="N2164">
        <v>45</v>
      </c>
      <c r="O2164">
        <v>65</v>
      </c>
      <c r="P2164">
        <v>68</v>
      </c>
      <c r="Q2164">
        <v>74</v>
      </c>
      <c r="R2164">
        <v>77</v>
      </c>
      <c r="S2164">
        <v>90</v>
      </c>
      <c r="T2164">
        <v>55</v>
      </c>
      <c r="U2164">
        <v>0</v>
      </c>
      <c r="V2164" s="3">
        <f t="shared" si="133"/>
        <v>2026764</v>
      </c>
      <c r="W2164">
        <v>168897</v>
      </c>
      <c r="X2164">
        <v>0</v>
      </c>
      <c r="Y2164">
        <f t="shared" si="134"/>
        <v>168897</v>
      </c>
      <c r="Z2164">
        <f t="shared" si="135"/>
        <v>0</v>
      </c>
      <c r="AA2164">
        <v>0</v>
      </c>
    </row>
    <row r="2165" spans="1:27" x14ac:dyDescent="0.25">
      <c r="A2165" s="1">
        <v>2164</v>
      </c>
      <c r="B2165" t="s">
        <v>346</v>
      </c>
      <c r="C2165" t="s">
        <v>1134</v>
      </c>
      <c r="D2165" t="s">
        <v>1138</v>
      </c>
      <c r="E2165" t="s">
        <v>1140</v>
      </c>
      <c r="G2165" t="s">
        <v>1194</v>
      </c>
      <c r="H2165" t="s">
        <v>1194</v>
      </c>
      <c r="I2165" t="s">
        <v>1194</v>
      </c>
      <c r="J2165" t="s">
        <v>1264</v>
      </c>
      <c r="K2165" t="s">
        <v>1212</v>
      </c>
      <c r="M2165" s="3">
        <f t="shared" si="132"/>
        <v>68.428571428571431</v>
      </c>
      <c r="N2165">
        <v>50</v>
      </c>
      <c r="O2165">
        <v>60</v>
      </c>
      <c r="P2165">
        <v>70</v>
      </c>
      <c r="Q2165">
        <v>75</v>
      </c>
      <c r="R2165">
        <v>78</v>
      </c>
      <c r="S2165">
        <v>94</v>
      </c>
      <c r="T2165">
        <v>52</v>
      </c>
      <c r="U2165">
        <v>0</v>
      </c>
      <c r="V2165" s="3">
        <f t="shared" si="133"/>
        <v>2250997</v>
      </c>
      <c r="W2165">
        <v>187583.08333333334</v>
      </c>
      <c r="X2165">
        <v>0</v>
      </c>
      <c r="Y2165">
        <f t="shared" si="134"/>
        <v>187583.08333333334</v>
      </c>
      <c r="Z2165">
        <f t="shared" si="135"/>
        <v>0</v>
      </c>
      <c r="AA2165">
        <v>0</v>
      </c>
    </row>
    <row r="2166" spans="1:27" x14ac:dyDescent="0.25">
      <c r="A2166" s="1">
        <v>2165</v>
      </c>
      <c r="B2166" t="s">
        <v>348</v>
      </c>
      <c r="C2166" t="s">
        <v>1134</v>
      </c>
      <c r="D2166" t="s">
        <v>1138</v>
      </c>
      <c r="E2166" t="s">
        <v>1139</v>
      </c>
      <c r="G2166" t="s">
        <v>1194</v>
      </c>
      <c r="H2166" t="s">
        <v>1194</v>
      </c>
      <c r="I2166" t="s">
        <v>1194</v>
      </c>
      <c r="J2166" t="s">
        <v>1264</v>
      </c>
      <c r="K2166" t="s">
        <v>1212</v>
      </c>
      <c r="M2166" s="3">
        <f t="shared" si="132"/>
        <v>68.285714285714292</v>
      </c>
      <c r="N2166">
        <v>46</v>
      </c>
      <c r="O2166">
        <v>64</v>
      </c>
      <c r="P2166">
        <v>73</v>
      </c>
      <c r="Q2166">
        <v>73</v>
      </c>
      <c r="R2166">
        <v>80</v>
      </c>
      <c r="S2166">
        <v>89</v>
      </c>
      <c r="T2166">
        <v>53</v>
      </c>
      <c r="U2166">
        <v>0</v>
      </c>
      <c r="V2166" s="3">
        <f t="shared" si="133"/>
        <v>2204442</v>
      </c>
      <c r="W2166">
        <v>183703.5</v>
      </c>
      <c r="X2166">
        <v>0</v>
      </c>
      <c r="Y2166">
        <f t="shared" si="134"/>
        <v>183703.5</v>
      </c>
      <c r="Z2166">
        <f t="shared" si="135"/>
        <v>0</v>
      </c>
      <c r="AA2166">
        <v>0</v>
      </c>
    </row>
    <row r="2167" spans="1:27" x14ac:dyDescent="0.25">
      <c r="A2167" s="1">
        <v>2166</v>
      </c>
      <c r="B2167" t="s">
        <v>579</v>
      </c>
      <c r="C2167" t="s">
        <v>1135</v>
      </c>
      <c r="D2167" t="s">
        <v>1141</v>
      </c>
      <c r="G2167" t="s">
        <v>1194</v>
      </c>
      <c r="H2167" t="s">
        <v>1194</v>
      </c>
      <c r="I2167" t="s">
        <v>1194</v>
      </c>
      <c r="J2167" t="s">
        <v>1264</v>
      </c>
      <c r="K2167" t="s">
        <v>1212</v>
      </c>
      <c r="M2167" s="3">
        <f t="shared" si="132"/>
        <v>85.714285714285708</v>
      </c>
      <c r="N2167">
        <v>83</v>
      </c>
      <c r="O2167">
        <v>91</v>
      </c>
      <c r="P2167">
        <v>93</v>
      </c>
      <c r="Q2167">
        <v>84</v>
      </c>
      <c r="R2167">
        <v>81</v>
      </c>
      <c r="S2167">
        <v>88</v>
      </c>
      <c r="T2167">
        <v>80</v>
      </c>
      <c r="U2167">
        <v>12</v>
      </c>
      <c r="V2167" s="3">
        <f t="shared" si="133"/>
        <v>32108748</v>
      </c>
      <c r="W2167">
        <v>2675729</v>
      </c>
      <c r="X2167">
        <v>0</v>
      </c>
      <c r="Y2167">
        <f t="shared" si="134"/>
        <v>2675729</v>
      </c>
      <c r="Z2167">
        <f t="shared" si="135"/>
        <v>0</v>
      </c>
      <c r="AA2167">
        <v>0</v>
      </c>
    </row>
    <row r="2168" spans="1:27" x14ac:dyDescent="0.25">
      <c r="A2168" s="1">
        <v>2167</v>
      </c>
      <c r="B2168" t="s">
        <v>580</v>
      </c>
      <c r="C2168" t="s">
        <v>1135</v>
      </c>
      <c r="D2168" t="s">
        <v>1141</v>
      </c>
      <c r="E2168" t="s">
        <v>1145</v>
      </c>
      <c r="G2168" t="s">
        <v>1194</v>
      </c>
      <c r="H2168" t="s">
        <v>1194</v>
      </c>
      <c r="I2168" t="s">
        <v>1194</v>
      </c>
      <c r="J2168" t="s">
        <v>1264</v>
      </c>
      <c r="K2168" t="s">
        <v>1212</v>
      </c>
      <c r="M2168" s="3">
        <f t="shared" si="132"/>
        <v>83</v>
      </c>
      <c r="N2168">
        <v>75</v>
      </c>
      <c r="O2168">
        <v>95</v>
      </c>
      <c r="P2168">
        <v>87</v>
      </c>
      <c r="Q2168">
        <v>80</v>
      </c>
      <c r="R2168">
        <v>85</v>
      </c>
      <c r="S2168">
        <v>83</v>
      </c>
      <c r="T2168">
        <v>76</v>
      </c>
      <c r="U2168">
        <v>14</v>
      </c>
      <c r="V2168" s="3">
        <f t="shared" si="133"/>
        <v>23274062</v>
      </c>
      <c r="W2168">
        <v>1939505.1666666667</v>
      </c>
      <c r="X2168">
        <v>0</v>
      </c>
      <c r="Y2168">
        <f t="shared" si="134"/>
        <v>1939505.1666666667</v>
      </c>
      <c r="Z2168">
        <f t="shared" si="135"/>
        <v>0</v>
      </c>
      <c r="AA2168">
        <v>0</v>
      </c>
    </row>
    <row r="2169" spans="1:27" x14ac:dyDescent="0.25">
      <c r="A2169" s="1">
        <v>2168</v>
      </c>
      <c r="B2169" t="s">
        <v>608</v>
      </c>
      <c r="C2169" t="s">
        <v>1135</v>
      </c>
      <c r="D2169" t="s">
        <v>1141</v>
      </c>
      <c r="E2169" t="s">
        <v>1145</v>
      </c>
      <c r="G2169" t="s">
        <v>1204</v>
      </c>
      <c r="H2169" t="s">
        <v>1204</v>
      </c>
      <c r="I2169" t="s">
        <v>1204</v>
      </c>
      <c r="J2169" t="s">
        <v>1264</v>
      </c>
      <c r="K2169" t="s">
        <v>1212</v>
      </c>
      <c r="M2169" s="3">
        <f t="shared" si="132"/>
        <v>76.428571428571431</v>
      </c>
      <c r="N2169">
        <v>50</v>
      </c>
      <c r="O2169">
        <v>75</v>
      </c>
      <c r="P2169">
        <v>83</v>
      </c>
      <c r="Q2169">
        <v>82</v>
      </c>
      <c r="R2169">
        <v>78</v>
      </c>
      <c r="S2169">
        <v>97</v>
      </c>
      <c r="T2169">
        <v>70</v>
      </c>
      <c r="U2169">
        <v>6</v>
      </c>
      <c r="V2169" s="3">
        <f t="shared" si="133"/>
        <v>10201140</v>
      </c>
      <c r="W2169">
        <v>850095</v>
      </c>
      <c r="X2169">
        <v>0</v>
      </c>
      <c r="Y2169">
        <f t="shared" si="134"/>
        <v>850095</v>
      </c>
      <c r="Z2169">
        <f t="shared" si="135"/>
        <v>0</v>
      </c>
      <c r="AA2169">
        <v>0</v>
      </c>
    </row>
    <row r="2170" spans="1:27" x14ac:dyDescent="0.25">
      <c r="A2170" s="1">
        <v>2169</v>
      </c>
      <c r="B2170" t="s">
        <v>982</v>
      </c>
      <c r="C2170" t="s">
        <v>1136</v>
      </c>
      <c r="D2170" t="s">
        <v>1144</v>
      </c>
      <c r="E2170" t="s">
        <v>1138</v>
      </c>
      <c r="F2170" t="s">
        <v>1143</v>
      </c>
      <c r="G2170" t="s">
        <v>1204</v>
      </c>
      <c r="H2170" t="s">
        <v>1153</v>
      </c>
      <c r="I2170" t="s">
        <v>1153</v>
      </c>
      <c r="J2170" t="s">
        <v>1264</v>
      </c>
      <c r="K2170" t="s">
        <v>1212</v>
      </c>
      <c r="M2170" s="3">
        <f t="shared" si="132"/>
        <v>71.428571428571431</v>
      </c>
      <c r="N2170">
        <v>56</v>
      </c>
      <c r="O2170">
        <v>80</v>
      </c>
      <c r="P2170">
        <v>69</v>
      </c>
      <c r="Q2170">
        <v>75</v>
      </c>
      <c r="R2170">
        <v>81</v>
      </c>
      <c r="S2170">
        <v>78</v>
      </c>
      <c r="T2170">
        <v>61</v>
      </c>
      <c r="U2170">
        <v>0</v>
      </c>
      <c r="V2170" s="3">
        <f t="shared" si="133"/>
        <v>3457162</v>
      </c>
      <c r="W2170">
        <v>288096.83333333331</v>
      </c>
      <c r="X2170">
        <v>0</v>
      </c>
      <c r="Y2170">
        <f t="shared" si="134"/>
        <v>288096.83333333331</v>
      </c>
      <c r="Z2170">
        <f t="shared" si="135"/>
        <v>0</v>
      </c>
      <c r="AA2170">
        <v>0</v>
      </c>
    </row>
    <row r="2171" spans="1:27" x14ac:dyDescent="0.25">
      <c r="A2171" s="1">
        <v>2170</v>
      </c>
      <c r="B2171" t="s">
        <v>742</v>
      </c>
      <c r="C2171" t="s">
        <v>1136</v>
      </c>
      <c r="D2171" t="s">
        <v>1144</v>
      </c>
      <c r="E2171" t="s">
        <v>1138</v>
      </c>
      <c r="G2171" t="s">
        <v>1166</v>
      </c>
      <c r="H2171" t="s">
        <v>1166</v>
      </c>
      <c r="I2171" t="s">
        <v>1166</v>
      </c>
      <c r="J2171" t="s">
        <v>1264</v>
      </c>
      <c r="K2171" t="s">
        <v>1212</v>
      </c>
      <c r="M2171" s="3">
        <f t="shared" si="132"/>
        <v>78</v>
      </c>
      <c r="N2171">
        <v>65</v>
      </c>
      <c r="O2171">
        <v>85</v>
      </c>
      <c r="P2171">
        <v>85</v>
      </c>
      <c r="Q2171">
        <v>85</v>
      </c>
      <c r="R2171">
        <v>80</v>
      </c>
      <c r="S2171">
        <v>85</v>
      </c>
      <c r="T2171">
        <v>61</v>
      </c>
      <c r="U2171">
        <v>18</v>
      </c>
      <c r="V2171" s="3">
        <f t="shared" si="133"/>
        <v>12503664</v>
      </c>
      <c r="W2171">
        <v>615498.83333333337</v>
      </c>
      <c r="X2171">
        <v>0</v>
      </c>
      <c r="Y2171">
        <f t="shared" si="134"/>
        <v>1041972</v>
      </c>
      <c r="Z2171">
        <f t="shared" si="135"/>
        <v>-40.93</v>
      </c>
      <c r="AA2171">
        <v>0</v>
      </c>
    </row>
    <row r="2172" spans="1:27" x14ac:dyDescent="0.25">
      <c r="A2172" s="1">
        <v>2171</v>
      </c>
      <c r="B2172" t="s">
        <v>637</v>
      </c>
      <c r="C2172" t="s">
        <v>1136</v>
      </c>
      <c r="D2172" t="s">
        <v>1143</v>
      </c>
      <c r="E2172" t="s">
        <v>1145</v>
      </c>
      <c r="G2172" t="s">
        <v>1149</v>
      </c>
      <c r="H2172" t="s">
        <v>1149</v>
      </c>
      <c r="I2172" t="s">
        <v>1149</v>
      </c>
      <c r="J2172" t="s">
        <v>1264</v>
      </c>
      <c r="K2172" t="s">
        <v>1212</v>
      </c>
      <c r="M2172" s="3">
        <f t="shared" si="132"/>
        <v>79.714285714285708</v>
      </c>
      <c r="N2172">
        <v>60</v>
      </c>
      <c r="O2172">
        <v>86</v>
      </c>
      <c r="P2172">
        <v>82</v>
      </c>
      <c r="Q2172">
        <v>87</v>
      </c>
      <c r="R2172">
        <v>83</v>
      </c>
      <c r="S2172">
        <v>85</v>
      </c>
      <c r="T2172">
        <v>75</v>
      </c>
      <c r="U2172">
        <v>0</v>
      </c>
      <c r="V2172" s="3">
        <f t="shared" si="133"/>
        <v>10360044</v>
      </c>
      <c r="W2172">
        <v>863337</v>
      </c>
      <c r="X2172">
        <v>0</v>
      </c>
      <c r="Y2172">
        <f t="shared" si="134"/>
        <v>863337</v>
      </c>
      <c r="Z2172">
        <f t="shared" si="135"/>
        <v>0</v>
      </c>
      <c r="AA2172">
        <v>0</v>
      </c>
    </row>
    <row r="2173" spans="1:27" x14ac:dyDescent="0.25">
      <c r="A2173" s="1">
        <v>2172</v>
      </c>
      <c r="B2173" t="s">
        <v>1438</v>
      </c>
      <c r="C2173" t="s">
        <v>1136</v>
      </c>
      <c r="D2173" t="s">
        <v>1143</v>
      </c>
      <c r="E2173" t="s">
        <v>1144</v>
      </c>
      <c r="G2173" t="s">
        <v>1194</v>
      </c>
      <c r="H2173" t="s">
        <v>1194</v>
      </c>
      <c r="I2173" t="s">
        <v>1194</v>
      </c>
      <c r="J2173" t="s">
        <v>1264</v>
      </c>
      <c r="K2173" t="s">
        <v>1212</v>
      </c>
      <c r="M2173" s="3">
        <f t="shared" si="132"/>
        <v>64.571428571428569</v>
      </c>
      <c r="N2173">
        <v>34</v>
      </c>
      <c r="O2173">
        <v>70</v>
      </c>
      <c r="P2173">
        <v>76</v>
      </c>
      <c r="Q2173">
        <v>71</v>
      </c>
      <c r="R2173">
        <v>72</v>
      </c>
      <c r="S2173">
        <v>84</v>
      </c>
      <c r="T2173">
        <v>45</v>
      </c>
      <c r="U2173">
        <v>0</v>
      </c>
      <c r="V2173" s="3">
        <f t="shared" si="133"/>
        <v>1260097</v>
      </c>
      <c r="W2173">
        <v>105008.08333333333</v>
      </c>
      <c r="X2173">
        <v>0</v>
      </c>
      <c r="Y2173">
        <f t="shared" si="134"/>
        <v>105008.08333333333</v>
      </c>
      <c r="Z2173">
        <f t="shared" si="135"/>
        <v>0</v>
      </c>
      <c r="AA2173">
        <v>0</v>
      </c>
    </row>
    <row r="2174" spans="1:27" x14ac:dyDescent="0.25">
      <c r="A2174" s="1">
        <v>2173</v>
      </c>
      <c r="B2174" t="s">
        <v>997</v>
      </c>
      <c r="C2174" t="s">
        <v>1136</v>
      </c>
      <c r="D2174" t="s">
        <v>1144</v>
      </c>
      <c r="E2174" t="s">
        <v>1138</v>
      </c>
      <c r="G2174" t="s">
        <v>1207</v>
      </c>
      <c r="H2174" t="s">
        <v>1207</v>
      </c>
      <c r="I2174" t="s">
        <v>1207</v>
      </c>
      <c r="J2174" t="s">
        <v>1264</v>
      </c>
      <c r="K2174" t="s">
        <v>1212</v>
      </c>
      <c r="M2174" s="3">
        <f t="shared" si="132"/>
        <v>74</v>
      </c>
      <c r="N2174">
        <v>53</v>
      </c>
      <c r="O2174">
        <v>77</v>
      </c>
      <c r="P2174">
        <v>73</v>
      </c>
      <c r="Q2174">
        <v>75</v>
      </c>
      <c r="R2174">
        <v>80</v>
      </c>
      <c r="S2174">
        <v>90</v>
      </c>
      <c r="T2174">
        <v>70</v>
      </c>
      <c r="U2174">
        <v>18</v>
      </c>
      <c r="V2174" s="3">
        <f t="shared" si="133"/>
        <v>7385986</v>
      </c>
      <c r="W2174">
        <v>615498.83333333337</v>
      </c>
      <c r="X2174">
        <v>0</v>
      </c>
      <c r="Y2174">
        <f t="shared" si="134"/>
        <v>615498.83333333337</v>
      </c>
      <c r="Z2174">
        <f t="shared" si="135"/>
        <v>0</v>
      </c>
      <c r="AA2174">
        <v>0</v>
      </c>
    </row>
    <row r="2175" spans="1:27" x14ac:dyDescent="0.25">
      <c r="A2175" s="1">
        <v>2174</v>
      </c>
      <c r="B2175" t="s">
        <v>1437</v>
      </c>
      <c r="C2175" t="s">
        <v>1136</v>
      </c>
      <c r="D2175" t="s">
        <v>1145</v>
      </c>
      <c r="E2175" t="s">
        <v>1143</v>
      </c>
      <c r="G2175" t="s">
        <v>1194</v>
      </c>
      <c r="H2175" t="s">
        <v>1194</v>
      </c>
      <c r="I2175" t="s">
        <v>1194</v>
      </c>
      <c r="J2175" t="s">
        <v>1264</v>
      </c>
      <c r="K2175" t="s">
        <v>1212</v>
      </c>
      <c r="M2175" s="3">
        <f t="shared" si="132"/>
        <v>62.285714285714285</v>
      </c>
      <c r="N2175">
        <v>30</v>
      </c>
      <c r="O2175">
        <v>74</v>
      </c>
      <c r="P2175">
        <v>72</v>
      </c>
      <c r="Q2175">
        <v>72</v>
      </c>
      <c r="R2175">
        <v>74</v>
      </c>
      <c r="S2175">
        <v>70</v>
      </c>
      <c r="T2175">
        <v>44</v>
      </c>
      <c r="U2175">
        <v>0</v>
      </c>
      <c r="V2175" s="3">
        <f t="shared" si="133"/>
        <v>878789</v>
      </c>
      <c r="W2175">
        <v>73232.416666666672</v>
      </c>
      <c r="X2175">
        <v>0</v>
      </c>
      <c r="Y2175">
        <f t="shared" si="134"/>
        <v>73232.416666666672</v>
      </c>
      <c r="Z2175">
        <f t="shared" si="135"/>
        <v>0</v>
      </c>
      <c r="AA2175">
        <v>0</v>
      </c>
    </row>
    <row r="2176" spans="1:27" x14ac:dyDescent="0.25">
      <c r="A2176" s="1">
        <v>2175</v>
      </c>
      <c r="B2176" t="s">
        <v>915</v>
      </c>
      <c r="C2176" t="s">
        <v>1136</v>
      </c>
      <c r="D2176" t="s">
        <v>1147</v>
      </c>
      <c r="E2176" t="s">
        <v>1146</v>
      </c>
      <c r="F2176" t="s">
        <v>1145</v>
      </c>
      <c r="G2176" t="s">
        <v>1194</v>
      </c>
      <c r="H2176" t="s">
        <v>1194</v>
      </c>
      <c r="I2176" t="s">
        <v>1194</v>
      </c>
      <c r="J2176" t="s">
        <v>1264</v>
      </c>
      <c r="K2176" t="s">
        <v>1212</v>
      </c>
      <c r="M2176" s="3">
        <f t="shared" si="132"/>
        <v>78.714285714285708</v>
      </c>
      <c r="N2176">
        <v>62</v>
      </c>
      <c r="O2176">
        <v>93</v>
      </c>
      <c r="P2176">
        <v>84</v>
      </c>
      <c r="Q2176">
        <v>81</v>
      </c>
      <c r="R2176">
        <v>73</v>
      </c>
      <c r="S2176">
        <v>82</v>
      </c>
      <c r="T2176">
        <v>76</v>
      </c>
      <c r="U2176">
        <v>0</v>
      </c>
      <c r="V2176" s="3">
        <f t="shared" si="133"/>
        <v>9131363</v>
      </c>
      <c r="W2176">
        <v>760946.91666666663</v>
      </c>
      <c r="X2176">
        <v>0</v>
      </c>
      <c r="Y2176">
        <f t="shared" si="134"/>
        <v>760946.91666666663</v>
      </c>
      <c r="Z2176">
        <f t="shared" si="135"/>
        <v>0</v>
      </c>
      <c r="AA2176">
        <v>0</v>
      </c>
    </row>
    <row r="2177" spans="1:27" x14ac:dyDescent="0.25">
      <c r="A2177" s="1">
        <v>2176</v>
      </c>
      <c r="B2177" t="s">
        <v>1439</v>
      </c>
      <c r="C2177" t="s">
        <v>1136</v>
      </c>
      <c r="D2177" t="s">
        <v>1147</v>
      </c>
      <c r="E2177" t="s">
        <v>1140</v>
      </c>
      <c r="G2177" t="s">
        <v>1194</v>
      </c>
      <c r="H2177" t="s">
        <v>1194</v>
      </c>
      <c r="I2177" t="s">
        <v>1194</v>
      </c>
      <c r="J2177" t="s">
        <v>1264</v>
      </c>
      <c r="K2177" t="s">
        <v>1212</v>
      </c>
      <c r="M2177" s="3">
        <f t="shared" si="132"/>
        <v>64.714285714285708</v>
      </c>
      <c r="N2177">
        <v>32</v>
      </c>
      <c r="O2177">
        <v>84</v>
      </c>
      <c r="P2177">
        <v>77</v>
      </c>
      <c r="Q2177">
        <v>70</v>
      </c>
      <c r="R2177">
        <v>73</v>
      </c>
      <c r="S2177">
        <v>68</v>
      </c>
      <c r="T2177">
        <v>49</v>
      </c>
      <c r="U2177">
        <v>23</v>
      </c>
      <c r="V2177" s="3">
        <f t="shared" si="133"/>
        <v>1932382</v>
      </c>
      <c r="W2177">
        <v>161031.83333333334</v>
      </c>
      <c r="X2177">
        <v>0</v>
      </c>
      <c r="Y2177">
        <f t="shared" si="134"/>
        <v>161031.83333333334</v>
      </c>
      <c r="Z2177">
        <f t="shared" si="135"/>
        <v>0</v>
      </c>
      <c r="AA2177">
        <v>0</v>
      </c>
    </row>
    <row r="2178" spans="1:27" x14ac:dyDescent="0.25">
      <c r="A2178" s="1">
        <v>2177</v>
      </c>
      <c r="B2178" t="s">
        <v>1440</v>
      </c>
      <c r="C2178" t="s">
        <v>1136</v>
      </c>
      <c r="D2178" t="s">
        <v>1146</v>
      </c>
      <c r="E2178" t="s">
        <v>1139</v>
      </c>
      <c r="G2178" t="s">
        <v>1194</v>
      </c>
      <c r="H2178" t="s">
        <v>1194</v>
      </c>
      <c r="I2178" t="s">
        <v>1194</v>
      </c>
      <c r="J2178" t="s">
        <v>1264</v>
      </c>
      <c r="K2178" t="s">
        <v>1212</v>
      </c>
      <c r="M2178" s="3">
        <f t="shared" ref="M2178:M2241" si="136">AVERAGE(N2178:T2178)</f>
        <v>69.714285714285708</v>
      </c>
      <c r="N2178">
        <v>29</v>
      </c>
      <c r="O2178">
        <v>86</v>
      </c>
      <c r="P2178">
        <v>73</v>
      </c>
      <c r="Q2178">
        <v>78</v>
      </c>
      <c r="R2178">
        <v>71</v>
      </c>
      <c r="S2178">
        <v>74</v>
      </c>
      <c r="T2178">
        <v>77</v>
      </c>
      <c r="U2178">
        <v>23</v>
      </c>
      <c r="V2178" s="3">
        <f t="shared" ref="V2178:V2241" si="137">ROUNDUP(M2178^10/1000000000000 * IF(U2178&gt;0,1.5,1),0)</f>
        <v>4067327</v>
      </c>
      <c r="W2178">
        <v>338943.91666666669</v>
      </c>
      <c r="X2178">
        <v>0</v>
      </c>
      <c r="Y2178">
        <f t="shared" ref="Y2178:Y2241" si="138">V2178/12</f>
        <v>338943.91666666669</v>
      </c>
      <c r="Z2178">
        <f t="shared" ref="Z2178:Z2241" si="139">ROUND(((W2178-Y2178)/Y2178)*100,2)</f>
        <v>0</v>
      </c>
      <c r="AA2178">
        <v>0</v>
      </c>
    </row>
    <row r="2179" spans="1:27" x14ac:dyDescent="0.25">
      <c r="A2179" s="1">
        <v>2178</v>
      </c>
      <c r="B2179" t="s">
        <v>916</v>
      </c>
      <c r="C2179" t="s">
        <v>1136</v>
      </c>
      <c r="D2179" t="s">
        <v>1146</v>
      </c>
      <c r="E2179" t="s">
        <v>1147</v>
      </c>
      <c r="F2179" t="s">
        <v>1143</v>
      </c>
      <c r="G2179" t="s">
        <v>1194</v>
      </c>
      <c r="H2179" t="s">
        <v>1194</v>
      </c>
      <c r="I2179" t="s">
        <v>1194</v>
      </c>
      <c r="J2179" t="s">
        <v>1264</v>
      </c>
      <c r="K2179" t="s">
        <v>1212</v>
      </c>
      <c r="M2179" s="3">
        <f t="shared" si="136"/>
        <v>70.142857142857139</v>
      </c>
      <c r="N2179">
        <v>68</v>
      </c>
      <c r="O2179">
        <v>80</v>
      </c>
      <c r="P2179">
        <v>79</v>
      </c>
      <c r="Q2179">
        <v>70</v>
      </c>
      <c r="R2179">
        <v>72</v>
      </c>
      <c r="S2179">
        <v>71</v>
      </c>
      <c r="T2179">
        <v>51</v>
      </c>
      <c r="U2179">
        <v>0</v>
      </c>
      <c r="V2179" s="3">
        <f t="shared" si="137"/>
        <v>2882933</v>
      </c>
      <c r="W2179">
        <v>240244.41666666666</v>
      </c>
      <c r="X2179">
        <v>0</v>
      </c>
      <c r="Y2179">
        <f t="shared" si="138"/>
        <v>240244.41666666666</v>
      </c>
      <c r="Z2179">
        <f t="shared" si="139"/>
        <v>0</v>
      </c>
      <c r="AA2179">
        <v>0</v>
      </c>
    </row>
    <row r="2180" spans="1:27" x14ac:dyDescent="0.25">
      <c r="A2180" s="1">
        <v>2179</v>
      </c>
      <c r="B2180" t="s">
        <v>1071</v>
      </c>
      <c r="C2180" t="s">
        <v>1137</v>
      </c>
      <c r="D2180" t="s">
        <v>1137</v>
      </c>
      <c r="G2180" t="s">
        <v>1194</v>
      </c>
      <c r="H2180" t="s">
        <v>1194</v>
      </c>
      <c r="I2180" t="s">
        <v>1194</v>
      </c>
      <c r="J2180" t="s">
        <v>1264</v>
      </c>
      <c r="K2180" t="s">
        <v>1212</v>
      </c>
      <c r="M2180" s="3">
        <f t="shared" si="136"/>
        <v>72</v>
      </c>
      <c r="N2180">
        <v>52</v>
      </c>
      <c r="O2180">
        <v>95</v>
      </c>
      <c r="P2180">
        <v>80</v>
      </c>
      <c r="Q2180">
        <v>71</v>
      </c>
      <c r="R2180">
        <v>82</v>
      </c>
      <c r="S2180">
        <v>82</v>
      </c>
      <c r="T2180">
        <v>42</v>
      </c>
      <c r="U2180">
        <v>0</v>
      </c>
      <c r="V2180" s="3">
        <f t="shared" si="137"/>
        <v>3743907</v>
      </c>
      <c r="W2180">
        <v>311992.25</v>
      </c>
      <c r="X2180">
        <v>0</v>
      </c>
      <c r="Y2180">
        <f t="shared" si="138"/>
        <v>311992.25</v>
      </c>
      <c r="Z2180">
        <f t="shared" si="139"/>
        <v>0</v>
      </c>
      <c r="AA2180">
        <v>0</v>
      </c>
    </row>
    <row r="2181" spans="1:27" x14ac:dyDescent="0.25">
      <c r="A2181" s="1">
        <v>2180</v>
      </c>
      <c r="B2181" t="s">
        <v>1598</v>
      </c>
      <c r="C2181" t="s">
        <v>1133</v>
      </c>
      <c r="D2181" t="s">
        <v>1133</v>
      </c>
      <c r="H2181" t="s">
        <v>1209</v>
      </c>
      <c r="I2181" t="s">
        <v>1209</v>
      </c>
      <c r="J2181" t="s">
        <v>1274</v>
      </c>
      <c r="K2181" t="s">
        <v>1212</v>
      </c>
      <c r="M2181" s="3">
        <f t="shared" si="136"/>
        <v>62.571428571428569</v>
      </c>
      <c r="N2181">
        <v>23</v>
      </c>
      <c r="O2181">
        <v>68</v>
      </c>
      <c r="P2181">
        <v>66</v>
      </c>
      <c r="Q2181">
        <v>73</v>
      </c>
      <c r="R2181">
        <v>78</v>
      </c>
      <c r="S2181">
        <v>76</v>
      </c>
      <c r="T2181">
        <v>54</v>
      </c>
      <c r="U2181">
        <v>0</v>
      </c>
      <c r="V2181" s="3">
        <f t="shared" si="137"/>
        <v>919943</v>
      </c>
      <c r="W2181">
        <v>76661.916666666672</v>
      </c>
      <c r="X2181">
        <v>0</v>
      </c>
      <c r="Y2181">
        <f t="shared" si="138"/>
        <v>76661.916666666672</v>
      </c>
      <c r="Z2181">
        <f t="shared" si="139"/>
        <v>0</v>
      </c>
      <c r="AA2181">
        <v>0</v>
      </c>
    </row>
    <row r="2182" spans="1:27" x14ac:dyDescent="0.25">
      <c r="A2182" s="1">
        <v>2181</v>
      </c>
      <c r="B2182" t="s">
        <v>111</v>
      </c>
      <c r="C2182" t="s">
        <v>1133</v>
      </c>
      <c r="D2182" t="s">
        <v>1133</v>
      </c>
      <c r="G2182" t="s">
        <v>1209</v>
      </c>
      <c r="H2182" t="s">
        <v>1215</v>
      </c>
      <c r="I2182" t="s">
        <v>1215</v>
      </c>
      <c r="J2182" t="s">
        <v>1274</v>
      </c>
      <c r="K2182" t="s">
        <v>1212</v>
      </c>
      <c r="M2182" s="3">
        <f t="shared" si="136"/>
        <v>79.857142857142861</v>
      </c>
      <c r="N2182">
        <v>74</v>
      </c>
      <c r="O2182">
        <v>90</v>
      </c>
      <c r="P2182">
        <v>74</v>
      </c>
      <c r="Q2182">
        <v>84</v>
      </c>
      <c r="R2182">
        <v>82</v>
      </c>
      <c r="S2182">
        <v>90</v>
      </c>
      <c r="T2182">
        <v>65</v>
      </c>
      <c r="U2182">
        <v>31</v>
      </c>
      <c r="V2182" s="3">
        <f t="shared" si="137"/>
        <v>15820819</v>
      </c>
      <c r="W2182">
        <v>1318401.5833333333</v>
      </c>
      <c r="X2182">
        <v>0</v>
      </c>
      <c r="Y2182">
        <f t="shared" si="138"/>
        <v>1318401.5833333333</v>
      </c>
      <c r="Z2182">
        <f t="shared" si="139"/>
        <v>0</v>
      </c>
      <c r="AA2182">
        <v>0</v>
      </c>
    </row>
    <row r="2183" spans="1:27" x14ac:dyDescent="0.25">
      <c r="A2183" s="1">
        <v>2182</v>
      </c>
      <c r="B2183" t="s">
        <v>1601</v>
      </c>
      <c r="C2183" t="s">
        <v>1134</v>
      </c>
      <c r="D2183" t="s">
        <v>1140</v>
      </c>
      <c r="E2183" t="s">
        <v>1138</v>
      </c>
      <c r="H2183" t="s">
        <v>1209</v>
      </c>
      <c r="I2183" t="s">
        <v>1209</v>
      </c>
      <c r="J2183" t="s">
        <v>1274</v>
      </c>
      <c r="K2183" t="s">
        <v>1212</v>
      </c>
      <c r="M2183" s="3">
        <f t="shared" si="136"/>
        <v>57</v>
      </c>
      <c r="N2183">
        <v>21</v>
      </c>
      <c r="O2183">
        <v>64</v>
      </c>
      <c r="P2183">
        <v>49</v>
      </c>
      <c r="Q2183">
        <v>72</v>
      </c>
      <c r="R2183">
        <v>70</v>
      </c>
      <c r="S2183">
        <v>73</v>
      </c>
      <c r="T2183">
        <v>50</v>
      </c>
      <c r="U2183">
        <v>0</v>
      </c>
      <c r="V2183" s="3">
        <f t="shared" si="137"/>
        <v>362034</v>
      </c>
      <c r="W2183">
        <v>30169.5</v>
      </c>
      <c r="X2183">
        <v>0</v>
      </c>
      <c r="Y2183">
        <f t="shared" si="138"/>
        <v>30169.5</v>
      </c>
      <c r="Z2183">
        <f t="shared" si="139"/>
        <v>0</v>
      </c>
      <c r="AA2183">
        <v>0</v>
      </c>
    </row>
    <row r="2184" spans="1:27" x14ac:dyDescent="0.25">
      <c r="A2184" s="1">
        <v>2183</v>
      </c>
      <c r="B2184" t="s">
        <v>418</v>
      </c>
      <c r="C2184" t="s">
        <v>1134</v>
      </c>
      <c r="D2184" t="s">
        <v>1138</v>
      </c>
      <c r="G2184" t="s">
        <v>1209</v>
      </c>
      <c r="H2184" t="s">
        <v>1209</v>
      </c>
      <c r="I2184" t="s">
        <v>1209</v>
      </c>
      <c r="J2184" t="s">
        <v>1274</v>
      </c>
      <c r="K2184" t="s">
        <v>1212</v>
      </c>
      <c r="M2184" s="3">
        <f t="shared" si="136"/>
        <v>72.142857142857139</v>
      </c>
      <c r="N2184">
        <v>65</v>
      </c>
      <c r="O2184">
        <v>70</v>
      </c>
      <c r="P2184">
        <v>74</v>
      </c>
      <c r="Q2184">
        <v>80</v>
      </c>
      <c r="R2184">
        <v>74</v>
      </c>
      <c r="S2184">
        <v>82</v>
      </c>
      <c r="T2184">
        <v>60</v>
      </c>
      <c r="U2184">
        <v>0</v>
      </c>
      <c r="V2184" s="3">
        <f t="shared" si="137"/>
        <v>3818857</v>
      </c>
      <c r="W2184">
        <v>318238.08333333331</v>
      </c>
      <c r="X2184">
        <v>0</v>
      </c>
      <c r="Y2184">
        <f t="shared" si="138"/>
        <v>318238.08333333331</v>
      </c>
      <c r="Z2184">
        <f t="shared" si="139"/>
        <v>0</v>
      </c>
      <c r="AA2184">
        <v>0</v>
      </c>
    </row>
    <row r="2185" spans="1:27" x14ac:dyDescent="0.25">
      <c r="A2185" s="1">
        <v>2184</v>
      </c>
      <c r="B2185" t="s">
        <v>1599</v>
      </c>
      <c r="C2185" t="s">
        <v>1134</v>
      </c>
      <c r="D2185" t="s">
        <v>1138</v>
      </c>
      <c r="E2185" t="s">
        <v>1144</v>
      </c>
      <c r="H2185" t="s">
        <v>1209</v>
      </c>
      <c r="I2185" t="s">
        <v>1209</v>
      </c>
      <c r="J2185" t="s">
        <v>1274</v>
      </c>
      <c r="K2185" t="s">
        <v>1212</v>
      </c>
      <c r="M2185" s="3">
        <f t="shared" si="136"/>
        <v>66.428571428571431</v>
      </c>
      <c r="N2185">
        <v>35</v>
      </c>
      <c r="O2185">
        <v>71</v>
      </c>
      <c r="P2185">
        <v>62</v>
      </c>
      <c r="Q2185">
        <v>79</v>
      </c>
      <c r="R2185">
        <v>81</v>
      </c>
      <c r="S2185">
        <v>80</v>
      </c>
      <c r="T2185">
        <v>57</v>
      </c>
      <c r="U2185">
        <v>0</v>
      </c>
      <c r="V2185" s="3">
        <f t="shared" si="137"/>
        <v>1673205</v>
      </c>
      <c r="W2185">
        <v>139433.75</v>
      </c>
      <c r="X2185">
        <v>0</v>
      </c>
      <c r="Y2185">
        <f t="shared" si="138"/>
        <v>139433.75</v>
      </c>
      <c r="Z2185">
        <f t="shared" si="139"/>
        <v>0</v>
      </c>
      <c r="AA2185">
        <v>0</v>
      </c>
    </row>
    <row r="2186" spans="1:27" x14ac:dyDescent="0.25">
      <c r="A2186" s="1">
        <v>2185</v>
      </c>
      <c r="B2186" t="s">
        <v>386</v>
      </c>
      <c r="C2186" t="s">
        <v>1134</v>
      </c>
      <c r="D2186" t="s">
        <v>1138</v>
      </c>
      <c r="E2186" t="s">
        <v>1144</v>
      </c>
      <c r="F2186" t="s">
        <v>1140</v>
      </c>
      <c r="G2186" t="s">
        <v>1203</v>
      </c>
      <c r="H2186" t="s">
        <v>1203</v>
      </c>
      <c r="I2186" t="s">
        <v>1203</v>
      </c>
      <c r="J2186" t="s">
        <v>1274</v>
      </c>
      <c r="K2186" t="s">
        <v>1212</v>
      </c>
      <c r="M2186" s="3">
        <f t="shared" si="136"/>
        <v>90.857142857142861</v>
      </c>
      <c r="N2186">
        <v>95</v>
      </c>
      <c r="O2186">
        <v>83</v>
      </c>
      <c r="P2186">
        <v>99</v>
      </c>
      <c r="Q2186">
        <v>94</v>
      </c>
      <c r="R2186">
        <v>89</v>
      </c>
      <c r="S2186">
        <v>86</v>
      </c>
      <c r="T2186">
        <v>90</v>
      </c>
      <c r="U2186">
        <v>1</v>
      </c>
      <c r="V2186" s="3">
        <f t="shared" si="137"/>
        <v>57501877</v>
      </c>
      <c r="W2186">
        <v>4791823.083333333</v>
      </c>
      <c r="X2186">
        <v>0</v>
      </c>
      <c r="Y2186">
        <f t="shared" si="138"/>
        <v>4791823.083333333</v>
      </c>
      <c r="Z2186">
        <f t="shared" si="139"/>
        <v>0</v>
      </c>
      <c r="AA2186">
        <v>0</v>
      </c>
    </row>
    <row r="2187" spans="1:27" x14ac:dyDescent="0.25">
      <c r="A2187" s="1">
        <v>2186</v>
      </c>
      <c r="B2187" t="s">
        <v>1600</v>
      </c>
      <c r="C2187" t="s">
        <v>1134</v>
      </c>
      <c r="D2187" t="s">
        <v>1138</v>
      </c>
      <c r="E2187" t="s">
        <v>1139</v>
      </c>
      <c r="H2187" t="s">
        <v>1209</v>
      </c>
      <c r="I2187" t="s">
        <v>1209</v>
      </c>
      <c r="J2187" t="s">
        <v>1274</v>
      </c>
      <c r="K2187" t="s">
        <v>1212</v>
      </c>
      <c r="M2187" s="3">
        <f t="shared" si="136"/>
        <v>62.428571428571431</v>
      </c>
      <c r="N2187">
        <v>27</v>
      </c>
      <c r="O2187">
        <v>82</v>
      </c>
      <c r="P2187">
        <v>54</v>
      </c>
      <c r="Q2187">
        <v>71</v>
      </c>
      <c r="R2187">
        <v>74</v>
      </c>
      <c r="S2187">
        <v>77</v>
      </c>
      <c r="T2187">
        <v>52</v>
      </c>
      <c r="U2187">
        <v>0</v>
      </c>
      <c r="V2187" s="3">
        <f t="shared" si="137"/>
        <v>899154</v>
      </c>
      <c r="W2187">
        <v>74929.5</v>
      </c>
      <c r="X2187">
        <v>0</v>
      </c>
      <c r="Y2187">
        <f t="shared" si="138"/>
        <v>74929.5</v>
      </c>
      <c r="Z2187">
        <f t="shared" si="139"/>
        <v>0</v>
      </c>
      <c r="AA2187">
        <v>0</v>
      </c>
    </row>
    <row r="2188" spans="1:27" x14ac:dyDescent="0.25">
      <c r="A2188" s="1">
        <v>2187</v>
      </c>
      <c r="B2188" t="s">
        <v>417</v>
      </c>
      <c r="C2188" t="s">
        <v>1134</v>
      </c>
      <c r="D2188" t="s">
        <v>1138</v>
      </c>
      <c r="E2188" t="s">
        <v>1144</v>
      </c>
      <c r="F2188" t="s">
        <v>1139</v>
      </c>
      <c r="G2188" t="s">
        <v>1209</v>
      </c>
      <c r="H2188" t="s">
        <v>1214</v>
      </c>
      <c r="I2188" t="s">
        <v>1214</v>
      </c>
      <c r="J2188" t="s">
        <v>1274</v>
      </c>
      <c r="K2188" t="s">
        <v>1212</v>
      </c>
      <c r="M2188" s="3">
        <f t="shared" si="136"/>
        <v>89.428571428571431</v>
      </c>
      <c r="N2188">
        <v>86</v>
      </c>
      <c r="O2188">
        <v>88</v>
      </c>
      <c r="P2188">
        <v>89</v>
      </c>
      <c r="Q2188">
        <v>93</v>
      </c>
      <c r="R2188">
        <v>90</v>
      </c>
      <c r="S2188">
        <v>89</v>
      </c>
      <c r="T2188">
        <v>91</v>
      </c>
      <c r="U2188">
        <v>18</v>
      </c>
      <c r="V2188" s="3">
        <f t="shared" si="137"/>
        <v>49074309</v>
      </c>
      <c r="W2188">
        <v>4089525.75</v>
      </c>
      <c r="X2188">
        <v>0</v>
      </c>
      <c r="Y2188">
        <f t="shared" si="138"/>
        <v>4089525.75</v>
      </c>
      <c r="Z2188">
        <f t="shared" si="139"/>
        <v>0</v>
      </c>
      <c r="AA2188">
        <v>0</v>
      </c>
    </row>
    <row r="2189" spans="1:27" x14ac:dyDescent="0.25">
      <c r="A2189" s="1">
        <v>2188</v>
      </c>
      <c r="B2189" t="s">
        <v>419</v>
      </c>
      <c r="C2189" t="s">
        <v>1134</v>
      </c>
      <c r="D2189" t="s">
        <v>1138</v>
      </c>
      <c r="G2189" t="s">
        <v>1209</v>
      </c>
      <c r="H2189" t="s">
        <v>1209</v>
      </c>
      <c r="I2189" t="s">
        <v>1209</v>
      </c>
      <c r="J2189" t="s">
        <v>1274</v>
      </c>
      <c r="K2189" t="s">
        <v>1212</v>
      </c>
      <c r="M2189" s="3">
        <f t="shared" si="136"/>
        <v>76.857142857142861</v>
      </c>
      <c r="N2189">
        <v>64</v>
      </c>
      <c r="O2189">
        <v>71</v>
      </c>
      <c r="P2189">
        <v>80</v>
      </c>
      <c r="Q2189">
        <v>83</v>
      </c>
      <c r="R2189">
        <v>81</v>
      </c>
      <c r="S2189">
        <v>95</v>
      </c>
      <c r="T2189">
        <v>64</v>
      </c>
      <c r="U2189">
        <v>0</v>
      </c>
      <c r="V2189" s="3">
        <f t="shared" si="137"/>
        <v>7191879</v>
      </c>
      <c r="W2189">
        <v>599323.25</v>
      </c>
      <c r="X2189">
        <v>0</v>
      </c>
      <c r="Y2189">
        <f t="shared" si="138"/>
        <v>599323.25</v>
      </c>
      <c r="Z2189">
        <f t="shared" si="139"/>
        <v>0</v>
      </c>
      <c r="AA2189">
        <v>0</v>
      </c>
    </row>
    <row r="2190" spans="1:27" x14ac:dyDescent="0.25">
      <c r="A2190" s="1">
        <v>2189</v>
      </c>
      <c r="B2190" t="s">
        <v>1602</v>
      </c>
      <c r="C2190" t="s">
        <v>1134</v>
      </c>
      <c r="D2190" t="s">
        <v>1138</v>
      </c>
      <c r="E2190" t="s">
        <v>1144</v>
      </c>
      <c r="H2190" t="s">
        <v>1209</v>
      </c>
      <c r="I2190" t="s">
        <v>1209</v>
      </c>
      <c r="J2190" t="s">
        <v>1274</v>
      </c>
      <c r="K2190" t="s">
        <v>1212</v>
      </c>
      <c r="M2190" s="3">
        <f t="shared" si="136"/>
        <v>64.571428571428569</v>
      </c>
      <c r="N2190">
        <v>38</v>
      </c>
      <c r="O2190">
        <v>67</v>
      </c>
      <c r="P2190">
        <v>59</v>
      </c>
      <c r="Q2190">
        <v>76</v>
      </c>
      <c r="R2190">
        <v>77</v>
      </c>
      <c r="S2190">
        <v>79</v>
      </c>
      <c r="T2190">
        <v>56</v>
      </c>
      <c r="U2190">
        <v>0</v>
      </c>
      <c r="V2190" s="3">
        <f t="shared" si="137"/>
        <v>1260097</v>
      </c>
      <c r="W2190">
        <v>105008.08333333333</v>
      </c>
      <c r="X2190">
        <v>0</v>
      </c>
      <c r="Y2190">
        <f t="shared" si="138"/>
        <v>105008.08333333333</v>
      </c>
      <c r="Z2190">
        <f t="shared" si="139"/>
        <v>0</v>
      </c>
      <c r="AA2190">
        <v>0</v>
      </c>
    </row>
    <row r="2191" spans="1:27" x14ac:dyDescent="0.25">
      <c r="A2191" s="1">
        <v>2190</v>
      </c>
      <c r="B2191" t="s">
        <v>622</v>
      </c>
      <c r="C2191" t="s">
        <v>1135</v>
      </c>
      <c r="D2191" t="s">
        <v>1142</v>
      </c>
      <c r="E2191" t="s">
        <v>1141</v>
      </c>
      <c r="G2191" t="s">
        <v>1209</v>
      </c>
      <c r="H2191" t="s">
        <v>1209</v>
      </c>
      <c r="I2191" t="s">
        <v>1209</v>
      </c>
      <c r="J2191" t="s">
        <v>1274</v>
      </c>
      <c r="K2191" t="s">
        <v>1212</v>
      </c>
      <c r="M2191" s="3">
        <f t="shared" si="136"/>
        <v>81.714285714285708</v>
      </c>
      <c r="N2191">
        <v>73</v>
      </c>
      <c r="O2191">
        <v>92</v>
      </c>
      <c r="P2191">
        <v>75</v>
      </c>
      <c r="Q2191">
        <v>87</v>
      </c>
      <c r="R2191">
        <v>88</v>
      </c>
      <c r="S2191">
        <v>77</v>
      </c>
      <c r="T2191">
        <v>80</v>
      </c>
      <c r="U2191">
        <v>3</v>
      </c>
      <c r="V2191" s="3">
        <f t="shared" si="137"/>
        <v>19909995</v>
      </c>
      <c r="W2191">
        <v>1659166.25</v>
      </c>
      <c r="X2191">
        <v>0</v>
      </c>
      <c r="Y2191">
        <f t="shared" si="138"/>
        <v>1659166.25</v>
      </c>
      <c r="Z2191">
        <f t="shared" si="139"/>
        <v>0</v>
      </c>
      <c r="AA2191">
        <v>0</v>
      </c>
    </row>
    <row r="2192" spans="1:27" x14ac:dyDescent="0.25">
      <c r="A2192" s="1">
        <v>2191</v>
      </c>
      <c r="B2192" t="s">
        <v>612</v>
      </c>
      <c r="C2192" t="s">
        <v>1135</v>
      </c>
      <c r="D2192" t="s">
        <v>1141</v>
      </c>
      <c r="E2192" t="s">
        <v>1145</v>
      </c>
      <c r="G2192" t="s">
        <v>1206</v>
      </c>
      <c r="H2192" t="s">
        <v>1206</v>
      </c>
      <c r="I2192" t="s">
        <v>1206</v>
      </c>
      <c r="J2192" t="s">
        <v>1274</v>
      </c>
      <c r="K2192" t="s">
        <v>1212</v>
      </c>
      <c r="M2192" s="3">
        <f t="shared" si="136"/>
        <v>84.142857142857139</v>
      </c>
      <c r="N2192">
        <v>84</v>
      </c>
      <c r="O2192">
        <v>81</v>
      </c>
      <c r="P2192">
        <v>97</v>
      </c>
      <c r="Q2192">
        <v>81</v>
      </c>
      <c r="R2192">
        <v>90</v>
      </c>
      <c r="S2192">
        <v>86</v>
      </c>
      <c r="T2192">
        <v>70</v>
      </c>
      <c r="U2192">
        <v>21</v>
      </c>
      <c r="V2192" s="3">
        <f t="shared" si="137"/>
        <v>26684792</v>
      </c>
      <c r="W2192">
        <v>2223732.6666666665</v>
      </c>
      <c r="X2192">
        <v>0</v>
      </c>
      <c r="Y2192">
        <f t="shared" si="138"/>
        <v>2223732.6666666665</v>
      </c>
      <c r="Z2192">
        <f t="shared" si="139"/>
        <v>0</v>
      </c>
      <c r="AA2192">
        <v>0</v>
      </c>
    </row>
    <row r="2193" spans="1:27" x14ac:dyDescent="0.25">
      <c r="A2193" s="1">
        <v>2192</v>
      </c>
      <c r="B2193" t="s">
        <v>1603</v>
      </c>
      <c r="C2193" t="s">
        <v>1135</v>
      </c>
      <c r="D2193" t="s">
        <v>1141</v>
      </c>
      <c r="E2193" t="s">
        <v>1142</v>
      </c>
      <c r="H2193" t="s">
        <v>1209</v>
      </c>
      <c r="I2193" t="s">
        <v>1209</v>
      </c>
      <c r="J2193" t="s">
        <v>1274</v>
      </c>
      <c r="K2193" t="s">
        <v>1212</v>
      </c>
      <c r="M2193" s="3">
        <f t="shared" si="136"/>
        <v>64.714285714285708</v>
      </c>
      <c r="N2193">
        <v>40</v>
      </c>
      <c r="O2193">
        <v>74</v>
      </c>
      <c r="P2193">
        <v>64</v>
      </c>
      <c r="Q2193">
        <v>69</v>
      </c>
      <c r="R2193">
        <v>80</v>
      </c>
      <c r="S2193">
        <v>75</v>
      </c>
      <c r="T2193">
        <v>51</v>
      </c>
      <c r="U2193">
        <v>0</v>
      </c>
      <c r="V2193" s="3">
        <f t="shared" si="137"/>
        <v>1288255</v>
      </c>
      <c r="W2193">
        <v>107354.58333333333</v>
      </c>
      <c r="X2193">
        <v>0</v>
      </c>
      <c r="Y2193">
        <f t="shared" si="138"/>
        <v>107354.58333333333</v>
      </c>
      <c r="Z2193">
        <f t="shared" si="139"/>
        <v>0</v>
      </c>
      <c r="AA2193">
        <v>0</v>
      </c>
    </row>
    <row r="2194" spans="1:27" x14ac:dyDescent="0.25">
      <c r="A2194" s="1">
        <v>2193</v>
      </c>
      <c r="B2194" t="s">
        <v>750</v>
      </c>
      <c r="C2194" t="s">
        <v>1136</v>
      </c>
      <c r="D2194" t="s">
        <v>1145</v>
      </c>
      <c r="E2194" t="s">
        <v>1147</v>
      </c>
      <c r="F2194" t="s">
        <v>1143</v>
      </c>
      <c r="G2194" t="s">
        <v>1168</v>
      </c>
      <c r="H2194" t="s">
        <v>1168</v>
      </c>
      <c r="I2194" t="s">
        <v>1168</v>
      </c>
      <c r="J2194" t="s">
        <v>1274</v>
      </c>
      <c r="K2194" t="s">
        <v>1212</v>
      </c>
      <c r="M2194" s="3">
        <f t="shared" si="136"/>
        <v>86.285714285714292</v>
      </c>
      <c r="N2194">
        <v>83</v>
      </c>
      <c r="O2194">
        <v>82</v>
      </c>
      <c r="P2194">
        <v>100</v>
      </c>
      <c r="Q2194">
        <v>83</v>
      </c>
      <c r="R2194">
        <v>88</v>
      </c>
      <c r="S2194">
        <v>93</v>
      </c>
      <c r="T2194">
        <v>75</v>
      </c>
      <c r="U2194">
        <v>1</v>
      </c>
      <c r="V2194" s="3">
        <f t="shared" si="137"/>
        <v>34314704</v>
      </c>
      <c r="W2194">
        <v>2859558.6666666665</v>
      </c>
      <c r="X2194">
        <v>0</v>
      </c>
      <c r="Y2194">
        <f t="shared" si="138"/>
        <v>2859558.6666666665</v>
      </c>
      <c r="Z2194">
        <f t="shared" si="139"/>
        <v>0</v>
      </c>
      <c r="AA2194">
        <v>0</v>
      </c>
    </row>
    <row r="2195" spans="1:27" x14ac:dyDescent="0.25">
      <c r="A2195" s="1">
        <v>2194</v>
      </c>
      <c r="B2195" t="s">
        <v>1606</v>
      </c>
      <c r="C2195" t="s">
        <v>1136</v>
      </c>
      <c r="D2195" t="s">
        <v>1147</v>
      </c>
      <c r="E2195" t="s">
        <v>1145</v>
      </c>
      <c r="H2195" t="s">
        <v>1209</v>
      </c>
      <c r="I2195" t="s">
        <v>1209</v>
      </c>
      <c r="J2195" t="s">
        <v>1274</v>
      </c>
      <c r="K2195" t="s">
        <v>1212</v>
      </c>
      <c r="M2195" s="3">
        <f t="shared" si="136"/>
        <v>62.571428571428569</v>
      </c>
      <c r="N2195">
        <v>36</v>
      </c>
      <c r="O2195">
        <v>73</v>
      </c>
      <c r="P2195">
        <v>61</v>
      </c>
      <c r="Q2195">
        <v>70</v>
      </c>
      <c r="R2195">
        <v>75</v>
      </c>
      <c r="S2195">
        <v>70</v>
      </c>
      <c r="T2195">
        <v>53</v>
      </c>
      <c r="U2195">
        <v>0</v>
      </c>
      <c r="V2195" s="3">
        <f t="shared" si="137"/>
        <v>919943</v>
      </c>
      <c r="W2195">
        <v>76661.916666666672</v>
      </c>
      <c r="X2195">
        <v>0</v>
      </c>
      <c r="Y2195">
        <f t="shared" si="138"/>
        <v>76661.916666666672</v>
      </c>
      <c r="Z2195">
        <f t="shared" si="139"/>
        <v>0</v>
      </c>
      <c r="AA2195">
        <v>0</v>
      </c>
    </row>
    <row r="2196" spans="1:27" x14ac:dyDescent="0.25">
      <c r="A2196" s="1">
        <v>2195</v>
      </c>
      <c r="B2196" t="s">
        <v>903</v>
      </c>
      <c r="C2196" t="s">
        <v>1136</v>
      </c>
      <c r="D2196" t="s">
        <v>1143</v>
      </c>
      <c r="E2196" t="s">
        <v>1145</v>
      </c>
      <c r="F2196" t="s">
        <v>1146</v>
      </c>
      <c r="G2196" t="s">
        <v>1193</v>
      </c>
      <c r="H2196" t="s">
        <v>1193</v>
      </c>
      <c r="I2196" t="s">
        <v>1193</v>
      </c>
      <c r="J2196" t="s">
        <v>1274</v>
      </c>
      <c r="K2196" t="s">
        <v>1212</v>
      </c>
      <c r="M2196" s="3">
        <f t="shared" si="136"/>
        <v>91.857142857142861</v>
      </c>
      <c r="N2196">
        <v>90</v>
      </c>
      <c r="O2196">
        <v>83</v>
      </c>
      <c r="P2196">
        <v>99</v>
      </c>
      <c r="Q2196">
        <v>94</v>
      </c>
      <c r="R2196">
        <v>94</v>
      </c>
      <c r="S2196">
        <v>94</v>
      </c>
      <c r="T2196">
        <v>89</v>
      </c>
      <c r="U2196">
        <v>1</v>
      </c>
      <c r="V2196" s="3">
        <f t="shared" si="137"/>
        <v>64153535</v>
      </c>
      <c r="W2196">
        <v>5346127.916666667</v>
      </c>
      <c r="X2196">
        <v>0</v>
      </c>
      <c r="Y2196">
        <f t="shared" si="138"/>
        <v>5346127.916666667</v>
      </c>
      <c r="Z2196">
        <f t="shared" si="139"/>
        <v>0</v>
      </c>
      <c r="AA2196">
        <v>0</v>
      </c>
    </row>
    <row r="2197" spans="1:27" x14ac:dyDescent="0.25">
      <c r="A2197" s="1">
        <v>2196</v>
      </c>
      <c r="B2197" t="s">
        <v>717</v>
      </c>
      <c r="C2197" t="s">
        <v>1136</v>
      </c>
      <c r="D2197" t="s">
        <v>1143</v>
      </c>
      <c r="E2197" t="s">
        <v>1147</v>
      </c>
      <c r="F2197" t="s">
        <v>1145</v>
      </c>
      <c r="G2197" t="s">
        <v>1162</v>
      </c>
      <c r="H2197" t="s">
        <v>1162</v>
      </c>
      <c r="I2197" t="s">
        <v>1162</v>
      </c>
      <c r="J2197" t="s">
        <v>1274</v>
      </c>
      <c r="K2197" t="s">
        <v>1212</v>
      </c>
      <c r="M2197" s="3">
        <f t="shared" si="136"/>
        <v>85.857142857142861</v>
      </c>
      <c r="N2197">
        <v>83</v>
      </c>
      <c r="O2197">
        <v>89</v>
      </c>
      <c r="P2197">
        <v>93</v>
      </c>
      <c r="Q2197">
        <v>87</v>
      </c>
      <c r="R2197">
        <v>82</v>
      </c>
      <c r="S2197">
        <v>83</v>
      </c>
      <c r="T2197">
        <v>84</v>
      </c>
      <c r="U2197">
        <v>22</v>
      </c>
      <c r="V2197" s="3">
        <f t="shared" si="137"/>
        <v>32647925</v>
      </c>
      <c r="W2197">
        <v>2720660.4166666665</v>
      </c>
      <c r="X2197">
        <v>0</v>
      </c>
      <c r="Y2197">
        <f t="shared" si="138"/>
        <v>2720660.4166666665</v>
      </c>
      <c r="Z2197">
        <f t="shared" si="139"/>
        <v>0</v>
      </c>
      <c r="AA2197">
        <v>0</v>
      </c>
    </row>
    <row r="2198" spans="1:27" x14ac:dyDescent="0.25">
      <c r="A2198" s="1">
        <v>2197</v>
      </c>
      <c r="B2198" t="s">
        <v>1605</v>
      </c>
      <c r="C2198" t="s">
        <v>1136</v>
      </c>
      <c r="D2198" t="s">
        <v>1143</v>
      </c>
      <c r="E2198" t="s">
        <v>1145</v>
      </c>
      <c r="H2198" t="s">
        <v>1209</v>
      </c>
      <c r="I2198" t="s">
        <v>1209</v>
      </c>
      <c r="J2198" t="s">
        <v>1274</v>
      </c>
      <c r="K2198" t="s">
        <v>1212</v>
      </c>
      <c r="M2198" s="3">
        <f t="shared" si="136"/>
        <v>60.571428571428569</v>
      </c>
      <c r="N2198">
        <v>25</v>
      </c>
      <c r="O2198">
        <v>76</v>
      </c>
      <c r="P2198">
        <v>57</v>
      </c>
      <c r="Q2198">
        <v>72</v>
      </c>
      <c r="R2198">
        <v>68</v>
      </c>
      <c r="S2198">
        <v>71</v>
      </c>
      <c r="T2198">
        <v>55</v>
      </c>
      <c r="U2198">
        <v>0</v>
      </c>
      <c r="V2198" s="3">
        <f t="shared" si="137"/>
        <v>664781</v>
      </c>
      <c r="W2198">
        <v>55398.416666666664</v>
      </c>
      <c r="X2198">
        <v>0</v>
      </c>
      <c r="Y2198">
        <f t="shared" si="138"/>
        <v>55398.416666666664</v>
      </c>
      <c r="Z2198">
        <f t="shared" si="139"/>
        <v>0</v>
      </c>
      <c r="AA2198">
        <v>0</v>
      </c>
    </row>
    <row r="2199" spans="1:27" x14ac:dyDescent="0.25">
      <c r="A2199" s="1">
        <v>2198</v>
      </c>
      <c r="B2199" t="s">
        <v>1604</v>
      </c>
      <c r="C2199" t="s">
        <v>1136</v>
      </c>
      <c r="D2199" t="s">
        <v>1144</v>
      </c>
      <c r="E2199" t="s">
        <v>1143</v>
      </c>
      <c r="G2199" t="s">
        <v>1209</v>
      </c>
      <c r="H2199" t="s">
        <v>1209</v>
      </c>
      <c r="I2199" t="s">
        <v>1209</v>
      </c>
      <c r="J2199" t="s">
        <v>1274</v>
      </c>
      <c r="K2199" t="s">
        <v>1212</v>
      </c>
      <c r="M2199" s="3">
        <f t="shared" si="136"/>
        <v>79</v>
      </c>
      <c r="N2199">
        <v>50</v>
      </c>
      <c r="O2199">
        <v>80</v>
      </c>
      <c r="P2199">
        <v>84</v>
      </c>
      <c r="Q2199">
        <v>88</v>
      </c>
      <c r="R2199">
        <v>91</v>
      </c>
      <c r="S2199">
        <v>90</v>
      </c>
      <c r="T2199">
        <v>70</v>
      </c>
      <c r="U2199">
        <v>18</v>
      </c>
      <c r="V2199" s="3">
        <f t="shared" si="137"/>
        <v>14202415</v>
      </c>
      <c r="W2199">
        <v>1183534.5833333333</v>
      </c>
      <c r="X2199">
        <v>0</v>
      </c>
      <c r="Y2199">
        <f t="shared" si="138"/>
        <v>1183534.5833333333</v>
      </c>
      <c r="Z2199">
        <f t="shared" si="139"/>
        <v>0</v>
      </c>
      <c r="AA2199">
        <v>0</v>
      </c>
    </row>
    <row r="2200" spans="1:27" x14ac:dyDescent="0.25">
      <c r="A2200" s="1">
        <v>2199</v>
      </c>
      <c r="B2200" t="s">
        <v>861</v>
      </c>
      <c r="C2200" t="s">
        <v>1136</v>
      </c>
      <c r="D2200" t="s">
        <v>1145</v>
      </c>
      <c r="E2200" t="s">
        <v>1147</v>
      </c>
      <c r="G2200" t="s">
        <v>1186</v>
      </c>
      <c r="H2200" t="s">
        <v>1186</v>
      </c>
      <c r="I2200" t="s">
        <v>1186</v>
      </c>
      <c r="J2200" t="s">
        <v>1274</v>
      </c>
      <c r="K2200" t="s">
        <v>1212</v>
      </c>
      <c r="M2200" s="3">
        <f t="shared" si="136"/>
        <v>89.285714285714292</v>
      </c>
      <c r="N2200">
        <v>88</v>
      </c>
      <c r="O2200">
        <v>84</v>
      </c>
      <c r="P2200">
        <v>96</v>
      </c>
      <c r="Q2200">
        <v>92</v>
      </c>
      <c r="R2200">
        <v>89</v>
      </c>
      <c r="S2200">
        <v>88</v>
      </c>
      <c r="T2200">
        <v>88</v>
      </c>
      <c r="U2200">
        <v>21</v>
      </c>
      <c r="V2200" s="3">
        <f t="shared" si="137"/>
        <v>48295986</v>
      </c>
      <c r="W2200">
        <v>4024665.5</v>
      </c>
      <c r="X2200">
        <v>0</v>
      </c>
      <c r="Y2200">
        <f t="shared" si="138"/>
        <v>4024665.5</v>
      </c>
      <c r="Z2200">
        <f t="shared" si="139"/>
        <v>0</v>
      </c>
      <c r="AA2200">
        <v>0</v>
      </c>
    </row>
    <row r="2201" spans="1:27" x14ac:dyDescent="0.25">
      <c r="A2201" s="1">
        <v>2200</v>
      </c>
      <c r="B2201" t="s">
        <v>1607</v>
      </c>
      <c r="C2201" t="s">
        <v>1136</v>
      </c>
      <c r="D2201" t="s">
        <v>1146</v>
      </c>
      <c r="E2201" t="s">
        <v>1143</v>
      </c>
      <c r="H2201" t="s">
        <v>1209</v>
      </c>
      <c r="I2201" t="s">
        <v>1209</v>
      </c>
      <c r="J2201" t="s">
        <v>1274</v>
      </c>
      <c r="K2201" t="s">
        <v>1212</v>
      </c>
      <c r="M2201" s="3">
        <f t="shared" si="136"/>
        <v>57.857142857142854</v>
      </c>
      <c r="N2201">
        <v>22</v>
      </c>
      <c r="O2201">
        <v>80</v>
      </c>
      <c r="P2201">
        <v>50</v>
      </c>
      <c r="Q2201">
        <v>67</v>
      </c>
      <c r="R2201">
        <v>69</v>
      </c>
      <c r="S2201">
        <v>68</v>
      </c>
      <c r="T2201">
        <v>49</v>
      </c>
      <c r="U2201">
        <v>0</v>
      </c>
      <c r="V2201" s="3">
        <f t="shared" si="137"/>
        <v>420311</v>
      </c>
      <c r="W2201">
        <v>35025.916666666664</v>
      </c>
      <c r="X2201">
        <v>0</v>
      </c>
      <c r="Y2201">
        <f t="shared" si="138"/>
        <v>35025.916666666664</v>
      </c>
      <c r="Z2201">
        <f t="shared" si="139"/>
        <v>0</v>
      </c>
      <c r="AA2201">
        <v>0</v>
      </c>
    </row>
    <row r="2202" spans="1:27" x14ac:dyDescent="0.25">
      <c r="A2202" s="1">
        <v>2201</v>
      </c>
      <c r="B2202" t="s">
        <v>954</v>
      </c>
      <c r="C2202" t="s">
        <v>1136</v>
      </c>
      <c r="D2202" t="s">
        <v>1147</v>
      </c>
      <c r="E2202" t="s">
        <v>1143</v>
      </c>
      <c r="F2202" t="s">
        <v>1145</v>
      </c>
      <c r="G2202" t="s">
        <v>1200</v>
      </c>
      <c r="H2202" t="s">
        <v>1200</v>
      </c>
      <c r="I2202" t="s">
        <v>1200</v>
      </c>
      <c r="J2202" t="s">
        <v>1294</v>
      </c>
      <c r="K2202" t="s">
        <v>1326</v>
      </c>
      <c r="M2202" s="3">
        <f t="shared" si="136"/>
        <v>95.857142857142861</v>
      </c>
      <c r="N2202">
        <v>99</v>
      </c>
      <c r="O2202">
        <v>100</v>
      </c>
      <c r="P2202">
        <v>95</v>
      </c>
      <c r="Q2202">
        <v>97</v>
      </c>
      <c r="R2202">
        <v>93</v>
      </c>
      <c r="S2202">
        <v>90</v>
      </c>
      <c r="T2202">
        <v>97</v>
      </c>
      <c r="U2202">
        <v>14</v>
      </c>
      <c r="V2202" s="3">
        <f t="shared" si="137"/>
        <v>98250793</v>
      </c>
      <c r="W2202">
        <v>8187566.083333333</v>
      </c>
      <c r="X2202">
        <v>0</v>
      </c>
      <c r="Y2202">
        <f t="shared" si="138"/>
        <v>8187566.083333333</v>
      </c>
      <c r="Z2202">
        <f t="shared" si="139"/>
        <v>0</v>
      </c>
      <c r="AA2202">
        <v>0</v>
      </c>
    </row>
    <row r="2203" spans="1:27" x14ac:dyDescent="0.25">
      <c r="A2203" s="1">
        <v>2202</v>
      </c>
      <c r="B2203" t="s">
        <v>443</v>
      </c>
      <c r="C2203" t="s">
        <v>1135</v>
      </c>
      <c r="D2203" t="s">
        <v>1142</v>
      </c>
      <c r="E2203" t="s">
        <v>1146</v>
      </c>
      <c r="G2203" t="s">
        <v>1151</v>
      </c>
      <c r="H2203" t="s">
        <v>1151</v>
      </c>
      <c r="I2203" t="s">
        <v>1151</v>
      </c>
      <c r="J2203" t="s">
        <v>1283</v>
      </c>
      <c r="K2203" t="s">
        <v>1222</v>
      </c>
      <c r="M2203" s="3">
        <f t="shared" si="136"/>
        <v>90.571428571428569</v>
      </c>
      <c r="N2203">
        <v>91</v>
      </c>
      <c r="O2203">
        <v>95</v>
      </c>
      <c r="P2203">
        <v>90</v>
      </c>
      <c r="Q2203">
        <v>92</v>
      </c>
      <c r="R2203">
        <v>90</v>
      </c>
      <c r="S2203">
        <v>84</v>
      </c>
      <c r="T2203">
        <v>92</v>
      </c>
      <c r="U2203">
        <v>7</v>
      </c>
      <c r="V2203" s="3">
        <f t="shared" si="137"/>
        <v>55719016</v>
      </c>
      <c r="W2203">
        <v>4643251.333333333</v>
      </c>
      <c r="X2203">
        <v>0</v>
      </c>
      <c r="Y2203">
        <f t="shared" si="138"/>
        <v>4643251.333333333</v>
      </c>
      <c r="Z2203">
        <f t="shared" si="139"/>
        <v>0</v>
      </c>
      <c r="AA2203">
        <v>0</v>
      </c>
    </row>
    <row r="2204" spans="1:27" x14ac:dyDescent="0.25">
      <c r="A2204" s="1">
        <v>2203</v>
      </c>
      <c r="B2204" t="s">
        <v>89</v>
      </c>
      <c r="C2204" t="s">
        <v>1133</v>
      </c>
      <c r="D2204" t="s">
        <v>1133</v>
      </c>
      <c r="G2204" t="s">
        <v>1196</v>
      </c>
      <c r="H2204" t="s">
        <v>1196</v>
      </c>
      <c r="I2204" t="s">
        <v>1196</v>
      </c>
      <c r="J2204" t="s">
        <v>2681</v>
      </c>
      <c r="K2204" t="s">
        <v>1212</v>
      </c>
      <c r="M2204" s="3">
        <f t="shared" si="136"/>
        <v>69.142857142857139</v>
      </c>
      <c r="N2204">
        <v>49</v>
      </c>
      <c r="O2204">
        <v>70</v>
      </c>
      <c r="P2204">
        <v>68</v>
      </c>
      <c r="Q2204">
        <v>89</v>
      </c>
      <c r="R2204">
        <v>75</v>
      </c>
      <c r="S2204">
        <v>78</v>
      </c>
      <c r="T2204">
        <v>55</v>
      </c>
      <c r="U2204">
        <v>0</v>
      </c>
      <c r="V2204" s="3">
        <f t="shared" si="137"/>
        <v>2497315</v>
      </c>
      <c r="W2204">
        <v>208109.58333333334</v>
      </c>
      <c r="X2204">
        <v>0</v>
      </c>
      <c r="Y2204">
        <f t="shared" si="138"/>
        <v>208109.58333333334</v>
      </c>
      <c r="Z2204">
        <f t="shared" si="139"/>
        <v>0</v>
      </c>
      <c r="AA2204">
        <v>0</v>
      </c>
    </row>
    <row r="2205" spans="1:27" x14ac:dyDescent="0.25">
      <c r="A2205" s="1">
        <v>2204</v>
      </c>
      <c r="B2205" t="s">
        <v>43</v>
      </c>
      <c r="C2205" t="s">
        <v>1133</v>
      </c>
      <c r="D2205" t="s">
        <v>1133</v>
      </c>
      <c r="G2205" t="s">
        <v>1163</v>
      </c>
      <c r="H2205" t="s">
        <v>1163</v>
      </c>
      <c r="I2205" t="s">
        <v>1163</v>
      </c>
      <c r="J2205" t="s">
        <v>2681</v>
      </c>
      <c r="K2205" t="s">
        <v>1212</v>
      </c>
      <c r="M2205" s="3">
        <f t="shared" si="136"/>
        <v>58.857142857142854</v>
      </c>
      <c r="N2205">
        <v>23</v>
      </c>
      <c r="O2205">
        <v>60</v>
      </c>
      <c r="P2205">
        <v>61</v>
      </c>
      <c r="Q2205">
        <v>75</v>
      </c>
      <c r="R2205">
        <v>68</v>
      </c>
      <c r="S2205">
        <v>70</v>
      </c>
      <c r="T2205">
        <v>55</v>
      </c>
      <c r="U2205">
        <v>0</v>
      </c>
      <c r="V2205" s="3">
        <f t="shared" si="137"/>
        <v>498876</v>
      </c>
      <c r="W2205">
        <v>41573</v>
      </c>
      <c r="X2205">
        <v>0</v>
      </c>
      <c r="Y2205">
        <f t="shared" si="138"/>
        <v>41573</v>
      </c>
      <c r="Z2205">
        <f t="shared" si="139"/>
        <v>0</v>
      </c>
      <c r="AA2205">
        <v>0</v>
      </c>
    </row>
    <row r="2206" spans="1:27" x14ac:dyDescent="0.25">
      <c r="A2206" s="1">
        <v>2205</v>
      </c>
      <c r="B2206" t="s">
        <v>357</v>
      </c>
      <c r="C2206" t="s">
        <v>1134</v>
      </c>
      <c r="D2206" t="s">
        <v>1138</v>
      </c>
      <c r="G2206" t="s">
        <v>1196</v>
      </c>
      <c r="H2206" t="s">
        <v>1196</v>
      </c>
      <c r="I2206" t="s">
        <v>1196</v>
      </c>
      <c r="J2206" t="s">
        <v>2681</v>
      </c>
      <c r="K2206" t="s">
        <v>1212</v>
      </c>
      <c r="M2206" s="3">
        <f t="shared" si="136"/>
        <v>68.571428571428569</v>
      </c>
      <c r="N2206">
        <v>44</v>
      </c>
      <c r="O2206">
        <v>70</v>
      </c>
      <c r="P2206">
        <v>76</v>
      </c>
      <c r="Q2206">
        <v>70</v>
      </c>
      <c r="R2206">
        <v>80</v>
      </c>
      <c r="S2206">
        <v>80</v>
      </c>
      <c r="T2206">
        <v>60</v>
      </c>
      <c r="U2206">
        <v>0</v>
      </c>
      <c r="V2206" s="3">
        <f t="shared" si="137"/>
        <v>2298434</v>
      </c>
      <c r="W2206">
        <v>191536.16666666666</v>
      </c>
      <c r="X2206">
        <v>0</v>
      </c>
      <c r="Y2206">
        <f t="shared" si="138"/>
        <v>191536.16666666666</v>
      </c>
      <c r="Z2206">
        <f t="shared" si="139"/>
        <v>0</v>
      </c>
      <c r="AA2206">
        <v>0</v>
      </c>
    </row>
    <row r="2207" spans="1:27" x14ac:dyDescent="0.25">
      <c r="A2207" s="1">
        <v>2206</v>
      </c>
      <c r="B2207" t="s">
        <v>195</v>
      </c>
      <c r="C2207" t="s">
        <v>1134</v>
      </c>
      <c r="D2207" t="s">
        <v>1138</v>
      </c>
      <c r="G2207" t="s">
        <v>1163</v>
      </c>
      <c r="H2207" t="s">
        <v>1163</v>
      </c>
      <c r="I2207" t="s">
        <v>1163</v>
      </c>
      <c r="J2207" t="s">
        <v>2681</v>
      </c>
      <c r="K2207" t="s">
        <v>1212</v>
      </c>
      <c r="M2207" s="3">
        <f t="shared" si="136"/>
        <v>45.714285714285715</v>
      </c>
      <c r="N2207">
        <v>27</v>
      </c>
      <c r="O2207">
        <v>41</v>
      </c>
      <c r="P2207">
        <v>35</v>
      </c>
      <c r="Q2207">
        <v>51</v>
      </c>
      <c r="R2207">
        <v>57</v>
      </c>
      <c r="S2207">
        <v>76</v>
      </c>
      <c r="T2207">
        <v>33</v>
      </c>
      <c r="U2207">
        <v>0</v>
      </c>
      <c r="V2207" s="3">
        <f t="shared" si="137"/>
        <v>39859</v>
      </c>
      <c r="W2207">
        <v>3321.5833333333335</v>
      </c>
      <c r="X2207">
        <v>0</v>
      </c>
      <c r="Y2207">
        <f t="shared" si="138"/>
        <v>3321.5833333333335</v>
      </c>
      <c r="Z2207">
        <f t="shared" si="139"/>
        <v>0</v>
      </c>
      <c r="AA2207">
        <v>0</v>
      </c>
    </row>
    <row r="2208" spans="1:27" x14ac:dyDescent="0.25">
      <c r="A2208" s="1">
        <v>2207</v>
      </c>
      <c r="B2208" t="s">
        <v>355</v>
      </c>
      <c r="C2208" t="s">
        <v>1134</v>
      </c>
      <c r="D2208" t="s">
        <v>1138</v>
      </c>
      <c r="E2208" t="s">
        <v>1139</v>
      </c>
      <c r="G2208" t="s">
        <v>1196</v>
      </c>
      <c r="H2208" t="s">
        <v>1196</v>
      </c>
      <c r="I2208" t="s">
        <v>1196</v>
      </c>
      <c r="J2208" t="s">
        <v>2681</v>
      </c>
      <c r="K2208" t="s">
        <v>1212</v>
      </c>
      <c r="M2208" s="3">
        <f t="shared" si="136"/>
        <v>83</v>
      </c>
      <c r="N2208">
        <v>70</v>
      </c>
      <c r="O2208">
        <v>81</v>
      </c>
      <c r="P2208">
        <v>84</v>
      </c>
      <c r="Q2208">
        <v>83</v>
      </c>
      <c r="R2208">
        <v>90</v>
      </c>
      <c r="S2208">
        <v>93</v>
      </c>
      <c r="T2208">
        <v>80</v>
      </c>
      <c r="U2208">
        <v>28</v>
      </c>
      <c r="V2208" s="3">
        <f t="shared" si="137"/>
        <v>23274062</v>
      </c>
      <c r="W2208">
        <v>1939505.1666666667</v>
      </c>
      <c r="X2208">
        <v>0</v>
      </c>
      <c r="Y2208">
        <f t="shared" si="138"/>
        <v>1939505.1666666667</v>
      </c>
      <c r="Z2208">
        <f t="shared" si="139"/>
        <v>0</v>
      </c>
      <c r="AA2208">
        <v>0</v>
      </c>
    </row>
    <row r="2209" spans="1:27" x14ac:dyDescent="0.25">
      <c r="A2209" s="1">
        <v>2208</v>
      </c>
      <c r="B2209" t="s">
        <v>197</v>
      </c>
      <c r="C2209" t="s">
        <v>1134</v>
      </c>
      <c r="D2209" t="s">
        <v>1138</v>
      </c>
      <c r="G2209" t="s">
        <v>1163</v>
      </c>
      <c r="H2209" t="s">
        <v>1163</v>
      </c>
      <c r="I2209" t="s">
        <v>1163</v>
      </c>
      <c r="J2209" t="s">
        <v>2681</v>
      </c>
      <c r="K2209" t="s">
        <v>1212</v>
      </c>
      <c r="M2209" s="3">
        <f t="shared" si="136"/>
        <v>60.285714285714285</v>
      </c>
      <c r="N2209">
        <v>35</v>
      </c>
      <c r="O2209">
        <v>51</v>
      </c>
      <c r="P2209">
        <v>96</v>
      </c>
      <c r="Q2209">
        <v>51</v>
      </c>
      <c r="R2209">
        <v>67</v>
      </c>
      <c r="S2209">
        <v>71</v>
      </c>
      <c r="T2209">
        <v>51</v>
      </c>
      <c r="U2209">
        <v>0</v>
      </c>
      <c r="V2209" s="3">
        <f t="shared" si="137"/>
        <v>634081</v>
      </c>
      <c r="W2209">
        <v>52840.083333333336</v>
      </c>
      <c r="X2209">
        <v>0</v>
      </c>
      <c r="Y2209">
        <f t="shared" si="138"/>
        <v>52840.083333333336</v>
      </c>
      <c r="Z2209">
        <f t="shared" si="139"/>
        <v>0</v>
      </c>
      <c r="AA2209">
        <v>0</v>
      </c>
    </row>
    <row r="2210" spans="1:27" x14ac:dyDescent="0.25">
      <c r="A2210" s="1">
        <v>2209</v>
      </c>
      <c r="B2210" t="s">
        <v>196</v>
      </c>
      <c r="C2210" t="s">
        <v>1134</v>
      </c>
      <c r="D2210" t="s">
        <v>1138</v>
      </c>
      <c r="G2210" t="s">
        <v>1163</v>
      </c>
      <c r="H2210" t="s">
        <v>1163</v>
      </c>
      <c r="I2210" t="s">
        <v>1163</v>
      </c>
      <c r="J2210" t="s">
        <v>2681</v>
      </c>
      <c r="K2210" t="s">
        <v>1212</v>
      </c>
      <c r="M2210" s="3">
        <f t="shared" si="136"/>
        <v>54.857142857142854</v>
      </c>
      <c r="N2210">
        <v>24</v>
      </c>
      <c r="O2210">
        <v>45</v>
      </c>
      <c r="P2210">
        <v>87</v>
      </c>
      <c r="Q2210">
        <v>57</v>
      </c>
      <c r="R2210">
        <v>62</v>
      </c>
      <c r="S2210">
        <v>57</v>
      </c>
      <c r="T2210">
        <v>52</v>
      </c>
      <c r="U2210">
        <v>0</v>
      </c>
      <c r="V2210" s="3">
        <f t="shared" si="137"/>
        <v>246793</v>
      </c>
      <c r="W2210">
        <v>20566.083333333332</v>
      </c>
      <c r="X2210">
        <v>0</v>
      </c>
      <c r="Y2210">
        <f t="shared" si="138"/>
        <v>20566.083333333332</v>
      </c>
      <c r="Z2210">
        <f t="shared" si="139"/>
        <v>0</v>
      </c>
      <c r="AA2210">
        <v>0</v>
      </c>
    </row>
    <row r="2211" spans="1:27" x14ac:dyDescent="0.25">
      <c r="A2211" s="1">
        <v>2210</v>
      </c>
      <c r="B2211" t="s">
        <v>356</v>
      </c>
      <c r="C2211" t="s">
        <v>1134</v>
      </c>
      <c r="D2211" t="s">
        <v>1138</v>
      </c>
      <c r="E2211" t="s">
        <v>1139</v>
      </c>
      <c r="G2211" t="s">
        <v>1196</v>
      </c>
      <c r="H2211" t="s">
        <v>1196</v>
      </c>
      <c r="I2211" t="s">
        <v>1196</v>
      </c>
      <c r="J2211" t="s">
        <v>2681</v>
      </c>
      <c r="K2211" t="s">
        <v>1212</v>
      </c>
      <c r="M2211" s="3">
        <f t="shared" si="136"/>
        <v>73.714285714285708</v>
      </c>
      <c r="N2211">
        <v>51</v>
      </c>
      <c r="O2211">
        <v>75</v>
      </c>
      <c r="P2211">
        <v>84</v>
      </c>
      <c r="Q2211">
        <v>76</v>
      </c>
      <c r="R2211">
        <v>79</v>
      </c>
      <c r="S2211">
        <v>86</v>
      </c>
      <c r="T2211">
        <v>65</v>
      </c>
      <c r="U2211">
        <v>0</v>
      </c>
      <c r="V2211" s="3">
        <f t="shared" si="137"/>
        <v>4737145</v>
      </c>
      <c r="W2211">
        <v>394762.08333333331</v>
      </c>
      <c r="X2211">
        <v>0</v>
      </c>
      <c r="Y2211">
        <f t="shared" si="138"/>
        <v>394762.08333333331</v>
      </c>
      <c r="Z2211">
        <f t="shared" si="139"/>
        <v>0</v>
      </c>
      <c r="AA2211">
        <v>0</v>
      </c>
    </row>
    <row r="2212" spans="1:27" x14ac:dyDescent="0.25">
      <c r="A2212" s="1">
        <v>2211</v>
      </c>
      <c r="B2212" t="s">
        <v>198</v>
      </c>
      <c r="C2212" t="s">
        <v>1134</v>
      </c>
      <c r="D2212" t="s">
        <v>1138</v>
      </c>
      <c r="E2212" t="s">
        <v>1144</v>
      </c>
      <c r="G2212" t="s">
        <v>1163</v>
      </c>
      <c r="H2212" t="s">
        <v>1163</v>
      </c>
      <c r="I2212" t="s">
        <v>1163</v>
      </c>
      <c r="J2212" t="s">
        <v>2681</v>
      </c>
      <c r="K2212" t="s">
        <v>1212</v>
      </c>
      <c r="M2212" s="3">
        <f t="shared" si="136"/>
        <v>70.428571428571431</v>
      </c>
      <c r="N2212">
        <v>52</v>
      </c>
      <c r="O2212">
        <v>61</v>
      </c>
      <c r="P2212">
        <v>70</v>
      </c>
      <c r="Q2212">
        <v>76</v>
      </c>
      <c r="R2212">
        <v>76</v>
      </c>
      <c r="S2212">
        <v>88</v>
      </c>
      <c r="T2212">
        <v>70</v>
      </c>
      <c r="U2212">
        <v>0</v>
      </c>
      <c r="V2212" s="3">
        <f t="shared" si="137"/>
        <v>3002540</v>
      </c>
      <c r="W2212">
        <v>250211.66666666666</v>
      </c>
      <c r="X2212">
        <v>0</v>
      </c>
      <c r="Y2212">
        <f t="shared" si="138"/>
        <v>250211.66666666666</v>
      </c>
      <c r="Z2212">
        <f t="shared" si="139"/>
        <v>0</v>
      </c>
      <c r="AA2212">
        <v>0</v>
      </c>
    </row>
    <row r="2213" spans="1:27" x14ac:dyDescent="0.25">
      <c r="A2213" s="1">
        <v>2212</v>
      </c>
      <c r="B2213" t="s">
        <v>358</v>
      </c>
      <c r="C2213" t="s">
        <v>1134</v>
      </c>
      <c r="D2213" t="s">
        <v>1138</v>
      </c>
      <c r="E2213" t="s">
        <v>1144</v>
      </c>
      <c r="G2213" t="s">
        <v>1196</v>
      </c>
      <c r="H2213" t="s">
        <v>1196</v>
      </c>
      <c r="I2213" t="s">
        <v>1196</v>
      </c>
      <c r="J2213" t="s">
        <v>2681</v>
      </c>
      <c r="K2213" t="s">
        <v>1212</v>
      </c>
      <c r="M2213" s="3">
        <f t="shared" si="136"/>
        <v>67.714285714285708</v>
      </c>
      <c r="N2213">
        <v>48</v>
      </c>
      <c r="O2213">
        <v>64</v>
      </c>
      <c r="P2213">
        <v>64</v>
      </c>
      <c r="Q2213">
        <v>71</v>
      </c>
      <c r="R2213">
        <v>73</v>
      </c>
      <c r="S2213">
        <v>90</v>
      </c>
      <c r="T2213">
        <v>64</v>
      </c>
      <c r="U2213">
        <v>0</v>
      </c>
      <c r="V2213" s="3">
        <f t="shared" si="137"/>
        <v>2026764</v>
      </c>
      <c r="W2213">
        <v>168897</v>
      </c>
      <c r="X2213">
        <v>0</v>
      </c>
      <c r="Y2213">
        <f t="shared" si="138"/>
        <v>168897</v>
      </c>
      <c r="Z2213">
        <f t="shared" si="139"/>
        <v>0</v>
      </c>
      <c r="AA2213">
        <v>0</v>
      </c>
    </row>
    <row r="2214" spans="1:27" x14ac:dyDescent="0.25">
      <c r="A2214" s="1">
        <v>2213</v>
      </c>
      <c r="B2214" t="s">
        <v>586</v>
      </c>
      <c r="C2214" t="s">
        <v>1135</v>
      </c>
      <c r="D2214" t="s">
        <v>1141</v>
      </c>
      <c r="E2214" t="s">
        <v>1142</v>
      </c>
      <c r="G2214" t="s">
        <v>1196</v>
      </c>
      <c r="H2214" t="s">
        <v>1196</v>
      </c>
      <c r="I2214" t="s">
        <v>1196</v>
      </c>
      <c r="J2214" t="s">
        <v>2681</v>
      </c>
      <c r="K2214" t="s">
        <v>1212</v>
      </c>
      <c r="M2214" s="3">
        <f t="shared" si="136"/>
        <v>73.142857142857139</v>
      </c>
      <c r="N2214">
        <v>50</v>
      </c>
      <c r="O2214">
        <v>80</v>
      </c>
      <c r="P2214">
        <v>78</v>
      </c>
      <c r="Q2214">
        <v>70</v>
      </c>
      <c r="R2214">
        <v>84</v>
      </c>
      <c r="S2214">
        <v>90</v>
      </c>
      <c r="T2214">
        <v>60</v>
      </c>
      <c r="U2214">
        <v>6</v>
      </c>
      <c r="V2214" s="3">
        <f t="shared" si="137"/>
        <v>6573709</v>
      </c>
      <c r="W2214">
        <v>547809.08333333337</v>
      </c>
      <c r="X2214">
        <v>0</v>
      </c>
      <c r="Y2214">
        <f t="shared" si="138"/>
        <v>547809.08333333337</v>
      </c>
      <c r="Z2214">
        <f t="shared" si="139"/>
        <v>0</v>
      </c>
      <c r="AA2214">
        <v>0</v>
      </c>
    </row>
    <row r="2215" spans="1:27" x14ac:dyDescent="0.25">
      <c r="A2215" s="1">
        <v>2214</v>
      </c>
      <c r="B2215" t="s">
        <v>564</v>
      </c>
      <c r="C2215" t="s">
        <v>1135</v>
      </c>
      <c r="D2215" t="s">
        <v>1142</v>
      </c>
      <c r="G2215" t="s">
        <v>1190</v>
      </c>
      <c r="H2215" t="s">
        <v>1190</v>
      </c>
      <c r="I2215" t="s">
        <v>1190</v>
      </c>
      <c r="J2215" t="s">
        <v>2681</v>
      </c>
      <c r="K2215" t="s">
        <v>1212</v>
      </c>
      <c r="M2215" s="3">
        <f t="shared" si="136"/>
        <v>68.428571428571431</v>
      </c>
      <c r="N2215">
        <v>40</v>
      </c>
      <c r="O2215">
        <v>82</v>
      </c>
      <c r="P2215">
        <v>77</v>
      </c>
      <c r="Q2215">
        <v>80</v>
      </c>
      <c r="R2215">
        <v>74</v>
      </c>
      <c r="S2215">
        <v>70</v>
      </c>
      <c r="T2215">
        <v>56</v>
      </c>
      <c r="U2215">
        <v>0</v>
      </c>
      <c r="V2215" s="3">
        <f t="shared" si="137"/>
        <v>2250997</v>
      </c>
      <c r="W2215">
        <v>187583.08333333334</v>
      </c>
      <c r="X2215">
        <v>0</v>
      </c>
      <c r="Y2215">
        <f t="shared" si="138"/>
        <v>187583.08333333334</v>
      </c>
      <c r="Z2215">
        <f t="shared" si="139"/>
        <v>0</v>
      </c>
      <c r="AA2215">
        <v>0</v>
      </c>
    </row>
    <row r="2216" spans="1:27" x14ac:dyDescent="0.25">
      <c r="A2216" s="1">
        <v>2215</v>
      </c>
      <c r="B2216" t="s">
        <v>585</v>
      </c>
      <c r="C2216" t="s">
        <v>1135</v>
      </c>
      <c r="D2216" t="s">
        <v>1142</v>
      </c>
      <c r="G2216" t="s">
        <v>1196</v>
      </c>
      <c r="H2216" t="s">
        <v>1196</v>
      </c>
      <c r="I2216" t="s">
        <v>1196</v>
      </c>
      <c r="J2216" t="s">
        <v>2681</v>
      </c>
      <c r="K2216" t="s">
        <v>1212</v>
      </c>
      <c r="M2216" s="3">
        <f t="shared" si="136"/>
        <v>72.428571428571431</v>
      </c>
      <c r="N2216">
        <v>60</v>
      </c>
      <c r="O2216">
        <v>90</v>
      </c>
      <c r="P2216">
        <v>70</v>
      </c>
      <c r="Q2216">
        <v>72</v>
      </c>
      <c r="R2216">
        <v>75</v>
      </c>
      <c r="S2216">
        <v>70</v>
      </c>
      <c r="T2216">
        <v>70</v>
      </c>
      <c r="U2216">
        <v>3</v>
      </c>
      <c r="V2216" s="3">
        <f t="shared" si="137"/>
        <v>5959235</v>
      </c>
      <c r="W2216">
        <v>496602.91666666669</v>
      </c>
      <c r="X2216">
        <v>0</v>
      </c>
      <c r="Y2216">
        <f t="shared" si="138"/>
        <v>496602.91666666669</v>
      </c>
      <c r="Z2216">
        <f t="shared" si="139"/>
        <v>0</v>
      </c>
      <c r="AA2216">
        <v>0</v>
      </c>
    </row>
    <row r="2217" spans="1:27" x14ac:dyDescent="0.25">
      <c r="A2217" s="1">
        <v>2216</v>
      </c>
      <c r="B2217" t="s">
        <v>483</v>
      </c>
      <c r="C2217" t="s">
        <v>1135</v>
      </c>
      <c r="D2217" t="s">
        <v>1141</v>
      </c>
      <c r="G2217" t="s">
        <v>1163</v>
      </c>
      <c r="H2217" t="s">
        <v>1163</v>
      </c>
      <c r="I2217" t="s">
        <v>1163</v>
      </c>
      <c r="J2217" t="s">
        <v>2681</v>
      </c>
      <c r="K2217" t="s">
        <v>1212</v>
      </c>
      <c r="M2217" s="3">
        <f t="shared" si="136"/>
        <v>56.285714285714285</v>
      </c>
      <c r="N2217">
        <v>18</v>
      </c>
      <c r="O2217">
        <v>49</v>
      </c>
      <c r="P2217">
        <v>73</v>
      </c>
      <c r="Q2217">
        <v>64</v>
      </c>
      <c r="R2217">
        <v>71</v>
      </c>
      <c r="S2217">
        <v>83</v>
      </c>
      <c r="T2217">
        <v>36</v>
      </c>
      <c r="U2217">
        <v>0</v>
      </c>
      <c r="V2217" s="3">
        <f t="shared" si="137"/>
        <v>319141</v>
      </c>
      <c r="W2217">
        <v>26595.083333333332</v>
      </c>
      <c r="X2217">
        <v>0</v>
      </c>
      <c r="Y2217">
        <f t="shared" si="138"/>
        <v>26595.083333333332</v>
      </c>
      <c r="Z2217">
        <f t="shared" si="139"/>
        <v>0</v>
      </c>
      <c r="AA2217">
        <v>0</v>
      </c>
    </row>
    <row r="2218" spans="1:27" x14ac:dyDescent="0.25">
      <c r="A2218" s="1">
        <v>2217</v>
      </c>
      <c r="B2218" t="s">
        <v>477</v>
      </c>
      <c r="C2218" t="s">
        <v>1135</v>
      </c>
      <c r="D2218" t="s">
        <v>1142</v>
      </c>
      <c r="E2218" t="s">
        <v>1145</v>
      </c>
      <c r="G2218" t="s">
        <v>1161</v>
      </c>
      <c r="H2218" t="s">
        <v>1161</v>
      </c>
      <c r="I2218" t="s">
        <v>1161</v>
      </c>
      <c r="J2218" t="s">
        <v>2681</v>
      </c>
      <c r="K2218" t="s">
        <v>1212</v>
      </c>
      <c r="M2218" s="3">
        <f t="shared" si="136"/>
        <v>73.714285714285708</v>
      </c>
      <c r="N2218">
        <v>55</v>
      </c>
      <c r="O2218">
        <v>77</v>
      </c>
      <c r="P2218">
        <v>78</v>
      </c>
      <c r="Q2218">
        <v>79</v>
      </c>
      <c r="R2218">
        <v>76</v>
      </c>
      <c r="S2218">
        <v>81</v>
      </c>
      <c r="T2218">
        <v>70</v>
      </c>
      <c r="U2218">
        <v>12</v>
      </c>
      <c r="V2218" s="3">
        <f t="shared" si="137"/>
        <v>7105717</v>
      </c>
      <c r="W2218">
        <v>592143.08333333337</v>
      </c>
      <c r="X2218">
        <v>0</v>
      </c>
      <c r="Y2218">
        <f t="shared" si="138"/>
        <v>592143.08333333337</v>
      </c>
      <c r="Z2218">
        <f t="shared" si="139"/>
        <v>0</v>
      </c>
      <c r="AA2218">
        <v>0</v>
      </c>
    </row>
    <row r="2219" spans="1:27" x14ac:dyDescent="0.25">
      <c r="A2219" s="1">
        <v>2218</v>
      </c>
      <c r="B2219" t="s">
        <v>482</v>
      </c>
      <c r="C2219" t="s">
        <v>1135</v>
      </c>
      <c r="D2219" t="s">
        <v>1141</v>
      </c>
      <c r="G2219" t="s">
        <v>1163</v>
      </c>
      <c r="H2219" t="s">
        <v>1163</v>
      </c>
      <c r="I2219" t="s">
        <v>1163</v>
      </c>
      <c r="J2219" t="s">
        <v>2681</v>
      </c>
      <c r="K2219" t="s">
        <v>1212</v>
      </c>
      <c r="M2219" s="3">
        <f t="shared" si="136"/>
        <v>58.571428571428569</v>
      </c>
      <c r="N2219">
        <v>24</v>
      </c>
      <c r="O2219">
        <v>48</v>
      </c>
      <c r="P2219">
        <v>75</v>
      </c>
      <c r="Q2219">
        <v>65</v>
      </c>
      <c r="R2219">
        <v>70</v>
      </c>
      <c r="S2219">
        <v>86</v>
      </c>
      <c r="T2219">
        <v>42</v>
      </c>
      <c r="U2219">
        <v>0</v>
      </c>
      <c r="V2219" s="3">
        <f t="shared" si="137"/>
        <v>475181</v>
      </c>
      <c r="W2219">
        <v>39598.416666666664</v>
      </c>
      <c r="X2219">
        <v>0</v>
      </c>
      <c r="Y2219">
        <f t="shared" si="138"/>
        <v>39598.416666666664</v>
      </c>
      <c r="Z2219">
        <f t="shared" si="139"/>
        <v>0</v>
      </c>
      <c r="AA2219">
        <v>0</v>
      </c>
    </row>
    <row r="2220" spans="1:27" x14ac:dyDescent="0.25">
      <c r="A2220" s="1">
        <v>2219</v>
      </c>
      <c r="B2220" t="s">
        <v>1020</v>
      </c>
      <c r="C2220" t="s">
        <v>1136</v>
      </c>
      <c r="D2220" t="s">
        <v>1143</v>
      </c>
      <c r="G2220" t="s">
        <v>1211</v>
      </c>
      <c r="H2220" t="s">
        <v>1211</v>
      </c>
      <c r="I2220" t="s">
        <v>1211</v>
      </c>
      <c r="J2220" t="s">
        <v>2681</v>
      </c>
      <c r="K2220" t="s">
        <v>1212</v>
      </c>
      <c r="M2220" s="3">
        <f t="shared" si="136"/>
        <v>73.714285714285708</v>
      </c>
      <c r="N2220">
        <v>55</v>
      </c>
      <c r="O2220">
        <v>81</v>
      </c>
      <c r="P2220">
        <v>80</v>
      </c>
      <c r="Q2220">
        <v>68</v>
      </c>
      <c r="R2220">
        <v>84</v>
      </c>
      <c r="S2220">
        <v>88</v>
      </c>
      <c r="T2220">
        <v>60</v>
      </c>
      <c r="U2220">
        <v>0</v>
      </c>
      <c r="V2220" s="3">
        <f t="shared" si="137"/>
        <v>4737145</v>
      </c>
      <c r="W2220">
        <v>394762.08333333331</v>
      </c>
      <c r="X2220">
        <v>0</v>
      </c>
      <c r="Y2220">
        <f t="shared" si="138"/>
        <v>394762.08333333331</v>
      </c>
      <c r="Z2220">
        <f t="shared" si="139"/>
        <v>0</v>
      </c>
      <c r="AA2220">
        <v>0</v>
      </c>
    </row>
    <row r="2221" spans="1:27" x14ac:dyDescent="0.25">
      <c r="A2221" s="1">
        <v>2220</v>
      </c>
      <c r="B2221" t="s">
        <v>927</v>
      </c>
      <c r="C2221" t="s">
        <v>1136</v>
      </c>
      <c r="D2221" t="s">
        <v>1143</v>
      </c>
      <c r="E2221" t="s">
        <v>1145</v>
      </c>
      <c r="G2221" t="s">
        <v>1196</v>
      </c>
      <c r="H2221" t="s">
        <v>1196</v>
      </c>
      <c r="I2221" t="s">
        <v>1196</v>
      </c>
      <c r="J2221" t="s">
        <v>2681</v>
      </c>
      <c r="K2221" t="s">
        <v>1212</v>
      </c>
      <c r="M2221" s="3">
        <f t="shared" si="136"/>
        <v>63.714285714285715</v>
      </c>
      <c r="N2221">
        <v>45</v>
      </c>
      <c r="O2221">
        <v>66</v>
      </c>
      <c r="P2221">
        <v>73</v>
      </c>
      <c r="Q2221">
        <v>67</v>
      </c>
      <c r="R2221">
        <v>72</v>
      </c>
      <c r="S2221">
        <v>79</v>
      </c>
      <c r="T2221">
        <v>44</v>
      </c>
      <c r="U2221">
        <v>0</v>
      </c>
      <c r="V2221" s="3">
        <f t="shared" si="137"/>
        <v>1102474</v>
      </c>
      <c r="W2221">
        <v>91872.833333333328</v>
      </c>
      <c r="X2221">
        <v>0</v>
      </c>
      <c r="Y2221">
        <f t="shared" si="138"/>
        <v>91872.833333333328</v>
      </c>
      <c r="Z2221">
        <f t="shared" si="139"/>
        <v>0</v>
      </c>
      <c r="AA2221">
        <v>0</v>
      </c>
    </row>
    <row r="2222" spans="1:27" x14ac:dyDescent="0.25">
      <c r="A2222" s="1">
        <v>2221</v>
      </c>
      <c r="B2222" t="s">
        <v>727</v>
      </c>
      <c r="C2222" t="s">
        <v>1136</v>
      </c>
      <c r="D2222" t="s">
        <v>1144</v>
      </c>
      <c r="G2222" t="s">
        <v>1163</v>
      </c>
      <c r="H2222" t="s">
        <v>1163</v>
      </c>
      <c r="I2222" t="s">
        <v>1163</v>
      </c>
      <c r="J2222" t="s">
        <v>2681</v>
      </c>
      <c r="K2222" t="s">
        <v>1212</v>
      </c>
      <c r="M2222" s="3">
        <f t="shared" si="136"/>
        <v>46.857142857142854</v>
      </c>
      <c r="N2222">
        <v>16</v>
      </c>
      <c r="O2222">
        <v>53</v>
      </c>
      <c r="P2222">
        <v>58</v>
      </c>
      <c r="Q2222">
        <v>58</v>
      </c>
      <c r="R2222">
        <v>53</v>
      </c>
      <c r="S2222">
        <v>70</v>
      </c>
      <c r="T2222">
        <v>20</v>
      </c>
      <c r="U2222">
        <v>0</v>
      </c>
      <c r="V2222" s="3">
        <f t="shared" si="137"/>
        <v>51023</v>
      </c>
      <c r="W2222">
        <v>4251.916666666667</v>
      </c>
      <c r="X2222">
        <v>0</v>
      </c>
      <c r="Y2222">
        <f t="shared" si="138"/>
        <v>4251.916666666667</v>
      </c>
      <c r="Z2222">
        <f t="shared" si="139"/>
        <v>0</v>
      </c>
      <c r="AA2222">
        <v>0</v>
      </c>
    </row>
    <row r="2223" spans="1:27" x14ac:dyDescent="0.25">
      <c r="A2223" s="1">
        <v>2222</v>
      </c>
      <c r="B2223" t="s">
        <v>930</v>
      </c>
      <c r="C2223" t="s">
        <v>1136</v>
      </c>
      <c r="D2223" t="s">
        <v>1146</v>
      </c>
      <c r="E2223" t="s">
        <v>1145</v>
      </c>
      <c r="G2223" t="s">
        <v>1196</v>
      </c>
      <c r="H2223" t="s">
        <v>1196</v>
      </c>
      <c r="I2223" t="s">
        <v>1196</v>
      </c>
      <c r="J2223" t="s">
        <v>2681</v>
      </c>
      <c r="K2223" t="s">
        <v>1212</v>
      </c>
      <c r="M2223" s="3">
        <f t="shared" si="136"/>
        <v>67.428571428571431</v>
      </c>
      <c r="N2223">
        <v>59</v>
      </c>
      <c r="O2223">
        <v>75</v>
      </c>
      <c r="P2223">
        <v>80</v>
      </c>
      <c r="Q2223">
        <v>77</v>
      </c>
      <c r="R2223">
        <v>70</v>
      </c>
      <c r="S2223">
        <v>61</v>
      </c>
      <c r="T2223">
        <v>50</v>
      </c>
      <c r="U2223">
        <v>0</v>
      </c>
      <c r="V2223" s="3">
        <f t="shared" si="137"/>
        <v>1942852</v>
      </c>
      <c r="W2223">
        <v>56718.916666666664</v>
      </c>
      <c r="X2223">
        <v>0</v>
      </c>
      <c r="Y2223">
        <f t="shared" si="138"/>
        <v>161904.33333333334</v>
      </c>
      <c r="Z2223">
        <f t="shared" si="139"/>
        <v>-64.97</v>
      </c>
      <c r="AA2223">
        <v>0</v>
      </c>
    </row>
    <row r="2224" spans="1:27" x14ac:dyDescent="0.25">
      <c r="A2224" s="1">
        <v>2223</v>
      </c>
      <c r="B2224" t="s">
        <v>928</v>
      </c>
      <c r="C2224" t="s">
        <v>1136</v>
      </c>
      <c r="D2224" t="s">
        <v>1146</v>
      </c>
      <c r="G2224" t="s">
        <v>1196</v>
      </c>
      <c r="H2224" t="s">
        <v>1196</v>
      </c>
      <c r="I2224" t="s">
        <v>1196</v>
      </c>
      <c r="J2224" t="s">
        <v>2681</v>
      </c>
      <c r="K2224" t="s">
        <v>1212</v>
      </c>
      <c r="M2224" s="3">
        <f t="shared" si="136"/>
        <v>63.571428571428569</v>
      </c>
      <c r="N2224">
        <v>50</v>
      </c>
      <c r="O2224">
        <v>78</v>
      </c>
      <c r="P2224">
        <v>78</v>
      </c>
      <c r="Q2224">
        <v>61</v>
      </c>
      <c r="R2224">
        <v>65</v>
      </c>
      <c r="S2224">
        <v>56</v>
      </c>
      <c r="T2224">
        <v>57</v>
      </c>
      <c r="U2224">
        <v>0</v>
      </c>
      <c r="V2224" s="3">
        <f t="shared" si="137"/>
        <v>1078003</v>
      </c>
      <c r="W2224">
        <v>89833.583333333328</v>
      </c>
      <c r="X2224">
        <v>0</v>
      </c>
      <c r="Y2224">
        <f t="shared" si="138"/>
        <v>89833.583333333328</v>
      </c>
      <c r="Z2224">
        <f t="shared" si="139"/>
        <v>0</v>
      </c>
      <c r="AA2224">
        <v>0</v>
      </c>
    </row>
    <row r="2225" spans="1:27" x14ac:dyDescent="0.25">
      <c r="A2225" s="1">
        <v>2224</v>
      </c>
      <c r="B2225" t="s">
        <v>926</v>
      </c>
      <c r="C2225" t="s">
        <v>1136</v>
      </c>
      <c r="D2225" t="s">
        <v>1145</v>
      </c>
      <c r="E2225" t="s">
        <v>1143</v>
      </c>
      <c r="G2225" t="s">
        <v>1196</v>
      </c>
      <c r="H2225" t="s">
        <v>1196</v>
      </c>
      <c r="I2225" t="s">
        <v>1196</v>
      </c>
      <c r="J2225" t="s">
        <v>2681</v>
      </c>
      <c r="K2225" t="s">
        <v>1212</v>
      </c>
      <c r="M2225" s="3">
        <f t="shared" si="136"/>
        <v>61.571428571428569</v>
      </c>
      <c r="N2225">
        <v>49</v>
      </c>
      <c r="O2225">
        <v>55</v>
      </c>
      <c r="P2225">
        <v>79</v>
      </c>
      <c r="Q2225">
        <v>79</v>
      </c>
      <c r="R2225">
        <v>71</v>
      </c>
      <c r="S2225">
        <v>55</v>
      </c>
      <c r="T2225">
        <v>43</v>
      </c>
      <c r="U2225">
        <v>0</v>
      </c>
      <c r="V2225" s="3">
        <f t="shared" si="137"/>
        <v>783056</v>
      </c>
      <c r="W2225">
        <v>65254.666666666664</v>
      </c>
      <c r="X2225">
        <v>0</v>
      </c>
      <c r="Y2225">
        <f t="shared" si="138"/>
        <v>65254.666666666664</v>
      </c>
      <c r="Z2225">
        <f t="shared" si="139"/>
        <v>0</v>
      </c>
      <c r="AA2225">
        <v>0</v>
      </c>
    </row>
    <row r="2226" spans="1:27" x14ac:dyDescent="0.25">
      <c r="A2226" s="1">
        <v>2225</v>
      </c>
      <c r="B2226" t="s">
        <v>929</v>
      </c>
      <c r="C2226" t="s">
        <v>1136</v>
      </c>
      <c r="D2226" t="s">
        <v>1143</v>
      </c>
      <c r="G2226" t="s">
        <v>1196</v>
      </c>
      <c r="H2226" t="s">
        <v>1196</v>
      </c>
      <c r="I2226" t="s">
        <v>1196</v>
      </c>
      <c r="J2226" t="s">
        <v>2681</v>
      </c>
      <c r="K2226" t="s">
        <v>1212</v>
      </c>
      <c r="M2226" s="3">
        <f t="shared" si="136"/>
        <v>56.285714285714285</v>
      </c>
      <c r="N2226">
        <v>39</v>
      </c>
      <c r="O2226">
        <v>65</v>
      </c>
      <c r="P2226">
        <v>61</v>
      </c>
      <c r="Q2226">
        <v>67</v>
      </c>
      <c r="R2226">
        <v>55</v>
      </c>
      <c r="S2226">
        <v>56</v>
      </c>
      <c r="T2226">
        <v>51</v>
      </c>
      <c r="U2226">
        <v>0</v>
      </c>
      <c r="V2226" s="3">
        <f t="shared" si="137"/>
        <v>319141</v>
      </c>
      <c r="W2226">
        <v>26595.083333333332</v>
      </c>
      <c r="X2226">
        <v>0</v>
      </c>
      <c r="Y2226">
        <f t="shared" si="138"/>
        <v>26595.083333333332</v>
      </c>
      <c r="Z2226">
        <f t="shared" si="139"/>
        <v>0</v>
      </c>
      <c r="AA2226">
        <v>0</v>
      </c>
    </row>
    <row r="2227" spans="1:27" x14ac:dyDescent="0.25">
      <c r="A2227" s="1">
        <v>2226</v>
      </c>
      <c r="B2227" t="s">
        <v>925</v>
      </c>
      <c r="C2227" t="s">
        <v>1136</v>
      </c>
      <c r="D2227" t="s">
        <v>1143</v>
      </c>
      <c r="E2227" t="s">
        <v>1144</v>
      </c>
      <c r="G2227" t="s">
        <v>1196</v>
      </c>
      <c r="H2227" t="s">
        <v>1196</v>
      </c>
      <c r="I2227" t="s">
        <v>1196</v>
      </c>
      <c r="J2227" t="s">
        <v>2681</v>
      </c>
      <c r="K2227" t="s">
        <v>1212</v>
      </c>
      <c r="M2227" s="3">
        <f t="shared" si="136"/>
        <v>65.428571428571431</v>
      </c>
      <c r="N2227">
        <v>57</v>
      </c>
      <c r="O2227">
        <v>68</v>
      </c>
      <c r="P2227">
        <v>58</v>
      </c>
      <c r="Q2227">
        <v>75</v>
      </c>
      <c r="R2227">
        <v>75</v>
      </c>
      <c r="S2227">
        <v>74</v>
      </c>
      <c r="T2227">
        <v>51</v>
      </c>
      <c r="U2227">
        <v>0</v>
      </c>
      <c r="V2227" s="3">
        <f t="shared" si="137"/>
        <v>1437721</v>
      </c>
      <c r="W2227">
        <v>119810.08333333333</v>
      </c>
      <c r="X2227">
        <v>0</v>
      </c>
      <c r="Y2227">
        <f t="shared" si="138"/>
        <v>119810.08333333333</v>
      </c>
      <c r="Z2227">
        <f t="shared" si="139"/>
        <v>0</v>
      </c>
      <c r="AA2227">
        <v>0</v>
      </c>
    </row>
    <row r="2228" spans="1:27" x14ac:dyDescent="0.25">
      <c r="A2228" s="1">
        <v>2227</v>
      </c>
      <c r="B2228" t="s">
        <v>931</v>
      </c>
      <c r="C2228" t="s">
        <v>1136</v>
      </c>
      <c r="D2228" t="s">
        <v>1144</v>
      </c>
      <c r="G2228" t="s">
        <v>1196</v>
      </c>
      <c r="H2228" t="s">
        <v>1196</v>
      </c>
      <c r="I2228" t="s">
        <v>1196</v>
      </c>
      <c r="J2228" t="s">
        <v>2681</v>
      </c>
      <c r="K2228" t="s">
        <v>1212</v>
      </c>
      <c r="M2228" s="3">
        <f t="shared" si="136"/>
        <v>60.428571428571431</v>
      </c>
      <c r="N2228">
        <v>43</v>
      </c>
      <c r="O2228">
        <v>58</v>
      </c>
      <c r="P2228">
        <v>60</v>
      </c>
      <c r="Q2228">
        <v>56</v>
      </c>
      <c r="R2228">
        <v>74</v>
      </c>
      <c r="S2228">
        <v>74</v>
      </c>
      <c r="T2228">
        <v>58</v>
      </c>
      <c r="U2228">
        <v>0</v>
      </c>
      <c r="V2228" s="3">
        <f t="shared" si="137"/>
        <v>649267</v>
      </c>
      <c r="W2228">
        <v>54105.583333333336</v>
      </c>
      <c r="X2228">
        <v>0</v>
      </c>
      <c r="Y2228">
        <f t="shared" si="138"/>
        <v>54105.583333333336</v>
      </c>
      <c r="Z2228">
        <f t="shared" si="139"/>
        <v>0</v>
      </c>
      <c r="AA2228">
        <v>0</v>
      </c>
    </row>
    <row r="2229" spans="1:27" x14ac:dyDescent="0.25">
      <c r="A2229" s="1">
        <v>2228</v>
      </c>
      <c r="B2229" t="s">
        <v>1113</v>
      </c>
      <c r="C2229" t="s">
        <v>1137</v>
      </c>
      <c r="D2229" t="s">
        <v>1137</v>
      </c>
      <c r="H2229" t="s">
        <v>1196</v>
      </c>
      <c r="I2229" t="s">
        <v>1196</v>
      </c>
      <c r="J2229" t="s">
        <v>2681</v>
      </c>
      <c r="K2229" t="s">
        <v>1212</v>
      </c>
      <c r="M2229" s="3">
        <f t="shared" si="136"/>
        <v>69.428571428571431</v>
      </c>
      <c r="N2229">
        <v>57</v>
      </c>
      <c r="O2229">
        <v>82</v>
      </c>
      <c r="P2229">
        <v>74</v>
      </c>
      <c r="Q2229">
        <v>68</v>
      </c>
      <c r="R2229">
        <v>65</v>
      </c>
      <c r="S2229">
        <v>80</v>
      </c>
      <c r="T2229">
        <v>60</v>
      </c>
      <c r="U2229">
        <v>0</v>
      </c>
      <c r="V2229" s="3">
        <f t="shared" si="137"/>
        <v>2602450</v>
      </c>
      <c r="W2229">
        <v>216870.83333333334</v>
      </c>
      <c r="X2229">
        <v>0</v>
      </c>
      <c r="Y2229">
        <f t="shared" si="138"/>
        <v>216870.83333333334</v>
      </c>
      <c r="Z2229">
        <f t="shared" si="139"/>
        <v>0</v>
      </c>
      <c r="AA2229">
        <v>0</v>
      </c>
    </row>
    <row r="2230" spans="1:27" x14ac:dyDescent="0.25">
      <c r="A2230" s="1">
        <v>2229</v>
      </c>
      <c r="B2230" t="s">
        <v>1961</v>
      </c>
      <c r="C2230" t="s">
        <v>1133</v>
      </c>
      <c r="D2230" t="s">
        <v>1133</v>
      </c>
      <c r="H2230" t="s">
        <v>1199</v>
      </c>
      <c r="I2230" t="s">
        <v>1199</v>
      </c>
      <c r="J2230" t="s">
        <v>2687</v>
      </c>
      <c r="K2230" t="s">
        <v>1212</v>
      </c>
      <c r="M2230" s="3">
        <f t="shared" si="136"/>
        <v>52.428571428571431</v>
      </c>
      <c r="N2230">
        <v>14</v>
      </c>
      <c r="O2230">
        <v>68</v>
      </c>
      <c r="P2230">
        <v>54</v>
      </c>
      <c r="Q2230">
        <v>64</v>
      </c>
      <c r="R2230">
        <v>66</v>
      </c>
      <c r="S2230">
        <v>68</v>
      </c>
      <c r="T2230">
        <v>33</v>
      </c>
      <c r="U2230">
        <v>0</v>
      </c>
      <c r="V2230" s="3">
        <f t="shared" si="137"/>
        <v>156921</v>
      </c>
      <c r="W2230">
        <v>13076.75</v>
      </c>
      <c r="X2230">
        <v>0</v>
      </c>
      <c r="Y2230">
        <f t="shared" si="138"/>
        <v>13076.75</v>
      </c>
      <c r="Z2230">
        <f t="shared" si="139"/>
        <v>0</v>
      </c>
      <c r="AA2230">
        <v>0</v>
      </c>
    </row>
    <row r="2231" spans="1:27" x14ac:dyDescent="0.25">
      <c r="A2231" s="1">
        <v>2230</v>
      </c>
      <c r="B2231" t="s">
        <v>140</v>
      </c>
      <c r="C2231" t="s">
        <v>1134</v>
      </c>
      <c r="D2231" t="s">
        <v>1140</v>
      </c>
      <c r="G2231" t="s">
        <v>1152</v>
      </c>
      <c r="H2231" t="s">
        <v>1152</v>
      </c>
      <c r="I2231" t="s">
        <v>1152</v>
      </c>
      <c r="J2231" t="s">
        <v>2687</v>
      </c>
      <c r="K2231" t="s">
        <v>1212</v>
      </c>
      <c r="M2231" s="3">
        <f t="shared" si="136"/>
        <v>60.428571428571431</v>
      </c>
      <c r="N2231">
        <v>41</v>
      </c>
      <c r="O2231">
        <v>70</v>
      </c>
      <c r="P2231">
        <v>72</v>
      </c>
      <c r="Q2231">
        <v>96</v>
      </c>
      <c r="R2231">
        <v>61</v>
      </c>
      <c r="S2231">
        <v>60</v>
      </c>
      <c r="T2231">
        <v>23</v>
      </c>
      <c r="U2231">
        <v>0</v>
      </c>
      <c r="V2231" s="3">
        <f t="shared" si="137"/>
        <v>649267</v>
      </c>
      <c r="W2231">
        <v>54105.583333333336</v>
      </c>
      <c r="X2231">
        <v>0</v>
      </c>
      <c r="Y2231">
        <f t="shared" si="138"/>
        <v>54105.583333333336</v>
      </c>
      <c r="Z2231">
        <f t="shared" si="139"/>
        <v>0</v>
      </c>
      <c r="AA2231">
        <v>0</v>
      </c>
    </row>
    <row r="2232" spans="1:27" x14ac:dyDescent="0.25">
      <c r="A2232" s="1">
        <v>2231</v>
      </c>
      <c r="B2232" t="s">
        <v>247</v>
      </c>
      <c r="C2232" t="s">
        <v>1134</v>
      </c>
      <c r="D2232" t="s">
        <v>1138</v>
      </c>
      <c r="E2232" t="s">
        <v>1140</v>
      </c>
      <c r="G2232" t="s">
        <v>1174</v>
      </c>
      <c r="H2232" t="s">
        <v>1174</v>
      </c>
      <c r="I2232" t="s">
        <v>1174</v>
      </c>
      <c r="J2232" t="s">
        <v>2687</v>
      </c>
      <c r="K2232" t="s">
        <v>1212</v>
      </c>
      <c r="M2232" s="3">
        <f t="shared" si="136"/>
        <v>58.714285714285715</v>
      </c>
      <c r="N2232">
        <v>30</v>
      </c>
      <c r="O2232">
        <v>60</v>
      </c>
      <c r="P2232">
        <v>62</v>
      </c>
      <c r="Q2232">
        <v>63</v>
      </c>
      <c r="R2232">
        <v>71</v>
      </c>
      <c r="S2232">
        <v>75</v>
      </c>
      <c r="T2232">
        <v>50</v>
      </c>
      <c r="U2232">
        <v>0</v>
      </c>
      <c r="V2232" s="3">
        <f t="shared" si="137"/>
        <v>486898</v>
      </c>
      <c r="W2232">
        <v>40574.833333333336</v>
      </c>
      <c r="X2232">
        <v>0</v>
      </c>
      <c r="Y2232">
        <f t="shared" si="138"/>
        <v>40574.833333333336</v>
      </c>
      <c r="Z2232">
        <f t="shared" si="139"/>
        <v>0</v>
      </c>
      <c r="AA2232">
        <v>0</v>
      </c>
    </row>
    <row r="2233" spans="1:27" x14ac:dyDescent="0.25">
      <c r="A2233" s="1">
        <v>2232</v>
      </c>
      <c r="B2233" t="s">
        <v>1963</v>
      </c>
      <c r="C2233" t="s">
        <v>1134</v>
      </c>
      <c r="D2233" t="s">
        <v>1139</v>
      </c>
      <c r="E2233" t="s">
        <v>1138</v>
      </c>
      <c r="H2233" t="s">
        <v>1199</v>
      </c>
      <c r="I2233" t="s">
        <v>1199</v>
      </c>
      <c r="J2233" t="s">
        <v>2687</v>
      </c>
      <c r="K2233" t="s">
        <v>1212</v>
      </c>
      <c r="M2233" s="3">
        <f t="shared" si="136"/>
        <v>53.571428571428569</v>
      </c>
      <c r="N2233">
        <v>11</v>
      </c>
      <c r="O2233">
        <v>76</v>
      </c>
      <c r="P2233">
        <v>61</v>
      </c>
      <c r="Q2233">
        <v>65</v>
      </c>
      <c r="R2233">
        <v>67</v>
      </c>
      <c r="S2233">
        <v>70</v>
      </c>
      <c r="T2233">
        <v>25</v>
      </c>
      <c r="U2233">
        <v>0</v>
      </c>
      <c r="V2233" s="3">
        <f t="shared" si="137"/>
        <v>194685</v>
      </c>
      <c r="W2233">
        <v>16223.75</v>
      </c>
      <c r="X2233">
        <v>0</v>
      </c>
      <c r="Y2233">
        <f t="shared" si="138"/>
        <v>16223.75</v>
      </c>
      <c r="Z2233">
        <f t="shared" si="139"/>
        <v>0</v>
      </c>
      <c r="AA2233">
        <v>0</v>
      </c>
    </row>
    <row r="2234" spans="1:27" x14ac:dyDescent="0.25">
      <c r="A2234" s="1">
        <v>2233</v>
      </c>
      <c r="B2234" t="s">
        <v>1971</v>
      </c>
      <c r="C2234" t="s">
        <v>1134</v>
      </c>
      <c r="D2234" t="s">
        <v>1138</v>
      </c>
      <c r="E2234" t="s">
        <v>1144</v>
      </c>
      <c r="H2234" t="s">
        <v>1199</v>
      </c>
      <c r="I2234" t="s">
        <v>1199</v>
      </c>
      <c r="J2234" t="s">
        <v>2687</v>
      </c>
      <c r="K2234" t="s">
        <v>1212</v>
      </c>
      <c r="M2234" s="3">
        <f t="shared" si="136"/>
        <v>67.142857142857139</v>
      </c>
      <c r="N2234">
        <v>18</v>
      </c>
      <c r="O2234">
        <v>88</v>
      </c>
      <c r="P2234">
        <v>76</v>
      </c>
      <c r="Q2234">
        <v>82</v>
      </c>
      <c r="R2234">
        <v>85</v>
      </c>
      <c r="S2234">
        <v>87</v>
      </c>
      <c r="T2234">
        <v>34</v>
      </c>
      <c r="U2234">
        <v>0</v>
      </c>
      <c r="V2234" s="3">
        <f t="shared" si="137"/>
        <v>1862080</v>
      </c>
      <c r="W2234">
        <v>155173.33333333334</v>
      </c>
      <c r="X2234">
        <v>0</v>
      </c>
      <c r="Y2234">
        <f t="shared" si="138"/>
        <v>155173.33333333334</v>
      </c>
      <c r="Z2234">
        <f t="shared" si="139"/>
        <v>0</v>
      </c>
      <c r="AA2234">
        <v>0</v>
      </c>
    </row>
    <row r="2235" spans="1:27" x14ac:dyDescent="0.25">
      <c r="A2235" s="1">
        <v>2234</v>
      </c>
      <c r="B2235" t="s">
        <v>1972</v>
      </c>
      <c r="C2235" t="s">
        <v>1134</v>
      </c>
      <c r="D2235" t="s">
        <v>1140</v>
      </c>
      <c r="E2235" t="s">
        <v>1138</v>
      </c>
      <c r="H2235" t="s">
        <v>1199</v>
      </c>
      <c r="I2235" t="s">
        <v>1199</v>
      </c>
      <c r="J2235" t="s">
        <v>2687</v>
      </c>
      <c r="K2235" t="s">
        <v>1212</v>
      </c>
      <c r="M2235" s="3">
        <f t="shared" si="136"/>
        <v>48.285714285714285</v>
      </c>
      <c r="N2235">
        <v>12</v>
      </c>
      <c r="O2235">
        <v>69</v>
      </c>
      <c r="P2235">
        <v>53</v>
      </c>
      <c r="Q2235">
        <v>61</v>
      </c>
      <c r="R2235">
        <v>59</v>
      </c>
      <c r="S2235">
        <v>61</v>
      </c>
      <c r="T2235">
        <v>23</v>
      </c>
      <c r="U2235">
        <v>0</v>
      </c>
      <c r="V2235" s="3">
        <f t="shared" si="137"/>
        <v>68895</v>
      </c>
      <c r="W2235">
        <v>5741.25</v>
      </c>
      <c r="X2235">
        <v>0</v>
      </c>
      <c r="Y2235">
        <f t="shared" si="138"/>
        <v>5741.25</v>
      </c>
      <c r="Z2235">
        <f t="shared" si="139"/>
        <v>0</v>
      </c>
      <c r="AA2235">
        <v>0</v>
      </c>
    </row>
    <row r="2236" spans="1:27" x14ac:dyDescent="0.25">
      <c r="A2236" s="1">
        <v>2235</v>
      </c>
      <c r="B2236" t="s">
        <v>1964</v>
      </c>
      <c r="C2236" t="s">
        <v>1134</v>
      </c>
      <c r="D2236" t="s">
        <v>1139</v>
      </c>
      <c r="E2236" t="s">
        <v>1138</v>
      </c>
      <c r="H2236" t="s">
        <v>1199</v>
      </c>
      <c r="I2236" t="s">
        <v>1199</v>
      </c>
      <c r="J2236" t="s">
        <v>2687</v>
      </c>
      <c r="K2236" t="s">
        <v>1212</v>
      </c>
      <c r="M2236" s="3">
        <f t="shared" si="136"/>
        <v>50.714285714285715</v>
      </c>
      <c r="N2236">
        <v>13</v>
      </c>
      <c r="O2236">
        <v>72</v>
      </c>
      <c r="P2236">
        <v>56</v>
      </c>
      <c r="Q2236">
        <v>60</v>
      </c>
      <c r="R2236">
        <v>62</v>
      </c>
      <c r="S2236">
        <v>64</v>
      </c>
      <c r="T2236">
        <v>28</v>
      </c>
      <c r="U2236">
        <v>0</v>
      </c>
      <c r="V2236" s="3">
        <f t="shared" si="137"/>
        <v>112540</v>
      </c>
      <c r="W2236">
        <v>9378.3333333333339</v>
      </c>
      <c r="X2236">
        <v>0</v>
      </c>
      <c r="Y2236">
        <f t="shared" si="138"/>
        <v>9378.3333333333339</v>
      </c>
      <c r="Z2236">
        <f t="shared" si="139"/>
        <v>0</v>
      </c>
      <c r="AA2236">
        <v>0</v>
      </c>
    </row>
    <row r="2237" spans="1:27" x14ac:dyDescent="0.25">
      <c r="A2237" s="1">
        <v>2236</v>
      </c>
      <c r="B2237" t="s">
        <v>414</v>
      </c>
      <c r="C2237" t="s">
        <v>1134</v>
      </c>
      <c r="D2237" t="s">
        <v>1138</v>
      </c>
      <c r="E2237" t="s">
        <v>1140</v>
      </c>
      <c r="G2237" t="s">
        <v>1208</v>
      </c>
      <c r="H2237" t="s">
        <v>1208</v>
      </c>
      <c r="I2237" t="s">
        <v>1208</v>
      </c>
      <c r="J2237" t="s">
        <v>2687</v>
      </c>
      <c r="K2237" t="s">
        <v>1212</v>
      </c>
      <c r="M2237" s="3">
        <f t="shared" si="136"/>
        <v>65.142857142857139</v>
      </c>
      <c r="N2237">
        <v>50</v>
      </c>
      <c r="O2237">
        <v>65</v>
      </c>
      <c r="P2237">
        <v>70</v>
      </c>
      <c r="Q2237">
        <v>68</v>
      </c>
      <c r="R2237">
        <v>70</v>
      </c>
      <c r="S2237">
        <v>83</v>
      </c>
      <c r="T2237">
        <v>50</v>
      </c>
      <c r="U2237">
        <v>0</v>
      </c>
      <c r="V2237" s="3">
        <f t="shared" si="137"/>
        <v>1376158</v>
      </c>
      <c r="W2237">
        <v>114679.83333333333</v>
      </c>
      <c r="X2237">
        <v>0</v>
      </c>
      <c r="Y2237">
        <f t="shared" si="138"/>
        <v>114679.83333333333</v>
      </c>
      <c r="Z2237">
        <f t="shared" si="139"/>
        <v>0</v>
      </c>
      <c r="AA2237">
        <v>0</v>
      </c>
    </row>
    <row r="2238" spans="1:27" x14ac:dyDescent="0.25">
      <c r="A2238" s="1">
        <v>2237</v>
      </c>
      <c r="B2238" t="s">
        <v>415</v>
      </c>
      <c r="C2238" t="s">
        <v>1134</v>
      </c>
      <c r="D2238" t="s">
        <v>1138</v>
      </c>
      <c r="E2238" t="s">
        <v>1144</v>
      </c>
      <c r="G2238" t="s">
        <v>1208</v>
      </c>
      <c r="H2238" t="s">
        <v>1208</v>
      </c>
      <c r="I2238" t="s">
        <v>1208</v>
      </c>
      <c r="J2238" t="s">
        <v>2687</v>
      </c>
      <c r="K2238" t="s">
        <v>1212</v>
      </c>
      <c r="M2238" s="3">
        <f t="shared" si="136"/>
        <v>63.142857142857146</v>
      </c>
      <c r="N2238">
        <v>48</v>
      </c>
      <c r="O2238">
        <v>60</v>
      </c>
      <c r="P2238">
        <v>67</v>
      </c>
      <c r="Q2238">
        <v>69</v>
      </c>
      <c r="R2238">
        <v>72</v>
      </c>
      <c r="S2238">
        <v>78</v>
      </c>
      <c r="T2238">
        <v>48</v>
      </c>
      <c r="U2238">
        <v>0</v>
      </c>
      <c r="V2238" s="3">
        <f t="shared" si="137"/>
        <v>1007494</v>
      </c>
      <c r="W2238">
        <v>83957.833333333328</v>
      </c>
      <c r="X2238">
        <v>0</v>
      </c>
      <c r="Y2238">
        <f t="shared" si="138"/>
        <v>83957.833333333328</v>
      </c>
      <c r="Z2238">
        <f t="shared" si="139"/>
        <v>0</v>
      </c>
      <c r="AA2238">
        <v>0</v>
      </c>
    </row>
    <row r="2239" spans="1:27" x14ac:dyDescent="0.25">
      <c r="A2239" s="1">
        <v>2238</v>
      </c>
      <c r="B2239" t="s">
        <v>1970</v>
      </c>
      <c r="C2239" t="s">
        <v>1135</v>
      </c>
      <c r="D2239" t="s">
        <v>1142</v>
      </c>
      <c r="E2239" t="s">
        <v>1141</v>
      </c>
      <c r="H2239" t="s">
        <v>1199</v>
      </c>
      <c r="I2239" t="s">
        <v>1199</v>
      </c>
      <c r="J2239" t="s">
        <v>2687</v>
      </c>
      <c r="K2239" t="s">
        <v>1212</v>
      </c>
      <c r="M2239" s="3">
        <f t="shared" si="136"/>
        <v>63.285714285714285</v>
      </c>
      <c r="N2239">
        <v>16</v>
      </c>
      <c r="O2239">
        <v>85</v>
      </c>
      <c r="P2239">
        <v>73</v>
      </c>
      <c r="Q2239">
        <v>77</v>
      </c>
      <c r="R2239">
        <v>79</v>
      </c>
      <c r="S2239">
        <v>81</v>
      </c>
      <c r="T2239">
        <v>32</v>
      </c>
      <c r="U2239">
        <v>0</v>
      </c>
      <c r="V2239" s="3">
        <f t="shared" si="137"/>
        <v>1030522</v>
      </c>
      <c r="W2239">
        <v>85876.833333333328</v>
      </c>
      <c r="X2239">
        <v>0</v>
      </c>
      <c r="Y2239">
        <f t="shared" si="138"/>
        <v>85876.833333333328</v>
      </c>
      <c r="Z2239">
        <f t="shared" si="139"/>
        <v>0</v>
      </c>
      <c r="AA2239">
        <v>0</v>
      </c>
    </row>
    <row r="2240" spans="1:27" x14ac:dyDescent="0.25">
      <c r="A2240" s="1">
        <v>2239</v>
      </c>
      <c r="B2240" t="s">
        <v>1973</v>
      </c>
      <c r="C2240" t="s">
        <v>1135</v>
      </c>
      <c r="D2240" t="s">
        <v>1141</v>
      </c>
      <c r="E2240" t="s">
        <v>1142</v>
      </c>
      <c r="H2240" t="s">
        <v>1199</v>
      </c>
      <c r="I2240" t="s">
        <v>1199</v>
      </c>
      <c r="J2240" t="s">
        <v>2687</v>
      </c>
      <c r="K2240" t="s">
        <v>1212</v>
      </c>
      <c r="M2240" s="3">
        <f t="shared" si="136"/>
        <v>64.428571428571431</v>
      </c>
      <c r="N2240">
        <v>33</v>
      </c>
      <c r="O2240">
        <v>79</v>
      </c>
      <c r="P2240">
        <v>87</v>
      </c>
      <c r="Q2240">
        <v>73</v>
      </c>
      <c r="R2240">
        <v>69</v>
      </c>
      <c r="S2240">
        <v>80</v>
      </c>
      <c r="T2240">
        <v>30</v>
      </c>
      <c r="U2240">
        <v>7</v>
      </c>
      <c r="V2240" s="3">
        <f t="shared" si="137"/>
        <v>1848742</v>
      </c>
      <c r="W2240">
        <v>154061.83333333334</v>
      </c>
      <c r="X2240">
        <v>0</v>
      </c>
      <c r="Y2240">
        <f t="shared" si="138"/>
        <v>154061.83333333334</v>
      </c>
      <c r="Z2240">
        <f t="shared" si="139"/>
        <v>0</v>
      </c>
      <c r="AA2240">
        <v>0</v>
      </c>
    </row>
    <row r="2241" spans="1:27" x14ac:dyDescent="0.25">
      <c r="A2241" s="1">
        <v>2240</v>
      </c>
      <c r="B2241" t="s">
        <v>1969</v>
      </c>
      <c r="C2241" t="s">
        <v>1135</v>
      </c>
      <c r="D2241" t="s">
        <v>1142</v>
      </c>
      <c r="E2241" t="s">
        <v>1141</v>
      </c>
      <c r="H2241" t="s">
        <v>1199</v>
      </c>
      <c r="I2241" t="s">
        <v>1199</v>
      </c>
      <c r="J2241" t="s">
        <v>2687</v>
      </c>
      <c r="K2241" t="s">
        <v>1212</v>
      </c>
      <c r="M2241" s="3">
        <f t="shared" si="136"/>
        <v>49</v>
      </c>
      <c r="N2241">
        <v>11</v>
      </c>
      <c r="O2241">
        <v>66</v>
      </c>
      <c r="P2241">
        <v>53</v>
      </c>
      <c r="Q2241">
        <v>61</v>
      </c>
      <c r="R2241">
        <v>63</v>
      </c>
      <c r="S2241">
        <v>65</v>
      </c>
      <c r="T2241">
        <v>24</v>
      </c>
      <c r="U2241">
        <v>0</v>
      </c>
      <c r="V2241" s="3">
        <f t="shared" si="137"/>
        <v>79793</v>
      </c>
      <c r="W2241">
        <v>6649.416666666667</v>
      </c>
      <c r="X2241">
        <v>0</v>
      </c>
      <c r="Y2241">
        <f t="shared" si="138"/>
        <v>6649.416666666667</v>
      </c>
      <c r="Z2241">
        <f t="shared" si="139"/>
        <v>0</v>
      </c>
      <c r="AA2241">
        <v>0</v>
      </c>
    </row>
    <row r="2242" spans="1:27" x14ac:dyDescent="0.25">
      <c r="A2242" s="1">
        <v>2241</v>
      </c>
      <c r="B2242" t="s">
        <v>467</v>
      </c>
      <c r="C2242" t="s">
        <v>1135</v>
      </c>
      <c r="D2242" t="s">
        <v>1141</v>
      </c>
      <c r="G2242" t="s">
        <v>1158</v>
      </c>
      <c r="H2242" t="s">
        <v>1158</v>
      </c>
      <c r="I2242" t="s">
        <v>1158</v>
      </c>
      <c r="J2242" t="s">
        <v>2687</v>
      </c>
      <c r="K2242" t="s">
        <v>1212</v>
      </c>
      <c r="M2242" s="3">
        <f t="shared" ref="M2242:M2305" si="140">AVERAGE(N2242:T2242)</f>
        <v>62.857142857142854</v>
      </c>
      <c r="N2242">
        <v>21</v>
      </c>
      <c r="O2242">
        <v>58</v>
      </c>
      <c r="P2242">
        <v>80</v>
      </c>
      <c r="Q2242">
        <v>65</v>
      </c>
      <c r="R2242">
        <v>73</v>
      </c>
      <c r="S2242">
        <v>98</v>
      </c>
      <c r="T2242">
        <v>45</v>
      </c>
      <c r="U2242">
        <v>0</v>
      </c>
      <c r="V2242" s="3">
        <f t="shared" ref="V2242:V2305" si="141">ROUNDUP(M2242^10/1000000000000 * IF(U2242&gt;0,1.5,1),0)</f>
        <v>962823</v>
      </c>
      <c r="W2242">
        <v>80235.25</v>
      </c>
      <c r="X2242">
        <v>0</v>
      </c>
      <c r="Y2242">
        <f t="shared" ref="Y2242:Y2305" si="142">V2242/12</f>
        <v>80235.25</v>
      </c>
      <c r="Z2242">
        <f t="shared" ref="Z2242:Z2305" si="143">ROUND(((W2242-Y2242)/Y2242)*100,2)</f>
        <v>0</v>
      </c>
      <c r="AA2242">
        <v>0</v>
      </c>
    </row>
    <row r="2243" spans="1:27" x14ac:dyDescent="0.25">
      <c r="A2243" s="1">
        <v>2242</v>
      </c>
      <c r="B2243" t="s">
        <v>1968</v>
      </c>
      <c r="C2243" t="s">
        <v>1136</v>
      </c>
      <c r="D2243" t="s">
        <v>1147</v>
      </c>
      <c r="E2243" t="s">
        <v>1145</v>
      </c>
      <c r="H2243" t="s">
        <v>1199</v>
      </c>
      <c r="I2243" t="s">
        <v>1199</v>
      </c>
      <c r="J2243" t="s">
        <v>2687</v>
      </c>
      <c r="K2243" t="s">
        <v>1212</v>
      </c>
      <c r="M2243" s="3">
        <f t="shared" si="140"/>
        <v>57.571428571428569</v>
      </c>
      <c r="N2243">
        <v>11</v>
      </c>
      <c r="O2243">
        <v>77</v>
      </c>
      <c r="P2243">
        <v>65</v>
      </c>
      <c r="Q2243">
        <v>73</v>
      </c>
      <c r="R2243">
        <v>75</v>
      </c>
      <c r="S2243">
        <v>77</v>
      </c>
      <c r="T2243">
        <v>25</v>
      </c>
      <c r="U2243">
        <v>0</v>
      </c>
      <c r="V2243" s="3">
        <f t="shared" si="141"/>
        <v>400010</v>
      </c>
      <c r="W2243">
        <v>33334.166666666664</v>
      </c>
      <c r="X2243">
        <v>0</v>
      </c>
      <c r="Y2243">
        <f t="shared" si="142"/>
        <v>33334.166666666664</v>
      </c>
      <c r="Z2243">
        <f t="shared" si="143"/>
        <v>0</v>
      </c>
      <c r="AA2243">
        <v>0</v>
      </c>
    </row>
    <row r="2244" spans="1:27" x14ac:dyDescent="0.25">
      <c r="A2244" s="1">
        <v>2243</v>
      </c>
      <c r="B2244" t="s">
        <v>809</v>
      </c>
      <c r="C2244" t="s">
        <v>1136</v>
      </c>
      <c r="D2244" t="s">
        <v>1143</v>
      </c>
      <c r="E2244" t="s">
        <v>1147</v>
      </c>
      <c r="F2244" t="s">
        <v>1146</v>
      </c>
      <c r="G2244" t="s">
        <v>1177</v>
      </c>
      <c r="H2244" t="s">
        <v>1153</v>
      </c>
      <c r="I2244" t="s">
        <v>1153</v>
      </c>
      <c r="J2244" t="s">
        <v>2687</v>
      </c>
      <c r="K2244" t="s">
        <v>1212</v>
      </c>
      <c r="M2244" s="3">
        <f t="shared" si="140"/>
        <v>84.714285714285708</v>
      </c>
      <c r="N2244">
        <v>75</v>
      </c>
      <c r="O2244">
        <v>83</v>
      </c>
      <c r="P2244">
        <v>93</v>
      </c>
      <c r="Q2244">
        <v>86</v>
      </c>
      <c r="R2244">
        <v>90</v>
      </c>
      <c r="S2244">
        <v>91</v>
      </c>
      <c r="T2244">
        <v>75</v>
      </c>
      <c r="U2244">
        <v>1</v>
      </c>
      <c r="V2244" s="3">
        <f t="shared" si="141"/>
        <v>28553398</v>
      </c>
      <c r="W2244">
        <v>2379449.8333333335</v>
      </c>
      <c r="X2244">
        <v>0</v>
      </c>
      <c r="Y2244">
        <f t="shared" si="142"/>
        <v>2379449.8333333335</v>
      </c>
      <c r="Z2244">
        <f t="shared" si="143"/>
        <v>0</v>
      </c>
      <c r="AA2244">
        <v>0</v>
      </c>
    </row>
    <row r="2245" spans="1:27" x14ac:dyDescent="0.25">
      <c r="A2245" s="1">
        <v>2244</v>
      </c>
      <c r="B2245" t="s">
        <v>1007</v>
      </c>
      <c r="C2245" t="s">
        <v>1136</v>
      </c>
      <c r="D2245" t="s">
        <v>1145</v>
      </c>
      <c r="E2245" t="s">
        <v>1146</v>
      </c>
      <c r="G2245" t="s">
        <v>1208</v>
      </c>
      <c r="H2245" t="s">
        <v>1208</v>
      </c>
      <c r="I2245" t="s">
        <v>1208</v>
      </c>
      <c r="J2245" t="s">
        <v>2687</v>
      </c>
      <c r="K2245" t="s">
        <v>1212</v>
      </c>
      <c r="M2245" s="3">
        <f t="shared" si="140"/>
        <v>76.714285714285708</v>
      </c>
      <c r="N2245">
        <v>64</v>
      </c>
      <c r="O2245">
        <v>77</v>
      </c>
      <c r="P2245">
        <v>85</v>
      </c>
      <c r="Q2245">
        <v>80</v>
      </c>
      <c r="R2245">
        <v>80</v>
      </c>
      <c r="S2245">
        <v>81</v>
      </c>
      <c r="T2245">
        <v>70</v>
      </c>
      <c r="U2245">
        <v>21</v>
      </c>
      <c r="V2245" s="3">
        <f t="shared" si="141"/>
        <v>10588970</v>
      </c>
      <c r="W2245">
        <v>882414.16666666663</v>
      </c>
      <c r="X2245">
        <v>0</v>
      </c>
      <c r="Y2245">
        <f t="shared" si="142"/>
        <v>882414.16666666663</v>
      </c>
      <c r="Z2245">
        <f t="shared" si="143"/>
        <v>0</v>
      </c>
      <c r="AA2245">
        <v>0</v>
      </c>
    </row>
    <row r="2246" spans="1:27" x14ac:dyDescent="0.25">
      <c r="A2246" s="1">
        <v>2245</v>
      </c>
      <c r="B2246" t="s">
        <v>1966</v>
      </c>
      <c r="C2246" t="s">
        <v>1136</v>
      </c>
      <c r="D2246" t="s">
        <v>1143</v>
      </c>
      <c r="E2246" t="s">
        <v>1144</v>
      </c>
      <c r="H2246" t="s">
        <v>1199</v>
      </c>
      <c r="I2246" t="s">
        <v>1199</v>
      </c>
      <c r="J2246" t="s">
        <v>2687</v>
      </c>
      <c r="K2246" t="s">
        <v>1212</v>
      </c>
      <c r="M2246" s="3">
        <f t="shared" si="140"/>
        <v>48.428571428571431</v>
      </c>
      <c r="N2246">
        <v>11</v>
      </c>
      <c r="O2246">
        <v>68</v>
      </c>
      <c r="P2246">
        <v>53</v>
      </c>
      <c r="Q2246">
        <v>59</v>
      </c>
      <c r="R2246">
        <v>61</v>
      </c>
      <c r="S2246">
        <v>63</v>
      </c>
      <c r="T2246">
        <v>24</v>
      </c>
      <c r="U2246">
        <v>0</v>
      </c>
      <c r="V2246" s="3">
        <f t="shared" si="141"/>
        <v>70961</v>
      </c>
      <c r="W2246">
        <v>5913.416666666667</v>
      </c>
      <c r="X2246">
        <v>0</v>
      </c>
      <c r="Y2246">
        <f t="shared" si="142"/>
        <v>5913.416666666667</v>
      </c>
      <c r="Z2246">
        <f t="shared" si="143"/>
        <v>0</v>
      </c>
      <c r="AA2246">
        <v>0</v>
      </c>
    </row>
    <row r="2247" spans="1:27" x14ac:dyDescent="0.25">
      <c r="A2247" s="1">
        <v>2246</v>
      </c>
      <c r="B2247" t="s">
        <v>1967</v>
      </c>
      <c r="C2247" t="s">
        <v>1136</v>
      </c>
      <c r="D2247" t="s">
        <v>1145</v>
      </c>
      <c r="E2247" t="s">
        <v>1143</v>
      </c>
      <c r="H2247" t="s">
        <v>1199</v>
      </c>
      <c r="I2247" t="s">
        <v>1199</v>
      </c>
      <c r="J2247" t="s">
        <v>2687</v>
      </c>
      <c r="K2247" t="s">
        <v>1212</v>
      </c>
      <c r="M2247" s="3">
        <f t="shared" si="140"/>
        <v>51.428571428571431</v>
      </c>
      <c r="N2247">
        <v>13</v>
      </c>
      <c r="O2247">
        <v>70</v>
      </c>
      <c r="P2247">
        <v>57</v>
      </c>
      <c r="Q2247">
        <v>65</v>
      </c>
      <c r="R2247">
        <v>63</v>
      </c>
      <c r="S2247">
        <v>65</v>
      </c>
      <c r="T2247">
        <v>27</v>
      </c>
      <c r="U2247">
        <v>0</v>
      </c>
      <c r="V2247" s="3">
        <f t="shared" si="141"/>
        <v>129433</v>
      </c>
      <c r="W2247">
        <v>10786.083333333334</v>
      </c>
      <c r="X2247">
        <v>0</v>
      </c>
      <c r="Y2247">
        <f t="shared" si="142"/>
        <v>10786.083333333334</v>
      </c>
      <c r="Z2247">
        <f t="shared" si="143"/>
        <v>0</v>
      </c>
      <c r="AA2247">
        <v>0</v>
      </c>
    </row>
    <row r="2248" spans="1:27" x14ac:dyDescent="0.25">
      <c r="A2248" s="1">
        <v>2247</v>
      </c>
      <c r="B2248" t="s">
        <v>1965</v>
      </c>
      <c r="C2248" t="s">
        <v>1136</v>
      </c>
      <c r="D2248" t="s">
        <v>1144</v>
      </c>
      <c r="E2248" t="s">
        <v>1143</v>
      </c>
      <c r="H2248" t="s">
        <v>1199</v>
      </c>
      <c r="I2248" t="s">
        <v>1199</v>
      </c>
      <c r="J2248" t="s">
        <v>2687</v>
      </c>
      <c r="K2248" t="s">
        <v>1212</v>
      </c>
      <c r="M2248" s="3">
        <f t="shared" si="140"/>
        <v>49.285714285714285</v>
      </c>
      <c r="N2248">
        <v>12</v>
      </c>
      <c r="O2248">
        <v>69</v>
      </c>
      <c r="P2248">
        <v>55</v>
      </c>
      <c r="Q2248">
        <v>63</v>
      </c>
      <c r="R2248">
        <v>59</v>
      </c>
      <c r="S2248">
        <v>61</v>
      </c>
      <c r="T2248">
        <v>26</v>
      </c>
      <c r="U2248">
        <v>0</v>
      </c>
      <c r="V2248" s="3">
        <f t="shared" si="141"/>
        <v>84569</v>
      </c>
      <c r="W2248">
        <v>7047.416666666667</v>
      </c>
      <c r="X2248">
        <v>0</v>
      </c>
      <c r="Y2248">
        <f t="shared" si="142"/>
        <v>7047.416666666667</v>
      </c>
      <c r="Z2248">
        <f t="shared" si="143"/>
        <v>0</v>
      </c>
      <c r="AA2248">
        <v>0</v>
      </c>
    </row>
    <row r="2249" spans="1:27" x14ac:dyDescent="0.25">
      <c r="A2249" s="1">
        <v>2248</v>
      </c>
      <c r="B2249" t="s">
        <v>1962</v>
      </c>
      <c r="C2249" t="s">
        <v>1137</v>
      </c>
      <c r="D2249" t="s">
        <v>1137</v>
      </c>
      <c r="H2249" t="s">
        <v>1199</v>
      </c>
      <c r="I2249" t="s">
        <v>1199</v>
      </c>
      <c r="J2249" t="s">
        <v>2687</v>
      </c>
      <c r="K2249" t="s">
        <v>1212</v>
      </c>
      <c r="M2249" s="3">
        <f t="shared" si="140"/>
        <v>56.714285714285715</v>
      </c>
      <c r="N2249">
        <v>12</v>
      </c>
      <c r="O2249">
        <v>75</v>
      </c>
      <c r="P2249">
        <v>61</v>
      </c>
      <c r="Q2249">
        <v>71</v>
      </c>
      <c r="R2249">
        <v>73</v>
      </c>
      <c r="S2249">
        <v>75</v>
      </c>
      <c r="T2249">
        <v>30</v>
      </c>
      <c r="U2249">
        <v>0</v>
      </c>
      <c r="V2249" s="3">
        <f t="shared" si="141"/>
        <v>344291</v>
      </c>
      <c r="W2249">
        <v>28690.916666666668</v>
      </c>
      <c r="X2249">
        <v>0</v>
      </c>
      <c r="Y2249">
        <f t="shared" si="142"/>
        <v>28690.916666666668</v>
      </c>
      <c r="Z2249">
        <f t="shared" si="143"/>
        <v>0</v>
      </c>
      <c r="AA2249">
        <v>0</v>
      </c>
    </row>
    <row r="2250" spans="1:27" x14ac:dyDescent="0.25">
      <c r="A2250" s="1">
        <v>2249</v>
      </c>
      <c r="B2250" t="s">
        <v>98</v>
      </c>
      <c r="C2250" t="s">
        <v>1133</v>
      </c>
      <c r="D2250" t="s">
        <v>1133</v>
      </c>
      <c r="G2250" t="s">
        <v>1202</v>
      </c>
      <c r="H2250" t="s">
        <v>1202</v>
      </c>
      <c r="I2250" t="s">
        <v>1202</v>
      </c>
      <c r="J2250" t="s">
        <v>1269</v>
      </c>
      <c r="K2250" t="s">
        <v>1218</v>
      </c>
      <c r="M2250" s="3">
        <f t="shared" si="140"/>
        <v>86</v>
      </c>
      <c r="N2250">
        <v>86</v>
      </c>
      <c r="O2250">
        <v>80</v>
      </c>
      <c r="P2250">
        <v>85</v>
      </c>
      <c r="Q2250">
        <v>93</v>
      </c>
      <c r="R2250">
        <v>87</v>
      </c>
      <c r="S2250">
        <v>90</v>
      </c>
      <c r="T2250">
        <v>81</v>
      </c>
      <c r="U2250">
        <v>29</v>
      </c>
      <c r="V2250" s="3">
        <f t="shared" si="141"/>
        <v>33195237</v>
      </c>
      <c r="W2250">
        <v>2766269.75</v>
      </c>
      <c r="X2250">
        <v>0</v>
      </c>
      <c r="Y2250">
        <f t="shared" si="142"/>
        <v>2766269.75</v>
      </c>
      <c r="Z2250">
        <f t="shared" si="143"/>
        <v>0</v>
      </c>
      <c r="AA2250">
        <v>0</v>
      </c>
    </row>
    <row r="2251" spans="1:27" x14ac:dyDescent="0.25">
      <c r="A2251" s="1">
        <v>2250</v>
      </c>
      <c r="B2251" t="s">
        <v>569</v>
      </c>
      <c r="C2251" t="s">
        <v>1135</v>
      </c>
      <c r="D2251" t="s">
        <v>1142</v>
      </c>
      <c r="E2251" t="s">
        <v>1146</v>
      </c>
      <c r="G2251" t="s">
        <v>1192</v>
      </c>
      <c r="H2251" t="s">
        <v>1192</v>
      </c>
      <c r="I2251" t="s">
        <v>1192</v>
      </c>
      <c r="J2251" t="s">
        <v>1269</v>
      </c>
      <c r="K2251" t="s">
        <v>1218</v>
      </c>
      <c r="M2251" s="3">
        <f t="shared" si="140"/>
        <v>96</v>
      </c>
      <c r="N2251">
        <v>100</v>
      </c>
      <c r="O2251">
        <v>90</v>
      </c>
      <c r="P2251">
        <v>96</v>
      </c>
      <c r="Q2251">
        <v>97</v>
      </c>
      <c r="R2251">
        <v>95</v>
      </c>
      <c r="S2251">
        <v>96</v>
      </c>
      <c r="T2251">
        <v>98</v>
      </c>
      <c r="U2251">
        <v>13</v>
      </c>
      <c r="V2251" s="3">
        <f t="shared" si="141"/>
        <v>99724896</v>
      </c>
      <c r="W2251">
        <v>8310408</v>
      </c>
      <c r="X2251">
        <v>0</v>
      </c>
      <c r="Y2251">
        <f t="shared" si="142"/>
        <v>8310408</v>
      </c>
      <c r="Z2251">
        <f t="shared" si="143"/>
        <v>0</v>
      </c>
      <c r="AA2251">
        <v>0</v>
      </c>
    </row>
    <row r="2252" spans="1:27" x14ac:dyDescent="0.25">
      <c r="A2252" s="1">
        <v>2251</v>
      </c>
      <c r="B2252" t="s">
        <v>570</v>
      </c>
      <c r="C2252" t="s">
        <v>1135</v>
      </c>
      <c r="D2252" t="s">
        <v>1142</v>
      </c>
      <c r="E2252" t="s">
        <v>1147</v>
      </c>
      <c r="F2252" t="s">
        <v>1146</v>
      </c>
      <c r="G2252" t="s">
        <v>1192</v>
      </c>
      <c r="H2252" t="s">
        <v>1192</v>
      </c>
      <c r="I2252" t="s">
        <v>1192</v>
      </c>
      <c r="J2252" t="s">
        <v>1269</v>
      </c>
      <c r="K2252" t="s">
        <v>1218</v>
      </c>
      <c r="M2252" s="3">
        <f t="shared" si="140"/>
        <v>94.571428571428569</v>
      </c>
      <c r="N2252">
        <v>95</v>
      </c>
      <c r="O2252">
        <v>97</v>
      </c>
      <c r="P2252">
        <v>93</v>
      </c>
      <c r="Q2252">
        <v>100</v>
      </c>
      <c r="R2252">
        <v>90</v>
      </c>
      <c r="S2252">
        <v>87</v>
      </c>
      <c r="T2252">
        <v>100</v>
      </c>
      <c r="U2252">
        <v>8</v>
      </c>
      <c r="V2252" s="3">
        <f t="shared" si="141"/>
        <v>85840207</v>
      </c>
      <c r="W2252">
        <v>7153350.583333333</v>
      </c>
      <c r="X2252">
        <v>0</v>
      </c>
      <c r="Y2252">
        <f t="shared" si="142"/>
        <v>7153350.583333333</v>
      </c>
      <c r="Z2252">
        <f t="shared" si="143"/>
        <v>0</v>
      </c>
      <c r="AA2252">
        <v>0</v>
      </c>
    </row>
    <row r="2253" spans="1:27" x14ac:dyDescent="0.25">
      <c r="A2253" s="1">
        <v>2252</v>
      </c>
      <c r="B2253" t="s">
        <v>896</v>
      </c>
      <c r="C2253" t="s">
        <v>1136</v>
      </c>
      <c r="D2253" t="s">
        <v>1146</v>
      </c>
      <c r="E2253" t="s">
        <v>1145</v>
      </c>
      <c r="G2253" t="s">
        <v>1192</v>
      </c>
      <c r="H2253" t="s">
        <v>1192</v>
      </c>
      <c r="I2253" t="s">
        <v>1192</v>
      </c>
      <c r="J2253" t="s">
        <v>1269</v>
      </c>
      <c r="K2253" t="s">
        <v>1218</v>
      </c>
      <c r="M2253" s="3">
        <f t="shared" si="140"/>
        <v>79.571428571428569</v>
      </c>
      <c r="N2253">
        <v>70</v>
      </c>
      <c r="O2253">
        <v>89</v>
      </c>
      <c r="P2253">
        <v>80</v>
      </c>
      <c r="Q2253">
        <v>88</v>
      </c>
      <c r="R2253">
        <v>80</v>
      </c>
      <c r="S2253">
        <v>78</v>
      </c>
      <c r="T2253">
        <v>72</v>
      </c>
      <c r="U2253">
        <v>12</v>
      </c>
      <c r="V2253" s="3">
        <f t="shared" si="141"/>
        <v>15263806</v>
      </c>
      <c r="W2253">
        <v>1271983.8333333333</v>
      </c>
      <c r="X2253">
        <v>0</v>
      </c>
      <c r="Y2253">
        <f t="shared" si="142"/>
        <v>1271983.8333333333</v>
      </c>
      <c r="Z2253">
        <f t="shared" si="143"/>
        <v>0</v>
      </c>
      <c r="AA2253">
        <v>0</v>
      </c>
    </row>
    <row r="2254" spans="1:27" x14ac:dyDescent="0.25">
      <c r="A2254" s="1">
        <v>2253</v>
      </c>
      <c r="B2254" t="s">
        <v>32</v>
      </c>
      <c r="C2254" t="s">
        <v>1133</v>
      </c>
      <c r="D2254" t="s">
        <v>1133</v>
      </c>
      <c r="G2254" t="s">
        <v>1156</v>
      </c>
      <c r="H2254" t="s">
        <v>1156</v>
      </c>
      <c r="I2254" t="s">
        <v>1156</v>
      </c>
      <c r="J2254" t="s">
        <v>1231</v>
      </c>
      <c r="K2254" t="s">
        <v>1212</v>
      </c>
      <c r="M2254" s="3">
        <f t="shared" si="140"/>
        <v>68.571428571428569</v>
      </c>
      <c r="N2254">
        <v>51</v>
      </c>
      <c r="O2254">
        <v>65</v>
      </c>
      <c r="P2254">
        <v>80</v>
      </c>
      <c r="Q2254">
        <v>70</v>
      </c>
      <c r="R2254">
        <v>83</v>
      </c>
      <c r="S2254">
        <v>80</v>
      </c>
      <c r="T2254">
        <v>51</v>
      </c>
      <c r="U2254">
        <v>0</v>
      </c>
      <c r="V2254" s="3">
        <f t="shared" si="141"/>
        <v>2298434</v>
      </c>
      <c r="W2254">
        <v>191536.16666666666</v>
      </c>
      <c r="X2254">
        <v>0</v>
      </c>
      <c r="Y2254">
        <f t="shared" si="142"/>
        <v>191536.16666666666</v>
      </c>
      <c r="Z2254">
        <f t="shared" si="143"/>
        <v>0</v>
      </c>
      <c r="AA2254">
        <v>0</v>
      </c>
    </row>
    <row r="2255" spans="1:27" x14ac:dyDescent="0.25">
      <c r="A2255" s="1">
        <v>2254</v>
      </c>
      <c r="B2255" t="s">
        <v>1833</v>
      </c>
      <c r="C2255" t="s">
        <v>1134</v>
      </c>
      <c r="D2255" t="s">
        <v>1140</v>
      </c>
      <c r="E2255" t="s">
        <v>1138</v>
      </c>
      <c r="H2255" t="s">
        <v>1156</v>
      </c>
      <c r="I2255" t="s">
        <v>1156</v>
      </c>
      <c r="J2255" t="s">
        <v>1231</v>
      </c>
      <c r="K2255" t="s">
        <v>1212</v>
      </c>
      <c r="M2255" s="3">
        <f t="shared" si="140"/>
        <v>61.857142857142854</v>
      </c>
      <c r="N2255">
        <v>21</v>
      </c>
      <c r="O2255">
        <v>72</v>
      </c>
      <c r="P2255">
        <v>66</v>
      </c>
      <c r="Q2255">
        <v>76</v>
      </c>
      <c r="R2255">
        <v>78</v>
      </c>
      <c r="S2255">
        <v>80</v>
      </c>
      <c r="T2255">
        <v>40</v>
      </c>
      <c r="U2255">
        <v>2</v>
      </c>
      <c r="V2255" s="3">
        <f t="shared" si="141"/>
        <v>1230240</v>
      </c>
      <c r="W2255">
        <v>102520</v>
      </c>
      <c r="X2255">
        <v>0</v>
      </c>
      <c r="Y2255">
        <f t="shared" si="142"/>
        <v>102520</v>
      </c>
      <c r="Z2255">
        <f t="shared" si="143"/>
        <v>0</v>
      </c>
      <c r="AA2255">
        <v>0</v>
      </c>
    </row>
    <row r="2256" spans="1:27" x14ac:dyDescent="0.25">
      <c r="A2256" s="1">
        <v>2255</v>
      </c>
      <c r="B2256" t="s">
        <v>1835</v>
      </c>
      <c r="C2256" t="s">
        <v>1134</v>
      </c>
      <c r="D2256" t="s">
        <v>1138</v>
      </c>
      <c r="E2256" t="s">
        <v>1144</v>
      </c>
      <c r="G2256" t="s">
        <v>1156</v>
      </c>
      <c r="H2256" t="s">
        <v>1156</v>
      </c>
      <c r="I2256" t="s">
        <v>1156</v>
      </c>
      <c r="J2256" t="s">
        <v>1231</v>
      </c>
      <c r="K2256" t="s">
        <v>1212</v>
      </c>
      <c r="M2256" s="3">
        <f t="shared" si="140"/>
        <v>66.285714285714292</v>
      </c>
      <c r="N2256">
        <v>23</v>
      </c>
      <c r="O2256">
        <v>76</v>
      </c>
      <c r="P2256">
        <v>70</v>
      </c>
      <c r="Q2256">
        <v>82</v>
      </c>
      <c r="R2256">
        <v>84</v>
      </c>
      <c r="S2256">
        <v>86</v>
      </c>
      <c r="T2256">
        <v>43</v>
      </c>
      <c r="U2256">
        <v>2</v>
      </c>
      <c r="V2256" s="3">
        <f t="shared" si="141"/>
        <v>2456353</v>
      </c>
      <c r="W2256">
        <v>204696.08333333334</v>
      </c>
      <c r="X2256">
        <v>0</v>
      </c>
      <c r="Y2256">
        <f t="shared" si="142"/>
        <v>204696.08333333334</v>
      </c>
      <c r="Z2256">
        <f t="shared" si="143"/>
        <v>0</v>
      </c>
      <c r="AA2256">
        <v>0</v>
      </c>
    </row>
    <row r="2257" spans="1:27" x14ac:dyDescent="0.25">
      <c r="A2257" s="1">
        <v>2256</v>
      </c>
      <c r="B2257" t="s">
        <v>1834</v>
      </c>
      <c r="C2257" t="s">
        <v>1134</v>
      </c>
      <c r="D2257" t="s">
        <v>1139</v>
      </c>
      <c r="E2257" t="s">
        <v>1138</v>
      </c>
      <c r="H2257" t="s">
        <v>1156</v>
      </c>
      <c r="I2257" t="s">
        <v>1156</v>
      </c>
      <c r="J2257" t="s">
        <v>1231</v>
      </c>
      <c r="K2257" t="s">
        <v>1212</v>
      </c>
      <c r="M2257" s="3">
        <f t="shared" si="140"/>
        <v>58.857142857142854</v>
      </c>
      <c r="N2257">
        <v>16</v>
      </c>
      <c r="O2257">
        <v>66</v>
      </c>
      <c r="P2257">
        <v>62</v>
      </c>
      <c r="Q2257">
        <v>74</v>
      </c>
      <c r="R2257">
        <v>80</v>
      </c>
      <c r="S2257">
        <v>82</v>
      </c>
      <c r="T2257">
        <v>32</v>
      </c>
      <c r="U2257">
        <v>2</v>
      </c>
      <c r="V2257" s="3">
        <f t="shared" si="141"/>
        <v>748313</v>
      </c>
      <c r="W2257">
        <v>62359.416666666664</v>
      </c>
      <c r="X2257">
        <v>0</v>
      </c>
      <c r="Y2257">
        <f t="shared" si="142"/>
        <v>62359.416666666664</v>
      </c>
      <c r="Z2257">
        <f t="shared" si="143"/>
        <v>0</v>
      </c>
      <c r="AA2257">
        <v>0</v>
      </c>
    </row>
    <row r="2258" spans="1:27" x14ac:dyDescent="0.25">
      <c r="A2258" s="1">
        <v>2257</v>
      </c>
      <c r="B2258" t="s">
        <v>162</v>
      </c>
      <c r="C2258" t="s">
        <v>1134</v>
      </c>
      <c r="D2258" t="s">
        <v>1138</v>
      </c>
      <c r="G2258" t="s">
        <v>1156</v>
      </c>
      <c r="H2258" t="s">
        <v>1156</v>
      </c>
      <c r="I2258" t="s">
        <v>1156</v>
      </c>
      <c r="J2258" t="s">
        <v>1231</v>
      </c>
      <c r="K2258" t="s">
        <v>1212</v>
      </c>
      <c r="M2258" s="3">
        <f t="shared" si="140"/>
        <v>64.714285714285708</v>
      </c>
      <c r="N2258">
        <v>39</v>
      </c>
      <c r="O2258">
        <v>60</v>
      </c>
      <c r="P2258">
        <v>86</v>
      </c>
      <c r="Q2258">
        <v>65</v>
      </c>
      <c r="R2258">
        <v>66</v>
      </c>
      <c r="S2258">
        <v>72</v>
      </c>
      <c r="T2258">
        <v>65</v>
      </c>
      <c r="U2258">
        <v>0</v>
      </c>
      <c r="V2258" s="3">
        <f t="shared" si="141"/>
        <v>1288255</v>
      </c>
      <c r="W2258">
        <v>107354.58333333333</v>
      </c>
      <c r="X2258">
        <v>0</v>
      </c>
      <c r="Y2258">
        <f t="shared" si="142"/>
        <v>107354.58333333333</v>
      </c>
      <c r="Z2258">
        <f t="shared" si="143"/>
        <v>0</v>
      </c>
      <c r="AA2258">
        <v>0</v>
      </c>
    </row>
    <row r="2259" spans="1:27" x14ac:dyDescent="0.25">
      <c r="A2259" s="1">
        <v>2258</v>
      </c>
      <c r="B2259" t="s">
        <v>258</v>
      </c>
      <c r="C2259" t="s">
        <v>1134</v>
      </c>
      <c r="D2259" t="s">
        <v>1138</v>
      </c>
      <c r="G2259" t="s">
        <v>1175</v>
      </c>
      <c r="H2259" t="s">
        <v>1175</v>
      </c>
      <c r="I2259" t="s">
        <v>1175</v>
      </c>
      <c r="J2259" t="s">
        <v>1231</v>
      </c>
      <c r="K2259" t="s">
        <v>1212</v>
      </c>
      <c r="M2259" s="3">
        <f t="shared" si="140"/>
        <v>70.857142857142861</v>
      </c>
      <c r="N2259">
        <v>55</v>
      </c>
      <c r="O2259">
        <v>72</v>
      </c>
      <c r="P2259">
        <v>65</v>
      </c>
      <c r="Q2259">
        <v>78</v>
      </c>
      <c r="R2259">
        <v>81</v>
      </c>
      <c r="S2259">
        <v>87</v>
      </c>
      <c r="T2259">
        <v>58</v>
      </c>
      <c r="U2259">
        <v>0</v>
      </c>
      <c r="V2259" s="3">
        <f t="shared" si="141"/>
        <v>3190336</v>
      </c>
      <c r="W2259">
        <v>265861.33333333331</v>
      </c>
      <c r="X2259">
        <v>0</v>
      </c>
      <c r="Y2259">
        <f t="shared" si="142"/>
        <v>265861.33333333331</v>
      </c>
      <c r="Z2259">
        <f t="shared" si="143"/>
        <v>0</v>
      </c>
      <c r="AA2259">
        <v>0</v>
      </c>
    </row>
    <row r="2260" spans="1:27" x14ac:dyDescent="0.25">
      <c r="A2260" s="1">
        <v>2259</v>
      </c>
      <c r="B2260" t="s">
        <v>461</v>
      </c>
      <c r="C2260" t="s">
        <v>1135</v>
      </c>
      <c r="D2260" t="s">
        <v>1142</v>
      </c>
      <c r="E2260" t="s">
        <v>1146</v>
      </c>
      <c r="G2260" t="s">
        <v>1156</v>
      </c>
      <c r="H2260" t="s">
        <v>1156</v>
      </c>
      <c r="I2260" t="s">
        <v>1156</v>
      </c>
      <c r="J2260" t="s">
        <v>1231</v>
      </c>
      <c r="K2260" t="s">
        <v>1212</v>
      </c>
      <c r="M2260" s="3">
        <f t="shared" si="140"/>
        <v>81.428571428571431</v>
      </c>
      <c r="N2260">
        <v>80</v>
      </c>
      <c r="O2260">
        <v>80</v>
      </c>
      <c r="P2260">
        <v>85</v>
      </c>
      <c r="Q2260">
        <v>86</v>
      </c>
      <c r="R2260">
        <v>89</v>
      </c>
      <c r="S2260">
        <v>77</v>
      </c>
      <c r="T2260">
        <v>73</v>
      </c>
      <c r="U2260">
        <v>2</v>
      </c>
      <c r="V2260" s="3">
        <f t="shared" si="141"/>
        <v>19224694</v>
      </c>
      <c r="W2260">
        <v>1602057.8333333333</v>
      </c>
      <c r="X2260">
        <v>0</v>
      </c>
      <c r="Y2260">
        <f t="shared" si="142"/>
        <v>1602057.8333333333</v>
      </c>
      <c r="Z2260">
        <f t="shared" si="143"/>
        <v>0</v>
      </c>
      <c r="AA2260">
        <v>0</v>
      </c>
    </row>
    <row r="2261" spans="1:27" x14ac:dyDescent="0.25">
      <c r="A2261" s="1">
        <v>2260</v>
      </c>
      <c r="B2261" t="s">
        <v>462</v>
      </c>
      <c r="C2261" t="s">
        <v>1135</v>
      </c>
      <c r="D2261" t="s">
        <v>1141</v>
      </c>
      <c r="G2261" t="s">
        <v>1156</v>
      </c>
      <c r="H2261" t="s">
        <v>1156</v>
      </c>
      <c r="I2261" t="s">
        <v>1156</v>
      </c>
      <c r="J2261" t="s">
        <v>1231</v>
      </c>
      <c r="K2261" t="s">
        <v>1212</v>
      </c>
      <c r="M2261" s="3">
        <f t="shared" si="140"/>
        <v>64.857142857142861</v>
      </c>
      <c r="N2261">
        <v>30</v>
      </c>
      <c r="O2261">
        <v>70</v>
      </c>
      <c r="P2261">
        <v>75</v>
      </c>
      <c r="Q2261">
        <v>71</v>
      </c>
      <c r="R2261">
        <v>72</v>
      </c>
      <c r="S2261">
        <v>85</v>
      </c>
      <c r="T2261">
        <v>51</v>
      </c>
      <c r="U2261">
        <v>2</v>
      </c>
      <c r="V2261" s="3">
        <f t="shared" si="141"/>
        <v>1975466</v>
      </c>
      <c r="W2261">
        <v>164622.16666666666</v>
      </c>
      <c r="X2261">
        <v>0</v>
      </c>
      <c r="Y2261">
        <f t="shared" si="142"/>
        <v>164622.16666666666</v>
      </c>
      <c r="Z2261">
        <f t="shared" si="143"/>
        <v>0</v>
      </c>
      <c r="AA2261">
        <v>0</v>
      </c>
    </row>
    <row r="2262" spans="1:27" x14ac:dyDescent="0.25">
      <c r="A2262" s="1">
        <v>2261</v>
      </c>
      <c r="B2262" t="s">
        <v>1842</v>
      </c>
      <c r="C2262" t="s">
        <v>1135</v>
      </c>
      <c r="D2262" t="s">
        <v>1142</v>
      </c>
      <c r="E2262" t="s">
        <v>1141</v>
      </c>
      <c r="G2262" t="s">
        <v>1156</v>
      </c>
      <c r="H2262" t="s">
        <v>1156</v>
      </c>
      <c r="I2262" t="s">
        <v>1156</v>
      </c>
      <c r="J2262" t="s">
        <v>1231</v>
      </c>
      <c r="K2262" t="s">
        <v>1212</v>
      </c>
      <c r="M2262" s="3">
        <f t="shared" si="140"/>
        <v>68</v>
      </c>
      <c r="N2262">
        <v>24</v>
      </c>
      <c r="O2262">
        <v>80</v>
      </c>
      <c r="P2262">
        <v>80</v>
      </c>
      <c r="Q2262">
        <v>81</v>
      </c>
      <c r="R2262">
        <v>82</v>
      </c>
      <c r="S2262">
        <v>85</v>
      </c>
      <c r="T2262">
        <v>44</v>
      </c>
      <c r="U2262">
        <v>2</v>
      </c>
      <c r="V2262" s="3">
        <f t="shared" si="141"/>
        <v>3170885</v>
      </c>
      <c r="W2262">
        <v>264240.41666666669</v>
      </c>
      <c r="X2262">
        <v>0</v>
      </c>
      <c r="Y2262">
        <f t="shared" si="142"/>
        <v>264240.41666666669</v>
      </c>
      <c r="Z2262">
        <f t="shared" si="143"/>
        <v>0</v>
      </c>
      <c r="AA2262">
        <v>0</v>
      </c>
    </row>
    <row r="2263" spans="1:27" x14ac:dyDescent="0.25">
      <c r="A2263" s="1">
        <v>2262</v>
      </c>
      <c r="B2263" t="s">
        <v>1838</v>
      </c>
      <c r="C2263" t="s">
        <v>1136</v>
      </c>
      <c r="D2263" t="s">
        <v>1145</v>
      </c>
      <c r="E2263" t="s">
        <v>1143</v>
      </c>
      <c r="H2263" t="s">
        <v>1156</v>
      </c>
      <c r="I2263" t="s">
        <v>1156</v>
      </c>
      <c r="J2263" t="s">
        <v>1231</v>
      </c>
      <c r="K2263" t="s">
        <v>1212</v>
      </c>
      <c r="M2263" s="3">
        <f t="shared" si="140"/>
        <v>54.714285714285715</v>
      </c>
      <c r="N2263">
        <v>16</v>
      </c>
      <c r="O2263">
        <v>60</v>
      </c>
      <c r="P2263">
        <v>64</v>
      </c>
      <c r="Q2263">
        <v>72</v>
      </c>
      <c r="R2263">
        <v>70</v>
      </c>
      <c r="S2263">
        <v>73</v>
      </c>
      <c r="T2263">
        <v>28</v>
      </c>
      <c r="U2263">
        <v>2</v>
      </c>
      <c r="V2263" s="3">
        <f t="shared" si="141"/>
        <v>360661</v>
      </c>
      <c r="W2263">
        <v>30055.083333333332</v>
      </c>
      <c r="X2263">
        <v>0</v>
      </c>
      <c r="Y2263">
        <f t="shared" si="142"/>
        <v>30055.083333333332</v>
      </c>
      <c r="Z2263">
        <f t="shared" si="143"/>
        <v>0</v>
      </c>
      <c r="AA2263">
        <v>0</v>
      </c>
    </row>
    <row r="2264" spans="1:27" x14ac:dyDescent="0.25">
      <c r="A2264" s="1">
        <v>2263</v>
      </c>
      <c r="B2264" t="s">
        <v>684</v>
      </c>
      <c r="C2264" t="s">
        <v>1136</v>
      </c>
      <c r="D2264" t="s">
        <v>1145</v>
      </c>
      <c r="G2264" t="s">
        <v>1156</v>
      </c>
      <c r="H2264" t="s">
        <v>1156</v>
      </c>
      <c r="I2264" t="s">
        <v>1156</v>
      </c>
      <c r="J2264" t="s">
        <v>1231</v>
      </c>
      <c r="K2264" t="s">
        <v>1212</v>
      </c>
      <c r="M2264" s="3">
        <f t="shared" si="140"/>
        <v>73.857142857142861</v>
      </c>
      <c r="N2264">
        <v>74</v>
      </c>
      <c r="O2264">
        <v>74</v>
      </c>
      <c r="P2264">
        <v>80</v>
      </c>
      <c r="Q2264">
        <v>75</v>
      </c>
      <c r="R2264">
        <v>74</v>
      </c>
      <c r="S2264">
        <v>80</v>
      </c>
      <c r="T2264">
        <v>60</v>
      </c>
      <c r="U2264">
        <v>2</v>
      </c>
      <c r="V2264" s="3">
        <f t="shared" si="141"/>
        <v>7244632</v>
      </c>
      <c r="W2264">
        <v>603719.33333333337</v>
      </c>
      <c r="X2264">
        <v>0</v>
      </c>
      <c r="Y2264">
        <f t="shared" si="142"/>
        <v>603719.33333333337</v>
      </c>
      <c r="Z2264">
        <f t="shared" si="143"/>
        <v>0</v>
      </c>
      <c r="AA2264">
        <v>0</v>
      </c>
    </row>
    <row r="2265" spans="1:27" x14ac:dyDescent="0.25">
      <c r="A2265" s="1">
        <v>2264</v>
      </c>
      <c r="B2265" t="s">
        <v>686</v>
      </c>
      <c r="C2265" t="s">
        <v>1136</v>
      </c>
      <c r="D2265" t="s">
        <v>1143</v>
      </c>
      <c r="E2265" t="s">
        <v>1144</v>
      </c>
      <c r="F2265" t="s">
        <v>1146</v>
      </c>
      <c r="G2265" t="s">
        <v>1156</v>
      </c>
      <c r="H2265" t="s">
        <v>1156</v>
      </c>
      <c r="I2265" t="s">
        <v>1156</v>
      </c>
      <c r="J2265" t="s">
        <v>1231</v>
      </c>
      <c r="K2265" t="s">
        <v>1212</v>
      </c>
      <c r="M2265" s="3">
        <f t="shared" si="140"/>
        <v>79</v>
      </c>
      <c r="N2265">
        <v>77</v>
      </c>
      <c r="O2265">
        <v>80</v>
      </c>
      <c r="P2265">
        <v>84</v>
      </c>
      <c r="Q2265">
        <v>80</v>
      </c>
      <c r="R2265">
        <v>78</v>
      </c>
      <c r="S2265">
        <v>90</v>
      </c>
      <c r="T2265">
        <v>64</v>
      </c>
      <c r="U2265">
        <v>2</v>
      </c>
      <c r="V2265" s="3">
        <f t="shared" si="141"/>
        <v>14202415</v>
      </c>
      <c r="W2265">
        <v>1183534.5833333333</v>
      </c>
      <c r="X2265">
        <v>0</v>
      </c>
      <c r="Y2265">
        <f t="shared" si="142"/>
        <v>1183534.5833333333</v>
      </c>
      <c r="Z2265">
        <f t="shared" si="143"/>
        <v>0</v>
      </c>
      <c r="AA2265">
        <v>0</v>
      </c>
    </row>
    <row r="2266" spans="1:27" x14ac:dyDescent="0.25">
      <c r="A2266" s="1">
        <v>2265</v>
      </c>
      <c r="B2266" t="s">
        <v>1836</v>
      </c>
      <c r="C2266" t="s">
        <v>1136</v>
      </c>
      <c r="D2266" t="s">
        <v>1144</v>
      </c>
      <c r="E2266" t="s">
        <v>1143</v>
      </c>
      <c r="G2266" t="s">
        <v>1156</v>
      </c>
      <c r="H2266" t="s">
        <v>1156</v>
      </c>
      <c r="I2266" t="s">
        <v>1156</v>
      </c>
      <c r="J2266" t="s">
        <v>1231</v>
      </c>
      <c r="K2266" t="s">
        <v>1212</v>
      </c>
      <c r="M2266" s="3">
        <f t="shared" si="140"/>
        <v>77.285714285714292</v>
      </c>
      <c r="N2266">
        <v>50</v>
      </c>
      <c r="O2266">
        <v>80</v>
      </c>
      <c r="P2266">
        <v>88</v>
      </c>
      <c r="Q2266">
        <v>82</v>
      </c>
      <c r="R2266">
        <v>86</v>
      </c>
      <c r="S2266">
        <v>90</v>
      </c>
      <c r="T2266">
        <v>65</v>
      </c>
      <c r="U2266">
        <v>2</v>
      </c>
      <c r="V2266" s="3">
        <f t="shared" si="141"/>
        <v>11404691</v>
      </c>
      <c r="W2266">
        <v>950390.91666666663</v>
      </c>
      <c r="X2266">
        <v>0</v>
      </c>
      <c r="Y2266">
        <f t="shared" si="142"/>
        <v>950390.91666666663</v>
      </c>
      <c r="Z2266">
        <f t="shared" si="143"/>
        <v>0</v>
      </c>
      <c r="AA2266">
        <v>0</v>
      </c>
    </row>
    <row r="2267" spans="1:27" x14ac:dyDescent="0.25">
      <c r="A2267" s="1">
        <v>2266</v>
      </c>
      <c r="B2267" t="s">
        <v>1839</v>
      </c>
      <c r="C2267" t="s">
        <v>1136</v>
      </c>
      <c r="D2267" t="s">
        <v>1146</v>
      </c>
      <c r="E2267" t="s">
        <v>1144</v>
      </c>
      <c r="H2267" t="s">
        <v>1156</v>
      </c>
      <c r="I2267" t="s">
        <v>1156</v>
      </c>
      <c r="J2267" t="s">
        <v>1231</v>
      </c>
      <c r="K2267" t="s">
        <v>1212</v>
      </c>
      <c r="M2267" s="3">
        <f t="shared" si="140"/>
        <v>61.571428571428569</v>
      </c>
      <c r="N2267">
        <v>21</v>
      </c>
      <c r="O2267">
        <v>72</v>
      </c>
      <c r="P2267">
        <v>68</v>
      </c>
      <c r="Q2267">
        <v>80</v>
      </c>
      <c r="R2267">
        <v>76</v>
      </c>
      <c r="S2267">
        <v>78</v>
      </c>
      <c r="T2267">
        <v>36</v>
      </c>
      <c r="U2267">
        <v>2</v>
      </c>
      <c r="V2267" s="3">
        <f t="shared" si="141"/>
        <v>1174583</v>
      </c>
      <c r="W2267">
        <v>97881.916666666672</v>
      </c>
      <c r="X2267">
        <v>0</v>
      </c>
      <c r="Y2267">
        <f t="shared" si="142"/>
        <v>97881.916666666672</v>
      </c>
      <c r="Z2267">
        <f t="shared" si="143"/>
        <v>0</v>
      </c>
      <c r="AA2267">
        <v>0</v>
      </c>
    </row>
    <row r="2268" spans="1:27" x14ac:dyDescent="0.25">
      <c r="A2268" s="1">
        <v>2267</v>
      </c>
      <c r="B2268" t="s">
        <v>1841</v>
      </c>
      <c r="C2268" t="s">
        <v>1136</v>
      </c>
      <c r="D2268" t="s">
        <v>1147</v>
      </c>
      <c r="E2268" t="s">
        <v>1145</v>
      </c>
      <c r="H2268" t="s">
        <v>1156</v>
      </c>
      <c r="I2268" t="s">
        <v>1156</v>
      </c>
      <c r="J2268" t="s">
        <v>1231</v>
      </c>
      <c r="K2268" t="s">
        <v>1212</v>
      </c>
      <c r="M2268" s="3">
        <f t="shared" si="140"/>
        <v>59.428571428571431</v>
      </c>
      <c r="N2268">
        <v>19</v>
      </c>
      <c r="O2268">
        <v>70</v>
      </c>
      <c r="P2268">
        <v>68</v>
      </c>
      <c r="Q2268">
        <v>76</v>
      </c>
      <c r="R2268">
        <v>74</v>
      </c>
      <c r="S2268">
        <v>76</v>
      </c>
      <c r="T2268">
        <v>33</v>
      </c>
      <c r="U2268">
        <v>2</v>
      </c>
      <c r="V2268" s="3">
        <f t="shared" si="141"/>
        <v>824222</v>
      </c>
      <c r="W2268">
        <v>68685.166666666672</v>
      </c>
      <c r="X2268">
        <v>0</v>
      </c>
      <c r="Y2268">
        <f t="shared" si="142"/>
        <v>68685.166666666672</v>
      </c>
      <c r="Z2268">
        <f t="shared" si="143"/>
        <v>0</v>
      </c>
      <c r="AA2268">
        <v>0</v>
      </c>
    </row>
    <row r="2269" spans="1:27" x14ac:dyDescent="0.25">
      <c r="A2269" s="1">
        <v>2268</v>
      </c>
      <c r="B2269" t="s">
        <v>685</v>
      </c>
      <c r="C2269" t="s">
        <v>1136</v>
      </c>
      <c r="D2269" t="s">
        <v>1143</v>
      </c>
      <c r="G2269" t="s">
        <v>1156</v>
      </c>
      <c r="H2269" t="s">
        <v>1156</v>
      </c>
      <c r="I2269" t="s">
        <v>1156</v>
      </c>
      <c r="J2269" t="s">
        <v>1231</v>
      </c>
      <c r="K2269" t="s">
        <v>1212</v>
      </c>
      <c r="M2269" s="3">
        <f t="shared" si="140"/>
        <v>76.285714285714292</v>
      </c>
      <c r="N2269">
        <v>78</v>
      </c>
      <c r="O2269">
        <v>71</v>
      </c>
      <c r="P2269">
        <v>81</v>
      </c>
      <c r="Q2269">
        <v>78</v>
      </c>
      <c r="R2269">
        <v>77</v>
      </c>
      <c r="S2269">
        <v>86</v>
      </c>
      <c r="T2269">
        <v>63</v>
      </c>
      <c r="U2269">
        <v>2</v>
      </c>
      <c r="V2269" s="3">
        <f t="shared" si="141"/>
        <v>10012060</v>
      </c>
      <c r="W2269">
        <v>834338.33333333337</v>
      </c>
      <c r="X2269">
        <v>0</v>
      </c>
      <c r="Y2269">
        <f t="shared" si="142"/>
        <v>834338.33333333337</v>
      </c>
      <c r="Z2269">
        <f t="shared" si="143"/>
        <v>0</v>
      </c>
      <c r="AA2269">
        <v>0</v>
      </c>
    </row>
    <row r="2270" spans="1:27" x14ac:dyDescent="0.25">
      <c r="A2270" s="1">
        <v>2269</v>
      </c>
      <c r="B2270" t="s">
        <v>1837</v>
      </c>
      <c r="C2270" t="s">
        <v>1136</v>
      </c>
      <c r="D2270" t="s">
        <v>1143</v>
      </c>
      <c r="E2270" t="s">
        <v>1144</v>
      </c>
      <c r="G2270" t="s">
        <v>1156</v>
      </c>
      <c r="H2270" t="s">
        <v>1156</v>
      </c>
      <c r="I2270" t="s">
        <v>1156</v>
      </c>
      <c r="J2270" t="s">
        <v>1231</v>
      </c>
      <c r="K2270" t="s">
        <v>1212</v>
      </c>
      <c r="M2270" s="3">
        <f t="shared" si="140"/>
        <v>65.571428571428569</v>
      </c>
      <c r="N2270">
        <v>24</v>
      </c>
      <c r="O2270">
        <v>78</v>
      </c>
      <c r="P2270">
        <v>74</v>
      </c>
      <c r="Q2270">
        <v>84</v>
      </c>
      <c r="R2270">
        <v>78</v>
      </c>
      <c r="S2270">
        <v>80</v>
      </c>
      <c r="T2270">
        <v>41</v>
      </c>
      <c r="U2270">
        <v>2</v>
      </c>
      <c r="V2270" s="3">
        <f t="shared" si="141"/>
        <v>2204133</v>
      </c>
      <c r="W2270">
        <v>183677.75</v>
      </c>
      <c r="X2270">
        <v>0</v>
      </c>
      <c r="Y2270">
        <f t="shared" si="142"/>
        <v>183677.75</v>
      </c>
      <c r="Z2270">
        <f t="shared" si="143"/>
        <v>0</v>
      </c>
      <c r="AA2270">
        <v>0</v>
      </c>
    </row>
    <row r="2271" spans="1:27" x14ac:dyDescent="0.25">
      <c r="A2271" s="1">
        <v>2270</v>
      </c>
      <c r="B2271" t="s">
        <v>1840</v>
      </c>
      <c r="C2271" t="s">
        <v>1136</v>
      </c>
      <c r="D2271" t="s">
        <v>1147</v>
      </c>
      <c r="E2271" t="s">
        <v>1146</v>
      </c>
      <c r="H2271" t="s">
        <v>1156</v>
      </c>
      <c r="I2271" t="s">
        <v>1156</v>
      </c>
      <c r="J2271" t="s">
        <v>1231</v>
      </c>
      <c r="K2271" t="s">
        <v>1212</v>
      </c>
      <c r="M2271" s="3">
        <f t="shared" si="140"/>
        <v>57.142857142857146</v>
      </c>
      <c r="N2271">
        <v>18</v>
      </c>
      <c r="O2271">
        <v>64</v>
      </c>
      <c r="P2271">
        <v>66</v>
      </c>
      <c r="Q2271">
        <v>74</v>
      </c>
      <c r="R2271">
        <v>72</v>
      </c>
      <c r="S2271">
        <v>75</v>
      </c>
      <c r="T2271">
        <v>31</v>
      </c>
      <c r="U2271">
        <v>2</v>
      </c>
      <c r="V2271" s="3">
        <f t="shared" si="141"/>
        <v>556815</v>
      </c>
      <c r="W2271">
        <v>46401.25</v>
      </c>
      <c r="X2271">
        <v>0</v>
      </c>
      <c r="Y2271">
        <f t="shared" si="142"/>
        <v>46401.25</v>
      </c>
      <c r="Z2271">
        <f t="shared" si="143"/>
        <v>0</v>
      </c>
      <c r="AA2271">
        <v>0</v>
      </c>
    </row>
    <row r="2272" spans="1:27" x14ac:dyDescent="0.25">
      <c r="A2272" s="1">
        <v>2271</v>
      </c>
      <c r="B2272" t="s">
        <v>687</v>
      </c>
      <c r="C2272" t="s">
        <v>1136</v>
      </c>
      <c r="D2272" t="s">
        <v>1144</v>
      </c>
      <c r="E2272" t="s">
        <v>1138</v>
      </c>
      <c r="G2272" t="s">
        <v>1156</v>
      </c>
      <c r="H2272" t="s">
        <v>1156</v>
      </c>
      <c r="I2272" t="s">
        <v>1156</v>
      </c>
      <c r="J2272" t="s">
        <v>1231</v>
      </c>
      <c r="K2272" t="s">
        <v>1212</v>
      </c>
      <c r="M2272" s="3">
        <f t="shared" si="140"/>
        <v>73.571428571428569</v>
      </c>
      <c r="N2272">
        <v>70</v>
      </c>
      <c r="O2272">
        <v>78</v>
      </c>
      <c r="P2272">
        <v>80</v>
      </c>
      <c r="Q2272">
        <v>74</v>
      </c>
      <c r="R2272">
        <v>73</v>
      </c>
      <c r="S2272">
        <v>82</v>
      </c>
      <c r="T2272">
        <v>58</v>
      </c>
      <c r="U2272">
        <v>2</v>
      </c>
      <c r="V2272" s="3">
        <f t="shared" si="141"/>
        <v>6969204</v>
      </c>
      <c r="W2272">
        <v>580767</v>
      </c>
      <c r="X2272">
        <v>0</v>
      </c>
      <c r="Y2272">
        <f t="shared" si="142"/>
        <v>580767</v>
      </c>
      <c r="Z2272">
        <f t="shared" si="143"/>
        <v>0</v>
      </c>
      <c r="AA2272">
        <v>0</v>
      </c>
    </row>
    <row r="2273" spans="1:27" x14ac:dyDescent="0.25">
      <c r="A2273" s="1">
        <v>2272</v>
      </c>
      <c r="B2273" t="s">
        <v>1119</v>
      </c>
      <c r="C2273" t="s">
        <v>1137</v>
      </c>
      <c r="D2273" t="s">
        <v>1137</v>
      </c>
      <c r="H2273" t="s">
        <v>1156</v>
      </c>
      <c r="I2273" t="s">
        <v>1156</v>
      </c>
      <c r="J2273" t="s">
        <v>1231</v>
      </c>
      <c r="K2273" t="s">
        <v>1212</v>
      </c>
      <c r="M2273" s="3">
        <f t="shared" si="140"/>
        <v>72.571428571428569</v>
      </c>
      <c r="N2273">
        <v>50</v>
      </c>
      <c r="O2273">
        <v>83</v>
      </c>
      <c r="P2273">
        <v>70</v>
      </c>
      <c r="Q2273">
        <v>82</v>
      </c>
      <c r="R2273">
        <v>78</v>
      </c>
      <c r="S2273">
        <v>78</v>
      </c>
      <c r="T2273">
        <v>67</v>
      </c>
      <c r="U2273">
        <v>0</v>
      </c>
      <c r="V2273" s="3">
        <f t="shared" si="141"/>
        <v>4051882</v>
      </c>
      <c r="W2273">
        <v>337656.83333333331</v>
      </c>
      <c r="X2273">
        <v>0</v>
      </c>
      <c r="Y2273">
        <f t="shared" si="142"/>
        <v>337656.83333333331</v>
      </c>
      <c r="Z2273">
        <f t="shared" si="143"/>
        <v>0</v>
      </c>
      <c r="AA2273">
        <v>0</v>
      </c>
    </row>
    <row r="2274" spans="1:27" x14ac:dyDescent="0.25">
      <c r="A2274" s="1">
        <v>2273</v>
      </c>
      <c r="B2274" t="s">
        <v>58</v>
      </c>
      <c r="C2274" t="s">
        <v>1133</v>
      </c>
      <c r="D2274" t="s">
        <v>1133</v>
      </c>
      <c r="G2274" t="s">
        <v>1173</v>
      </c>
      <c r="H2274" t="s">
        <v>1173</v>
      </c>
      <c r="I2274" t="s">
        <v>1173</v>
      </c>
      <c r="J2274" t="s">
        <v>1247</v>
      </c>
      <c r="K2274" t="s">
        <v>1212</v>
      </c>
      <c r="M2274" s="3">
        <f t="shared" si="140"/>
        <v>76.428571428571431</v>
      </c>
      <c r="N2274">
        <v>49</v>
      </c>
      <c r="O2274">
        <v>82</v>
      </c>
      <c r="P2274">
        <v>85</v>
      </c>
      <c r="Q2274">
        <v>71</v>
      </c>
      <c r="R2274">
        <v>91</v>
      </c>
      <c r="S2274">
        <v>80</v>
      </c>
      <c r="T2274">
        <v>77</v>
      </c>
      <c r="U2274">
        <v>31</v>
      </c>
      <c r="V2274" s="3">
        <f t="shared" si="141"/>
        <v>10201140</v>
      </c>
      <c r="W2274">
        <v>850095</v>
      </c>
      <c r="X2274">
        <v>0</v>
      </c>
      <c r="Y2274">
        <f t="shared" si="142"/>
        <v>850095</v>
      </c>
      <c r="Z2274">
        <f t="shared" si="143"/>
        <v>0</v>
      </c>
      <c r="AA2274">
        <v>0</v>
      </c>
    </row>
    <row r="2275" spans="1:27" x14ac:dyDescent="0.25">
      <c r="A2275" s="1">
        <v>2274</v>
      </c>
      <c r="B2275" t="s">
        <v>1463</v>
      </c>
      <c r="C2275" t="s">
        <v>1133</v>
      </c>
      <c r="D2275" t="s">
        <v>1133</v>
      </c>
      <c r="G2275" t="s">
        <v>1192</v>
      </c>
      <c r="H2275" t="s">
        <v>1192</v>
      </c>
      <c r="I2275" t="s">
        <v>1192</v>
      </c>
      <c r="J2275" t="s">
        <v>1247</v>
      </c>
      <c r="K2275" t="s">
        <v>1212</v>
      </c>
      <c r="M2275" s="3">
        <f t="shared" si="140"/>
        <v>75.142857142857139</v>
      </c>
      <c r="N2275">
        <v>68</v>
      </c>
      <c r="O2275">
        <v>73</v>
      </c>
      <c r="P2275">
        <v>74</v>
      </c>
      <c r="Q2275">
        <v>78</v>
      </c>
      <c r="R2275">
        <v>83</v>
      </c>
      <c r="S2275">
        <v>79</v>
      </c>
      <c r="T2275">
        <v>71</v>
      </c>
      <c r="U2275">
        <v>0</v>
      </c>
      <c r="V2275" s="3">
        <f t="shared" si="141"/>
        <v>5739540</v>
      </c>
      <c r="W2275">
        <v>478295</v>
      </c>
      <c r="X2275">
        <v>0</v>
      </c>
      <c r="Y2275">
        <f t="shared" si="142"/>
        <v>478295</v>
      </c>
      <c r="Z2275">
        <f t="shared" si="143"/>
        <v>0</v>
      </c>
      <c r="AA2275">
        <v>0</v>
      </c>
    </row>
    <row r="2276" spans="1:27" x14ac:dyDescent="0.25">
      <c r="A2276" s="1">
        <v>2275</v>
      </c>
      <c r="B2276" t="s">
        <v>1465</v>
      </c>
      <c r="C2276" t="s">
        <v>1134</v>
      </c>
      <c r="D2276" t="s">
        <v>1139</v>
      </c>
      <c r="E2276" t="s">
        <v>1138</v>
      </c>
      <c r="G2276" t="s">
        <v>1192</v>
      </c>
      <c r="H2276" t="s">
        <v>1192</v>
      </c>
      <c r="I2276" t="s">
        <v>1192</v>
      </c>
      <c r="J2276" t="s">
        <v>1247</v>
      </c>
      <c r="K2276" t="s">
        <v>1212</v>
      </c>
      <c r="M2276" s="3">
        <f t="shared" si="140"/>
        <v>76.285714285714292</v>
      </c>
      <c r="N2276">
        <v>69</v>
      </c>
      <c r="O2276">
        <v>78</v>
      </c>
      <c r="P2276">
        <v>79</v>
      </c>
      <c r="Q2276">
        <v>81</v>
      </c>
      <c r="R2276">
        <v>76</v>
      </c>
      <c r="S2276">
        <v>82</v>
      </c>
      <c r="T2276">
        <v>69</v>
      </c>
      <c r="U2276">
        <v>0</v>
      </c>
      <c r="V2276" s="3">
        <f t="shared" si="141"/>
        <v>6674707</v>
      </c>
      <c r="W2276">
        <v>556225.58333333337</v>
      </c>
      <c r="X2276">
        <v>0</v>
      </c>
      <c r="Y2276">
        <f t="shared" si="142"/>
        <v>556225.58333333337</v>
      </c>
      <c r="Z2276">
        <f t="shared" si="143"/>
        <v>0</v>
      </c>
      <c r="AA2276">
        <v>0</v>
      </c>
    </row>
    <row r="2277" spans="1:27" x14ac:dyDescent="0.25">
      <c r="A2277" s="1">
        <v>2276</v>
      </c>
      <c r="B2277" t="s">
        <v>340</v>
      </c>
      <c r="C2277" t="s">
        <v>1134</v>
      </c>
      <c r="D2277" t="s">
        <v>1140</v>
      </c>
      <c r="E2277" t="s">
        <v>1139</v>
      </c>
      <c r="F2277" t="s">
        <v>1138</v>
      </c>
      <c r="G2277" t="s">
        <v>1192</v>
      </c>
      <c r="H2277" t="s">
        <v>1192</v>
      </c>
      <c r="I2277" t="s">
        <v>1192</v>
      </c>
      <c r="J2277" t="s">
        <v>1247</v>
      </c>
      <c r="K2277" t="s">
        <v>1212</v>
      </c>
      <c r="M2277" s="3">
        <f t="shared" si="140"/>
        <v>85.571428571428569</v>
      </c>
      <c r="N2277">
        <v>88</v>
      </c>
      <c r="O2277">
        <v>88</v>
      </c>
      <c r="P2277">
        <v>88</v>
      </c>
      <c r="Q2277">
        <v>82</v>
      </c>
      <c r="R2277">
        <v>86</v>
      </c>
      <c r="S2277">
        <v>87</v>
      </c>
      <c r="T2277">
        <v>80</v>
      </c>
      <c r="U2277">
        <v>28</v>
      </c>
      <c r="V2277" s="3">
        <f t="shared" si="141"/>
        <v>31577598</v>
      </c>
      <c r="W2277">
        <v>2631466.5</v>
      </c>
      <c r="X2277">
        <v>0</v>
      </c>
      <c r="Y2277">
        <f t="shared" si="142"/>
        <v>2631466.5</v>
      </c>
      <c r="Z2277">
        <f t="shared" si="143"/>
        <v>0</v>
      </c>
      <c r="AA2277">
        <v>0</v>
      </c>
    </row>
    <row r="2278" spans="1:27" x14ac:dyDescent="0.25">
      <c r="A2278" s="1">
        <v>2277</v>
      </c>
      <c r="B2278" t="s">
        <v>149</v>
      </c>
      <c r="C2278" t="s">
        <v>1134</v>
      </c>
      <c r="D2278" t="s">
        <v>1138</v>
      </c>
      <c r="E2278" t="s">
        <v>1140</v>
      </c>
      <c r="G2278" t="s">
        <v>1153</v>
      </c>
      <c r="H2278" t="s">
        <v>1153</v>
      </c>
      <c r="I2278" t="s">
        <v>1153</v>
      </c>
      <c r="J2278" t="s">
        <v>1247</v>
      </c>
      <c r="K2278" t="s">
        <v>1212</v>
      </c>
      <c r="M2278" s="3">
        <f t="shared" si="140"/>
        <v>91</v>
      </c>
      <c r="N2278">
        <v>85</v>
      </c>
      <c r="O2278">
        <v>86</v>
      </c>
      <c r="P2278">
        <v>95</v>
      </c>
      <c r="Q2278">
        <v>92</v>
      </c>
      <c r="R2278">
        <v>94</v>
      </c>
      <c r="S2278">
        <v>95</v>
      </c>
      <c r="T2278">
        <v>90</v>
      </c>
      <c r="U2278">
        <v>26</v>
      </c>
      <c r="V2278" s="3">
        <f t="shared" si="141"/>
        <v>58412418</v>
      </c>
      <c r="W2278">
        <v>4867701.5</v>
      </c>
      <c r="X2278">
        <v>0</v>
      </c>
      <c r="Y2278">
        <f t="shared" si="142"/>
        <v>4867701.5</v>
      </c>
      <c r="Z2278">
        <f t="shared" si="143"/>
        <v>0</v>
      </c>
      <c r="AA2278">
        <v>0</v>
      </c>
    </row>
    <row r="2279" spans="1:27" x14ac:dyDescent="0.25">
      <c r="A2279" s="1">
        <v>2278</v>
      </c>
      <c r="B2279" t="s">
        <v>429</v>
      </c>
      <c r="C2279" t="s">
        <v>1134</v>
      </c>
      <c r="D2279" t="s">
        <v>1138</v>
      </c>
      <c r="E2279" t="s">
        <v>1140</v>
      </c>
      <c r="H2279" t="s">
        <v>1192</v>
      </c>
      <c r="I2279" t="s">
        <v>1192</v>
      </c>
      <c r="J2279" t="s">
        <v>1247</v>
      </c>
      <c r="K2279" t="s">
        <v>1212</v>
      </c>
      <c r="M2279" s="3">
        <f t="shared" si="140"/>
        <v>77.714285714285708</v>
      </c>
      <c r="N2279">
        <v>70</v>
      </c>
      <c r="O2279">
        <v>75</v>
      </c>
      <c r="P2279">
        <v>80</v>
      </c>
      <c r="Q2279">
        <v>81</v>
      </c>
      <c r="R2279">
        <v>80</v>
      </c>
      <c r="S2279">
        <v>88</v>
      </c>
      <c r="T2279">
        <v>70</v>
      </c>
      <c r="U2279">
        <v>0</v>
      </c>
      <c r="V2279" s="3">
        <f t="shared" si="141"/>
        <v>8035421</v>
      </c>
      <c r="W2279">
        <v>669618.41666666663</v>
      </c>
      <c r="X2279">
        <v>0</v>
      </c>
      <c r="Y2279">
        <f t="shared" si="142"/>
        <v>669618.41666666663</v>
      </c>
      <c r="Z2279">
        <f t="shared" si="143"/>
        <v>0</v>
      </c>
      <c r="AA2279">
        <v>0</v>
      </c>
    </row>
    <row r="2280" spans="1:27" x14ac:dyDescent="0.25">
      <c r="A2280" s="1">
        <v>2279</v>
      </c>
      <c r="B2280" t="s">
        <v>341</v>
      </c>
      <c r="C2280" t="s">
        <v>1134</v>
      </c>
      <c r="D2280" t="s">
        <v>1138</v>
      </c>
      <c r="E2280" t="s">
        <v>1140</v>
      </c>
      <c r="G2280" t="s">
        <v>1192</v>
      </c>
      <c r="H2280" t="s">
        <v>1192</v>
      </c>
      <c r="I2280" t="s">
        <v>1192</v>
      </c>
      <c r="J2280" t="s">
        <v>1247</v>
      </c>
      <c r="K2280" t="s">
        <v>1212</v>
      </c>
      <c r="M2280" s="3">
        <f t="shared" si="140"/>
        <v>94.285714285714292</v>
      </c>
      <c r="N2280">
        <v>94</v>
      </c>
      <c r="O2280">
        <v>89</v>
      </c>
      <c r="P2280">
        <v>98</v>
      </c>
      <c r="Q2280">
        <v>95</v>
      </c>
      <c r="R2280">
        <v>95</v>
      </c>
      <c r="S2280">
        <v>93</v>
      </c>
      <c r="T2280">
        <v>96</v>
      </c>
      <c r="U2280">
        <v>1</v>
      </c>
      <c r="V2280" s="3">
        <f t="shared" si="141"/>
        <v>83281822</v>
      </c>
      <c r="W2280">
        <v>6940151.833333333</v>
      </c>
      <c r="X2280">
        <v>0</v>
      </c>
      <c r="Y2280">
        <f t="shared" si="142"/>
        <v>6940151.833333333</v>
      </c>
      <c r="Z2280">
        <f t="shared" si="143"/>
        <v>0</v>
      </c>
      <c r="AA2280">
        <v>0</v>
      </c>
    </row>
    <row r="2281" spans="1:27" x14ac:dyDescent="0.25">
      <c r="A2281" s="1">
        <v>2280</v>
      </c>
      <c r="B2281" t="s">
        <v>339</v>
      </c>
      <c r="C2281" t="s">
        <v>1134</v>
      </c>
      <c r="D2281" t="s">
        <v>1138</v>
      </c>
      <c r="E2281" t="s">
        <v>1139</v>
      </c>
      <c r="G2281" t="s">
        <v>1192</v>
      </c>
      <c r="H2281" t="s">
        <v>1192</v>
      </c>
      <c r="I2281" t="s">
        <v>1192</v>
      </c>
      <c r="J2281" t="s">
        <v>1247</v>
      </c>
      <c r="K2281" t="s">
        <v>1212</v>
      </c>
      <c r="M2281" s="3">
        <f t="shared" si="140"/>
        <v>83.714285714285708</v>
      </c>
      <c r="N2281">
        <v>83</v>
      </c>
      <c r="O2281">
        <v>80</v>
      </c>
      <c r="P2281">
        <v>87</v>
      </c>
      <c r="Q2281">
        <v>84</v>
      </c>
      <c r="R2281">
        <v>85</v>
      </c>
      <c r="S2281">
        <v>86</v>
      </c>
      <c r="T2281">
        <v>81</v>
      </c>
      <c r="U2281">
        <v>27</v>
      </c>
      <c r="V2281" s="3">
        <f t="shared" si="141"/>
        <v>25356367</v>
      </c>
      <c r="W2281">
        <v>2113030.5833333335</v>
      </c>
      <c r="X2281">
        <v>0</v>
      </c>
      <c r="Y2281">
        <f t="shared" si="142"/>
        <v>2113030.5833333335</v>
      </c>
      <c r="Z2281">
        <f t="shared" si="143"/>
        <v>0</v>
      </c>
      <c r="AA2281">
        <v>0</v>
      </c>
    </row>
    <row r="2282" spans="1:27" x14ac:dyDescent="0.25">
      <c r="A2282" s="1">
        <v>2281</v>
      </c>
      <c r="B2282" t="s">
        <v>2608</v>
      </c>
      <c r="C2282" t="s">
        <v>1134</v>
      </c>
      <c r="D2282" t="s">
        <v>1138</v>
      </c>
      <c r="E2282" t="s">
        <v>1144</v>
      </c>
      <c r="G2282" t="s">
        <v>1192</v>
      </c>
      <c r="H2282" t="s">
        <v>1192</v>
      </c>
      <c r="I2282" t="s">
        <v>1192</v>
      </c>
      <c r="J2282" t="s">
        <v>1247</v>
      </c>
      <c r="K2282" t="s">
        <v>1212</v>
      </c>
      <c r="M2282" s="3">
        <f t="shared" si="140"/>
        <v>76.285714285714292</v>
      </c>
      <c r="N2282">
        <v>70</v>
      </c>
      <c r="O2282">
        <v>74</v>
      </c>
      <c r="P2282">
        <v>80</v>
      </c>
      <c r="Q2282">
        <v>78</v>
      </c>
      <c r="R2282">
        <v>81</v>
      </c>
      <c r="S2282">
        <v>79</v>
      </c>
      <c r="T2282">
        <v>72</v>
      </c>
      <c r="U2282">
        <v>0</v>
      </c>
      <c r="V2282" s="3">
        <f t="shared" si="141"/>
        <v>6674707</v>
      </c>
      <c r="W2282">
        <v>556225.58333333337</v>
      </c>
      <c r="X2282">
        <v>0</v>
      </c>
      <c r="Y2282">
        <f t="shared" si="142"/>
        <v>556225.58333333337</v>
      </c>
      <c r="Z2282">
        <f t="shared" si="143"/>
        <v>0</v>
      </c>
      <c r="AA2282">
        <v>0</v>
      </c>
    </row>
    <row r="2283" spans="1:27" x14ac:dyDescent="0.25">
      <c r="A2283" s="1">
        <v>2282</v>
      </c>
      <c r="B2283" t="s">
        <v>1464</v>
      </c>
      <c r="C2283" t="s">
        <v>1134</v>
      </c>
      <c r="D2283" t="s">
        <v>1140</v>
      </c>
      <c r="E2283" t="s">
        <v>1138</v>
      </c>
      <c r="G2283" t="s">
        <v>1192</v>
      </c>
      <c r="H2283" t="s">
        <v>1192</v>
      </c>
      <c r="I2283" t="s">
        <v>1192</v>
      </c>
      <c r="J2283" t="s">
        <v>1247</v>
      </c>
      <c r="K2283" t="s">
        <v>1212</v>
      </c>
      <c r="M2283" s="3">
        <f t="shared" si="140"/>
        <v>76.857142857142861</v>
      </c>
      <c r="N2283">
        <v>72</v>
      </c>
      <c r="O2283">
        <v>76</v>
      </c>
      <c r="P2283">
        <v>81</v>
      </c>
      <c r="Q2283">
        <v>79</v>
      </c>
      <c r="R2283">
        <v>77</v>
      </c>
      <c r="S2283">
        <v>80</v>
      </c>
      <c r="T2283">
        <v>73</v>
      </c>
      <c r="U2283">
        <v>0</v>
      </c>
      <c r="V2283" s="3">
        <f t="shared" si="141"/>
        <v>7191879</v>
      </c>
      <c r="W2283">
        <v>599323.25</v>
      </c>
      <c r="X2283">
        <v>0</v>
      </c>
      <c r="Y2283">
        <f t="shared" si="142"/>
        <v>599323.25</v>
      </c>
      <c r="Z2283">
        <f t="shared" si="143"/>
        <v>0</v>
      </c>
      <c r="AA2283">
        <v>0</v>
      </c>
    </row>
    <row r="2284" spans="1:27" x14ac:dyDescent="0.25">
      <c r="A2284" s="1">
        <v>2283</v>
      </c>
      <c r="B2284" t="s">
        <v>2545</v>
      </c>
      <c r="C2284" t="s">
        <v>1135</v>
      </c>
      <c r="D2284" t="s">
        <v>1142</v>
      </c>
      <c r="E2284" t="s">
        <v>1146</v>
      </c>
      <c r="G2284" t="s">
        <v>1192</v>
      </c>
      <c r="H2284" t="s">
        <v>1192</v>
      </c>
      <c r="I2284" t="s">
        <v>1192</v>
      </c>
      <c r="J2284" t="s">
        <v>1247</v>
      </c>
      <c r="K2284" t="s">
        <v>1212</v>
      </c>
      <c r="M2284" s="3">
        <f t="shared" si="140"/>
        <v>76.142857142857139</v>
      </c>
      <c r="N2284">
        <v>71</v>
      </c>
      <c r="O2284">
        <v>81</v>
      </c>
      <c r="P2284">
        <v>77</v>
      </c>
      <c r="Q2284">
        <v>80</v>
      </c>
      <c r="R2284">
        <v>78</v>
      </c>
      <c r="S2284">
        <v>77</v>
      </c>
      <c r="T2284">
        <v>69</v>
      </c>
      <c r="U2284">
        <v>0</v>
      </c>
      <c r="V2284" s="3">
        <f t="shared" si="141"/>
        <v>6550761</v>
      </c>
      <c r="W2284">
        <v>545896.75</v>
      </c>
      <c r="X2284">
        <v>0</v>
      </c>
      <c r="Y2284">
        <f t="shared" si="142"/>
        <v>545896.75</v>
      </c>
      <c r="Z2284">
        <f t="shared" si="143"/>
        <v>0</v>
      </c>
      <c r="AA2284">
        <v>0</v>
      </c>
    </row>
    <row r="2285" spans="1:27" x14ac:dyDescent="0.25">
      <c r="A2285" s="1">
        <v>2284</v>
      </c>
      <c r="B2285" t="s">
        <v>572</v>
      </c>
      <c r="C2285" t="s">
        <v>1135</v>
      </c>
      <c r="D2285" t="s">
        <v>1141</v>
      </c>
      <c r="G2285" t="s">
        <v>1192</v>
      </c>
      <c r="H2285" t="s">
        <v>1192</v>
      </c>
      <c r="I2285" t="s">
        <v>1192</v>
      </c>
      <c r="J2285" t="s">
        <v>1247</v>
      </c>
      <c r="K2285" t="s">
        <v>1212</v>
      </c>
      <c r="M2285" s="3">
        <f t="shared" si="140"/>
        <v>80.857142857142861</v>
      </c>
      <c r="N2285">
        <v>75</v>
      </c>
      <c r="O2285">
        <v>85</v>
      </c>
      <c r="P2285">
        <v>86</v>
      </c>
      <c r="Q2285">
        <v>84</v>
      </c>
      <c r="R2285">
        <v>80</v>
      </c>
      <c r="S2285">
        <v>84</v>
      </c>
      <c r="T2285">
        <v>72</v>
      </c>
      <c r="U2285">
        <v>12</v>
      </c>
      <c r="V2285" s="3">
        <f t="shared" si="141"/>
        <v>17917408</v>
      </c>
      <c r="W2285">
        <v>1493117.3333333333</v>
      </c>
      <c r="X2285">
        <v>0</v>
      </c>
      <c r="Y2285">
        <f t="shared" si="142"/>
        <v>1493117.3333333333</v>
      </c>
      <c r="Z2285">
        <f t="shared" si="143"/>
        <v>0</v>
      </c>
      <c r="AA2285">
        <v>0</v>
      </c>
    </row>
    <row r="2286" spans="1:27" x14ac:dyDescent="0.25">
      <c r="A2286" s="1">
        <v>2285</v>
      </c>
      <c r="B2286" t="s">
        <v>574</v>
      </c>
      <c r="C2286" t="s">
        <v>1135</v>
      </c>
      <c r="D2286" t="s">
        <v>1141</v>
      </c>
      <c r="E2286" t="s">
        <v>1142</v>
      </c>
      <c r="G2286" t="s">
        <v>1192</v>
      </c>
      <c r="H2286" t="s">
        <v>1192</v>
      </c>
      <c r="I2286" t="s">
        <v>1192</v>
      </c>
      <c r="J2286" t="s">
        <v>1247</v>
      </c>
      <c r="K2286" t="s">
        <v>1212</v>
      </c>
      <c r="M2286" s="3">
        <f t="shared" si="140"/>
        <v>82.142857142857139</v>
      </c>
      <c r="N2286">
        <v>80</v>
      </c>
      <c r="O2286">
        <v>86</v>
      </c>
      <c r="P2286">
        <v>85</v>
      </c>
      <c r="Q2286">
        <v>82</v>
      </c>
      <c r="R2286">
        <v>82</v>
      </c>
      <c r="S2286">
        <v>85</v>
      </c>
      <c r="T2286">
        <v>75</v>
      </c>
      <c r="U2286">
        <v>16</v>
      </c>
      <c r="V2286" s="3">
        <f t="shared" si="141"/>
        <v>20979219</v>
      </c>
      <c r="W2286">
        <v>1748268.25</v>
      </c>
      <c r="X2286">
        <v>0</v>
      </c>
      <c r="Y2286">
        <f t="shared" si="142"/>
        <v>1748268.25</v>
      </c>
      <c r="Z2286">
        <f t="shared" si="143"/>
        <v>0</v>
      </c>
      <c r="AA2286">
        <v>0</v>
      </c>
    </row>
    <row r="2287" spans="1:27" x14ac:dyDescent="0.25">
      <c r="A2287" s="1">
        <v>2286</v>
      </c>
      <c r="B2287" t="s">
        <v>573</v>
      </c>
      <c r="C2287" t="s">
        <v>1135</v>
      </c>
      <c r="D2287" t="s">
        <v>1142</v>
      </c>
      <c r="G2287" t="s">
        <v>1192</v>
      </c>
      <c r="H2287" t="s">
        <v>1192</v>
      </c>
      <c r="I2287" t="s">
        <v>1192</v>
      </c>
      <c r="J2287" t="s">
        <v>1247</v>
      </c>
      <c r="K2287" t="s">
        <v>1212</v>
      </c>
      <c r="M2287" s="3">
        <f t="shared" si="140"/>
        <v>79</v>
      </c>
      <c r="N2287">
        <v>70</v>
      </c>
      <c r="O2287">
        <v>83</v>
      </c>
      <c r="P2287">
        <v>83</v>
      </c>
      <c r="Q2287">
        <v>85</v>
      </c>
      <c r="R2287">
        <v>78</v>
      </c>
      <c r="S2287">
        <v>81</v>
      </c>
      <c r="T2287">
        <v>73</v>
      </c>
      <c r="U2287">
        <v>0</v>
      </c>
      <c r="V2287" s="3">
        <f t="shared" si="141"/>
        <v>9468277</v>
      </c>
      <c r="W2287">
        <v>789023.08333333337</v>
      </c>
      <c r="X2287">
        <v>0</v>
      </c>
      <c r="Y2287">
        <f t="shared" si="142"/>
        <v>789023.08333333337</v>
      </c>
      <c r="Z2287">
        <f t="shared" si="143"/>
        <v>0</v>
      </c>
      <c r="AA2287">
        <v>0</v>
      </c>
    </row>
    <row r="2288" spans="1:27" x14ac:dyDescent="0.25">
      <c r="A2288" s="1">
        <v>2287</v>
      </c>
      <c r="B2288" t="s">
        <v>571</v>
      </c>
      <c r="C2288" t="s">
        <v>1135</v>
      </c>
      <c r="D2288" t="s">
        <v>1141</v>
      </c>
      <c r="E2288" t="s">
        <v>1145</v>
      </c>
      <c r="G2288" t="s">
        <v>1192</v>
      </c>
      <c r="H2288" t="s">
        <v>1214</v>
      </c>
      <c r="I2288" t="s">
        <v>1214</v>
      </c>
      <c r="J2288" t="s">
        <v>1247</v>
      </c>
      <c r="K2288" t="s">
        <v>1212</v>
      </c>
      <c r="M2288" s="3">
        <f t="shared" si="140"/>
        <v>95.714285714285708</v>
      </c>
      <c r="N2288">
        <v>97</v>
      </c>
      <c r="O2288">
        <v>95</v>
      </c>
      <c r="P2288">
        <v>97</v>
      </c>
      <c r="Q2288">
        <v>93</v>
      </c>
      <c r="R2288">
        <v>97</v>
      </c>
      <c r="S2288">
        <v>95</v>
      </c>
      <c r="T2288">
        <v>96</v>
      </c>
      <c r="U2288">
        <v>7</v>
      </c>
      <c r="V2288" s="3">
        <f t="shared" si="141"/>
        <v>96796329</v>
      </c>
      <c r="W2288">
        <v>8066360.75</v>
      </c>
      <c r="X2288">
        <v>0</v>
      </c>
      <c r="Y2288">
        <f t="shared" si="142"/>
        <v>8066360.75</v>
      </c>
      <c r="Z2288">
        <f t="shared" si="143"/>
        <v>0</v>
      </c>
      <c r="AA2288">
        <v>0</v>
      </c>
    </row>
    <row r="2289" spans="1:27" x14ac:dyDescent="0.25">
      <c r="A2289" s="1">
        <v>2288</v>
      </c>
      <c r="B2289" t="s">
        <v>1471</v>
      </c>
      <c r="C2289" t="s">
        <v>1135</v>
      </c>
      <c r="D2289" t="s">
        <v>1141</v>
      </c>
      <c r="E2289" t="s">
        <v>1142</v>
      </c>
      <c r="G2289" t="s">
        <v>1192</v>
      </c>
      <c r="H2289" t="s">
        <v>1192</v>
      </c>
      <c r="I2289" t="s">
        <v>1192</v>
      </c>
      <c r="J2289" t="s">
        <v>1247</v>
      </c>
      <c r="K2289" t="s">
        <v>1212</v>
      </c>
      <c r="M2289" s="3">
        <f t="shared" si="140"/>
        <v>77.285714285714292</v>
      </c>
      <c r="N2289">
        <v>75</v>
      </c>
      <c r="O2289">
        <v>76</v>
      </c>
      <c r="P2289">
        <v>81</v>
      </c>
      <c r="Q2289">
        <v>79</v>
      </c>
      <c r="R2289">
        <v>83</v>
      </c>
      <c r="S2289">
        <v>76</v>
      </c>
      <c r="T2289">
        <v>71</v>
      </c>
      <c r="U2289">
        <v>0</v>
      </c>
      <c r="V2289" s="3">
        <f t="shared" si="141"/>
        <v>7603128</v>
      </c>
      <c r="W2289">
        <v>633594</v>
      </c>
      <c r="X2289">
        <v>0</v>
      </c>
      <c r="Y2289">
        <f t="shared" si="142"/>
        <v>633594</v>
      </c>
      <c r="Z2289">
        <f t="shared" si="143"/>
        <v>0</v>
      </c>
      <c r="AA2289">
        <v>0</v>
      </c>
    </row>
    <row r="2290" spans="1:27" x14ac:dyDescent="0.25">
      <c r="A2290" s="1">
        <v>2289</v>
      </c>
      <c r="B2290" t="s">
        <v>1469</v>
      </c>
      <c r="C2290" t="s">
        <v>1136</v>
      </c>
      <c r="D2290" t="s">
        <v>1147</v>
      </c>
      <c r="E2290" t="s">
        <v>1145</v>
      </c>
      <c r="G2290" t="s">
        <v>1192</v>
      </c>
      <c r="H2290" t="s">
        <v>1192</v>
      </c>
      <c r="I2290" t="s">
        <v>1192</v>
      </c>
      <c r="J2290" t="s">
        <v>1247</v>
      </c>
      <c r="K2290" t="s">
        <v>1212</v>
      </c>
      <c r="M2290" s="3">
        <f t="shared" si="140"/>
        <v>74.571428571428569</v>
      </c>
      <c r="N2290">
        <v>68</v>
      </c>
      <c r="O2290">
        <v>79</v>
      </c>
      <c r="P2290">
        <v>76</v>
      </c>
      <c r="Q2290">
        <v>80</v>
      </c>
      <c r="R2290">
        <v>74</v>
      </c>
      <c r="S2290">
        <v>78</v>
      </c>
      <c r="T2290">
        <v>67</v>
      </c>
      <c r="U2290">
        <v>0</v>
      </c>
      <c r="V2290" s="3">
        <f t="shared" si="141"/>
        <v>5317710</v>
      </c>
      <c r="W2290">
        <v>443142.5</v>
      </c>
      <c r="X2290">
        <v>0</v>
      </c>
      <c r="Y2290">
        <f t="shared" si="142"/>
        <v>443142.5</v>
      </c>
      <c r="Z2290">
        <f t="shared" si="143"/>
        <v>0</v>
      </c>
      <c r="AA2290">
        <v>0</v>
      </c>
    </row>
    <row r="2291" spans="1:27" x14ac:dyDescent="0.25">
      <c r="A2291" s="1">
        <v>2290</v>
      </c>
      <c r="B2291" t="s">
        <v>899</v>
      </c>
      <c r="C2291" t="s">
        <v>1136</v>
      </c>
      <c r="D2291" t="s">
        <v>1145</v>
      </c>
      <c r="E2291" t="s">
        <v>1146</v>
      </c>
      <c r="F2291" t="s">
        <v>1147</v>
      </c>
      <c r="G2291" t="s">
        <v>1192</v>
      </c>
      <c r="H2291" t="s">
        <v>1192</v>
      </c>
      <c r="I2291" t="s">
        <v>1192</v>
      </c>
      <c r="J2291" t="s">
        <v>1247</v>
      </c>
      <c r="K2291" t="s">
        <v>1212</v>
      </c>
      <c r="M2291" s="3">
        <f t="shared" si="140"/>
        <v>90.142857142857139</v>
      </c>
      <c r="N2291">
        <v>86</v>
      </c>
      <c r="O2291">
        <v>83</v>
      </c>
      <c r="P2291">
        <v>95</v>
      </c>
      <c r="Q2291">
        <v>94</v>
      </c>
      <c r="R2291">
        <v>95</v>
      </c>
      <c r="S2291">
        <v>92</v>
      </c>
      <c r="T2291">
        <v>86</v>
      </c>
      <c r="U2291">
        <v>18</v>
      </c>
      <c r="V2291" s="3">
        <f t="shared" si="141"/>
        <v>53137908</v>
      </c>
      <c r="W2291">
        <v>4428159</v>
      </c>
      <c r="X2291">
        <v>0</v>
      </c>
      <c r="Y2291">
        <f t="shared" si="142"/>
        <v>4428159</v>
      </c>
      <c r="Z2291">
        <f t="shared" si="143"/>
        <v>0</v>
      </c>
      <c r="AA2291">
        <v>0</v>
      </c>
    </row>
    <row r="2292" spans="1:27" x14ac:dyDescent="0.25">
      <c r="A2292" s="1">
        <v>2291</v>
      </c>
      <c r="B2292" t="s">
        <v>1467</v>
      </c>
      <c r="C2292" t="s">
        <v>1136</v>
      </c>
      <c r="D2292" t="s">
        <v>1144</v>
      </c>
      <c r="E2292" t="s">
        <v>1143</v>
      </c>
      <c r="G2292" t="s">
        <v>1192</v>
      </c>
      <c r="H2292" t="s">
        <v>1192</v>
      </c>
      <c r="I2292" t="s">
        <v>1192</v>
      </c>
      <c r="J2292" t="s">
        <v>1247</v>
      </c>
      <c r="K2292" t="s">
        <v>1212</v>
      </c>
      <c r="M2292" s="3">
        <f t="shared" si="140"/>
        <v>79.142857142857139</v>
      </c>
      <c r="N2292">
        <v>74</v>
      </c>
      <c r="O2292">
        <v>80</v>
      </c>
      <c r="P2292">
        <v>84</v>
      </c>
      <c r="Q2292">
        <v>82</v>
      </c>
      <c r="R2292">
        <v>81</v>
      </c>
      <c r="S2292">
        <v>80</v>
      </c>
      <c r="T2292">
        <v>73</v>
      </c>
      <c r="U2292">
        <v>0</v>
      </c>
      <c r="V2292" s="3">
        <f t="shared" si="141"/>
        <v>9640893</v>
      </c>
      <c r="W2292">
        <v>803407.75</v>
      </c>
      <c r="X2292">
        <v>0</v>
      </c>
      <c r="Y2292">
        <f t="shared" si="142"/>
        <v>803407.75</v>
      </c>
      <c r="Z2292">
        <f t="shared" si="143"/>
        <v>0</v>
      </c>
      <c r="AA2292">
        <v>0</v>
      </c>
    </row>
    <row r="2293" spans="1:27" x14ac:dyDescent="0.25">
      <c r="A2293" s="1">
        <v>2292</v>
      </c>
      <c r="B2293" t="s">
        <v>1025</v>
      </c>
      <c r="C2293" t="s">
        <v>1136</v>
      </c>
      <c r="D2293" t="s">
        <v>1146</v>
      </c>
      <c r="E2293" t="s">
        <v>1147</v>
      </c>
      <c r="G2293" t="s">
        <v>1192</v>
      </c>
      <c r="H2293" t="s">
        <v>1192</v>
      </c>
      <c r="I2293" t="s">
        <v>1192</v>
      </c>
      <c r="J2293" t="s">
        <v>1247</v>
      </c>
      <c r="K2293" t="s">
        <v>1212</v>
      </c>
      <c r="M2293" s="3">
        <f t="shared" si="140"/>
        <v>77.428571428571431</v>
      </c>
      <c r="N2293">
        <v>76</v>
      </c>
      <c r="O2293">
        <v>96</v>
      </c>
      <c r="P2293">
        <v>78</v>
      </c>
      <c r="Q2293">
        <v>75</v>
      </c>
      <c r="R2293">
        <v>73</v>
      </c>
      <c r="S2293">
        <v>83</v>
      </c>
      <c r="T2293">
        <v>61</v>
      </c>
      <c r="U2293">
        <v>23</v>
      </c>
      <c r="V2293" s="3">
        <f t="shared" si="141"/>
        <v>11617261</v>
      </c>
      <c r="W2293">
        <v>968105.08333333337</v>
      </c>
      <c r="X2293">
        <v>0</v>
      </c>
      <c r="Y2293">
        <f t="shared" si="142"/>
        <v>968105.08333333337</v>
      </c>
      <c r="Z2293">
        <f t="shared" si="143"/>
        <v>0</v>
      </c>
      <c r="AA2293">
        <v>0</v>
      </c>
    </row>
    <row r="2294" spans="1:27" x14ac:dyDescent="0.25">
      <c r="A2294" s="1">
        <v>2293</v>
      </c>
      <c r="B2294" t="s">
        <v>900</v>
      </c>
      <c r="C2294" t="s">
        <v>1136</v>
      </c>
      <c r="D2294" t="s">
        <v>1147</v>
      </c>
      <c r="E2294" t="s">
        <v>1146</v>
      </c>
      <c r="F2294" t="s">
        <v>1144</v>
      </c>
      <c r="G2294" t="s">
        <v>1192</v>
      </c>
      <c r="H2294" t="s">
        <v>1192</v>
      </c>
      <c r="I2294" t="s">
        <v>1192</v>
      </c>
      <c r="J2294" t="s">
        <v>1247</v>
      </c>
      <c r="K2294" t="s">
        <v>1212</v>
      </c>
      <c r="M2294" s="3">
        <f t="shared" si="140"/>
        <v>82.142857142857139</v>
      </c>
      <c r="N2294">
        <v>85</v>
      </c>
      <c r="O2294">
        <v>91</v>
      </c>
      <c r="P2294">
        <v>83</v>
      </c>
      <c r="Q2294">
        <v>83</v>
      </c>
      <c r="R2294">
        <v>84</v>
      </c>
      <c r="S2294">
        <v>74</v>
      </c>
      <c r="T2294">
        <v>75</v>
      </c>
      <c r="U2294">
        <v>12</v>
      </c>
      <c r="V2294" s="3">
        <f t="shared" si="141"/>
        <v>20979219</v>
      </c>
      <c r="W2294">
        <v>1748268.25</v>
      </c>
      <c r="X2294">
        <v>0</v>
      </c>
      <c r="Y2294">
        <f t="shared" si="142"/>
        <v>1748268.25</v>
      </c>
      <c r="Z2294">
        <f t="shared" si="143"/>
        <v>0</v>
      </c>
      <c r="AA2294">
        <v>0</v>
      </c>
    </row>
    <row r="2295" spans="1:27" x14ac:dyDescent="0.25">
      <c r="A2295" s="1">
        <v>2294</v>
      </c>
      <c r="B2295" t="s">
        <v>902</v>
      </c>
      <c r="C2295" t="s">
        <v>1136</v>
      </c>
      <c r="D2295" t="s">
        <v>1147</v>
      </c>
      <c r="E2295" t="s">
        <v>1145</v>
      </c>
      <c r="G2295" t="s">
        <v>1192</v>
      </c>
      <c r="H2295" t="s">
        <v>1192</v>
      </c>
      <c r="I2295" t="s">
        <v>1192</v>
      </c>
      <c r="J2295" t="s">
        <v>1247</v>
      </c>
      <c r="K2295" t="s">
        <v>1212</v>
      </c>
      <c r="M2295" s="3">
        <f t="shared" si="140"/>
        <v>90.428571428571431</v>
      </c>
      <c r="N2295">
        <v>92</v>
      </c>
      <c r="O2295">
        <v>93</v>
      </c>
      <c r="P2295">
        <v>89</v>
      </c>
      <c r="Q2295">
        <v>90</v>
      </c>
      <c r="R2295">
        <v>90</v>
      </c>
      <c r="S2295">
        <v>87</v>
      </c>
      <c r="T2295">
        <v>92</v>
      </c>
      <c r="U2295">
        <v>22</v>
      </c>
      <c r="V2295" s="3">
        <f t="shared" si="141"/>
        <v>54846379</v>
      </c>
      <c r="W2295">
        <v>4570531.583333333</v>
      </c>
      <c r="X2295">
        <v>0</v>
      </c>
      <c r="Y2295">
        <f t="shared" si="142"/>
        <v>4570531.583333333</v>
      </c>
      <c r="Z2295">
        <f t="shared" si="143"/>
        <v>0</v>
      </c>
      <c r="AA2295">
        <v>0</v>
      </c>
    </row>
    <row r="2296" spans="1:27" x14ac:dyDescent="0.25">
      <c r="A2296" s="1">
        <v>2295</v>
      </c>
      <c r="B2296" t="s">
        <v>901</v>
      </c>
      <c r="C2296" t="s">
        <v>1136</v>
      </c>
      <c r="D2296" t="s">
        <v>1143</v>
      </c>
      <c r="E2296" t="s">
        <v>1144</v>
      </c>
      <c r="F2296" t="s">
        <v>1145</v>
      </c>
      <c r="G2296" t="s">
        <v>1192</v>
      </c>
      <c r="H2296" t="s">
        <v>1192</v>
      </c>
      <c r="I2296" t="s">
        <v>1192</v>
      </c>
      <c r="J2296" t="s">
        <v>1247</v>
      </c>
      <c r="K2296" t="s">
        <v>1212</v>
      </c>
      <c r="M2296" s="3">
        <f t="shared" si="140"/>
        <v>93.285714285714292</v>
      </c>
      <c r="N2296">
        <v>93</v>
      </c>
      <c r="O2296">
        <v>88</v>
      </c>
      <c r="P2296">
        <v>90</v>
      </c>
      <c r="Q2296">
        <v>100</v>
      </c>
      <c r="R2296">
        <v>93</v>
      </c>
      <c r="S2296">
        <v>94</v>
      </c>
      <c r="T2296">
        <v>95</v>
      </c>
      <c r="U2296">
        <v>17</v>
      </c>
      <c r="V2296" s="3">
        <f t="shared" si="141"/>
        <v>74858768</v>
      </c>
      <c r="W2296">
        <v>6238230.666666667</v>
      </c>
      <c r="X2296">
        <v>0</v>
      </c>
      <c r="Y2296">
        <f t="shared" si="142"/>
        <v>6238230.666666667</v>
      </c>
      <c r="Z2296">
        <f t="shared" si="143"/>
        <v>0</v>
      </c>
      <c r="AA2296">
        <v>0</v>
      </c>
    </row>
    <row r="2297" spans="1:27" x14ac:dyDescent="0.25">
      <c r="A2297" s="1">
        <v>2296</v>
      </c>
      <c r="B2297" t="s">
        <v>1470</v>
      </c>
      <c r="C2297" t="s">
        <v>1136</v>
      </c>
      <c r="D2297" t="s">
        <v>1146</v>
      </c>
      <c r="E2297" t="s">
        <v>1143</v>
      </c>
      <c r="G2297" t="s">
        <v>1192</v>
      </c>
      <c r="H2297" t="s">
        <v>1192</v>
      </c>
      <c r="I2297" t="s">
        <v>1192</v>
      </c>
      <c r="J2297" t="s">
        <v>1247</v>
      </c>
      <c r="K2297" t="s">
        <v>1212</v>
      </c>
      <c r="M2297" s="3">
        <f t="shared" si="140"/>
        <v>75.571428571428569</v>
      </c>
      <c r="N2297">
        <v>71</v>
      </c>
      <c r="O2297">
        <v>80</v>
      </c>
      <c r="P2297">
        <v>77</v>
      </c>
      <c r="Q2297">
        <v>79</v>
      </c>
      <c r="R2297">
        <v>75</v>
      </c>
      <c r="S2297">
        <v>79</v>
      </c>
      <c r="T2297">
        <v>68</v>
      </c>
      <c r="U2297">
        <v>0</v>
      </c>
      <c r="V2297" s="3">
        <f t="shared" si="141"/>
        <v>6075421</v>
      </c>
      <c r="W2297">
        <v>506285.08333333331</v>
      </c>
      <c r="X2297">
        <v>0</v>
      </c>
      <c r="Y2297">
        <f t="shared" si="142"/>
        <v>506285.08333333331</v>
      </c>
      <c r="Z2297">
        <f t="shared" si="143"/>
        <v>0</v>
      </c>
      <c r="AA2297">
        <v>0</v>
      </c>
    </row>
    <row r="2298" spans="1:27" x14ac:dyDescent="0.25">
      <c r="A2298" s="1">
        <v>2297</v>
      </c>
      <c r="B2298" t="s">
        <v>1468</v>
      </c>
      <c r="C2298" t="s">
        <v>1136</v>
      </c>
      <c r="D2298" t="s">
        <v>1143</v>
      </c>
      <c r="E2298" t="s">
        <v>1145</v>
      </c>
      <c r="G2298" t="s">
        <v>1192</v>
      </c>
      <c r="H2298" t="s">
        <v>1192</v>
      </c>
      <c r="I2298" t="s">
        <v>1192</v>
      </c>
      <c r="J2298" t="s">
        <v>1247</v>
      </c>
      <c r="K2298" t="s">
        <v>1212</v>
      </c>
      <c r="M2298" s="3">
        <f t="shared" si="140"/>
        <v>76.714285714285708</v>
      </c>
      <c r="N2298">
        <v>73</v>
      </c>
      <c r="O2298">
        <v>82</v>
      </c>
      <c r="P2298">
        <v>78</v>
      </c>
      <c r="Q2298">
        <v>81</v>
      </c>
      <c r="R2298">
        <v>75</v>
      </c>
      <c r="S2298">
        <v>78</v>
      </c>
      <c r="T2298">
        <v>70</v>
      </c>
      <c r="U2298">
        <v>0</v>
      </c>
      <c r="V2298" s="3">
        <f t="shared" si="141"/>
        <v>7059314</v>
      </c>
      <c r="W2298">
        <v>588276.16666666663</v>
      </c>
      <c r="X2298">
        <v>0</v>
      </c>
      <c r="Y2298">
        <f t="shared" si="142"/>
        <v>588276.16666666663</v>
      </c>
      <c r="Z2298">
        <f t="shared" si="143"/>
        <v>0</v>
      </c>
      <c r="AA2298">
        <v>0</v>
      </c>
    </row>
    <row r="2299" spans="1:27" x14ac:dyDescent="0.25">
      <c r="A2299" s="1">
        <v>2298</v>
      </c>
      <c r="B2299" t="s">
        <v>1120</v>
      </c>
      <c r="C2299" t="s">
        <v>1137</v>
      </c>
      <c r="D2299" t="s">
        <v>1137</v>
      </c>
      <c r="H2299" t="s">
        <v>1192</v>
      </c>
      <c r="I2299" t="s">
        <v>1192</v>
      </c>
      <c r="J2299" t="s">
        <v>1247</v>
      </c>
      <c r="K2299" t="s">
        <v>1212</v>
      </c>
      <c r="M2299" s="3">
        <f t="shared" si="140"/>
        <v>86.571428571428569</v>
      </c>
      <c r="N2299">
        <v>80</v>
      </c>
      <c r="O2299">
        <v>86</v>
      </c>
      <c r="P2299">
        <v>88</v>
      </c>
      <c r="Q2299">
        <v>93</v>
      </c>
      <c r="R2299">
        <v>89</v>
      </c>
      <c r="S2299">
        <v>93</v>
      </c>
      <c r="T2299">
        <v>77</v>
      </c>
      <c r="U2299">
        <v>0</v>
      </c>
      <c r="V2299" s="3">
        <f t="shared" si="141"/>
        <v>23645356</v>
      </c>
      <c r="W2299">
        <v>1970446.3333333333</v>
      </c>
      <c r="X2299">
        <v>0</v>
      </c>
      <c r="Y2299">
        <f t="shared" si="142"/>
        <v>1970446.3333333333</v>
      </c>
      <c r="Z2299">
        <f t="shared" si="143"/>
        <v>0</v>
      </c>
      <c r="AA2299">
        <v>0</v>
      </c>
    </row>
    <row r="2300" spans="1:27" x14ac:dyDescent="0.25">
      <c r="A2300" s="1">
        <v>2299</v>
      </c>
      <c r="B2300" t="s">
        <v>39</v>
      </c>
      <c r="C2300" t="s">
        <v>1133</v>
      </c>
      <c r="D2300" t="s">
        <v>1133</v>
      </c>
      <c r="G2300" t="s">
        <v>1160</v>
      </c>
      <c r="H2300" t="s">
        <v>1160</v>
      </c>
      <c r="I2300" t="s">
        <v>1160</v>
      </c>
      <c r="J2300" t="s">
        <v>1235</v>
      </c>
      <c r="K2300" t="s">
        <v>1212</v>
      </c>
      <c r="M2300" s="3">
        <f t="shared" si="140"/>
        <v>68.714285714285708</v>
      </c>
      <c r="N2300">
        <v>33</v>
      </c>
      <c r="O2300">
        <v>70</v>
      </c>
      <c r="P2300">
        <v>71</v>
      </c>
      <c r="Q2300">
        <v>78</v>
      </c>
      <c r="R2300">
        <v>80</v>
      </c>
      <c r="S2300">
        <v>78</v>
      </c>
      <c r="T2300">
        <v>71</v>
      </c>
      <c r="U2300">
        <v>0</v>
      </c>
      <c r="V2300" s="3">
        <f t="shared" si="141"/>
        <v>2346770</v>
      </c>
      <c r="W2300">
        <v>195564.16666666666</v>
      </c>
      <c r="X2300">
        <v>0</v>
      </c>
      <c r="Y2300">
        <f t="shared" si="142"/>
        <v>195564.16666666666</v>
      </c>
      <c r="Z2300">
        <f t="shared" si="143"/>
        <v>0</v>
      </c>
      <c r="AA2300">
        <v>0</v>
      </c>
    </row>
    <row r="2301" spans="1:27" x14ac:dyDescent="0.25">
      <c r="A2301" s="1">
        <v>2300</v>
      </c>
      <c r="B2301" t="s">
        <v>178</v>
      </c>
      <c r="C2301" t="s">
        <v>1134</v>
      </c>
      <c r="D2301" t="s">
        <v>1139</v>
      </c>
      <c r="E2301" t="s">
        <v>1140</v>
      </c>
      <c r="F2301" t="s">
        <v>1138</v>
      </c>
      <c r="G2301" t="s">
        <v>1160</v>
      </c>
      <c r="H2301" t="s">
        <v>1160</v>
      </c>
      <c r="I2301" t="s">
        <v>1160</v>
      </c>
      <c r="J2301" t="s">
        <v>1235</v>
      </c>
      <c r="K2301" t="s">
        <v>1212</v>
      </c>
      <c r="M2301" s="3">
        <f t="shared" si="140"/>
        <v>80.857142857142861</v>
      </c>
      <c r="N2301">
        <v>78</v>
      </c>
      <c r="O2301">
        <v>88</v>
      </c>
      <c r="P2301">
        <v>92</v>
      </c>
      <c r="Q2301">
        <v>80</v>
      </c>
      <c r="R2301">
        <v>77</v>
      </c>
      <c r="S2301">
        <v>80</v>
      </c>
      <c r="T2301">
        <v>71</v>
      </c>
      <c r="U2301">
        <v>26</v>
      </c>
      <c r="V2301" s="3">
        <f t="shared" si="141"/>
        <v>17917408</v>
      </c>
      <c r="W2301">
        <v>1493117.3333333333</v>
      </c>
      <c r="X2301">
        <v>0</v>
      </c>
      <c r="Y2301">
        <f t="shared" si="142"/>
        <v>1493117.3333333333</v>
      </c>
      <c r="Z2301">
        <f t="shared" si="143"/>
        <v>0</v>
      </c>
      <c r="AA2301">
        <v>0</v>
      </c>
    </row>
    <row r="2302" spans="1:27" x14ac:dyDescent="0.25">
      <c r="A2302" s="1">
        <v>2301</v>
      </c>
      <c r="B2302" t="s">
        <v>179</v>
      </c>
      <c r="C2302" t="s">
        <v>1134</v>
      </c>
      <c r="D2302" t="s">
        <v>1138</v>
      </c>
      <c r="E2302" t="s">
        <v>1144</v>
      </c>
      <c r="G2302" t="s">
        <v>1160</v>
      </c>
      <c r="H2302" t="s">
        <v>1160</v>
      </c>
      <c r="I2302" t="s">
        <v>1160</v>
      </c>
      <c r="J2302" t="s">
        <v>1235</v>
      </c>
      <c r="K2302" t="s">
        <v>1212</v>
      </c>
      <c r="M2302" s="3">
        <f t="shared" si="140"/>
        <v>77.285714285714292</v>
      </c>
      <c r="N2302">
        <v>64</v>
      </c>
      <c r="O2302">
        <v>80</v>
      </c>
      <c r="P2302">
        <v>82</v>
      </c>
      <c r="Q2302">
        <v>82</v>
      </c>
      <c r="R2302">
        <v>83</v>
      </c>
      <c r="S2302">
        <v>85</v>
      </c>
      <c r="T2302">
        <v>65</v>
      </c>
      <c r="U2302">
        <v>0</v>
      </c>
      <c r="V2302" s="3">
        <f t="shared" si="141"/>
        <v>7603128</v>
      </c>
      <c r="W2302">
        <v>633594</v>
      </c>
      <c r="X2302">
        <v>0</v>
      </c>
      <c r="Y2302">
        <f t="shared" si="142"/>
        <v>633594</v>
      </c>
      <c r="Z2302">
        <f t="shared" si="143"/>
        <v>0</v>
      </c>
      <c r="AA2302">
        <v>0</v>
      </c>
    </row>
    <row r="2303" spans="1:27" x14ac:dyDescent="0.25">
      <c r="A2303" s="1">
        <v>2302</v>
      </c>
      <c r="B2303" t="s">
        <v>1808</v>
      </c>
      <c r="C2303" t="s">
        <v>1134</v>
      </c>
      <c r="D2303" t="s">
        <v>1138</v>
      </c>
      <c r="E2303" t="s">
        <v>1144</v>
      </c>
      <c r="G2303" t="s">
        <v>1160</v>
      </c>
      <c r="H2303" t="s">
        <v>1160</v>
      </c>
      <c r="I2303" t="s">
        <v>1160</v>
      </c>
      <c r="J2303" t="s">
        <v>1235</v>
      </c>
      <c r="K2303" t="s">
        <v>1212</v>
      </c>
      <c r="M2303" s="3">
        <f t="shared" si="140"/>
        <v>66.285714285714292</v>
      </c>
      <c r="N2303">
        <v>24</v>
      </c>
      <c r="O2303">
        <v>74</v>
      </c>
      <c r="P2303">
        <v>78</v>
      </c>
      <c r="Q2303">
        <v>82</v>
      </c>
      <c r="R2303">
        <v>80</v>
      </c>
      <c r="S2303">
        <v>82</v>
      </c>
      <c r="T2303">
        <v>44</v>
      </c>
      <c r="U2303">
        <v>0</v>
      </c>
      <c r="V2303" s="3">
        <f t="shared" si="141"/>
        <v>1637569</v>
      </c>
      <c r="W2303">
        <v>136464.08333333334</v>
      </c>
      <c r="X2303">
        <v>0</v>
      </c>
      <c r="Y2303">
        <f t="shared" si="142"/>
        <v>136464.08333333334</v>
      </c>
      <c r="Z2303">
        <f t="shared" si="143"/>
        <v>0</v>
      </c>
      <c r="AA2303">
        <v>0</v>
      </c>
    </row>
    <row r="2304" spans="1:27" x14ac:dyDescent="0.25">
      <c r="A2304" s="1">
        <v>2303</v>
      </c>
      <c r="B2304" t="s">
        <v>177</v>
      </c>
      <c r="C2304" t="s">
        <v>1134</v>
      </c>
      <c r="D2304" t="s">
        <v>1138</v>
      </c>
      <c r="E2304" t="s">
        <v>1144</v>
      </c>
      <c r="G2304" t="s">
        <v>1160</v>
      </c>
      <c r="H2304" t="s">
        <v>1160</v>
      </c>
      <c r="I2304" t="s">
        <v>1160</v>
      </c>
      <c r="J2304" t="s">
        <v>1235</v>
      </c>
      <c r="K2304" t="s">
        <v>1212</v>
      </c>
      <c r="M2304" s="3">
        <f t="shared" si="140"/>
        <v>74.714285714285708</v>
      </c>
      <c r="N2304">
        <v>62</v>
      </c>
      <c r="O2304">
        <v>72</v>
      </c>
      <c r="P2304">
        <v>80</v>
      </c>
      <c r="Q2304">
        <v>82</v>
      </c>
      <c r="R2304">
        <v>74</v>
      </c>
      <c r="S2304">
        <v>81</v>
      </c>
      <c r="T2304">
        <v>72</v>
      </c>
      <c r="U2304">
        <v>0</v>
      </c>
      <c r="V2304" s="3">
        <f t="shared" si="141"/>
        <v>5420465</v>
      </c>
      <c r="W2304">
        <v>451705.41666666669</v>
      </c>
      <c r="X2304">
        <v>0</v>
      </c>
      <c r="Y2304">
        <f t="shared" si="142"/>
        <v>451705.41666666669</v>
      </c>
      <c r="Z2304">
        <f t="shared" si="143"/>
        <v>0</v>
      </c>
      <c r="AA2304">
        <v>0</v>
      </c>
    </row>
    <row r="2305" spans="1:27" x14ac:dyDescent="0.25">
      <c r="A2305" s="1">
        <v>2304</v>
      </c>
      <c r="B2305" t="s">
        <v>181</v>
      </c>
      <c r="C2305" t="s">
        <v>1134</v>
      </c>
      <c r="D2305" t="s">
        <v>1138</v>
      </c>
      <c r="G2305" t="s">
        <v>1160</v>
      </c>
      <c r="H2305" t="s">
        <v>1160</v>
      </c>
      <c r="I2305" t="s">
        <v>1160</v>
      </c>
      <c r="J2305" t="s">
        <v>1235</v>
      </c>
      <c r="K2305" t="s">
        <v>1212</v>
      </c>
      <c r="M2305" s="3">
        <f t="shared" si="140"/>
        <v>61.571428571428569</v>
      </c>
      <c r="N2305">
        <v>65</v>
      </c>
      <c r="O2305">
        <v>64</v>
      </c>
      <c r="P2305">
        <v>70</v>
      </c>
      <c r="Q2305">
        <v>60</v>
      </c>
      <c r="R2305">
        <v>47</v>
      </c>
      <c r="S2305">
        <v>85</v>
      </c>
      <c r="T2305">
        <v>40</v>
      </c>
      <c r="U2305">
        <v>0</v>
      </c>
      <c r="V2305" s="3">
        <f t="shared" si="141"/>
        <v>783056</v>
      </c>
      <c r="W2305">
        <v>65254.666666666664</v>
      </c>
      <c r="X2305">
        <v>0</v>
      </c>
      <c r="Y2305">
        <f t="shared" si="142"/>
        <v>65254.666666666664</v>
      </c>
      <c r="Z2305">
        <f t="shared" si="143"/>
        <v>0</v>
      </c>
      <c r="AA2305">
        <v>0</v>
      </c>
    </row>
    <row r="2306" spans="1:27" x14ac:dyDescent="0.25">
      <c r="A2306" s="1">
        <v>2305</v>
      </c>
      <c r="B2306" t="s">
        <v>182</v>
      </c>
      <c r="C2306" t="s">
        <v>1134</v>
      </c>
      <c r="D2306" t="s">
        <v>1138</v>
      </c>
      <c r="G2306" t="s">
        <v>1160</v>
      </c>
      <c r="H2306" t="s">
        <v>1160</v>
      </c>
      <c r="I2306" t="s">
        <v>1160</v>
      </c>
      <c r="J2306" t="s">
        <v>1235</v>
      </c>
      <c r="K2306" t="s">
        <v>1212</v>
      </c>
      <c r="M2306" s="3">
        <f t="shared" ref="M2306:M2369" si="144">AVERAGE(N2306:T2306)</f>
        <v>55.714285714285715</v>
      </c>
      <c r="N2306">
        <v>24</v>
      </c>
      <c r="O2306">
        <v>64</v>
      </c>
      <c r="P2306">
        <v>69</v>
      </c>
      <c r="Q2306">
        <v>70</v>
      </c>
      <c r="R2306">
        <v>30</v>
      </c>
      <c r="S2306">
        <v>90</v>
      </c>
      <c r="T2306">
        <v>43</v>
      </c>
      <c r="U2306">
        <v>0</v>
      </c>
      <c r="V2306" s="3">
        <f t="shared" ref="V2306:V2369" si="145">ROUNDUP(M2306^10/1000000000000 * IF(U2306&gt;0,1.5,1),0)</f>
        <v>288182</v>
      </c>
      <c r="W2306">
        <v>24015.166666666668</v>
      </c>
      <c r="X2306">
        <v>0</v>
      </c>
      <c r="Y2306">
        <f t="shared" ref="Y2306:Y2369" si="146">V2306/12</f>
        <v>24015.166666666668</v>
      </c>
      <c r="Z2306">
        <f t="shared" ref="Z2306:Z2369" si="147">ROUND(((W2306-Y2306)/Y2306)*100,2)</f>
        <v>0</v>
      </c>
      <c r="AA2306">
        <v>0</v>
      </c>
    </row>
    <row r="2307" spans="1:27" x14ac:dyDescent="0.25">
      <c r="A2307" s="1">
        <v>2306</v>
      </c>
      <c r="B2307" t="s">
        <v>180</v>
      </c>
      <c r="C2307" t="s">
        <v>1134</v>
      </c>
      <c r="D2307" t="s">
        <v>1138</v>
      </c>
      <c r="E2307" t="s">
        <v>1139</v>
      </c>
      <c r="G2307" t="s">
        <v>1160</v>
      </c>
      <c r="H2307" t="s">
        <v>1160</v>
      </c>
      <c r="I2307" t="s">
        <v>1160</v>
      </c>
      <c r="J2307" t="s">
        <v>1235</v>
      </c>
      <c r="K2307" t="s">
        <v>1212</v>
      </c>
      <c r="M2307" s="3">
        <f t="shared" si="144"/>
        <v>69.285714285714292</v>
      </c>
      <c r="N2307">
        <v>65</v>
      </c>
      <c r="O2307">
        <v>70</v>
      </c>
      <c r="P2307">
        <v>74</v>
      </c>
      <c r="Q2307">
        <v>73</v>
      </c>
      <c r="R2307">
        <v>61</v>
      </c>
      <c r="S2307">
        <v>87</v>
      </c>
      <c r="T2307">
        <v>55</v>
      </c>
      <c r="U2307">
        <v>0</v>
      </c>
      <c r="V2307" s="3">
        <f t="shared" si="145"/>
        <v>2549395</v>
      </c>
      <c r="W2307">
        <v>212449.58333333334</v>
      </c>
      <c r="X2307">
        <v>0</v>
      </c>
      <c r="Y2307">
        <f t="shared" si="146"/>
        <v>212449.58333333334</v>
      </c>
      <c r="Z2307">
        <f t="shared" si="147"/>
        <v>0</v>
      </c>
      <c r="AA2307">
        <v>0</v>
      </c>
    </row>
    <row r="2308" spans="1:27" x14ac:dyDescent="0.25">
      <c r="A2308" s="1">
        <v>2307</v>
      </c>
      <c r="B2308" t="s">
        <v>1815</v>
      </c>
      <c r="C2308" t="s">
        <v>1135</v>
      </c>
      <c r="D2308" t="s">
        <v>1141</v>
      </c>
      <c r="E2308" t="s">
        <v>1142</v>
      </c>
      <c r="G2308" t="s">
        <v>1160</v>
      </c>
      <c r="H2308" t="s">
        <v>1160</v>
      </c>
      <c r="I2308" t="s">
        <v>1160</v>
      </c>
      <c r="J2308" t="s">
        <v>1235</v>
      </c>
      <c r="K2308" t="s">
        <v>1212</v>
      </c>
      <c r="M2308" s="3">
        <f t="shared" si="144"/>
        <v>70.285714285714292</v>
      </c>
      <c r="N2308">
        <v>25</v>
      </c>
      <c r="O2308">
        <v>86</v>
      </c>
      <c r="P2308">
        <v>82</v>
      </c>
      <c r="Q2308">
        <v>80</v>
      </c>
      <c r="R2308">
        <v>84</v>
      </c>
      <c r="S2308">
        <v>87</v>
      </c>
      <c r="T2308">
        <v>48</v>
      </c>
      <c r="U2308">
        <v>0</v>
      </c>
      <c r="V2308" s="3">
        <f t="shared" si="145"/>
        <v>2942190</v>
      </c>
      <c r="W2308">
        <v>245182.5</v>
      </c>
      <c r="X2308">
        <v>0</v>
      </c>
      <c r="Y2308">
        <f t="shared" si="146"/>
        <v>245182.5</v>
      </c>
      <c r="Z2308">
        <f t="shared" si="147"/>
        <v>0</v>
      </c>
      <c r="AA2308">
        <v>0</v>
      </c>
    </row>
    <row r="2309" spans="1:27" x14ac:dyDescent="0.25">
      <c r="A2309" s="1">
        <v>2308</v>
      </c>
      <c r="B2309" t="s">
        <v>473</v>
      </c>
      <c r="C2309" t="s">
        <v>1135</v>
      </c>
      <c r="D2309" t="s">
        <v>1142</v>
      </c>
      <c r="G2309" t="s">
        <v>1160</v>
      </c>
      <c r="H2309" t="s">
        <v>1160</v>
      </c>
      <c r="I2309" t="s">
        <v>1160</v>
      </c>
      <c r="J2309" t="s">
        <v>1235</v>
      </c>
      <c r="K2309" t="s">
        <v>1212</v>
      </c>
      <c r="M2309" s="3">
        <f t="shared" si="144"/>
        <v>71.857142857142861</v>
      </c>
      <c r="N2309">
        <v>50</v>
      </c>
      <c r="O2309">
        <v>75</v>
      </c>
      <c r="P2309">
        <v>78</v>
      </c>
      <c r="Q2309">
        <v>79</v>
      </c>
      <c r="R2309">
        <v>80</v>
      </c>
      <c r="S2309">
        <v>80</v>
      </c>
      <c r="T2309">
        <v>61</v>
      </c>
      <c r="U2309">
        <v>0</v>
      </c>
      <c r="V2309" s="3">
        <f t="shared" si="145"/>
        <v>3670283</v>
      </c>
      <c r="W2309">
        <v>305856.91666666669</v>
      </c>
      <c r="X2309">
        <v>0</v>
      </c>
      <c r="Y2309">
        <f t="shared" si="146"/>
        <v>305856.91666666669</v>
      </c>
      <c r="Z2309">
        <f t="shared" si="147"/>
        <v>0</v>
      </c>
      <c r="AA2309">
        <v>0</v>
      </c>
    </row>
    <row r="2310" spans="1:27" x14ac:dyDescent="0.25">
      <c r="A2310" s="1">
        <v>2309</v>
      </c>
      <c r="B2310" t="s">
        <v>472</v>
      </c>
      <c r="C2310" t="s">
        <v>1135</v>
      </c>
      <c r="D2310" t="s">
        <v>1141</v>
      </c>
      <c r="E2310" t="s">
        <v>1145</v>
      </c>
      <c r="G2310" t="s">
        <v>1160</v>
      </c>
      <c r="H2310" t="s">
        <v>1160</v>
      </c>
      <c r="I2310" t="s">
        <v>1160</v>
      </c>
      <c r="J2310" t="s">
        <v>1235</v>
      </c>
      <c r="K2310" t="s">
        <v>1212</v>
      </c>
      <c r="M2310" s="3">
        <f t="shared" si="144"/>
        <v>71.285714285714292</v>
      </c>
      <c r="N2310">
        <v>45</v>
      </c>
      <c r="O2310">
        <v>70</v>
      </c>
      <c r="P2310">
        <v>81</v>
      </c>
      <c r="Q2310">
        <v>78</v>
      </c>
      <c r="R2310">
        <v>77</v>
      </c>
      <c r="S2310">
        <v>88</v>
      </c>
      <c r="T2310">
        <v>60</v>
      </c>
      <c r="U2310">
        <v>0</v>
      </c>
      <c r="V2310" s="3">
        <f t="shared" si="145"/>
        <v>3388638</v>
      </c>
      <c r="W2310">
        <v>282386.5</v>
      </c>
      <c r="X2310">
        <v>0</v>
      </c>
      <c r="Y2310">
        <f t="shared" si="146"/>
        <v>282386.5</v>
      </c>
      <c r="Z2310">
        <f t="shared" si="147"/>
        <v>0</v>
      </c>
      <c r="AA2310">
        <v>0</v>
      </c>
    </row>
    <row r="2311" spans="1:27" x14ac:dyDescent="0.25">
      <c r="A2311" s="1">
        <v>2310</v>
      </c>
      <c r="B2311" t="s">
        <v>707</v>
      </c>
      <c r="C2311" t="s">
        <v>1136</v>
      </c>
      <c r="D2311" t="s">
        <v>1143</v>
      </c>
      <c r="E2311" t="s">
        <v>1144</v>
      </c>
      <c r="G2311" t="s">
        <v>1160</v>
      </c>
      <c r="H2311" t="s">
        <v>1160</v>
      </c>
      <c r="I2311" t="s">
        <v>1160</v>
      </c>
      <c r="J2311" t="s">
        <v>1235</v>
      </c>
      <c r="K2311" t="s">
        <v>1212</v>
      </c>
      <c r="M2311" s="3">
        <f t="shared" si="144"/>
        <v>71.428571428571431</v>
      </c>
      <c r="N2311">
        <v>44</v>
      </c>
      <c r="O2311">
        <v>78</v>
      </c>
      <c r="P2311">
        <v>80</v>
      </c>
      <c r="Q2311">
        <v>81</v>
      </c>
      <c r="R2311">
        <v>74</v>
      </c>
      <c r="S2311">
        <v>80</v>
      </c>
      <c r="T2311">
        <v>63</v>
      </c>
      <c r="U2311">
        <v>0</v>
      </c>
      <c r="V2311" s="3">
        <f t="shared" si="145"/>
        <v>3457162</v>
      </c>
      <c r="W2311">
        <v>288096.83333333331</v>
      </c>
      <c r="X2311">
        <v>0</v>
      </c>
      <c r="Y2311">
        <f t="shared" si="146"/>
        <v>288096.83333333331</v>
      </c>
      <c r="Z2311">
        <f t="shared" si="147"/>
        <v>0</v>
      </c>
      <c r="AA2311">
        <v>0</v>
      </c>
    </row>
    <row r="2312" spans="1:27" x14ac:dyDescent="0.25">
      <c r="A2312" s="1">
        <v>2311</v>
      </c>
      <c r="B2312" t="s">
        <v>1811</v>
      </c>
      <c r="C2312" t="s">
        <v>1136</v>
      </c>
      <c r="D2312" t="s">
        <v>1145</v>
      </c>
      <c r="E2312" t="s">
        <v>1147</v>
      </c>
      <c r="H2312" t="s">
        <v>1160</v>
      </c>
      <c r="I2312" t="s">
        <v>1160</v>
      </c>
      <c r="J2312" t="s">
        <v>1235</v>
      </c>
      <c r="K2312" t="s">
        <v>1212</v>
      </c>
      <c r="M2312" s="3">
        <f t="shared" si="144"/>
        <v>58.571428571428569</v>
      </c>
      <c r="N2312">
        <v>17</v>
      </c>
      <c r="O2312">
        <v>82</v>
      </c>
      <c r="P2312">
        <v>58</v>
      </c>
      <c r="Q2312">
        <v>74</v>
      </c>
      <c r="R2312">
        <v>72</v>
      </c>
      <c r="S2312">
        <v>75</v>
      </c>
      <c r="T2312">
        <v>32</v>
      </c>
      <c r="U2312">
        <v>0</v>
      </c>
      <c r="V2312" s="3">
        <f t="shared" si="145"/>
        <v>475181</v>
      </c>
      <c r="W2312">
        <v>39598.416666666664</v>
      </c>
      <c r="X2312">
        <v>0</v>
      </c>
      <c r="Y2312">
        <f t="shared" si="146"/>
        <v>39598.416666666664</v>
      </c>
      <c r="Z2312">
        <f t="shared" si="147"/>
        <v>0</v>
      </c>
      <c r="AA2312">
        <v>0</v>
      </c>
    </row>
    <row r="2313" spans="1:27" x14ac:dyDescent="0.25">
      <c r="A2313" s="1">
        <v>2312</v>
      </c>
      <c r="B2313" t="s">
        <v>1812</v>
      </c>
      <c r="C2313" t="s">
        <v>1136</v>
      </c>
      <c r="D2313" t="s">
        <v>1147</v>
      </c>
      <c r="E2313" t="s">
        <v>1146</v>
      </c>
      <c r="H2313" t="s">
        <v>1160</v>
      </c>
      <c r="I2313" t="s">
        <v>1160</v>
      </c>
      <c r="J2313" t="s">
        <v>1235</v>
      </c>
      <c r="K2313" t="s">
        <v>1212</v>
      </c>
      <c r="M2313" s="3">
        <f t="shared" si="144"/>
        <v>60.428571428571431</v>
      </c>
      <c r="N2313">
        <v>20</v>
      </c>
      <c r="O2313">
        <v>80</v>
      </c>
      <c r="P2313">
        <v>60</v>
      </c>
      <c r="Q2313">
        <v>72</v>
      </c>
      <c r="R2313">
        <v>78</v>
      </c>
      <c r="S2313">
        <v>76</v>
      </c>
      <c r="T2313">
        <v>37</v>
      </c>
      <c r="U2313">
        <v>0</v>
      </c>
      <c r="V2313" s="3">
        <f t="shared" si="145"/>
        <v>649267</v>
      </c>
      <c r="W2313">
        <v>54105.583333333336</v>
      </c>
      <c r="X2313">
        <v>0</v>
      </c>
      <c r="Y2313">
        <f t="shared" si="146"/>
        <v>54105.583333333336</v>
      </c>
      <c r="Z2313">
        <f t="shared" si="147"/>
        <v>0</v>
      </c>
      <c r="AA2313">
        <v>0</v>
      </c>
    </row>
    <row r="2314" spans="1:27" x14ac:dyDescent="0.25">
      <c r="A2314" s="1">
        <v>2313</v>
      </c>
      <c r="B2314" t="s">
        <v>1810</v>
      </c>
      <c r="C2314" t="s">
        <v>1136</v>
      </c>
      <c r="D2314" t="s">
        <v>1145</v>
      </c>
      <c r="E2314" t="s">
        <v>1143</v>
      </c>
      <c r="H2314" t="s">
        <v>1160</v>
      </c>
      <c r="I2314" t="s">
        <v>1160</v>
      </c>
      <c r="J2314" t="s">
        <v>1235</v>
      </c>
      <c r="K2314" t="s">
        <v>1212</v>
      </c>
      <c r="M2314" s="3">
        <f t="shared" si="144"/>
        <v>60.285714285714285</v>
      </c>
      <c r="N2314">
        <v>19</v>
      </c>
      <c r="O2314">
        <v>78</v>
      </c>
      <c r="P2314">
        <v>62</v>
      </c>
      <c r="Q2314">
        <v>76</v>
      </c>
      <c r="R2314">
        <v>74</v>
      </c>
      <c r="S2314">
        <v>77</v>
      </c>
      <c r="T2314">
        <v>36</v>
      </c>
      <c r="U2314">
        <v>0</v>
      </c>
      <c r="V2314" s="3">
        <f t="shared" si="145"/>
        <v>634081</v>
      </c>
      <c r="W2314">
        <v>52840.083333333336</v>
      </c>
      <c r="X2314">
        <v>0</v>
      </c>
      <c r="Y2314">
        <f t="shared" si="146"/>
        <v>52840.083333333336</v>
      </c>
      <c r="Z2314">
        <f t="shared" si="147"/>
        <v>0</v>
      </c>
      <c r="AA2314">
        <v>0</v>
      </c>
    </row>
    <row r="2315" spans="1:27" x14ac:dyDescent="0.25">
      <c r="A2315" s="1">
        <v>2314</v>
      </c>
      <c r="B2315" t="s">
        <v>1809</v>
      </c>
      <c r="C2315" t="s">
        <v>1136</v>
      </c>
      <c r="D2315" t="s">
        <v>1144</v>
      </c>
      <c r="E2315" t="s">
        <v>1138</v>
      </c>
      <c r="H2315" t="s">
        <v>1160</v>
      </c>
      <c r="I2315" t="s">
        <v>1160</v>
      </c>
      <c r="J2315" t="s">
        <v>1235</v>
      </c>
      <c r="K2315" t="s">
        <v>1212</v>
      </c>
      <c r="M2315" s="3">
        <f t="shared" si="144"/>
        <v>53.285714285714285</v>
      </c>
      <c r="N2315">
        <v>15</v>
      </c>
      <c r="O2315">
        <v>62</v>
      </c>
      <c r="P2315">
        <v>58</v>
      </c>
      <c r="Q2315">
        <v>70</v>
      </c>
      <c r="R2315">
        <v>68</v>
      </c>
      <c r="S2315">
        <v>72</v>
      </c>
      <c r="T2315">
        <v>28</v>
      </c>
      <c r="U2315">
        <v>0</v>
      </c>
      <c r="V2315" s="3">
        <f t="shared" si="145"/>
        <v>184548</v>
      </c>
      <c r="W2315">
        <v>15379</v>
      </c>
      <c r="X2315">
        <v>0</v>
      </c>
      <c r="Y2315">
        <f t="shared" si="146"/>
        <v>15379</v>
      </c>
      <c r="Z2315">
        <f t="shared" si="147"/>
        <v>0</v>
      </c>
      <c r="AA2315">
        <v>0</v>
      </c>
    </row>
    <row r="2316" spans="1:27" x14ac:dyDescent="0.25">
      <c r="A2316" s="1">
        <v>2315</v>
      </c>
      <c r="B2316" t="s">
        <v>1814</v>
      </c>
      <c r="C2316" t="s">
        <v>1136</v>
      </c>
      <c r="D2316" t="s">
        <v>1146</v>
      </c>
      <c r="E2316" t="s">
        <v>1144</v>
      </c>
      <c r="H2316" t="s">
        <v>1160</v>
      </c>
      <c r="I2316" t="s">
        <v>1160</v>
      </c>
      <c r="J2316" t="s">
        <v>1235</v>
      </c>
      <c r="K2316" t="s">
        <v>1212</v>
      </c>
      <c r="M2316" s="3">
        <f t="shared" si="144"/>
        <v>63.285714285714285</v>
      </c>
      <c r="N2316">
        <v>22</v>
      </c>
      <c r="O2316">
        <v>84</v>
      </c>
      <c r="P2316">
        <v>64</v>
      </c>
      <c r="Q2316">
        <v>78</v>
      </c>
      <c r="R2316">
        <v>76</v>
      </c>
      <c r="S2316">
        <v>79</v>
      </c>
      <c r="T2316">
        <v>40</v>
      </c>
      <c r="U2316">
        <v>0</v>
      </c>
      <c r="V2316" s="3">
        <f t="shared" si="145"/>
        <v>1030522</v>
      </c>
      <c r="W2316">
        <v>85876.833333333328</v>
      </c>
      <c r="X2316">
        <v>0</v>
      </c>
      <c r="Y2316">
        <f t="shared" si="146"/>
        <v>85876.833333333328</v>
      </c>
      <c r="Z2316">
        <f t="shared" si="147"/>
        <v>0</v>
      </c>
      <c r="AA2316">
        <v>0</v>
      </c>
    </row>
    <row r="2317" spans="1:27" x14ac:dyDescent="0.25">
      <c r="A2317" s="1">
        <v>2316</v>
      </c>
      <c r="B2317" t="s">
        <v>2607</v>
      </c>
      <c r="C2317" t="s">
        <v>1136</v>
      </c>
      <c r="D2317" t="s">
        <v>1144</v>
      </c>
      <c r="E2317" t="s">
        <v>1143</v>
      </c>
      <c r="H2317" t="s">
        <v>1160</v>
      </c>
      <c r="I2317" t="s">
        <v>1160</v>
      </c>
      <c r="J2317" t="s">
        <v>1235</v>
      </c>
      <c r="K2317" t="s">
        <v>1212</v>
      </c>
      <c r="M2317" s="3">
        <f t="shared" si="144"/>
        <v>61</v>
      </c>
      <c r="N2317">
        <v>21</v>
      </c>
      <c r="O2317">
        <v>70</v>
      </c>
      <c r="P2317">
        <v>64</v>
      </c>
      <c r="Q2317">
        <v>80</v>
      </c>
      <c r="R2317">
        <v>76</v>
      </c>
      <c r="S2317">
        <v>78</v>
      </c>
      <c r="T2317">
        <v>38</v>
      </c>
      <c r="U2317">
        <v>0</v>
      </c>
      <c r="V2317" s="3">
        <f t="shared" si="145"/>
        <v>713343</v>
      </c>
      <c r="W2317">
        <v>59445.25</v>
      </c>
      <c r="X2317">
        <v>0</v>
      </c>
      <c r="Y2317">
        <f t="shared" si="146"/>
        <v>59445.25</v>
      </c>
      <c r="Z2317">
        <f t="shared" si="147"/>
        <v>0</v>
      </c>
      <c r="AA2317">
        <v>0</v>
      </c>
    </row>
    <row r="2318" spans="1:27" x14ac:dyDescent="0.25">
      <c r="A2318" s="1">
        <v>2317</v>
      </c>
      <c r="B2318" t="s">
        <v>706</v>
      </c>
      <c r="C2318" t="s">
        <v>1136</v>
      </c>
      <c r="D2318" t="s">
        <v>1146</v>
      </c>
      <c r="E2318" t="s">
        <v>1144</v>
      </c>
      <c r="G2318" t="s">
        <v>1160</v>
      </c>
      <c r="H2318" t="s">
        <v>1160</v>
      </c>
      <c r="I2318" t="s">
        <v>1160</v>
      </c>
      <c r="J2318" t="s">
        <v>1235</v>
      </c>
      <c r="K2318" t="s">
        <v>1212</v>
      </c>
      <c r="M2318" s="3">
        <f t="shared" si="144"/>
        <v>67</v>
      </c>
      <c r="N2318">
        <v>42</v>
      </c>
      <c r="O2318">
        <v>80</v>
      </c>
      <c r="P2318">
        <v>75</v>
      </c>
      <c r="Q2318">
        <v>77</v>
      </c>
      <c r="R2318">
        <v>70</v>
      </c>
      <c r="S2318">
        <v>73</v>
      </c>
      <c r="T2318">
        <v>52</v>
      </c>
      <c r="U2318">
        <v>0</v>
      </c>
      <c r="V2318" s="3">
        <f t="shared" si="145"/>
        <v>1822838</v>
      </c>
      <c r="W2318">
        <v>151903.16666666666</v>
      </c>
      <c r="X2318">
        <v>0</v>
      </c>
      <c r="Y2318">
        <f t="shared" si="146"/>
        <v>151903.16666666666</v>
      </c>
      <c r="Z2318">
        <f t="shared" si="147"/>
        <v>0</v>
      </c>
      <c r="AA2318">
        <v>0</v>
      </c>
    </row>
    <row r="2319" spans="1:27" x14ac:dyDescent="0.25">
      <c r="A2319" s="1">
        <v>2318</v>
      </c>
      <c r="B2319" t="s">
        <v>1813</v>
      </c>
      <c r="C2319" t="s">
        <v>1136</v>
      </c>
      <c r="D2319" t="s">
        <v>1147</v>
      </c>
      <c r="E2319" t="s">
        <v>1145</v>
      </c>
      <c r="H2319" t="s">
        <v>1160</v>
      </c>
      <c r="I2319" t="s">
        <v>1160</v>
      </c>
      <c r="J2319" t="s">
        <v>1235</v>
      </c>
      <c r="K2319" t="s">
        <v>1212</v>
      </c>
      <c r="M2319" s="3">
        <f t="shared" si="144"/>
        <v>55.857142857142854</v>
      </c>
      <c r="N2319">
        <v>16</v>
      </c>
      <c r="O2319">
        <v>76</v>
      </c>
      <c r="P2319">
        <v>56</v>
      </c>
      <c r="Q2319">
        <v>70</v>
      </c>
      <c r="R2319">
        <v>70</v>
      </c>
      <c r="S2319">
        <v>73</v>
      </c>
      <c r="T2319">
        <v>30</v>
      </c>
      <c r="U2319">
        <v>0</v>
      </c>
      <c r="V2319" s="3">
        <f t="shared" si="145"/>
        <v>295657</v>
      </c>
      <c r="W2319">
        <v>24638.083333333332</v>
      </c>
      <c r="X2319">
        <v>0</v>
      </c>
      <c r="Y2319">
        <f t="shared" si="146"/>
        <v>24638.083333333332</v>
      </c>
      <c r="Z2319">
        <f t="shared" si="147"/>
        <v>0</v>
      </c>
      <c r="AA2319">
        <v>0</v>
      </c>
    </row>
    <row r="2320" spans="1:27" x14ac:dyDescent="0.25">
      <c r="A2320" s="1">
        <v>2319</v>
      </c>
      <c r="B2320" t="s">
        <v>1807</v>
      </c>
      <c r="C2320" t="s">
        <v>1137</v>
      </c>
      <c r="D2320" t="s">
        <v>1137</v>
      </c>
      <c r="H2320" t="s">
        <v>1160</v>
      </c>
      <c r="I2320" t="s">
        <v>1160</v>
      </c>
      <c r="J2320" t="s">
        <v>1235</v>
      </c>
      <c r="K2320" t="s">
        <v>1212</v>
      </c>
      <c r="M2320" s="3">
        <f t="shared" si="144"/>
        <v>59.857142857142854</v>
      </c>
      <c r="N2320">
        <v>18</v>
      </c>
      <c r="O2320">
        <v>72</v>
      </c>
      <c r="P2320">
        <v>66</v>
      </c>
      <c r="Q2320">
        <v>78</v>
      </c>
      <c r="R2320">
        <v>74</v>
      </c>
      <c r="S2320">
        <v>76</v>
      </c>
      <c r="T2320">
        <v>35</v>
      </c>
      <c r="U2320">
        <v>0</v>
      </c>
      <c r="V2320" s="3">
        <f t="shared" si="145"/>
        <v>590419</v>
      </c>
      <c r="W2320">
        <v>49201.583333333336</v>
      </c>
      <c r="X2320">
        <v>0</v>
      </c>
      <c r="Y2320">
        <f t="shared" si="146"/>
        <v>49201.583333333336</v>
      </c>
      <c r="Z2320">
        <f t="shared" si="147"/>
        <v>0</v>
      </c>
      <c r="AA2320">
        <v>0</v>
      </c>
    </row>
    <row r="2321" spans="1:27" x14ac:dyDescent="0.25">
      <c r="A2321" s="1">
        <v>2320</v>
      </c>
      <c r="B2321" t="s">
        <v>1128</v>
      </c>
      <c r="C2321" t="s">
        <v>1133</v>
      </c>
      <c r="D2321" t="s">
        <v>1133</v>
      </c>
      <c r="H2321" t="s">
        <v>1176</v>
      </c>
      <c r="I2321" t="s">
        <v>1176</v>
      </c>
      <c r="M2321" s="3">
        <f t="shared" si="144"/>
        <v>71.142857142857139</v>
      </c>
      <c r="N2321">
        <v>52</v>
      </c>
      <c r="O2321">
        <v>75</v>
      </c>
      <c r="P2321">
        <v>79</v>
      </c>
      <c r="Q2321">
        <v>72</v>
      </c>
      <c r="R2321">
        <v>84</v>
      </c>
      <c r="S2321">
        <v>90</v>
      </c>
      <c r="T2321">
        <v>46</v>
      </c>
      <c r="U2321">
        <v>0</v>
      </c>
      <c r="V2321" s="3">
        <f t="shared" si="145"/>
        <v>3321338</v>
      </c>
      <c r="W2321">
        <v>276778.16666666669</v>
      </c>
      <c r="X2321">
        <v>0</v>
      </c>
      <c r="Y2321">
        <f t="shared" si="146"/>
        <v>276778.16666666669</v>
      </c>
      <c r="Z2321">
        <f t="shared" si="147"/>
        <v>0</v>
      </c>
      <c r="AA2321">
        <v>1</v>
      </c>
    </row>
    <row r="2322" spans="1:27" x14ac:dyDescent="0.25">
      <c r="A2322" s="1">
        <v>2321</v>
      </c>
      <c r="B2322" t="s">
        <v>1125</v>
      </c>
      <c r="C2322" t="s">
        <v>1133</v>
      </c>
      <c r="D2322" t="s">
        <v>1133</v>
      </c>
      <c r="H2322" t="s">
        <v>1148</v>
      </c>
      <c r="I2322" t="s">
        <v>1148</v>
      </c>
      <c r="M2322" s="3">
        <f t="shared" si="144"/>
        <v>74.571428571428569</v>
      </c>
      <c r="N2322">
        <v>60</v>
      </c>
      <c r="O2322">
        <v>82</v>
      </c>
      <c r="P2322">
        <v>82</v>
      </c>
      <c r="Q2322">
        <v>81</v>
      </c>
      <c r="R2322">
        <v>85</v>
      </c>
      <c r="S2322">
        <v>82</v>
      </c>
      <c r="T2322">
        <v>50</v>
      </c>
      <c r="U2322">
        <v>0</v>
      </c>
      <c r="V2322" s="3">
        <f t="shared" si="145"/>
        <v>5317710</v>
      </c>
      <c r="W2322">
        <v>443142.5</v>
      </c>
      <c r="X2322">
        <v>0</v>
      </c>
      <c r="Y2322">
        <f t="shared" si="146"/>
        <v>443142.5</v>
      </c>
      <c r="Z2322">
        <f t="shared" si="147"/>
        <v>0</v>
      </c>
      <c r="AA2322">
        <v>0</v>
      </c>
    </row>
    <row r="2323" spans="1:27" x14ac:dyDescent="0.25">
      <c r="A2323" s="1">
        <v>2322</v>
      </c>
      <c r="B2323" t="s">
        <v>2700</v>
      </c>
      <c r="C2323" t="s">
        <v>1133</v>
      </c>
      <c r="G2323" t="s">
        <v>1202</v>
      </c>
      <c r="H2323" t="s">
        <v>1202</v>
      </c>
      <c r="I2323" t="s">
        <v>1202</v>
      </c>
      <c r="M2323" s="3">
        <f t="shared" si="144"/>
        <v>67.428571428571431</v>
      </c>
      <c r="N2323">
        <v>50</v>
      </c>
      <c r="O2323">
        <v>70</v>
      </c>
      <c r="P2323">
        <v>70</v>
      </c>
      <c r="Q2323">
        <v>74</v>
      </c>
      <c r="R2323">
        <v>80</v>
      </c>
      <c r="S2323">
        <v>88</v>
      </c>
      <c r="T2323">
        <v>40</v>
      </c>
      <c r="U2323">
        <v>0</v>
      </c>
      <c r="V2323" s="3">
        <f t="shared" si="145"/>
        <v>1942852</v>
      </c>
      <c r="W2323">
        <v>161904.33333333334</v>
      </c>
      <c r="X2323">
        <v>0</v>
      </c>
      <c r="Y2323">
        <f t="shared" si="146"/>
        <v>161904.33333333334</v>
      </c>
      <c r="Z2323">
        <f t="shared" si="147"/>
        <v>0</v>
      </c>
      <c r="AA2323">
        <v>1</v>
      </c>
    </row>
    <row r="2324" spans="1:27" x14ac:dyDescent="0.25">
      <c r="A2324" s="1">
        <v>2323</v>
      </c>
      <c r="B2324" t="s">
        <v>1130</v>
      </c>
      <c r="C2324" t="s">
        <v>1134</v>
      </c>
      <c r="D2324" t="s">
        <v>1138</v>
      </c>
      <c r="E2324" t="s">
        <v>1140</v>
      </c>
      <c r="F2324" t="s">
        <v>1144</v>
      </c>
      <c r="H2324" t="s">
        <v>1162</v>
      </c>
      <c r="I2324" t="s">
        <v>1162</v>
      </c>
      <c r="M2324" s="3">
        <f t="shared" si="144"/>
        <v>80</v>
      </c>
      <c r="N2324">
        <v>60</v>
      </c>
      <c r="O2324">
        <v>81</v>
      </c>
      <c r="P2324">
        <v>85</v>
      </c>
      <c r="Q2324">
        <v>84</v>
      </c>
      <c r="R2324">
        <v>92</v>
      </c>
      <c r="S2324">
        <v>95</v>
      </c>
      <c r="T2324">
        <v>63</v>
      </c>
      <c r="U2324">
        <v>26</v>
      </c>
      <c r="V2324" s="3">
        <f t="shared" si="145"/>
        <v>16106128</v>
      </c>
      <c r="W2324">
        <v>1342177.3333333333</v>
      </c>
      <c r="X2324">
        <v>0</v>
      </c>
      <c r="Y2324">
        <f t="shared" si="146"/>
        <v>1342177.3333333333</v>
      </c>
      <c r="Z2324">
        <f t="shared" si="147"/>
        <v>0</v>
      </c>
      <c r="AA2324">
        <v>1</v>
      </c>
    </row>
    <row r="2325" spans="1:27" x14ac:dyDescent="0.25">
      <c r="A2325" s="1">
        <v>2324</v>
      </c>
      <c r="B2325" t="s">
        <v>1127</v>
      </c>
      <c r="C2325" t="s">
        <v>1134</v>
      </c>
      <c r="D2325" t="s">
        <v>1138</v>
      </c>
      <c r="E2325" t="s">
        <v>1144</v>
      </c>
      <c r="H2325" t="s">
        <v>1151</v>
      </c>
      <c r="I2325" t="s">
        <v>1151</v>
      </c>
      <c r="M2325" s="3">
        <f t="shared" si="144"/>
        <v>75.428571428571431</v>
      </c>
      <c r="N2325">
        <v>51</v>
      </c>
      <c r="O2325">
        <v>80</v>
      </c>
      <c r="P2325">
        <v>78</v>
      </c>
      <c r="Q2325">
        <v>82</v>
      </c>
      <c r="R2325">
        <v>85</v>
      </c>
      <c r="S2325">
        <v>88</v>
      </c>
      <c r="T2325">
        <v>64</v>
      </c>
      <c r="U2325">
        <v>27</v>
      </c>
      <c r="V2325" s="3">
        <f t="shared" si="145"/>
        <v>8942318</v>
      </c>
      <c r="W2325">
        <v>745193.16666666663</v>
      </c>
      <c r="X2325">
        <v>0</v>
      </c>
      <c r="Y2325">
        <f t="shared" si="146"/>
        <v>745193.16666666663</v>
      </c>
      <c r="Z2325">
        <f t="shared" si="147"/>
        <v>0</v>
      </c>
      <c r="AA2325">
        <v>1</v>
      </c>
    </row>
    <row r="2326" spans="1:27" x14ac:dyDescent="0.25">
      <c r="A2326" s="1">
        <v>2325</v>
      </c>
      <c r="B2326" t="s">
        <v>2699</v>
      </c>
      <c r="C2326" t="s">
        <v>1134</v>
      </c>
      <c r="D2326" t="s">
        <v>1138</v>
      </c>
      <c r="E2326" t="s">
        <v>1144</v>
      </c>
      <c r="G2326" t="s">
        <v>1176</v>
      </c>
      <c r="H2326" t="s">
        <v>1176</v>
      </c>
      <c r="I2326" t="s">
        <v>1176</v>
      </c>
      <c r="M2326" s="3">
        <f t="shared" si="144"/>
        <v>73.428571428571431</v>
      </c>
      <c r="N2326">
        <v>50</v>
      </c>
      <c r="O2326">
        <v>78</v>
      </c>
      <c r="P2326">
        <v>80</v>
      </c>
      <c r="Q2326">
        <v>80</v>
      </c>
      <c r="R2326">
        <v>88</v>
      </c>
      <c r="S2326">
        <v>90</v>
      </c>
      <c r="T2326">
        <v>48</v>
      </c>
      <c r="U2326">
        <v>11</v>
      </c>
      <c r="V2326" s="3">
        <f t="shared" si="145"/>
        <v>6835056</v>
      </c>
      <c r="W2326">
        <v>569588</v>
      </c>
      <c r="X2326">
        <v>0</v>
      </c>
      <c r="Y2326">
        <f t="shared" si="146"/>
        <v>569588</v>
      </c>
      <c r="Z2326">
        <f t="shared" si="147"/>
        <v>0</v>
      </c>
      <c r="AA2326">
        <v>1</v>
      </c>
    </row>
    <row r="2327" spans="1:27" x14ac:dyDescent="0.25">
      <c r="A2327" s="1">
        <v>2326</v>
      </c>
      <c r="B2327" t="s">
        <v>2701</v>
      </c>
      <c r="C2327" t="s">
        <v>1134</v>
      </c>
      <c r="D2327" t="s">
        <v>1139</v>
      </c>
      <c r="E2327" t="s">
        <v>1140</v>
      </c>
      <c r="F2327" t="s">
        <v>1138</v>
      </c>
      <c r="H2327" t="s">
        <v>1193</v>
      </c>
      <c r="I2327" t="s">
        <v>1193</v>
      </c>
      <c r="M2327" s="3">
        <f t="shared" si="144"/>
        <v>73.571428571428569</v>
      </c>
      <c r="N2327">
        <v>50</v>
      </c>
      <c r="O2327">
        <v>82</v>
      </c>
      <c r="P2327">
        <v>81</v>
      </c>
      <c r="Q2327">
        <v>78</v>
      </c>
      <c r="R2327">
        <v>84</v>
      </c>
      <c r="S2327">
        <v>89</v>
      </c>
      <c r="T2327">
        <v>51</v>
      </c>
      <c r="U2327">
        <v>27</v>
      </c>
      <c r="V2327" s="3">
        <f t="shared" si="145"/>
        <v>6969204</v>
      </c>
      <c r="W2327">
        <v>580767</v>
      </c>
      <c r="X2327">
        <v>0</v>
      </c>
      <c r="Y2327">
        <f t="shared" si="146"/>
        <v>580767</v>
      </c>
      <c r="Z2327">
        <f t="shared" si="147"/>
        <v>0</v>
      </c>
      <c r="AA2327">
        <v>1</v>
      </c>
    </row>
    <row r="2328" spans="1:27" x14ac:dyDescent="0.25">
      <c r="A2328" s="1">
        <v>2327</v>
      </c>
      <c r="B2328" t="s">
        <v>2704</v>
      </c>
      <c r="C2328" t="s">
        <v>1134</v>
      </c>
      <c r="D2328" t="s">
        <v>1140</v>
      </c>
      <c r="E2328" t="s">
        <v>1139</v>
      </c>
      <c r="F2328" t="s">
        <v>1138</v>
      </c>
      <c r="H2328" t="s">
        <v>1192</v>
      </c>
      <c r="I2328" t="s">
        <v>1192</v>
      </c>
      <c r="M2328" s="3">
        <f t="shared" si="144"/>
        <v>73.285714285714292</v>
      </c>
      <c r="N2328">
        <v>50</v>
      </c>
      <c r="O2328">
        <v>79</v>
      </c>
      <c r="P2328">
        <v>85</v>
      </c>
      <c r="Q2328">
        <v>75</v>
      </c>
      <c r="R2328">
        <v>88</v>
      </c>
      <c r="S2328">
        <v>91</v>
      </c>
      <c r="T2328">
        <v>45</v>
      </c>
      <c r="U2328">
        <v>26</v>
      </c>
      <c r="V2328" s="3">
        <f t="shared" si="145"/>
        <v>6703237</v>
      </c>
      <c r="W2328">
        <v>558603.08333333337</v>
      </c>
      <c r="X2328">
        <v>0</v>
      </c>
      <c r="Y2328">
        <f t="shared" si="146"/>
        <v>558603.08333333337</v>
      </c>
      <c r="Z2328">
        <f t="shared" si="147"/>
        <v>0</v>
      </c>
      <c r="AA2328">
        <v>1</v>
      </c>
    </row>
    <row r="2329" spans="1:27" x14ac:dyDescent="0.25">
      <c r="A2329" s="1">
        <v>2328</v>
      </c>
      <c r="B2329" t="s">
        <v>1123</v>
      </c>
      <c r="C2329" t="s">
        <v>1135</v>
      </c>
      <c r="D2329" t="s">
        <v>1141</v>
      </c>
      <c r="H2329" t="s">
        <v>1195</v>
      </c>
      <c r="I2329" t="s">
        <v>1195</v>
      </c>
      <c r="M2329" s="3">
        <f t="shared" si="144"/>
        <v>76.142857142857139</v>
      </c>
      <c r="N2329">
        <v>57</v>
      </c>
      <c r="O2329">
        <v>78</v>
      </c>
      <c r="P2329">
        <v>85</v>
      </c>
      <c r="Q2329">
        <v>78</v>
      </c>
      <c r="R2329">
        <v>88</v>
      </c>
      <c r="S2329">
        <v>96</v>
      </c>
      <c r="T2329">
        <v>51</v>
      </c>
      <c r="U2329">
        <v>6</v>
      </c>
      <c r="V2329" s="3">
        <f t="shared" si="145"/>
        <v>9826141</v>
      </c>
      <c r="W2329">
        <v>818845.08333333337</v>
      </c>
      <c r="X2329">
        <v>0</v>
      </c>
      <c r="Y2329">
        <f t="shared" si="146"/>
        <v>818845.08333333337</v>
      </c>
      <c r="Z2329">
        <f t="shared" si="147"/>
        <v>0</v>
      </c>
      <c r="AA2329">
        <v>1</v>
      </c>
    </row>
    <row r="2330" spans="1:27" x14ac:dyDescent="0.25">
      <c r="A2330" s="1">
        <v>2329</v>
      </c>
      <c r="B2330" t="s">
        <v>1131</v>
      </c>
      <c r="C2330" t="s">
        <v>1135</v>
      </c>
      <c r="D2330" t="s">
        <v>1141</v>
      </c>
      <c r="H2330" t="s">
        <v>1148</v>
      </c>
      <c r="I2330" t="s">
        <v>1148</v>
      </c>
      <c r="M2330" s="3">
        <f t="shared" si="144"/>
        <v>70.285714285714292</v>
      </c>
      <c r="N2330">
        <v>45</v>
      </c>
      <c r="O2330">
        <v>88</v>
      </c>
      <c r="P2330">
        <v>72</v>
      </c>
      <c r="Q2330">
        <v>70</v>
      </c>
      <c r="R2330">
        <v>67</v>
      </c>
      <c r="S2330">
        <v>84</v>
      </c>
      <c r="T2330">
        <v>66</v>
      </c>
      <c r="U2330">
        <v>7</v>
      </c>
      <c r="V2330" s="3">
        <f t="shared" si="145"/>
        <v>4413285</v>
      </c>
      <c r="W2330">
        <v>367773.75</v>
      </c>
      <c r="X2330">
        <v>0</v>
      </c>
      <c r="Y2330">
        <f t="shared" si="146"/>
        <v>367773.75</v>
      </c>
      <c r="Z2330">
        <f t="shared" si="147"/>
        <v>0</v>
      </c>
      <c r="AA2330">
        <v>1</v>
      </c>
    </row>
    <row r="2331" spans="1:27" x14ac:dyDescent="0.25">
      <c r="A2331" s="1">
        <v>2330</v>
      </c>
      <c r="B2331" t="s">
        <v>1132</v>
      </c>
      <c r="C2331" t="s">
        <v>1135</v>
      </c>
      <c r="D2331" t="s">
        <v>1141</v>
      </c>
      <c r="E2331" t="s">
        <v>1145</v>
      </c>
      <c r="H2331" t="s">
        <v>1218</v>
      </c>
      <c r="I2331" t="s">
        <v>1218</v>
      </c>
      <c r="M2331" s="3">
        <f t="shared" si="144"/>
        <v>79.571428571428569</v>
      </c>
      <c r="N2331">
        <v>75</v>
      </c>
      <c r="O2331">
        <v>80</v>
      </c>
      <c r="P2331">
        <v>89</v>
      </c>
      <c r="Q2331">
        <v>77</v>
      </c>
      <c r="R2331">
        <v>88</v>
      </c>
      <c r="S2331">
        <v>98</v>
      </c>
      <c r="T2331">
        <v>50</v>
      </c>
      <c r="U2331">
        <v>6</v>
      </c>
      <c r="V2331" s="3">
        <f t="shared" si="145"/>
        <v>15263806</v>
      </c>
      <c r="W2331">
        <v>1271983.8333333333</v>
      </c>
      <c r="X2331">
        <v>0</v>
      </c>
      <c r="Y2331">
        <f t="shared" si="146"/>
        <v>1271983.8333333333</v>
      </c>
      <c r="Z2331">
        <f t="shared" si="147"/>
        <v>0</v>
      </c>
      <c r="AA2331">
        <v>1</v>
      </c>
    </row>
    <row r="2332" spans="1:27" x14ac:dyDescent="0.25">
      <c r="A2332" s="1">
        <v>2331</v>
      </c>
      <c r="B2332" t="s">
        <v>1121</v>
      </c>
      <c r="C2332" t="s">
        <v>1135</v>
      </c>
      <c r="D2332" t="s">
        <v>1141</v>
      </c>
      <c r="E2332" t="s">
        <v>1145</v>
      </c>
      <c r="H2332" t="s">
        <v>1183</v>
      </c>
      <c r="I2332" t="s">
        <v>1183</v>
      </c>
      <c r="M2332" s="3">
        <f t="shared" si="144"/>
        <v>77.571428571428569</v>
      </c>
      <c r="N2332">
        <v>59</v>
      </c>
      <c r="O2332">
        <v>84</v>
      </c>
      <c r="P2332">
        <v>86</v>
      </c>
      <c r="Q2332">
        <v>83</v>
      </c>
      <c r="R2332">
        <v>82</v>
      </c>
      <c r="S2332">
        <v>92</v>
      </c>
      <c r="T2332">
        <v>57</v>
      </c>
      <c r="U2332">
        <v>7</v>
      </c>
      <c r="V2332" s="3">
        <f t="shared" si="145"/>
        <v>11833390</v>
      </c>
      <c r="W2332">
        <v>986115.83333333337</v>
      </c>
      <c r="X2332">
        <v>0</v>
      </c>
      <c r="Y2332">
        <f t="shared" si="146"/>
        <v>986115.83333333337</v>
      </c>
      <c r="Z2332">
        <f t="shared" si="147"/>
        <v>0</v>
      </c>
      <c r="AA2332">
        <v>1</v>
      </c>
    </row>
    <row r="2333" spans="1:27" x14ac:dyDescent="0.25">
      <c r="A2333" s="1">
        <v>2332</v>
      </c>
      <c r="B2333" t="s">
        <v>2698</v>
      </c>
      <c r="C2333" t="s">
        <v>1135</v>
      </c>
      <c r="D2333" t="s">
        <v>1141</v>
      </c>
      <c r="G2333" t="s">
        <v>1206</v>
      </c>
      <c r="H2333" t="s">
        <v>1206</v>
      </c>
      <c r="I2333" t="s">
        <v>1206</v>
      </c>
      <c r="M2333" s="3">
        <f t="shared" si="144"/>
        <v>79.285714285714292</v>
      </c>
      <c r="N2333">
        <v>55</v>
      </c>
      <c r="O2333">
        <v>82</v>
      </c>
      <c r="P2333">
        <v>88</v>
      </c>
      <c r="Q2333">
        <v>80</v>
      </c>
      <c r="R2333">
        <v>88</v>
      </c>
      <c r="S2333">
        <v>92</v>
      </c>
      <c r="T2333">
        <v>70</v>
      </c>
      <c r="U2333">
        <v>25</v>
      </c>
      <c r="V2333" s="3">
        <f t="shared" si="145"/>
        <v>14724505</v>
      </c>
      <c r="W2333">
        <v>1004427.5833333334</v>
      </c>
      <c r="X2333">
        <v>0</v>
      </c>
      <c r="Y2333">
        <f t="shared" si="146"/>
        <v>1227042.0833333333</v>
      </c>
      <c r="Z2333">
        <f t="shared" si="147"/>
        <v>-18.14</v>
      </c>
      <c r="AA2333">
        <v>1</v>
      </c>
    </row>
    <row r="2334" spans="1:27" x14ac:dyDescent="0.25">
      <c r="A2334" s="1">
        <v>2333</v>
      </c>
      <c r="B2334" t="s">
        <v>1122</v>
      </c>
      <c r="C2334" t="s">
        <v>1136</v>
      </c>
      <c r="D2334" t="s">
        <v>1143</v>
      </c>
      <c r="E2334" t="s">
        <v>1147</v>
      </c>
      <c r="H2334" t="s">
        <v>1183</v>
      </c>
      <c r="I2334" t="s">
        <v>1183</v>
      </c>
      <c r="M2334" s="3">
        <f t="shared" si="144"/>
        <v>75.428571428571431</v>
      </c>
      <c r="N2334">
        <v>66</v>
      </c>
      <c r="O2334">
        <v>82</v>
      </c>
      <c r="P2334">
        <v>87</v>
      </c>
      <c r="Q2334">
        <v>81</v>
      </c>
      <c r="R2334">
        <v>84</v>
      </c>
      <c r="S2334">
        <v>84</v>
      </c>
      <c r="T2334">
        <v>44</v>
      </c>
      <c r="U2334">
        <v>8</v>
      </c>
      <c r="V2334" s="3">
        <f t="shared" si="145"/>
        <v>8942318</v>
      </c>
      <c r="W2334">
        <v>745193.16666666663</v>
      </c>
      <c r="X2334">
        <v>0</v>
      </c>
      <c r="Y2334">
        <f t="shared" si="146"/>
        <v>745193.16666666663</v>
      </c>
      <c r="Z2334">
        <f t="shared" si="147"/>
        <v>0</v>
      </c>
      <c r="AA2334">
        <v>1</v>
      </c>
    </row>
    <row r="2335" spans="1:27" x14ac:dyDescent="0.25">
      <c r="A2335" s="1">
        <v>2334</v>
      </c>
      <c r="B2335" t="s">
        <v>1124</v>
      </c>
      <c r="C2335" t="s">
        <v>1136</v>
      </c>
      <c r="D2335" t="s">
        <v>1146</v>
      </c>
      <c r="E2335" t="s">
        <v>1147</v>
      </c>
      <c r="H2335" t="s">
        <v>1153</v>
      </c>
      <c r="I2335" t="s">
        <v>1153</v>
      </c>
      <c r="M2335" s="3">
        <f t="shared" si="144"/>
        <v>75.714285714285708</v>
      </c>
      <c r="N2335">
        <v>55</v>
      </c>
      <c r="O2335">
        <v>92</v>
      </c>
      <c r="P2335">
        <v>82</v>
      </c>
      <c r="Q2335">
        <v>83</v>
      </c>
      <c r="R2335">
        <v>71</v>
      </c>
      <c r="S2335">
        <v>75</v>
      </c>
      <c r="T2335">
        <v>72</v>
      </c>
      <c r="U2335">
        <v>23</v>
      </c>
      <c r="V2335" s="3">
        <f t="shared" si="145"/>
        <v>9286875</v>
      </c>
      <c r="W2335">
        <v>773906.25</v>
      </c>
      <c r="X2335">
        <v>0</v>
      </c>
      <c r="Y2335">
        <f t="shared" si="146"/>
        <v>773906.25</v>
      </c>
      <c r="Z2335">
        <f t="shared" si="147"/>
        <v>0</v>
      </c>
      <c r="AA2335">
        <v>1</v>
      </c>
    </row>
    <row r="2336" spans="1:27" x14ac:dyDescent="0.25">
      <c r="A2336" s="1">
        <v>2335</v>
      </c>
      <c r="B2336" t="s">
        <v>765</v>
      </c>
      <c r="C2336" t="s">
        <v>1136</v>
      </c>
      <c r="D2336" t="s">
        <v>1146</v>
      </c>
      <c r="E2336" t="s">
        <v>1144</v>
      </c>
      <c r="G2336" t="s">
        <v>1170</v>
      </c>
      <c r="H2336" t="s">
        <v>1153</v>
      </c>
      <c r="I2336" t="s">
        <v>1153</v>
      </c>
      <c r="M2336" s="3">
        <f t="shared" si="144"/>
        <v>97.142857142857139</v>
      </c>
      <c r="N2336">
        <v>100</v>
      </c>
      <c r="O2336">
        <v>100</v>
      </c>
      <c r="P2336">
        <v>96</v>
      </c>
      <c r="Q2336">
        <v>98</v>
      </c>
      <c r="R2336">
        <v>99</v>
      </c>
      <c r="S2336">
        <v>87</v>
      </c>
      <c r="T2336">
        <v>100</v>
      </c>
      <c r="U2336">
        <v>13</v>
      </c>
      <c r="V2336" s="3">
        <f t="shared" si="145"/>
        <v>112253525</v>
      </c>
      <c r="W2336">
        <v>9354460.416666666</v>
      </c>
      <c r="X2336">
        <v>0</v>
      </c>
      <c r="Y2336">
        <f t="shared" si="146"/>
        <v>9354460.416666666</v>
      </c>
      <c r="Z2336">
        <f t="shared" si="147"/>
        <v>0</v>
      </c>
      <c r="AA2336">
        <v>1</v>
      </c>
    </row>
    <row r="2337" spans="1:27" x14ac:dyDescent="0.25">
      <c r="A2337" s="1">
        <v>2336</v>
      </c>
      <c r="B2337" t="s">
        <v>1126</v>
      </c>
      <c r="C2337" t="s">
        <v>1136</v>
      </c>
      <c r="D2337" t="s">
        <v>1143</v>
      </c>
      <c r="E2337" t="s">
        <v>1146</v>
      </c>
      <c r="H2337" t="s">
        <v>1193</v>
      </c>
      <c r="I2337" t="s">
        <v>1193</v>
      </c>
      <c r="M2337" s="3">
        <f t="shared" si="144"/>
        <v>76.285714285714292</v>
      </c>
      <c r="N2337">
        <v>56</v>
      </c>
      <c r="O2337">
        <v>85</v>
      </c>
      <c r="P2337">
        <v>79</v>
      </c>
      <c r="Q2337">
        <v>86</v>
      </c>
      <c r="R2337">
        <v>81</v>
      </c>
      <c r="S2337">
        <v>80</v>
      </c>
      <c r="T2337">
        <v>67</v>
      </c>
      <c r="U2337">
        <v>24</v>
      </c>
      <c r="V2337" s="3">
        <f t="shared" si="145"/>
        <v>10012060</v>
      </c>
      <c r="W2337">
        <v>834338.33333333337</v>
      </c>
      <c r="X2337">
        <v>0</v>
      </c>
      <c r="Y2337">
        <f t="shared" si="146"/>
        <v>834338.33333333337</v>
      </c>
      <c r="Z2337">
        <f t="shared" si="147"/>
        <v>0</v>
      </c>
      <c r="AA2337">
        <v>1</v>
      </c>
    </row>
    <row r="2338" spans="1:27" x14ac:dyDescent="0.25">
      <c r="A2338" s="1">
        <v>2337</v>
      </c>
      <c r="B2338" t="s">
        <v>2671</v>
      </c>
      <c r="C2338" t="s">
        <v>1136</v>
      </c>
      <c r="D2338" t="s">
        <v>1145</v>
      </c>
      <c r="E2338" t="s">
        <v>1146</v>
      </c>
      <c r="F2338" t="s">
        <v>1147</v>
      </c>
      <c r="G2338" t="s">
        <v>1174</v>
      </c>
      <c r="H2338" t="s">
        <v>1174</v>
      </c>
      <c r="I2338" t="s">
        <v>1174</v>
      </c>
      <c r="M2338" s="3">
        <f t="shared" si="144"/>
        <v>82.428571428571431</v>
      </c>
      <c r="N2338">
        <v>70</v>
      </c>
      <c r="O2338">
        <v>91</v>
      </c>
      <c r="P2338">
        <v>88</v>
      </c>
      <c r="Q2338">
        <v>86</v>
      </c>
      <c r="R2338">
        <v>82</v>
      </c>
      <c r="S2338">
        <v>80</v>
      </c>
      <c r="T2338">
        <v>80</v>
      </c>
      <c r="U2338">
        <v>3</v>
      </c>
      <c r="V2338" s="3">
        <f t="shared" si="145"/>
        <v>21720459</v>
      </c>
      <c r="W2338">
        <v>2812566.0833333335</v>
      </c>
      <c r="X2338">
        <v>0</v>
      </c>
      <c r="Y2338">
        <f t="shared" si="146"/>
        <v>1810038.25</v>
      </c>
      <c r="Z2338">
        <f t="shared" si="147"/>
        <v>55.39</v>
      </c>
      <c r="AA2338">
        <v>1</v>
      </c>
    </row>
    <row r="2339" spans="1:27" x14ac:dyDescent="0.25">
      <c r="A2339" s="1">
        <v>2338</v>
      </c>
      <c r="B2339" t="s">
        <v>2696</v>
      </c>
      <c r="C2339" t="s">
        <v>1136</v>
      </c>
      <c r="D2339" t="s">
        <v>1143</v>
      </c>
      <c r="E2339" t="s">
        <v>1145</v>
      </c>
      <c r="F2339" t="s">
        <v>1142</v>
      </c>
      <c r="G2339" t="s">
        <v>1175</v>
      </c>
      <c r="H2339" t="s">
        <v>1175</v>
      </c>
      <c r="I2339" t="s">
        <v>1175</v>
      </c>
      <c r="M2339" s="3">
        <f t="shared" si="144"/>
        <v>79</v>
      </c>
      <c r="N2339">
        <v>65</v>
      </c>
      <c r="O2339">
        <v>88</v>
      </c>
      <c r="P2339">
        <v>82</v>
      </c>
      <c r="Q2339">
        <v>84</v>
      </c>
      <c r="R2339">
        <v>78</v>
      </c>
      <c r="S2339">
        <v>81</v>
      </c>
      <c r="T2339">
        <v>75</v>
      </c>
      <c r="U2339">
        <v>19</v>
      </c>
      <c r="V2339" s="3">
        <f t="shared" si="145"/>
        <v>14202415</v>
      </c>
      <c r="W2339">
        <v>1183534.5833333333</v>
      </c>
      <c r="X2339">
        <v>0</v>
      </c>
      <c r="Y2339">
        <f t="shared" si="146"/>
        <v>1183534.5833333333</v>
      </c>
      <c r="Z2339">
        <f t="shared" si="147"/>
        <v>0</v>
      </c>
      <c r="AA2339">
        <v>1</v>
      </c>
    </row>
    <row r="2340" spans="1:27" x14ac:dyDescent="0.25">
      <c r="A2340" s="1">
        <v>2339</v>
      </c>
      <c r="B2340" t="s">
        <v>2702</v>
      </c>
      <c r="C2340" t="s">
        <v>1136</v>
      </c>
      <c r="D2340" t="s">
        <v>1143</v>
      </c>
      <c r="E2340" t="s">
        <v>1144</v>
      </c>
      <c r="F2340" t="s">
        <v>1145</v>
      </c>
      <c r="H2340" t="s">
        <v>1168</v>
      </c>
      <c r="I2340" t="s">
        <v>1168</v>
      </c>
      <c r="M2340" s="3">
        <f t="shared" si="144"/>
        <v>74.285714285714292</v>
      </c>
      <c r="N2340">
        <v>50</v>
      </c>
      <c r="O2340">
        <v>85</v>
      </c>
      <c r="P2340">
        <v>80</v>
      </c>
      <c r="Q2340">
        <v>85</v>
      </c>
      <c r="R2340">
        <v>80</v>
      </c>
      <c r="S2340">
        <v>80</v>
      </c>
      <c r="T2340">
        <v>60</v>
      </c>
      <c r="U2340">
        <v>19</v>
      </c>
      <c r="V2340" s="3">
        <f t="shared" si="145"/>
        <v>7676165</v>
      </c>
      <c r="W2340">
        <v>639680.41666666663</v>
      </c>
      <c r="X2340">
        <v>0</v>
      </c>
      <c r="Y2340">
        <f t="shared" si="146"/>
        <v>639680.41666666663</v>
      </c>
      <c r="Z2340">
        <f t="shared" si="147"/>
        <v>0</v>
      </c>
      <c r="AA2340">
        <v>1</v>
      </c>
    </row>
    <row r="2341" spans="1:27" x14ac:dyDescent="0.25">
      <c r="A2341" s="1">
        <v>2340</v>
      </c>
      <c r="B2341" t="s">
        <v>2703</v>
      </c>
      <c r="C2341" t="s">
        <v>1136</v>
      </c>
      <c r="D2341" t="s">
        <v>1143</v>
      </c>
      <c r="E2341" t="s">
        <v>1146</v>
      </c>
      <c r="F2341" t="s">
        <v>1147</v>
      </c>
      <c r="H2341" t="s">
        <v>1151</v>
      </c>
      <c r="I2341" t="s">
        <v>1151</v>
      </c>
      <c r="M2341" s="3">
        <f t="shared" si="144"/>
        <v>74.428571428571431</v>
      </c>
      <c r="N2341">
        <v>50</v>
      </c>
      <c r="O2341">
        <v>85</v>
      </c>
      <c r="P2341">
        <v>83</v>
      </c>
      <c r="Q2341">
        <v>78</v>
      </c>
      <c r="R2341">
        <v>81</v>
      </c>
      <c r="S2341">
        <v>86</v>
      </c>
      <c r="T2341">
        <v>58</v>
      </c>
      <c r="U2341">
        <v>19</v>
      </c>
      <c r="V2341" s="3">
        <f t="shared" si="145"/>
        <v>7825068</v>
      </c>
      <c r="W2341">
        <v>652089</v>
      </c>
      <c r="X2341">
        <v>0</v>
      </c>
      <c r="Y2341">
        <f t="shared" si="146"/>
        <v>652089</v>
      </c>
      <c r="Z2341">
        <f t="shared" si="147"/>
        <v>0</v>
      </c>
      <c r="AA2341">
        <v>1</v>
      </c>
    </row>
    <row r="2342" spans="1:27" x14ac:dyDescent="0.25">
      <c r="A2342" s="1">
        <v>2341</v>
      </c>
      <c r="B2342" t="s">
        <v>842</v>
      </c>
      <c r="C2342" t="s">
        <v>1137</v>
      </c>
      <c r="D2342" t="s">
        <v>1137</v>
      </c>
      <c r="G2342" t="s">
        <v>1182</v>
      </c>
      <c r="H2342" t="s">
        <v>1182</v>
      </c>
      <c r="I2342" t="s">
        <v>1182</v>
      </c>
      <c r="M2342" s="3">
        <f t="shared" si="144"/>
        <v>77.142857142857139</v>
      </c>
      <c r="N2342">
        <v>83</v>
      </c>
      <c r="O2342">
        <v>86</v>
      </c>
      <c r="P2342">
        <v>84</v>
      </c>
      <c r="Q2342">
        <v>82</v>
      </c>
      <c r="R2342">
        <v>76</v>
      </c>
      <c r="S2342">
        <v>74</v>
      </c>
      <c r="T2342">
        <v>55</v>
      </c>
      <c r="U2342">
        <v>0</v>
      </c>
      <c r="V2342" s="3">
        <f t="shared" si="145"/>
        <v>7463752</v>
      </c>
      <c r="W2342">
        <v>621979.33333333337</v>
      </c>
      <c r="X2342">
        <v>0</v>
      </c>
      <c r="Y2342">
        <f t="shared" si="146"/>
        <v>621979.33333333337</v>
      </c>
      <c r="Z2342">
        <f t="shared" si="147"/>
        <v>0</v>
      </c>
      <c r="AA2342">
        <v>0</v>
      </c>
    </row>
    <row r="2343" spans="1:27" x14ac:dyDescent="0.25">
      <c r="A2343" s="1">
        <v>2342</v>
      </c>
      <c r="B2343" t="s">
        <v>1028</v>
      </c>
      <c r="C2343" t="s">
        <v>1137</v>
      </c>
      <c r="D2343" t="s">
        <v>1137</v>
      </c>
      <c r="G2343" t="s">
        <v>1150</v>
      </c>
      <c r="H2343" t="s">
        <v>1153</v>
      </c>
      <c r="I2343" t="s">
        <v>1153</v>
      </c>
      <c r="M2343" s="3">
        <f t="shared" si="144"/>
        <v>94</v>
      </c>
      <c r="N2343">
        <v>95</v>
      </c>
      <c r="O2343">
        <v>88</v>
      </c>
      <c r="P2343">
        <v>94</v>
      </c>
      <c r="Q2343">
        <v>95</v>
      </c>
      <c r="R2343">
        <v>93</v>
      </c>
      <c r="S2343">
        <v>98</v>
      </c>
      <c r="T2343">
        <v>95</v>
      </c>
      <c r="U2343">
        <v>0</v>
      </c>
      <c r="V2343" s="3">
        <f t="shared" si="145"/>
        <v>53861512</v>
      </c>
      <c r="W2343">
        <v>4488459.333333333</v>
      </c>
      <c r="X2343">
        <v>0</v>
      </c>
      <c r="Y2343">
        <f t="shared" si="146"/>
        <v>4488459.333333333</v>
      </c>
      <c r="Z2343">
        <f t="shared" si="147"/>
        <v>0</v>
      </c>
      <c r="AA2343">
        <v>0</v>
      </c>
    </row>
    <row r="2344" spans="1:27" x14ac:dyDescent="0.25">
      <c r="A2344" s="1">
        <v>2343</v>
      </c>
      <c r="B2344" t="s">
        <v>1073</v>
      </c>
      <c r="C2344" t="s">
        <v>1137</v>
      </c>
      <c r="D2344" t="s">
        <v>1137</v>
      </c>
      <c r="G2344" t="s">
        <v>1196</v>
      </c>
      <c r="H2344" t="s">
        <v>1206</v>
      </c>
      <c r="I2344" t="s">
        <v>1206</v>
      </c>
      <c r="M2344" s="3">
        <f t="shared" si="144"/>
        <v>70.571428571428569</v>
      </c>
      <c r="N2344">
        <v>59</v>
      </c>
      <c r="O2344">
        <v>65</v>
      </c>
      <c r="P2344">
        <v>81</v>
      </c>
      <c r="Q2344">
        <v>77</v>
      </c>
      <c r="R2344">
        <v>81</v>
      </c>
      <c r="S2344">
        <v>78</v>
      </c>
      <c r="T2344">
        <v>53</v>
      </c>
      <c r="U2344">
        <v>0</v>
      </c>
      <c r="V2344" s="3">
        <f t="shared" si="145"/>
        <v>3064003</v>
      </c>
      <c r="W2344">
        <v>255333.58333333334</v>
      </c>
      <c r="X2344">
        <v>0</v>
      </c>
      <c r="Y2344">
        <f t="shared" si="146"/>
        <v>255333.58333333334</v>
      </c>
      <c r="Z2344">
        <f t="shared" si="147"/>
        <v>0</v>
      </c>
      <c r="AA2344">
        <v>0</v>
      </c>
    </row>
    <row r="2345" spans="1:27" x14ac:dyDescent="0.25">
      <c r="A2345" s="1">
        <v>2344</v>
      </c>
      <c r="B2345" t="s">
        <v>1044</v>
      </c>
      <c r="C2345" t="s">
        <v>1137</v>
      </c>
      <c r="D2345" t="s">
        <v>1137</v>
      </c>
      <c r="G2345" t="s">
        <v>1167</v>
      </c>
      <c r="H2345" t="s">
        <v>1153</v>
      </c>
      <c r="I2345" t="s">
        <v>1153</v>
      </c>
      <c r="M2345" s="3">
        <f t="shared" si="144"/>
        <v>75.857142857142861</v>
      </c>
      <c r="N2345">
        <v>61</v>
      </c>
      <c r="O2345">
        <v>75</v>
      </c>
      <c r="P2345">
        <v>78</v>
      </c>
      <c r="Q2345">
        <v>83</v>
      </c>
      <c r="R2345">
        <v>84</v>
      </c>
      <c r="S2345">
        <v>83</v>
      </c>
      <c r="T2345">
        <v>67</v>
      </c>
      <c r="U2345">
        <v>0</v>
      </c>
      <c r="V2345" s="3">
        <f t="shared" si="145"/>
        <v>6309063</v>
      </c>
      <c r="W2345">
        <v>525755.25</v>
      </c>
      <c r="X2345">
        <v>0</v>
      </c>
      <c r="Y2345">
        <f t="shared" si="146"/>
        <v>525755.25</v>
      </c>
      <c r="Z2345">
        <f t="shared" si="147"/>
        <v>0</v>
      </c>
      <c r="AA2345">
        <v>0</v>
      </c>
    </row>
    <row r="2346" spans="1:27" x14ac:dyDescent="0.25">
      <c r="A2346" s="1">
        <v>2345</v>
      </c>
      <c r="B2346" t="s">
        <v>1076</v>
      </c>
      <c r="C2346" t="s">
        <v>1137</v>
      </c>
      <c r="D2346" t="s">
        <v>1137</v>
      </c>
      <c r="G2346" t="s">
        <v>1199</v>
      </c>
      <c r="H2346" t="s">
        <v>1184</v>
      </c>
      <c r="I2346" t="s">
        <v>1184</v>
      </c>
      <c r="M2346" s="3">
        <f t="shared" si="144"/>
        <v>85</v>
      </c>
      <c r="N2346">
        <v>70</v>
      </c>
      <c r="O2346">
        <v>93</v>
      </c>
      <c r="P2346">
        <v>85</v>
      </c>
      <c r="Q2346">
        <v>86</v>
      </c>
      <c r="R2346">
        <v>83</v>
      </c>
      <c r="S2346">
        <v>95</v>
      </c>
      <c r="T2346">
        <v>83</v>
      </c>
      <c r="U2346">
        <v>0</v>
      </c>
      <c r="V2346" s="3">
        <f t="shared" si="145"/>
        <v>19687441</v>
      </c>
      <c r="W2346">
        <v>1640620.0833333333</v>
      </c>
      <c r="X2346">
        <v>0</v>
      </c>
      <c r="Y2346">
        <f t="shared" si="146"/>
        <v>1640620.0833333333</v>
      </c>
      <c r="Z2346">
        <f t="shared" si="147"/>
        <v>0</v>
      </c>
      <c r="AA2346">
        <v>0</v>
      </c>
    </row>
    <row r="2347" spans="1:27" x14ac:dyDescent="0.25">
      <c r="A2347" s="1">
        <v>2346</v>
      </c>
      <c r="B2347" t="s">
        <v>1086</v>
      </c>
      <c r="C2347" t="s">
        <v>1137</v>
      </c>
      <c r="D2347" t="s">
        <v>1137</v>
      </c>
      <c r="G2347" t="s">
        <v>1208</v>
      </c>
      <c r="H2347" t="s">
        <v>1208</v>
      </c>
      <c r="I2347" t="s">
        <v>1208</v>
      </c>
      <c r="M2347" s="3">
        <f t="shared" si="144"/>
        <v>71.571428571428569</v>
      </c>
      <c r="N2347">
        <v>55</v>
      </c>
      <c r="O2347">
        <v>68</v>
      </c>
      <c r="P2347">
        <v>80</v>
      </c>
      <c r="Q2347">
        <v>76</v>
      </c>
      <c r="R2347">
        <v>74</v>
      </c>
      <c r="S2347">
        <v>80</v>
      </c>
      <c r="T2347">
        <v>68</v>
      </c>
      <c r="U2347">
        <v>0</v>
      </c>
      <c r="V2347" s="3">
        <f t="shared" si="145"/>
        <v>3526931</v>
      </c>
      <c r="W2347">
        <v>293910.91666666669</v>
      </c>
      <c r="X2347">
        <v>0</v>
      </c>
      <c r="Y2347">
        <f t="shared" si="146"/>
        <v>293910.91666666669</v>
      </c>
      <c r="Z2347">
        <f t="shared" si="147"/>
        <v>0</v>
      </c>
      <c r="AA2347">
        <v>0</v>
      </c>
    </row>
    <row r="2348" spans="1:27" x14ac:dyDescent="0.25">
      <c r="A2348" s="1">
        <v>2347</v>
      </c>
      <c r="B2348" t="s">
        <v>1077</v>
      </c>
      <c r="C2348" t="s">
        <v>1137</v>
      </c>
      <c r="D2348" t="s">
        <v>1137</v>
      </c>
      <c r="G2348" t="s">
        <v>1200</v>
      </c>
      <c r="H2348" t="s">
        <v>1200</v>
      </c>
      <c r="I2348" t="s">
        <v>1200</v>
      </c>
      <c r="M2348" s="3">
        <f t="shared" si="144"/>
        <v>89.142857142857139</v>
      </c>
      <c r="N2348">
        <v>90</v>
      </c>
      <c r="O2348">
        <v>97</v>
      </c>
      <c r="P2348">
        <v>90</v>
      </c>
      <c r="Q2348">
        <v>92</v>
      </c>
      <c r="R2348">
        <v>84</v>
      </c>
      <c r="S2348">
        <v>85</v>
      </c>
      <c r="T2348">
        <v>86</v>
      </c>
      <c r="U2348">
        <v>0</v>
      </c>
      <c r="V2348" s="3">
        <f t="shared" si="145"/>
        <v>31685860</v>
      </c>
      <c r="W2348">
        <v>2640488.3333333335</v>
      </c>
      <c r="X2348">
        <v>0</v>
      </c>
      <c r="Y2348">
        <f t="shared" si="146"/>
        <v>2640488.3333333335</v>
      </c>
      <c r="Z2348">
        <f t="shared" si="147"/>
        <v>0</v>
      </c>
      <c r="AA2348">
        <v>0</v>
      </c>
    </row>
    <row r="2349" spans="1:27" x14ac:dyDescent="0.25">
      <c r="A2349" s="1">
        <v>2348</v>
      </c>
      <c r="B2349" t="s">
        <v>1083</v>
      </c>
      <c r="C2349" t="s">
        <v>1137</v>
      </c>
      <c r="D2349" t="s">
        <v>1137</v>
      </c>
      <c r="G2349" t="s">
        <v>1205</v>
      </c>
      <c r="H2349" t="s">
        <v>1205</v>
      </c>
      <c r="I2349" t="s">
        <v>1205</v>
      </c>
      <c r="M2349" s="3">
        <f t="shared" si="144"/>
        <v>89.571428571428569</v>
      </c>
      <c r="N2349">
        <v>80</v>
      </c>
      <c r="O2349">
        <v>87</v>
      </c>
      <c r="P2349">
        <v>88</v>
      </c>
      <c r="Q2349">
        <v>93</v>
      </c>
      <c r="R2349">
        <v>95</v>
      </c>
      <c r="S2349">
        <v>92</v>
      </c>
      <c r="T2349">
        <v>92</v>
      </c>
      <c r="U2349">
        <v>0</v>
      </c>
      <c r="V2349" s="3">
        <f t="shared" si="145"/>
        <v>33242602</v>
      </c>
      <c r="W2349">
        <v>2770216.8333333335</v>
      </c>
      <c r="X2349">
        <v>0</v>
      </c>
      <c r="Y2349">
        <f t="shared" si="146"/>
        <v>2770216.8333333335</v>
      </c>
      <c r="Z2349">
        <f t="shared" si="147"/>
        <v>0</v>
      </c>
      <c r="AA2349">
        <v>0</v>
      </c>
    </row>
    <row r="2350" spans="1:27" x14ac:dyDescent="0.25">
      <c r="A2350" s="1">
        <v>2349</v>
      </c>
      <c r="B2350" t="s">
        <v>1055</v>
      </c>
      <c r="C2350" t="s">
        <v>1137</v>
      </c>
      <c r="D2350" t="s">
        <v>1137</v>
      </c>
      <c r="G2350" t="s">
        <v>1177</v>
      </c>
      <c r="H2350" t="s">
        <v>1177</v>
      </c>
      <c r="I2350" t="s">
        <v>1177</v>
      </c>
      <c r="M2350" s="3">
        <f t="shared" si="144"/>
        <v>78.428571428571431</v>
      </c>
      <c r="N2350">
        <v>72</v>
      </c>
      <c r="O2350">
        <v>81</v>
      </c>
      <c r="P2350">
        <v>80</v>
      </c>
      <c r="Q2350">
        <v>86</v>
      </c>
      <c r="R2350">
        <v>84</v>
      </c>
      <c r="S2350">
        <v>80</v>
      </c>
      <c r="T2350">
        <v>66</v>
      </c>
      <c r="U2350">
        <v>0</v>
      </c>
      <c r="V2350" s="3">
        <f t="shared" si="145"/>
        <v>8805278</v>
      </c>
      <c r="W2350">
        <v>733773.16666666663</v>
      </c>
      <c r="X2350">
        <v>0</v>
      </c>
      <c r="Y2350">
        <f t="shared" si="146"/>
        <v>733773.16666666663</v>
      </c>
      <c r="Z2350">
        <f t="shared" si="147"/>
        <v>0</v>
      </c>
      <c r="AA2350">
        <v>0</v>
      </c>
    </row>
    <row r="2351" spans="1:27" x14ac:dyDescent="0.25">
      <c r="A2351" s="1">
        <v>2350</v>
      </c>
      <c r="B2351" t="s">
        <v>1050</v>
      </c>
      <c r="C2351" t="s">
        <v>1137</v>
      </c>
      <c r="D2351" t="s">
        <v>1137</v>
      </c>
      <c r="G2351" t="s">
        <v>1173</v>
      </c>
      <c r="H2351" t="s">
        <v>1173</v>
      </c>
      <c r="I2351" t="s">
        <v>1173</v>
      </c>
      <c r="M2351" s="3">
        <f t="shared" si="144"/>
        <v>78.571428571428569</v>
      </c>
      <c r="N2351">
        <v>60</v>
      </c>
      <c r="O2351">
        <v>80</v>
      </c>
      <c r="P2351">
        <v>85</v>
      </c>
      <c r="Q2351">
        <v>84</v>
      </c>
      <c r="R2351">
        <v>83</v>
      </c>
      <c r="S2351">
        <v>80</v>
      </c>
      <c r="T2351">
        <v>78</v>
      </c>
      <c r="U2351">
        <v>0</v>
      </c>
      <c r="V2351" s="3">
        <f t="shared" si="145"/>
        <v>8966987</v>
      </c>
      <c r="W2351">
        <v>747248.91666666663</v>
      </c>
      <c r="X2351">
        <v>0</v>
      </c>
      <c r="Y2351">
        <f t="shared" si="146"/>
        <v>747248.91666666663</v>
      </c>
      <c r="Z2351">
        <f t="shared" si="147"/>
        <v>0</v>
      </c>
      <c r="AA2351">
        <v>0</v>
      </c>
    </row>
    <row r="2352" spans="1:27" x14ac:dyDescent="0.25">
      <c r="A2352" s="1">
        <v>2351</v>
      </c>
      <c r="B2352" t="s">
        <v>1062</v>
      </c>
      <c r="C2352" t="s">
        <v>1137</v>
      </c>
      <c r="D2352" t="s">
        <v>1137</v>
      </c>
      <c r="G2352" t="s">
        <v>1185</v>
      </c>
      <c r="H2352" t="s">
        <v>1185</v>
      </c>
      <c r="I2352" t="s">
        <v>1185</v>
      </c>
      <c r="M2352" s="3">
        <f t="shared" si="144"/>
        <v>75.142857142857139</v>
      </c>
      <c r="N2352">
        <v>60</v>
      </c>
      <c r="O2352">
        <v>71</v>
      </c>
      <c r="P2352">
        <v>84</v>
      </c>
      <c r="Q2352">
        <v>80</v>
      </c>
      <c r="R2352">
        <v>84</v>
      </c>
      <c r="S2352">
        <v>83</v>
      </c>
      <c r="T2352">
        <v>64</v>
      </c>
      <c r="U2352">
        <v>0</v>
      </c>
      <c r="V2352" s="3">
        <f t="shared" si="145"/>
        <v>5739540</v>
      </c>
      <c r="W2352">
        <v>478295</v>
      </c>
      <c r="X2352">
        <v>0</v>
      </c>
      <c r="Y2352">
        <f t="shared" si="146"/>
        <v>478295</v>
      </c>
      <c r="Z2352">
        <f t="shared" si="147"/>
        <v>0</v>
      </c>
      <c r="AA2352">
        <v>0</v>
      </c>
    </row>
    <row r="2353" spans="1:27" x14ac:dyDescent="0.25">
      <c r="A2353" s="1">
        <v>2352</v>
      </c>
      <c r="B2353" t="s">
        <v>1027</v>
      </c>
      <c r="C2353" t="s">
        <v>1137</v>
      </c>
      <c r="D2353" t="s">
        <v>1137</v>
      </c>
      <c r="G2353" t="s">
        <v>1149</v>
      </c>
      <c r="H2353" t="s">
        <v>1222</v>
      </c>
      <c r="I2353" t="s">
        <v>1222</v>
      </c>
      <c r="M2353" s="3">
        <f t="shared" si="144"/>
        <v>80.571428571428569</v>
      </c>
      <c r="N2353">
        <v>80</v>
      </c>
      <c r="O2353">
        <v>93</v>
      </c>
      <c r="P2353">
        <v>82</v>
      </c>
      <c r="Q2353">
        <v>78</v>
      </c>
      <c r="R2353">
        <v>80</v>
      </c>
      <c r="S2353">
        <v>81</v>
      </c>
      <c r="T2353">
        <v>70</v>
      </c>
      <c r="U2353">
        <v>0</v>
      </c>
      <c r="V2353" s="3">
        <f t="shared" si="145"/>
        <v>11529505</v>
      </c>
      <c r="W2353">
        <v>960792.08333333337</v>
      </c>
      <c r="X2353">
        <v>0</v>
      </c>
      <c r="Y2353">
        <f t="shared" si="146"/>
        <v>960792.08333333337</v>
      </c>
      <c r="Z2353">
        <f t="shared" si="147"/>
        <v>0</v>
      </c>
      <c r="AA2353">
        <v>0</v>
      </c>
    </row>
    <row r="2354" spans="1:27" x14ac:dyDescent="0.25">
      <c r="A2354" s="1">
        <v>2353</v>
      </c>
      <c r="B2354" t="s">
        <v>1061</v>
      </c>
      <c r="C2354" t="s">
        <v>1137</v>
      </c>
      <c r="D2354" t="s">
        <v>1137</v>
      </c>
      <c r="G2354" t="s">
        <v>1184</v>
      </c>
      <c r="H2354" t="s">
        <v>1162</v>
      </c>
      <c r="I2354" t="s">
        <v>1162</v>
      </c>
      <c r="M2354" s="3">
        <f t="shared" si="144"/>
        <v>69.857142857142861</v>
      </c>
      <c r="N2354">
        <v>62</v>
      </c>
      <c r="O2354">
        <v>74</v>
      </c>
      <c r="P2354">
        <v>82</v>
      </c>
      <c r="Q2354">
        <v>75</v>
      </c>
      <c r="R2354">
        <v>70</v>
      </c>
      <c r="S2354">
        <v>73</v>
      </c>
      <c r="T2354">
        <v>53</v>
      </c>
      <c r="U2354">
        <v>0</v>
      </c>
      <c r="V2354" s="3">
        <f t="shared" si="145"/>
        <v>2767632</v>
      </c>
      <c r="W2354">
        <v>230636</v>
      </c>
      <c r="X2354">
        <v>0</v>
      </c>
      <c r="Y2354">
        <f t="shared" si="146"/>
        <v>230636</v>
      </c>
      <c r="Z2354">
        <f t="shared" si="147"/>
        <v>0</v>
      </c>
      <c r="AA2354">
        <v>0</v>
      </c>
    </row>
    <row r="2355" spans="1:27" x14ac:dyDescent="0.25">
      <c r="A2355" s="1">
        <v>2354</v>
      </c>
      <c r="B2355" t="s">
        <v>1085</v>
      </c>
      <c r="C2355" t="s">
        <v>1137</v>
      </c>
      <c r="D2355" t="s">
        <v>1137</v>
      </c>
      <c r="G2355" t="s">
        <v>1207</v>
      </c>
      <c r="H2355" t="s">
        <v>1194</v>
      </c>
      <c r="I2355" t="s">
        <v>1194</v>
      </c>
      <c r="M2355" s="3">
        <f t="shared" si="144"/>
        <v>71.714285714285708</v>
      </c>
      <c r="N2355">
        <v>43</v>
      </c>
      <c r="O2355">
        <v>86</v>
      </c>
      <c r="P2355">
        <v>84</v>
      </c>
      <c r="Q2355">
        <v>85</v>
      </c>
      <c r="R2355">
        <v>80</v>
      </c>
      <c r="S2355">
        <v>77</v>
      </c>
      <c r="T2355">
        <v>47</v>
      </c>
      <c r="U2355">
        <v>0</v>
      </c>
      <c r="V2355" s="3">
        <f t="shared" si="145"/>
        <v>3597964</v>
      </c>
      <c r="W2355">
        <v>299830.33333333331</v>
      </c>
      <c r="X2355">
        <v>0</v>
      </c>
      <c r="Y2355">
        <f t="shared" si="146"/>
        <v>299830.33333333331</v>
      </c>
      <c r="Z2355">
        <f t="shared" si="147"/>
        <v>0</v>
      </c>
      <c r="AA2355">
        <v>0</v>
      </c>
    </row>
    <row r="2356" spans="1:27" x14ac:dyDescent="0.25">
      <c r="A2356" s="1">
        <v>2355</v>
      </c>
      <c r="B2356" t="s">
        <v>1058</v>
      </c>
      <c r="C2356" t="s">
        <v>1137</v>
      </c>
      <c r="D2356" t="s">
        <v>1137</v>
      </c>
      <c r="G2356" t="s">
        <v>1180</v>
      </c>
      <c r="H2356" t="s">
        <v>1195</v>
      </c>
      <c r="I2356" t="s">
        <v>1195</v>
      </c>
      <c r="M2356" s="3">
        <f t="shared" si="144"/>
        <v>78.285714285714292</v>
      </c>
      <c r="N2356">
        <v>62</v>
      </c>
      <c r="O2356">
        <v>80</v>
      </c>
      <c r="P2356">
        <v>88</v>
      </c>
      <c r="Q2356">
        <v>81</v>
      </c>
      <c r="R2356">
        <v>84</v>
      </c>
      <c r="S2356">
        <v>80</v>
      </c>
      <c r="T2356">
        <v>73</v>
      </c>
      <c r="U2356">
        <v>0</v>
      </c>
      <c r="V2356" s="3">
        <f t="shared" si="145"/>
        <v>8646199</v>
      </c>
      <c r="W2356">
        <v>720516.58333333337</v>
      </c>
      <c r="X2356">
        <v>0</v>
      </c>
      <c r="Y2356">
        <f t="shared" si="146"/>
        <v>720516.58333333337</v>
      </c>
      <c r="Z2356">
        <f t="shared" si="147"/>
        <v>0</v>
      </c>
      <c r="AA2356">
        <v>0</v>
      </c>
    </row>
    <row r="2357" spans="1:27" x14ac:dyDescent="0.25">
      <c r="A2357" s="1">
        <v>2356</v>
      </c>
      <c r="B2357" t="s">
        <v>1088</v>
      </c>
      <c r="C2357" t="s">
        <v>1137</v>
      </c>
      <c r="D2357" t="s">
        <v>1137</v>
      </c>
      <c r="G2357" t="s">
        <v>1210</v>
      </c>
      <c r="H2357" t="s">
        <v>1210</v>
      </c>
      <c r="I2357" t="s">
        <v>1210</v>
      </c>
      <c r="M2357" s="3">
        <f t="shared" si="144"/>
        <v>92.428571428571431</v>
      </c>
      <c r="N2357">
        <v>88</v>
      </c>
      <c r="O2357">
        <v>89</v>
      </c>
      <c r="P2357">
        <v>94</v>
      </c>
      <c r="Q2357">
        <v>98</v>
      </c>
      <c r="R2357">
        <v>93</v>
      </c>
      <c r="S2357">
        <v>95</v>
      </c>
      <c r="T2357">
        <v>90</v>
      </c>
      <c r="U2357">
        <v>0</v>
      </c>
      <c r="V2357" s="3">
        <f t="shared" si="145"/>
        <v>45505345</v>
      </c>
      <c r="W2357">
        <v>3792112.0833333335</v>
      </c>
      <c r="X2357">
        <v>0</v>
      </c>
      <c r="Y2357">
        <f t="shared" si="146"/>
        <v>3792112.0833333335</v>
      </c>
      <c r="Z2357">
        <f t="shared" si="147"/>
        <v>0</v>
      </c>
      <c r="AA2357">
        <v>0</v>
      </c>
    </row>
    <row r="2358" spans="1:27" x14ac:dyDescent="0.25">
      <c r="A2358" s="1">
        <v>2357</v>
      </c>
      <c r="B2358" t="s">
        <v>1045</v>
      </c>
      <c r="C2358" t="s">
        <v>1137</v>
      </c>
      <c r="D2358" t="s">
        <v>1137</v>
      </c>
      <c r="G2358" t="s">
        <v>1168</v>
      </c>
      <c r="H2358" t="s">
        <v>1168</v>
      </c>
      <c r="I2358" t="s">
        <v>1168</v>
      </c>
      <c r="M2358" s="3">
        <f t="shared" si="144"/>
        <v>90.714285714285708</v>
      </c>
      <c r="N2358">
        <v>88</v>
      </c>
      <c r="O2358">
        <v>87</v>
      </c>
      <c r="P2358">
        <v>94</v>
      </c>
      <c r="Q2358">
        <v>95</v>
      </c>
      <c r="R2358">
        <v>90</v>
      </c>
      <c r="S2358">
        <v>89</v>
      </c>
      <c r="T2358">
        <v>92</v>
      </c>
      <c r="U2358">
        <v>0</v>
      </c>
      <c r="V2358" s="3">
        <f t="shared" si="145"/>
        <v>37736086</v>
      </c>
      <c r="W2358">
        <v>3144673.8333333335</v>
      </c>
      <c r="X2358">
        <v>0</v>
      </c>
      <c r="Y2358">
        <f t="shared" si="146"/>
        <v>3144673.8333333335</v>
      </c>
      <c r="Z2358">
        <f t="shared" si="147"/>
        <v>0</v>
      </c>
      <c r="AA2358">
        <v>0</v>
      </c>
    </row>
    <row r="2359" spans="1:27" x14ac:dyDescent="0.25">
      <c r="A2359" s="1">
        <v>2358</v>
      </c>
      <c r="B2359" t="s">
        <v>1057</v>
      </c>
      <c r="C2359" t="s">
        <v>1137</v>
      </c>
      <c r="D2359" t="s">
        <v>1137</v>
      </c>
      <c r="G2359" t="s">
        <v>1179</v>
      </c>
      <c r="H2359" t="s">
        <v>1179</v>
      </c>
      <c r="I2359" t="s">
        <v>1179</v>
      </c>
      <c r="M2359" s="3">
        <f t="shared" si="144"/>
        <v>86</v>
      </c>
      <c r="N2359">
        <v>76</v>
      </c>
      <c r="O2359">
        <v>92</v>
      </c>
      <c r="P2359">
        <v>90</v>
      </c>
      <c r="Q2359">
        <v>93</v>
      </c>
      <c r="R2359">
        <v>95</v>
      </c>
      <c r="S2359">
        <v>80</v>
      </c>
      <c r="T2359">
        <v>76</v>
      </c>
      <c r="U2359">
        <v>0</v>
      </c>
      <c r="V2359" s="3">
        <f t="shared" si="145"/>
        <v>22130158</v>
      </c>
      <c r="W2359">
        <v>1844179.8333333333</v>
      </c>
      <c r="X2359">
        <v>0</v>
      </c>
      <c r="Y2359">
        <f t="shared" si="146"/>
        <v>1844179.8333333333</v>
      </c>
      <c r="Z2359">
        <f t="shared" si="147"/>
        <v>0</v>
      </c>
      <c r="AA2359">
        <v>0</v>
      </c>
    </row>
    <row r="2360" spans="1:27" x14ac:dyDescent="0.25">
      <c r="A2360" s="1">
        <v>2359</v>
      </c>
      <c r="B2360" t="s">
        <v>1082</v>
      </c>
      <c r="C2360" t="s">
        <v>1137</v>
      </c>
      <c r="D2360" t="s">
        <v>1137</v>
      </c>
      <c r="G2360" t="s">
        <v>1204</v>
      </c>
      <c r="H2360" t="s">
        <v>1204</v>
      </c>
      <c r="I2360" t="s">
        <v>1204</v>
      </c>
      <c r="M2360" s="3">
        <f t="shared" si="144"/>
        <v>67.428571428571431</v>
      </c>
      <c r="N2360">
        <v>42</v>
      </c>
      <c r="O2360">
        <v>66</v>
      </c>
      <c r="P2360">
        <v>79</v>
      </c>
      <c r="Q2360">
        <v>71</v>
      </c>
      <c r="R2360">
        <v>82</v>
      </c>
      <c r="S2360">
        <v>74</v>
      </c>
      <c r="T2360">
        <v>58</v>
      </c>
      <c r="U2360">
        <v>0</v>
      </c>
      <c r="V2360" s="3">
        <f t="shared" si="145"/>
        <v>1942852</v>
      </c>
      <c r="W2360">
        <v>161904.33333333334</v>
      </c>
      <c r="X2360">
        <v>0</v>
      </c>
      <c r="Y2360">
        <f t="shared" si="146"/>
        <v>161904.33333333334</v>
      </c>
      <c r="Z2360">
        <f t="shared" si="147"/>
        <v>0</v>
      </c>
      <c r="AA2360">
        <v>0</v>
      </c>
    </row>
    <row r="2361" spans="1:27" x14ac:dyDescent="0.25">
      <c r="A2361" s="1">
        <v>2360</v>
      </c>
      <c r="B2361" t="s">
        <v>1047</v>
      </c>
      <c r="C2361" t="s">
        <v>1137</v>
      </c>
      <c r="D2361" t="s">
        <v>1137</v>
      </c>
      <c r="G2361" t="s">
        <v>1170</v>
      </c>
      <c r="H2361" t="s">
        <v>1153</v>
      </c>
      <c r="I2361" t="s">
        <v>1153</v>
      </c>
      <c r="M2361" s="3">
        <f t="shared" si="144"/>
        <v>95.571428571428569</v>
      </c>
      <c r="N2361">
        <v>97</v>
      </c>
      <c r="O2361">
        <v>90</v>
      </c>
      <c r="P2361">
        <v>94</v>
      </c>
      <c r="Q2361">
        <v>97</v>
      </c>
      <c r="R2361">
        <v>99</v>
      </c>
      <c r="S2361">
        <v>99</v>
      </c>
      <c r="T2361">
        <v>93</v>
      </c>
      <c r="U2361">
        <v>0</v>
      </c>
      <c r="V2361" s="3">
        <f t="shared" si="145"/>
        <v>63574182</v>
      </c>
      <c r="W2361">
        <v>5297848.5</v>
      </c>
      <c r="X2361">
        <v>0</v>
      </c>
      <c r="Y2361">
        <f t="shared" si="146"/>
        <v>5297848.5</v>
      </c>
      <c r="Z2361">
        <f t="shared" si="147"/>
        <v>0</v>
      </c>
      <c r="AA2361">
        <v>0</v>
      </c>
    </row>
    <row r="2362" spans="1:27" x14ac:dyDescent="0.25">
      <c r="A2362" s="1">
        <v>2361</v>
      </c>
      <c r="B2362" t="s">
        <v>1026</v>
      </c>
      <c r="C2362" t="s">
        <v>1137</v>
      </c>
      <c r="D2362" t="s">
        <v>1137</v>
      </c>
      <c r="G2362" t="s">
        <v>1148</v>
      </c>
      <c r="H2362" t="s">
        <v>1168</v>
      </c>
      <c r="I2362" t="s">
        <v>1168</v>
      </c>
      <c r="M2362" s="3">
        <f t="shared" si="144"/>
        <v>81.857142857142861</v>
      </c>
      <c r="N2362">
        <v>75</v>
      </c>
      <c r="O2362">
        <v>83</v>
      </c>
      <c r="P2362">
        <v>83</v>
      </c>
      <c r="Q2362">
        <v>85</v>
      </c>
      <c r="R2362">
        <v>84</v>
      </c>
      <c r="S2362">
        <v>88</v>
      </c>
      <c r="T2362">
        <v>75</v>
      </c>
      <c r="U2362">
        <v>0</v>
      </c>
      <c r="V2362" s="3">
        <f t="shared" si="145"/>
        <v>13507216</v>
      </c>
      <c r="W2362">
        <v>1125601.3333333333</v>
      </c>
      <c r="X2362">
        <v>0</v>
      </c>
      <c r="Y2362">
        <f t="shared" si="146"/>
        <v>1125601.3333333333</v>
      </c>
      <c r="Z2362">
        <f t="shared" si="147"/>
        <v>0</v>
      </c>
      <c r="AA2362">
        <v>0</v>
      </c>
    </row>
    <row r="2363" spans="1:27" x14ac:dyDescent="0.25">
      <c r="A2363" s="1">
        <v>2362</v>
      </c>
      <c r="B2363" t="s">
        <v>1034</v>
      </c>
      <c r="C2363" t="s">
        <v>1137</v>
      </c>
      <c r="D2363" t="s">
        <v>1137</v>
      </c>
      <c r="G2363" t="s">
        <v>1156</v>
      </c>
      <c r="H2363" t="s">
        <v>1156</v>
      </c>
      <c r="I2363" t="s">
        <v>1156</v>
      </c>
      <c r="M2363" s="3">
        <f t="shared" si="144"/>
        <v>69</v>
      </c>
      <c r="N2363">
        <v>50</v>
      </c>
      <c r="O2363">
        <v>71</v>
      </c>
      <c r="P2363">
        <v>85</v>
      </c>
      <c r="Q2363">
        <v>75</v>
      </c>
      <c r="R2363">
        <v>73</v>
      </c>
      <c r="S2363">
        <v>75</v>
      </c>
      <c r="T2363">
        <v>54</v>
      </c>
      <c r="U2363">
        <v>0</v>
      </c>
      <c r="V2363" s="3">
        <f t="shared" si="145"/>
        <v>2446195</v>
      </c>
      <c r="W2363">
        <v>203849.58333333334</v>
      </c>
      <c r="X2363">
        <v>0</v>
      </c>
      <c r="Y2363">
        <f t="shared" si="146"/>
        <v>203849.58333333334</v>
      </c>
      <c r="Z2363">
        <f t="shared" si="147"/>
        <v>0</v>
      </c>
      <c r="AA2363">
        <v>0</v>
      </c>
    </row>
    <row r="2364" spans="1:27" x14ac:dyDescent="0.25">
      <c r="A2364" s="1">
        <v>2363</v>
      </c>
      <c r="B2364" t="s">
        <v>1029</v>
      </c>
      <c r="C2364" t="s">
        <v>1137</v>
      </c>
      <c r="D2364" t="s">
        <v>1137</v>
      </c>
      <c r="G2364" t="s">
        <v>1151</v>
      </c>
      <c r="H2364" t="s">
        <v>1151</v>
      </c>
      <c r="I2364" t="s">
        <v>1151</v>
      </c>
      <c r="M2364" s="3">
        <f t="shared" si="144"/>
        <v>81.857142857142861</v>
      </c>
      <c r="N2364">
        <v>70</v>
      </c>
      <c r="O2364">
        <v>81</v>
      </c>
      <c r="P2364">
        <v>88</v>
      </c>
      <c r="Q2364">
        <v>85</v>
      </c>
      <c r="R2364">
        <v>86</v>
      </c>
      <c r="S2364">
        <v>90</v>
      </c>
      <c r="T2364">
        <v>73</v>
      </c>
      <c r="U2364">
        <v>0</v>
      </c>
      <c r="V2364" s="3">
        <f t="shared" si="145"/>
        <v>13507216</v>
      </c>
      <c r="W2364">
        <v>1125601.3333333333</v>
      </c>
      <c r="X2364">
        <v>0</v>
      </c>
      <c r="Y2364">
        <f t="shared" si="146"/>
        <v>1125601.3333333333</v>
      </c>
      <c r="Z2364">
        <f t="shared" si="147"/>
        <v>0</v>
      </c>
      <c r="AA2364">
        <v>0</v>
      </c>
    </row>
    <row r="2365" spans="1:27" x14ac:dyDescent="0.25">
      <c r="A2365" s="1">
        <v>2364</v>
      </c>
      <c r="B2365" t="s">
        <v>1052</v>
      </c>
      <c r="C2365" t="s">
        <v>1137</v>
      </c>
      <c r="D2365" t="s">
        <v>1137</v>
      </c>
      <c r="G2365" t="s">
        <v>1175</v>
      </c>
      <c r="H2365" t="s">
        <v>1214</v>
      </c>
      <c r="I2365" t="s">
        <v>1214</v>
      </c>
      <c r="M2365" s="3">
        <f t="shared" si="144"/>
        <v>87.571428571428569</v>
      </c>
      <c r="N2365">
        <v>88</v>
      </c>
      <c r="O2365">
        <v>93</v>
      </c>
      <c r="P2365">
        <v>86</v>
      </c>
      <c r="Q2365">
        <v>90</v>
      </c>
      <c r="R2365">
        <v>88</v>
      </c>
      <c r="S2365">
        <v>83</v>
      </c>
      <c r="T2365">
        <v>85</v>
      </c>
      <c r="U2365">
        <v>0</v>
      </c>
      <c r="V2365" s="3">
        <f t="shared" si="145"/>
        <v>26523104</v>
      </c>
      <c r="W2365">
        <v>2210258.6666666665</v>
      </c>
      <c r="X2365">
        <v>0</v>
      </c>
      <c r="Y2365">
        <f t="shared" si="146"/>
        <v>2210258.6666666665</v>
      </c>
      <c r="Z2365">
        <f t="shared" si="147"/>
        <v>0</v>
      </c>
      <c r="AA2365">
        <v>0</v>
      </c>
    </row>
    <row r="2366" spans="1:27" x14ac:dyDescent="0.25">
      <c r="A2366" s="1">
        <v>2365</v>
      </c>
      <c r="B2366" t="s">
        <v>1072</v>
      </c>
      <c r="C2366" t="s">
        <v>1137</v>
      </c>
      <c r="D2366" t="s">
        <v>1137</v>
      </c>
      <c r="G2366" t="s">
        <v>1195</v>
      </c>
      <c r="H2366" t="s">
        <v>1195</v>
      </c>
      <c r="I2366" t="s">
        <v>1195</v>
      </c>
      <c r="J2366" t="s">
        <v>2672</v>
      </c>
      <c r="K2366" t="s">
        <v>1212</v>
      </c>
      <c r="M2366" s="3">
        <f t="shared" si="144"/>
        <v>82.142857142857139</v>
      </c>
      <c r="N2366">
        <v>56</v>
      </c>
      <c r="O2366">
        <v>83</v>
      </c>
      <c r="P2366">
        <v>90</v>
      </c>
      <c r="Q2366">
        <v>89</v>
      </c>
      <c r="R2366">
        <v>96</v>
      </c>
      <c r="S2366">
        <v>95</v>
      </c>
      <c r="T2366">
        <v>66</v>
      </c>
      <c r="U2366">
        <v>0</v>
      </c>
      <c r="V2366" s="3">
        <f t="shared" si="145"/>
        <v>13986146</v>
      </c>
      <c r="W2366">
        <v>1165512.1666666667</v>
      </c>
      <c r="X2366">
        <v>0</v>
      </c>
      <c r="Y2366">
        <f t="shared" si="146"/>
        <v>1165512.1666666667</v>
      </c>
      <c r="Z2366">
        <f t="shared" si="147"/>
        <v>0</v>
      </c>
      <c r="AA2366">
        <v>0</v>
      </c>
    </row>
    <row r="2367" spans="1:27" x14ac:dyDescent="0.25">
      <c r="A2367" s="1">
        <v>2366</v>
      </c>
      <c r="B2367" t="s">
        <v>1039</v>
      </c>
      <c r="C2367" t="s">
        <v>1137</v>
      </c>
      <c r="D2367" t="s">
        <v>1137</v>
      </c>
      <c r="G2367" t="s">
        <v>1162</v>
      </c>
      <c r="H2367" t="s">
        <v>1162</v>
      </c>
      <c r="I2367" t="s">
        <v>1162</v>
      </c>
      <c r="M2367" s="3">
        <f t="shared" si="144"/>
        <v>77.714285714285708</v>
      </c>
      <c r="N2367">
        <v>68</v>
      </c>
      <c r="O2367">
        <v>78</v>
      </c>
      <c r="P2367">
        <v>80</v>
      </c>
      <c r="Q2367">
        <v>83</v>
      </c>
      <c r="R2367">
        <v>80</v>
      </c>
      <c r="S2367">
        <v>95</v>
      </c>
      <c r="T2367">
        <v>60</v>
      </c>
      <c r="U2367">
        <v>0</v>
      </c>
      <c r="V2367" s="3">
        <f t="shared" si="145"/>
        <v>8035421</v>
      </c>
      <c r="W2367">
        <v>669618.41666666663</v>
      </c>
      <c r="X2367">
        <v>0</v>
      </c>
      <c r="Y2367">
        <f t="shared" si="146"/>
        <v>669618.41666666663</v>
      </c>
      <c r="Z2367">
        <f t="shared" si="147"/>
        <v>0</v>
      </c>
      <c r="AA2367">
        <v>0</v>
      </c>
    </row>
    <row r="2368" spans="1:27" x14ac:dyDescent="0.25">
      <c r="A2368" s="1">
        <v>2367</v>
      </c>
      <c r="B2368" t="s">
        <v>1041</v>
      </c>
      <c r="C2368" t="s">
        <v>1137</v>
      </c>
      <c r="D2368" t="s">
        <v>1137</v>
      </c>
      <c r="G2368" t="s">
        <v>1164</v>
      </c>
      <c r="H2368" t="s">
        <v>1173</v>
      </c>
      <c r="I2368" t="s">
        <v>1173</v>
      </c>
      <c r="M2368" s="3">
        <f t="shared" si="144"/>
        <v>76.714285714285708</v>
      </c>
      <c r="N2368">
        <v>68</v>
      </c>
      <c r="O2368">
        <v>85</v>
      </c>
      <c r="P2368">
        <v>80</v>
      </c>
      <c r="Q2368">
        <v>77</v>
      </c>
      <c r="R2368">
        <v>83</v>
      </c>
      <c r="S2368">
        <v>74</v>
      </c>
      <c r="T2368">
        <v>70</v>
      </c>
      <c r="U2368">
        <v>0</v>
      </c>
      <c r="V2368" s="3">
        <f t="shared" si="145"/>
        <v>7059314</v>
      </c>
      <c r="W2368">
        <v>588276.16666666663</v>
      </c>
      <c r="X2368">
        <v>0</v>
      </c>
      <c r="Y2368">
        <f t="shared" si="146"/>
        <v>588276.16666666663</v>
      </c>
      <c r="Z2368">
        <f t="shared" si="147"/>
        <v>0</v>
      </c>
      <c r="AA2368">
        <v>0</v>
      </c>
    </row>
    <row r="2369" spans="1:27" x14ac:dyDescent="0.25">
      <c r="A2369" s="1">
        <v>2368</v>
      </c>
      <c r="B2369" t="s">
        <v>1043</v>
      </c>
      <c r="C2369" t="s">
        <v>1137</v>
      </c>
      <c r="D2369" t="s">
        <v>1137</v>
      </c>
      <c r="G2369" t="s">
        <v>1166</v>
      </c>
      <c r="H2369" t="s">
        <v>1173</v>
      </c>
      <c r="I2369" t="s">
        <v>1173</v>
      </c>
      <c r="M2369" s="3">
        <f t="shared" si="144"/>
        <v>69.142857142857139</v>
      </c>
      <c r="N2369">
        <v>61</v>
      </c>
      <c r="O2369">
        <v>72</v>
      </c>
      <c r="P2369">
        <v>74</v>
      </c>
      <c r="Q2369">
        <v>79</v>
      </c>
      <c r="R2369">
        <v>73</v>
      </c>
      <c r="S2369">
        <v>84</v>
      </c>
      <c r="T2369">
        <v>41</v>
      </c>
      <c r="U2369">
        <v>0</v>
      </c>
      <c r="V2369" s="3">
        <f t="shared" si="145"/>
        <v>2497315</v>
      </c>
      <c r="W2369">
        <v>208109.58333333334</v>
      </c>
      <c r="X2369">
        <v>0</v>
      </c>
      <c r="Y2369">
        <f t="shared" si="146"/>
        <v>208109.58333333334</v>
      </c>
      <c r="Z2369">
        <f t="shared" si="147"/>
        <v>0</v>
      </c>
      <c r="AA2369">
        <v>0</v>
      </c>
    </row>
    <row r="2370" spans="1:27" x14ac:dyDescent="0.25">
      <c r="A2370" s="1">
        <v>2369</v>
      </c>
      <c r="B2370" t="s">
        <v>708</v>
      </c>
      <c r="C2370" t="s">
        <v>1137</v>
      </c>
      <c r="D2370" t="s">
        <v>1137</v>
      </c>
      <c r="G2370" t="s">
        <v>1161</v>
      </c>
      <c r="H2370" t="s">
        <v>1161</v>
      </c>
      <c r="I2370" t="s">
        <v>1161</v>
      </c>
      <c r="M2370" s="3">
        <f t="shared" ref="M2370:M2414" si="148">AVERAGE(N2370:T2370)</f>
        <v>82.428571428571431</v>
      </c>
      <c r="N2370">
        <v>75</v>
      </c>
      <c r="O2370">
        <v>82</v>
      </c>
      <c r="P2370">
        <v>90</v>
      </c>
      <c r="Q2370">
        <v>90</v>
      </c>
      <c r="R2370">
        <v>86</v>
      </c>
      <c r="S2370">
        <v>84</v>
      </c>
      <c r="T2370">
        <v>70</v>
      </c>
      <c r="U2370">
        <v>0</v>
      </c>
      <c r="V2370" s="3">
        <f t="shared" ref="V2370:V2414" si="149">ROUNDUP(M2370^10/1000000000000 * IF(U2370&gt;0,1.5,1),0)</f>
        <v>14480306</v>
      </c>
      <c r="W2370">
        <v>1206692.1666666667</v>
      </c>
      <c r="X2370">
        <v>0</v>
      </c>
      <c r="Y2370">
        <f t="shared" ref="Y2370:Y2414" si="150">V2370/12</f>
        <v>1206692.1666666667</v>
      </c>
      <c r="Z2370">
        <f t="shared" ref="Z2370:Z2404" si="151">ROUND(((W2370-Y2370)/Y2370)*100,2)</f>
        <v>0</v>
      </c>
      <c r="AA2370">
        <v>0</v>
      </c>
    </row>
    <row r="2371" spans="1:27" x14ac:dyDescent="0.25">
      <c r="A2371" s="1">
        <v>2370</v>
      </c>
      <c r="B2371" t="s">
        <v>1036</v>
      </c>
      <c r="C2371" t="s">
        <v>1137</v>
      </c>
      <c r="D2371" t="s">
        <v>1137</v>
      </c>
      <c r="G2371" t="s">
        <v>1158</v>
      </c>
      <c r="H2371" t="s">
        <v>1153</v>
      </c>
      <c r="I2371" t="s">
        <v>1153</v>
      </c>
      <c r="M2371" s="3">
        <f t="shared" si="148"/>
        <v>78.285714285714292</v>
      </c>
      <c r="N2371">
        <v>60</v>
      </c>
      <c r="O2371">
        <v>80</v>
      </c>
      <c r="P2371">
        <v>86</v>
      </c>
      <c r="Q2371">
        <v>80</v>
      </c>
      <c r="R2371">
        <v>85</v>
      </c>
      <c r="S2371">
        <v>84</v>
      </c>
      <c r="T2371">
        <v>73</v>
      </c>
      <c r="U2371">
        <v>0</v>
      </c>
      <c r="V2371" s="3">
        <f t="shared" si="149"/>
        <v>8646199</v>
      </c>
      <c r="W2371">
        <v>720516.58333333337</v>
      </c>
      <c r="X2371">
        <v>0</v>
      </c>
      <c r="Y2371">
        <f t="shared" si="150"/>
        <v>720516.58333333337</v>
      </c>
      <c r="Z2371">
        <f t="shared" si="151"/>
        <v>0</v>
      </c>
      <c r="AA2371">
        <v>0</v>
      </c>
    </row>
    <row r="2372" spans="1:27" x14ac:dyDescent="0.25">
      <c r="A2372" s="1">
        <v>2371</v>
      </c>
      <c r="B2372" t="s">
        <v>1054</v>
      </c>
      <c r="C2372" t="s">
        <v>1137</v>
      </c>
      <c r="D2372" t="s">
        <v>1137</v>
      </c>
      <c r="G2372" t="s">
        <v>1176</v>
      </c>
      <c r="H2372" t="s">
        <v>1176</v>
      </c>
      <c r="I2372" t="s">
        <v>1176</v>
      </c>
      <c r="M2372" s="3">
        <f t="shared" si="148"/>
        <v>90.571428571428569</v>
      </c>
      <c r="N2372">
        <v>86</v>
      </c>
      <c r="O2372">
        <v>85</v>
      </c>
      <c r="P2372">
        <v>94</v>
      </c>
      <c r="Q2372">
        <v>93</v>
      </c>
      <c r="R2372">
        <v>94</v>
      </c>
      <c r="S2372">
        <v>96</v>
      </c>
      <c r="T2372">
        <v>86</v>
      </c>
      <c r="U2372">
        <v>0</v>
      </c>
      <c r="V2372" s="3">
        <f t="shared" si="149"/>
        <v>37146011</v>
      </c>
      <c r="W2372">
        <v>3095500.9166666665</v>
      </c>
      <c r="X2372">
        <v>0</v>
      </c>
      <c r="Y2372">
        <f t="shared" si="150"/>
        <v>3095500.9166666665</v>
      </c>
      <c r="Z2372">
        <f t="shared" si="151"/>
        <v>0</v>
      </c>
      <c r="AA2372">
        <v>0</v>
      </c>
    </row>
    <row r="2373" spans="1:27" x14ac:dyDescent="0.25">
      <c r="A2373" s="1">
        <v>2372</v>
      </c>
      <c r="B2373" t="s">
        <v>1035</v>
      </c>
      <c r="C2373" t="s">
        <v>1137</v>
      </c>
      <c r="D2373" t="s">
        <v>1137</v>
      </c>
      <c r="G2373" t="s">
        <v>1157</v>
      </c>
      <c r="H2373" t="s">
        <v>1157</v>
      </c>
      <c r="I2373" t="s">
        <v>1157</v>
      </c>
      <c r="M2373" s="3">
        <f t="shared" si="148"/>
        <v>93.714285714285708</v>
      </c>
      <c r="N2373">
        <v>96</v>
      </c>
      <c r="O2373">
        <v>85</v>
      </c>
      <c r="P2373">
        <v>94</v>
      </c>
      <c r="Q2373">
        <v>98</v>
      </c>
      <c r="R2373">
        <v>93</v>
      </c>
      <c r="S2373">
        <v>93</v>
      </c>
      <c r="T2373">
        <v>97</v>
      </c>
      <c r="U2373">
        <v>0</v>
      </c>
      <c r="V2373" s="3">
        <f t="shared" si="149"/>
        <v>52246596</v>
      </c>
      <c r="W2373">
        <v>4353883</v>
      </c>
      <c r="X2373">
        <v>0</v>
      </c>
      <c r="Y2373">
        <f t="shared" si="150"/>
        <v>4353883</v>
      </c>
      <c r="Z2373">
        <f t="shared" si="151"/>
        <v>0</v>
      </c>
      <c r="AA2373">
        <v>0</v>
      </c>
    </row>
    <row r="2374" spans="1:27" x14ac:dyDescent="0.25">
      <c r="A2374" s="1">
        <v>2373</v>
      </c>
      <c r="B2374" t="s">
        <v>1030</v>
      </c>
      <c r="C2374" t="s">
        <v>1137</v>
      </c>
      <c r="D2374" t="s">
        <v>1137</v>
      </c>
      <c r="G2374" t="s">
        <v>1152</v>
      </c>
      <c r="H2374" t="s">
        <v>1152</v>
      </c>
      <c r="I2374" t="s">
        <v>1152</v>
      </c>
      <c r="M2374" s="3">
        <f t="shared" si="148"/>
        <v>61.142857142857146</v>
      </c>
      <c r="N2374">
        <v>40</v>
      </c>
      <c r="O2374">
        <v>55</v>
      </c>
      <c r="P2374">
        <v>63</v>
      </c>
      <c r="Q2374">
        <v>67</v>
      </c>
      <c r="R2374">
        <v>85</v>
      </c>
      <c r="S2374">
        <v>88</v>
      </c>
      <c r="T2374">
        <v>30</v>
      </c>
      <c r="U2374">
        <v>0</v>
      </c>
      <c r="V2374" s="3">
        <f t="shared" si="149"/>
        <v>730226</v>
      </c>
      <c r="W2374">
        <v>60852.166666666664</v>
      </c>
      <c r="X2374">
        <v>0</v>
      </c>
      <c r="Y2374">
        <f t="shared" si="150"/>
        <v>60852.166666666664</v>
      </c>
      <c r="Z2374">
        <f t="shared" si="151"/>
        <v>0</v>
      </c>
      <c r="AA2374">
        <v>0</v>
      </c>
    </row>
    <row r="2375" spans="1:27" x14ac:dyDescent="0.25">
      <c r="A2375" s="1">
        <v>2374</v>
      </c>
      <c r="B2375" t="s">
        <v>1067</v>
      </c>
      <c r="C2375" t="s">
        <v>1137</v>
      </c>
      <c r="D2375" t="s">
        <v>1137</v>
      </c>
      <c r="G2375" t="s">
        <v>1190</v>
      </c>
      <c r="H2375" t="s">
        <v>1190</v>
      </c>
      <c r="I2375" t="s">
        <v>1190</v>
      </c>
      <c r="M2375" s="3">
        <f t="shared" si="148"/>
        <v>72.285714285714292</v>
      </c>
      <c r="N2375">
        <v>47</v>
      </c>
      <c r="O2375">
        <v>81</v>
      </c>
      <c r="P2375">
        <v>74</v>
      </c>
      <c r="Q2375">
        <v>82</v>
      </c>
      <c r="R2375">
        <v>76</v>
      </c>
      <c r="S2375">
        <v>83</v>
      </c>
      <c r="T2375">
        <v>63</v>
      </c>
      <c r="U2375">
        <v>0</v>
      </c>
      <c r="V2375" s="3">
        <f t="shared" si="149"/>
        <v>3895156</v>
      </c>
      <c r="W2375">
        <v>324596.33333333331</v>
      </c>
      <c r="X2375">
        <v>0</v>
      </c>
      <c r="Y2375">
        <f t="shared" si="150"/>
        <v>324596.33333333331</v>
      </c>
      <c r="Z2375">
        <f t="shared" si="151"/>
        <v>0</v>
      </c>
      <c r="AA2375">
        <v>0</v>
      </c>
    </row>
    <row r="2376" spans="1:27" x14ac:dyDescent="0.25">
      <c r="A2376" s="1">
        <v>2375</v>
      </c>
      <c r="B2376" t="s">
        <v>1070</v>
      </c>
      <c r="C2376" t="s">
        <v>1137</v>
      </c>
      <c r="D2376" t="s">
        <v>1137</v>
      </c>
      <c r="G2376" t="s">
        <v>1193</v>
      </c>
      <c r="H2376" t="s">
        <v>1193</v>
      </c>
      <c r="I2376" t="s">
        <v>1193</v>
      </c>
      <c r="M2376" s="3">
        <f t="shared" si="148"/>
        <v>85.857142857142861</v>
      </c>
      <c r="N2376">
        <v>70</v>
      </c>
      <c r="O2376">
        <v>82</v>
      </c>
      <c r="P2376">
        <v>90</v>
      </c>
      <c r="Q2376">
        <v>95</v>
      </c>
      <c r="R2376">
        <v>90</v>
      </c>
      <c r="S2376">
        <v>89</v>
      </c>
      <c r="T2376">
        <v>85</v>
      </c>
      <c r="U2376">
        <v>0</v>
      </c>
      <c r="V2376" s="3">
        <f t="shared" si="149"/>
        <v>21765284</v>
      </c>
      <c r="W2376">
        <v>1813773.6666666667</v>
      </c>
      <c r="X2376">
        <v>0</v>
      </c>
      <c r="Y2376">
        <f t="shared" si="150"/>
        <v>1813773.6666666667</v>
      </c>
      <c r="Z2376">
        <f t="shared" si="151"/>
        <v>0</v>
      </c>
      <c r="AA2376">
        <v>0</v>
      </c>
    </row>
    <row r="2377" spans="1:27" x14ac:dyDescent="0.25">
      <c r="A2377" s="1">
        <v>2376</v>
      </c>
      <c r="B2377" t="s">
        <v>1060</v>
      </c>
      <c r="C2377" t="s">
        <v>1137</v>
      </c>
      <c r="D2377" t="s">
        <v>1137</v>
      </c>
      <c r="G2377" t="s">
        <v>1183</v>
      </c>
      <c r="H2377" t="s">
        <v>1183</v>
      </c>
      <c r="I2377" t="s">
        <v>1183</v>
      </c>
      <c r="M2377" s="3">
        <f t="shared" si="148"/>
        <v>91.857142857142861</v>
      </c>
      <c r="N2377">
        <v>92</v>
      </c>
      <c r="O2377">
        <v>85</v>
      </c>
      <c r="P2377">
        <v>96</v>
      </c>
      <c r="Q2377">
        <v>92</v>
      </c>
      <c r="R2377">
        <v>90</v>
      </c>
      <c r="S2377">
        <v>95</v>
      </c>
      <c r="T2377">
        <v>93</v>
      </c>
      <c r="U2377">
        <v>0</v>
      </c>
      <c r="V2377" s="3">
        <f t="shared" si="149"/>
        <v>42769023</v>
      </c>
      <c r="W2377">
        <v>3564085.25</v>
      </c>
      <c r="X2377">
        <v>0</v>
      </c>
      <c r="Y2377">
        <f t="shared" si="150"/>
        <v>3564085.25</v>
      </c>
      <c r="Z2377">
        <f t="shared" si="151"/>
        <v>0</v>
      </c>
      <c r="AA2377">
        <v>0</v>
      </c>
    </row>
    <row r="2378" spans="1:27" x14ac:dyDescent="0.25">
      <c r="A2378" s="1">
        <v>2377</v>
      </c>
      <c r="B2378" t="s">
        <v>1068</v>
      </c>
      <c r="C2378" t="s">
        <v>1137</v>
      </c>
      <c r="D2378" t="s">
        <v>1137</v>
      </c>
      <c r="G2378" t="s">
        <v>1191</v>
      </c>
      <c r="H2378" t="s">
        <v>1183</v>
      </c>
      <c r="I2378" t="s">
        <v>1183</v>
      </c>
      <c r="M2378" s="3">
        <f t="shared" si="148"/>
        <v>72.428571428571431</v>
      </c>
      <c r="N2378">
        <v>61</v>
      </c>
      <c r="O2378">
        <v>88</v>
      </c>
      <c r="P2378">
        <v>83</v>
      </c>
      <c r="Q2378">
        <v>70</v>
      </c>
      <c r="R2378">
        <v>75</v>
      </c>
      <c r="S2378">
        <v>65</v>
      </c>
      <c r="T2378">
        <v>65</v>
      </c>
      <c r="U2378">
        <v>0</v>
      </c>
      <c r="V2378" s="3">
        <f t="shared" si="149"/>
        <v>3972823</v>
      </c>
      <c r="W2378">
        <v>331068.58333333331</v>
      </c>
      <c r="X2378">
        <v>0</v>
      </c>
      <c r="Y2378">
        <f t="shared" si="150"/>
        <v>331068.58333333331</v>
      </c>
      <c r="Z2378">
        <f t="shared" si="151"/>
        <v>0</v>
      </c>
      <c r="AA2378">
        <v>0</v>
      </c>
    </row>
    <row r="2379" spans="1:27" x14ac:dyDescent="0.25">
      <c r="A2379" s="1">
        <v>2378</v>
      </c>
      <c r="B2379" t="s">
        <v>1079</v>
      </c>
      <c r="C2379" t="s">
        <v>1137</v>
      </c>
      <c r="D2379" t="s">
        <v>1137</v>
      </c>
      <c r="G2379" t="s">
        <v>1201</v>
      </c>
      <c r="H2379" t="s">
        <v>1201</v>
      </c>
      <c r="I2379" t="s">
        <v>1201</v>
      </c>
      <c r="M2379" s="3">
        <f t="shared" si="148"/>
        <v>72.285714285714292</v>
      </c>
      <c r="N2379">
        <v>60</v>
      </c>
      <c r="O2379">
        <v>69</v>
      </c>
      <c r="P2379">
        <v>90</v>
      </c>
      <c r="Q2379">
        <v>69</v>
      </c>
      <c r="R2379">
        <v>81</v>
      </c>
      <c r="S2379">
        <v>83</v>
      </c>
      <c r="T2379">
        <v>54</v>
      </c>
      <c r="U2379">
        <v>0</v>
      </c>
      <c r="V2379" s="3">
        <f t="shared" si="149"/>
        <v>3895156</v>
      </c>
      <c r="W2379">
        <v>324596.33333333331</v>
      </c>
      <c r="X2379">
        <v>0</v>
      </c>
      <c r="Y2379">
        <f t="shared" si="150"/>
        <v>324596.33333333331</v>
      </c>
      <c r="Z2379">
        <f t="shared" si="151"/>
        <v>0</v>
      </c>
      <c r="AA2379">
        <v>0</v>
      </c>
    </row>
    <row r="2380" spans="1:27" x14ac:dyDescent="0.25">
      <c r="A2380" s="1">
        <v>2379</v>
      </c>
      <c r="B2380" t="s">
        <v>1048</v>
      </c>
      <c r="C2380" t="s">
        <v>1137</v>
      </c>
      <c r="D2380" t="s">
        <v>1137</v>
      </c>
      <c r="G2380" t="s">
        <v>1171</v>
      </c>
      <c r="H2380" t="s">
        <v>1187</v>
      </c>
      <c r="I2380" t="s">
        <v>1187</v>
      </c>
      <c r="M2380" s="3">
        <f t="shared" si="148"/>
        <v>69.714285714285708</v>
      </c>
      <c r="N2380">
        <v>63</v>
      </c>
      <c r="O2380">
        <v>72</v>
      </c>
      <c r="P2380">
        <v>66</v>
      </c>
      <c r="Q2380">
        <v>66</v>
      </c>
      <c r="R2380">
        <v>81</v>
      </c>
      <c r="S2380">
        <v>82</v>
      </c>
      <c r="T2380">
        <v>58</v>
      </c>
      <c r="U2380">
        <v>0</v>
      </c>
      <c r="V2380" s="3">
        <f t="shared" si="149"/>
        <v>2711552</v>
      </c>
      <c r="W2380">
        <v>225962.66666666666</v>
      </c>
      <c r="X2380">
        <v>0</v>
      </c>
      <c r="Y2380">
        <f t="shared" si="150"/>
        <v>225962.66666666666</v>
      </c>
      <c r="Z2380">
        <f t="shared" si="151"/>
        <v>0</v>
      </c>
      <c r="AA2380">
        <v>0</v>
      </c>
    </row>
    <row r="2381" spans="1:27" x14ac:dyDescent="0.25">
      <c r="A2381" s="1">
        <v>2380</v>
      </c>
      <c r="B2381" t="s">
        <v>1040</v>
      </c>
      <c r="C2381" t="s">
        <v>1137</v>
      </c>
      <c r="D2381" t="s">
        <v>1137</v>
      </c>
      <c r="G2381" t="s">
        <v>1163</v>
      </c>
      <c r="H2381" t="s">
        <v>1148</v>
      </c>
      <c r="I2381" t="s">
        <v>1148</v>
      </c>
      <c r="M2381" s="3">
        <f t="shared" si="148"/>
        <v>67.428571428571431</v>
      </c>
      <c r="N2381">
        <v>45</v>
      </c>
      <c r="O2381">
        <v>70</v>
      </c>
      <c r="P2381">
        <v>80</v>
      </c>
      <c r="Q2381">
        <v>75</v>
      </c>
      <c r="R2381">
        <v>80</v>
      </c>
      <c r="S2381">
        <v>77</v>
      </c>
      <c r="T2381">
        <v>45</v>
      </c>
      <c r="U2381">
        <v>0</v>
      </c>
      <c r="V2381" s="3">
        <f t="shared" si="149"/>
        <v>1942852</v>
      </c>
      <c r="W2381">
        <v>161904.33333333334</v>
      </c>
      <c r="X2381">
        <v>0</v>
      </c>
      <c r="Y2381">
        <f t="shared" si="150"/>
        <v>161904.33333333334</v>
      </c>
      <c r="Z2381">
        <f t="shared" si="151"/>
        <v>0</v>
      </c>
      <c r="AA2381">
        <v>0</v>
      </c>
    </row>
    <row r="2382" spans="1:27" x14ac:dyDescent="0.25">
      <c r="A2382" s="1">
        <v>2381</v>
      </c>
      <c r="B2382" t="s">
        <v>1063</v>
      </c>
      <c r="C2382" t="s">
        <v>1137</v>
      </c>
      <c r="D2382" t="s">
        <v>1137</v>
      </c>
      <c r="G2382" t="s">
        <v>1186</v>
      </c>
      <c r="H2382" t="s">
        <v>1186</v>
      </c>
      <c r="I2382" t="s">
        <v>1186</v>
      </c>
      <c r="J2382" t="s">
        <v>1258</v>
      </c>
      <c r="K2382" t="s">
        <v>1212</v>
      </c>
      <c r="M2382" s="3">
        <f t="shared" si="148"/>
        <v>70.571428571428569</v>
      </c>
      <c r="N2382">
        <v>41</v>
      </c>
      <c r="O2382">
        <v>70</v>
      </c>
      <c r="P2382">
        <v>88</v>
      </c>
      <c r="Q2382">
        <v>85</v>
      </c>
      <c r="R2382">
        <v>80</v>
      </c>
      <c r="S2382">
        <v>79</v>
      </c>
      <c r="T2382">
        <v>51</v>
      </c>
      <c r="U2382">
        <v>0</v>
      </c>
      <c r="V2382" s="3">
        <f t="shared" si="149"/>
        <v>3064003</v>
      </c>
      <c r="W2382">
        <v>255333.58333333334</v>
      </c>
      <c r="X2382">
        <v>0</v>
      </c>
      <c r="Y2382">
        <f t="shared" si="150"/>
        <v>255333.58333333334</v>
      </c>
      <c r="Z2382">
        <f t="shared" si="151"/>
        <v>0</v>
      </c>
      <c r="AA2382">
        <v>0</v>
      </c>
    </row>
    <row r="2383" spans="1:27" x14ac:dyDescent="0.25">
      <c r="A2383" s="1">
        <v>2382</v>
      </c>
      <c r="B2383" t="s">
        <v>1033</v>
      </c>
      <c r="C2383" t="s">
        <v>1137</v>
      </c>
      <c r="D2383" t="s">
        <v>1137</v>
      </c>
      <c r="G2383" t="s">
        <v>1155</v>
      </c>
      <c r="H2383" t="s">
        <v>1155</v>
      </c>
      <c r="I2383" t="s">
        <v>1155</v>
      </c>
      <c r="M2383" s="3">
        <f t="shared" si="148"/>
        <v>83.285714285714292</v>
      </c>
      <c r="N2383">
        <v>75</v>
      </c>
      <c r="O2383">
        <v>83</v>
      </c>
      <c r="P2383">
        <v>88</v>
      </c>
      <c r="Q2383">
        <v>82</v>
      </c>
      <c r="R2383">
        <v>94</v>
      </c>
      <c r="S2383">
        <v>89</v>
      </c>
      <c r="T2383">
        <v>72</v>
      </c>
      <c r="U2383">
        <v>0</v>
      </c>
      <c r="V2383" s="3">
        <f t="shared" si="149"/>
        <v>16058507</v>
      </c>
      <c r="W2383">
        <v>1338208.9166666667</v>
      </c>
      <c r="X2383">
        <v>0</v>
      </c>
      <c r="Y2383">
        <f t="shared" si="150"/>
        <v>1338208.9166666667</v>
      </c>
      <c r="Z2383">
        <f t="shared" si="151"/>
        <v>0</v>
      </c>
      <c r="AA2383">
        <v>0</v>
      </c>
    </row>
    <row r="2384" spans="1:27" x14ac:dyDescent="0.25">
      <c r="A2384" s="1">
        <v>2383</v>
      </c>
      <c r="B2384" t="s">
        <v>1081</v>
      </c>
      <c r="C2384" t="s">
        <v>1137</v>
      </c>
      <c r="D2384" t="s">
        <v>1137</v>
      </c>
      <c r="G2384" t="s">
        <v>1203</v>
      </c>
      <c r="H2384" t="s">
        <v>1162</v>
      </c>
      <c r="I2384" t="s">
        <v>1162</v>
      </c>
      <c r="M2384" s="3">
        <f t="shared" si="148"/>
        <v>78.285714285714292</v>
      </c>
      <c r="N2384">
        <v>63</v>
      </c>
      <c r="O2384">
        <v>88</v>
      </c>
      <c r="P2384">
        <v>85</v>
      </c>
      <c r="Q2384">
        <v>80</v>
      </c>
      <c r="R2384">
        <v>85</v>
      </c>
      <c r="S2384">
        <v>82</v>
      </c>
      <c r="T2384">
        <v>65</v>
      </c>
      <c r="U2384">
        <v>0</v>
      </c>
      <c r="V2384" s="3">
        <f t="shared" si="149"/>
        <v>8646199</v>
      </c>
      <c r="W2384">
        <v>720516.58333333337</v>
      </c>
      <c r="X2384">
        <v>0</v>
      </c>
      <c r="Y2384">
        <f t="shared" si="150"/>
        <v>720516.58333333337</v>
      </c>
      <c r="Z2384">
        <f t="shared" si="151"/>
        <v>0</v>
      </c>
      <c r="AA2384">
        <v>0</v>
      </c>
    </row>
    <row r="2385" spans="1:27" x14ac:dyDescent="0.25">
      <c r="A2385" s="1">
        <v>2384</v>
      </c>
      <c r="B2385" t="s">
        <v>1066</v>
      </c>
      <c r="C2385" t="s">
        <v>1137</v>
      </c>
      <c r="D2385" t="s">
        <v>1137</v>
      </c>
      <c r="G2385" t="s">
        <v>1189</v>
      </c>
      <c r="H2385" t="s">
        <v>1162</v>
      </c>
      <c r="I2385" t="s">
        <v>1162</v>
      </c>
      <c r="M2385" s="3">
        <f t="shared" si="148"/>
        <v>70.142857142857139</v>
      </c>
      <c r="N2385">
        <v>52</v>
      </c>
      <c r="O2385">
        <v>82</v>
      </c>
      <c r="P2385">
        <v>78</v>
      </c>
      <c r="Q2385">
        <v>76</v>
      </c>
      <c r="R2385">
        <v>75</v>
      </c>
      <c r="S2385">
        <v>74</v>
      </c>
      <c r="T2385">
        <v>54</v>
      </c>
      <c r="U2385">
        <v>0</v>
      </c>
      <c r="V2385" s="3">
        <f t="shared" si="149"/>
        <v>2882933</v>
      </c>
      <c r="W2385">
        <v>240244.41666666666</v>
      </c>
      <c r="X2385">
        <v>0</v>
      </c>
      <c r="Y2385">
        <f t="shared" si="150"/>
        <v>240244.41666666666</v>
      </c>
      <c r="Z2385">
        <f t="shared" si="151"/>
        <v>0</v>
      </c>
      <c r="AA2385">
        <v>0</v>
      </c>
    </row>
    <row r="2386" spans="1:27" x14ac:dyDescent="0.25">
      <c r="A2386" s="1">
        <v>2385</v>
      </c>
      <c r="B2386" t="s">
        <v>1059</v>
      </c>
      <c r="C2386" t="s">
        <v>1137</v>
      </c>
      <c r="D2386" t="s">
        <v>1137</v>
      </c>
      <c r="G2386" t="s">
        <v>1181</v>
      </c>
      <c r="H2386" t="s">
        <v>1181</v>
      </c>
      <c r="I2386" t="s">
        <v>1181</v>
      </c>
      <c r="M2386" s="3">
        <f t="shared" si="148"/>
        <v>78.571428571428569</v>
      </c>
      <c r="N2386">
        <v>57</v>
      </c>
      <c r="O2386">
        <v>94</v>
      </c>
      <c r="P2386">
        <v>75</v>
      </c>
      <c r="Q2386">
        <v>82</v>
      </c>
      <c r="R2386">
        <v>80</v>
      </c>
      <c r="S2386">
        <v>82</v>
      </c>
      <c r="T2386">
        <v>80</v>
      </c>
      <c r="U2386">
        <v>0</v>
      </c>
      <c r="V2386" s="3">
        <f t="shared" si="149"/>
        <v>8966987</v>
      </c>
      <c r="W2386">
        <v>747248.91666666663</v>
      </c>
      <c r="X2386">
        <v>0</v>
      </c>
      <c r="Y2386">
        <f t="shared" si="150"/>
        <v>747248.91666666663</v>
      </c>
      <c r="Z2386">
        <f t="shared" si="151"/>
        <v>0</v>
      </c>
      <c r="AA2386">
        <v>0</v>
      </c>
    </row>
    <row r="2387" spans="1:27" x14ac:dyDescent="0.25">
      <c r="A2387" s="1">
        <v>2386</v>
      </c>
      <c r="B2387" t="s">
        <v>1075</v>
      </c>
      <c r="C2387" t="s">
        <v>1137</v>
      </c>
      <c r="D2387" t="s">
        <v>1137</v>
      </c>
      <c r="G2387" t="s">
        <v>1198</v>
      </c>
      <c r="H2387" t="s">
        <v>1192</v>
      </c>
      <c r="I2387" t="s">
        <v>1192</v>
      </c>
      <c r="M2387" s="3">
        <f t="shared" si="148"/>
        <v>75.142857142857139</v>
      </c>
      <c r="N2387">
        <v>69</v>
      </c>
      <c r="O2387">
        <v>89</v>
      </c>
      <c r="P2387">
        <v>86</v>
      </c>
      <c r="Q2387">
        <v>78</v>
      </c>
      <c r="R2387">
        <v>77</v>
      </c>
      <c r="S2387">
        <v>78</v>
      </c>
      <c r="T2387">
        <v>49</v>
      </c>
      <c r="U2387">
        <v>0</v>
      </c>
      <c r="V2387" s="3">
        <f t="shared" si="149"/>
        <v>5739540</v>
      </c>
      <c r="W2387">
        <v>478295</v>
      </c>
      <c r="X2387">
        <v>0</v>
      </c>
      <c r="Y2387">
        <f t="shared" si="150"/>
        <v>478295</v>
      </c>
      <c r="Z2387">
        <f t="shared" si="151"/>
        <v>0</v>
      </c>
      <c r="AA2387">
        <v>0</v>
      </c>
    </row>
    <row r="2388" spans="1:27" x14ac:dyDescent="0.25">
      <c r="A2388" s="1">
        <v>2387</v>
      </c>
      <c r="B2388" t="s">
        <v>1090</v>
      </c>
      <c r="C2388" t="s">
        <v>1137</v>
      </c>
      <c r="D2388" t="s">
        <v>1137</v>
      </c>
      <c r="G2388" t="s">
        <v>1211</v>
      </c>
      <c r="H2388" t="s">
        <v>1211</v>
      </c>
      <c r="I2388" t="s">
        <v>1211</v>
      </c>
      <c r="M2388" s="3">
        <f t="shared" si="148"/>
        <v>75.714285714285708</v>
      </c>
      <c r="N2388">
        <v>56</v>
      </c>
      <c r="O2388">
        <v>94</v>
      </c>
      <c r="P2388">
        <v>74</v>
      </c>
      <c r="Q2388">
        <v>82</v>
      </c>
      <c r="R2388">
        <v>87</v>
      </c>
      <c r="S2388">
        <v>77</v>
      </c>
      <c r="T2388">
        <v>60</v>
      </c>
      <c r="U2388">
        <v>0</v>
      </c>
      <c r="V2388" s="3">
        <f t="shared" si="149"/>
        <v>6191250</v>
      </c>
      <c r="W2388">
        <v>515937.5</v>
      </c>
      <c r="X2388">
        <v>0</v>
      </c>
      <c r="Y2388">
        <f t="shared" si="150"/>
        <v>515937.5</v>
      </c>
      <c r="Z2388">
        <f t="shared" si="151"/>
        <v>0</v>
      </c>
      <c r="AA2388">
        <v>0</v>
      </c>
    </row>
    <row r="2389" spans="1:27" x14ac:dyDescent="0.25">
      <c r="A2389" s="1">
        <v>2388</v>
      </c>
      <c r="B2389" t="s">
        <v>1080</v>
      </c>
      <c r="C2389" t="s">
        <v>1137</v>
      </c>
      <c r="D2389" t="s">
        <v>1137</v>
      </c>
      <c r="G2389" t="s">
        <v>1202</v>
      </c>
      <c r="H2389" t="s">
        <v>1151</v>
      </c>
      <c r="I2389" t="s">
        <v>1151</v>
      </c>
      <c r="M2389" s="3">
        <f t="shared" si="148"/>
        <v>75.428571428571431</v>
      </c>
      <c r="N2389">
        <v>61</v>
      </c>
      <c r="O2389">
        <v>75</v>
      </c>
      <c r="P2389">
        <v>89</v>
      </c>
      <c r="Q2389">
        <v>81</v>
      </c>
      <c r="R2389">
        <v>85</v>
      </c>
      <c r="S2389">
        <v>84</v>
      </c>
      <c r="T2389">
        <v>53</v>
      </c>
      <c r="U2389">
        <v>0</v>
      </c>
      <c r="V2389" s="3">
        <f t="shared" si="149"/>
        <v>5961545</v>
      </c>
      <c r="W2389">
        <v>496795.41666666669</v>
      </c>
      <c r="X2389">
        <v>0</v>
      </c>
      <c r="Y2389">
        <f t="shared" si="150"/>
        <v>496795.41666666669</v>
      </c>
      <c r="Z2389">
        <f t="shared" si="151"/>
        <v>0</v>
      </c>
      <c r="AA2389">
        <v>0</v>
      </c>
    </row>
    <row r="2390" spans="1:27" x14ac:dyDescent="0.25">
      <c r="A2390" s="1">
        <v>2389</v>
      </c>
      <c r="B2390" t="s">
        <v>1087</v>
      </c>
      <c r="C2390" t="s">
        <v>1137</v>
      </c>
      <c r="D2390" t="s">
        <v>1137</v>
      </c>
      <c r="G2390" t="s">
        <v>1209</v>
      </c>
      <c r="H2390" t="s">
        <v>1151</v>
      </c>
      <c r="I2390" t="s">
        <v>1151</v>
      </c>
      <c r="M2390" s="3">
        <f t="shared" si="148"/>
        <v>81.857142857142861</v>
      </c>
      <c r="N2390">
        <v>80</v>
      </c>
      <c r="O2390">
        <v>88</v>
      </c>
      <c r="P2390">
        <v>80</v>
      </c>
      <c r="Q2390">
        <v>82</v>
      </c>
      <c r="R2390">
        <v>81</v>
      </c>
      <c r="S2390">
        <v>76</v>
      </c>
      <c r="T2390">
        <v>86</v>
      </c>
      <c r="U2390">
        <v>0</v>
      </c>
      <c r="V2390" s="3">
        <f t="shared" si="149"/>
        <v>13507216</v>
      </c>
      <c r="W2390">
        <v>1125601.3333333333</v>
      </c>
      <c r="X2390">
        <v>0</v>
      </c>
      <c r="Y2390">
        <f t="shared" si="150"/>
        <v>1125601.3333333333</v>
      </c>
      <c r="Z2390">
        <f t="shared" si="151"/>
        <v>0</v>
      </c>
      <c r="AA2390">
        <v>0</v>
      </c>
    </row>
    <row r="2391" spans="1:27" x14ac:dyDescent="0.25">
      <c r="A2391" s="1">
        <v>2390</v>
      </c>
      <c r="B2391" t="s">
        <v>1069</v>
      </c>
      <c r="C2391" t="s">
        <v>1137</v>
      </c>
      <c r="D2391" t="s">
        <v>1137</v>
      </c>
      <c r="G2391" t="s">
        <v>1192</v>
      </c>
      <c r="H2391" t="s">
        <v>1192</v>
      </c>
      <c r="I2391" t="s">
        <v>1192</v>
      </c>
      <c r="M2391" s="3">
        <f t="shared" si="148"/>
        <v>87</v>
      </c>
      <c r="N2391">
        <v>75</v>
      </c>
      <c r="O2391">
        <v>89</v>
      </c>
      <c r="P2391">
        <v>90</v>
      </c>
      <c r="Q2391">
        <v>94</v>
      </c>
      <c r="R2391">
        <v>85</v>
      </c>
      <c r="S2391">
        <v>90</v>
      </c>
      <c r="T2391">
        <v>86</v>
      </c>
      <c r="U2391">
        <v>0</v>
      </c>
      <c r="V2391" s="3">
        <f t="shared" si="149"/>
        <v>24842342</v>
      </c>
      <c r="W2391">
        <v>2070195.1666666667</v>
      </c>
      <c r="X2391">
        <v>0</v>
      </c>
      <c r="Y2391">
        <f t="shared" si="150"/>
        <v>2070195.1666666667</v>
      </c>
      <c r="Z2391">
        <f t="shared" si="151"/>
        <v>0</v>
      </c>
      <c r="AA2391">
        <v>0</v>
      </c>
    </row>
    <row r="2392" spans="1:27" x14ac:dyDescent="0.25">
      <c r="A2392" s="1">
        <v>2391</v>
      </c>
      <c r="B2392" t="s">
        <v>1051</v>
      </c>
      <c r="C2392" t="s">
        <v>1137</v>
      </c>
      <c r="D2392" t="s">
        <v>1137</v>
      </c>
      <c r="G2392" t="s">
        <v>1174</v>
      </c>
      <c r="H2392" t="s">
        <v>1174</v>
      </c>
      <c r="I2392" t="s">
        <v>1174</v>
      </c>
      <c r="M2392" s="3">
        <f t="shared" si="148"/>
        <v>73.857142857142861</v>
      </c>
      <c r="N2392">
        <v>55</v>
      </c>
      <c r="O2392">
        <v>76</v>
      </c>
      <c r="P2392">
        <v>85</v>
      </c>
      <c r="Q2392">
        <v>80</v>
      </c>
      <c r="R2392">
        <v>78</v>
      </c>
      <c r="S2392">
        <v>83</v>
      </c>
      <c r="T2392">
        <v>60</v>
      </c>
      <c r="U2392">
        <v>0</v>
      </c>
      <c r="V2392" s="3">
        <f t="shared" si="149"/>
        <v>4829755</v>
      </c>
      <c r="W2392">
        <v>402479.58333333331</v>
      </c>
      <c r="X2392">
        <v>0</v>
      </c>
      <c r="Y2392">
        <f t="shared" si="150"/>
        <v>402479.58333333331</v>
      </c>
      <c r="Z2392">
        <f t="shared" si="151"/>
        <v>0</v>
      </c>
      <c r="AA2392">
        <v>0</v>
      </c>
    </row>
    <row r="2393" spans="1:27" x14ac:dyDescent="0.25">
      <c r="A2393" s="1">
        <v>2392</v>
      </c>
      <c r="B2393" t="s">
        <v>1031</v>
      </c>
      <c r="C2393" t="s">
        <v>1137</v>
      </c>
      <c r="D2393" t="s">
        <v>1137</v>
      </c>
      <c r="G2393" t="s">
        <v>1153</v>
      </c>
      <c r="H2393" t="s">
        <v>1151</v>
      </c>
      <c r="I2393" t="s">
        <v>1151</v>
      </c>
      <c r="M2393" s="3">
        <f t="shared" si="148"/>
        <v>91.142857142857139</v>
      </c>
      <c r="N2393">
        <v>93</v>
      </c>
      <c r="O2393">
        <v>85</v>
      </c>
      <c r="P2393">
        <v>97</v>
      </c>
      <c r="Q2393">
        <v>96</v>
      </c>
      <c r="R2393">
        <v>88</v>
      </c>
      <c r="S2393">
        <v>89</v>
      </c>
      <c r="T2393">
        <v>90</v>
      </c>
      <c r="U2393">
        <v>0</v>
      </c>
      <c r="V2393" s="3">
        <f t="shared" si="149"/>
        <v>39557277</v>
      </c>
      <c r="W2393">
        <v>3296439.75</v>
      </c>
      <c r="X2393">
        <v>0</v>
      </c>
      <c r="Y2393">
        <f t="shared" si="150"/>
        <v>3296439.75</v>
      </c>
      <c r="Z2393">
        <f t="shared" si="151"/>
        <v>0</v>
      </c>
      <c r="AA2393">
        <v>0</v>
      </c>
    </row>
    <row r="2394" spans="1:27" x14ac:dyDescent="0.25">
      <c r="A2394" s="1">
        <v>2393</v>
      </c>
      <c r="B2394" t="s">
        <v>1049</v>
      </c>
      <c r="C2394" t="s">
        <v>1137</v>
      </c>
      <c r="D2394" t="s">
        <v>1137</v>
      </c>
      <c r="G2394" t="s">
        <v>1172</v>
      </c>
      <c r="H2394" t="s">
        <v>1183</v>
      </c>
      <c r="I2394" t="s">
        <v>1183</v>
      </c>
      <c r="M2394" s="3">
        <f t="shared" si="148"/>
        <v>68.285714285714292</v>
      </c>
      <c r="N2394">
        <v>51</v>
      </c>
      <c r="O2394">
        <v>84</v>
      </c>
      <c r="P2394">
        <v>75</v>
      </c>
      <c r="Q2394">
        <v>79</v>
      </c>
      <c r="R2394">
        <v>72</v>
      </c>
      <c r="S2394">
        <v>71</v>
      </c>
      <c r="T2394">
        <v>46</v>
      </c>
      <c r="U2394">
        <v>0</v>
      </c>
      <c r="V2394" s="3">
        <f t="shared" si="149"/>
        <v>2204442</v>
      </c>
      <c r="W2394">
        <v>183703.5</v>
      </c>
      <c r="X2394">
        <v>0</v>
      </c>
      <c r="Y2394">
        <f t="shared" si="150"/>
        <v>183703.5</v>
      </c>
      <c r="Z2394">
        <f t="shared" si="151"/>
        <v>0</v>
      </c>
      <c r="AA2394">
        <v>0</v>
      </c>
    </row>
    <row r="2395" spans="1:27" x14ac:dyDescent="0.25">
      <c r="A2395" s="1">
        <v>2394</v>
      </c>
      <c r="B2395" t="s">
        <v>1065</v>
      </c>
      <c r="C2395" t="s">
        <v>1137</v>
      </c>
      <c r="D2395" t="s">
        <v>1137</v>
      </c>
      <c r="G2395" t="s">
        <v>1188</v>
      </c>
      <c r="H2395" t="s">
        <v>1193</v>
      </c>
      <c r="I2395" t="s">
        <v>1193</v>
      </c>
      <c r="M2395" s="3">
        <f t="shared" si="148"/>
        <v>88.571428571428569</v>
      </c>
      <c r="N2395">
        <v>80</v>
      </c>
      <c r="O2395">
        <v>84</v>
      </c>
      <c r="P2395">
        <v>90</v>
      </c>
      <c r="Q2395">
        <v>98</v>
      </c>
      <c r="R2395">
        <v>85</v>
      </c>
      <c r="S2395">
        <v>88</v>
      </c>
      <c r="T2395">
        <v>95</v>
      </c>
      <c r="U2395">
        <v>0</v>
      </c>
      <c r="V2395" s="3">
        <f t="shared" si="149"/>
        <v>29712316</v>
      </c>
      <c r="W2395">
        <v>2476026.3333333335</v>
      </c>
      <c r="X2395">
        <v>0</v>
      </c>
      <c r="Y2395">
        <f t="shared" si="150"/>
        <v>2476026.3333333335</v>
      </c>
      <c r="Z2395">
        <f t="shared" si="151"/>
        <v>0</v>
      </c>
      <c r="AA2395">
        <v>0</v>
      </c>
    </row>
    <row r="2396" spans="1:27" x14ac:dyDescent="0.25">
      <c r="A2396" s="1">
        <v>2395</v>
      </c>
      <c r="B2396" t="s">
        <v>1032</v>
      </c>
      <c r="C2396" t="s">
        <v>1137</v>
      </c>
      <c r="D2396" t="s">
        <v>1137</v>
      </c>
      <c r="G2396" t="s">
        <v>1154</v>
      </c>
      <c r="H2396" t="s">
        <v>1154</v>
      </c>
      <c r="I2396" t="s">
        <v>1154</v>
      </c>
      <c r="M2396" s="3">
        <f t="shared" si="148"/>
        <v>72.428571428571431</v>
      </c>
      <c r="N2396">
        <v>63</v>
      </c>
      <c r="O2396">
        <v>96</v>
      </c>
      <c r="P2396">
        <v>75</v>
      </c>
      <c r="Q2396">
        <v>70</v>
      </c>
      <c r="R2396">
        <v>69</v>
      </c>
      <c r="S2396">
        <v>74</v>
      </c>
      <c r="T2396">
        <v>60</v>
      </c>
      <c r="U2396">
        <v>0</v>
      </c>
      <c r="V2396" s="3">
        <f t="shared" si="149"/>
        <v>3972823</v>
      </c>
      <c r="W2396">
        <v>331068.58333333331</v>
      </c>
      <c r="X2396">
        <v>0</v>
      </c>
      <c r="Y2396">
        <f t="shared" si="150"/>
        <v>331068.58333333331</v>
      </c>
      <c r="Z2396">
        <f t="shared" si="151"/>
        <v>0</v>
      </c>
      <c r="AA2396">
        <v>0</v>
      </c>
    </row>
    <row r="2397" spans="1:27" x14ac:dyDescent="0.25">
      <c r="A2397" s="1">
        <v>2396</v>
      </c>
      <c r="B2397" t="s">
        <v>1037</v>
      </c>
      <c r="C2397" t="s">
        <v>1137</v>
      </c>
      <c r="D2397" t="s">
        <v>1137</v>
      </c>
      <c r="G2397" t="s">
        <v>1159</v>
      </c>
      <c r="H2397" t="s">
        <v>1159</v>
      </c>
      <c r="I2397" t="s">
        <v>1159</v>
      </c>
      <c r="M2397" s="3">
        <f t="shared" si="148"/>
        <v>67.714285714285708</v>
      </c>
      <c r="N2397">
        <v>45</v>
      </c>
      <c r="O2397">
        <v>73</v>
      </c>
      <c r="P2397">
        <v>75</v>
      </c>
      <c r="Q2397">
        <v>71</v>
      </c>
      <c r="R2397">
        <v>77</v>
      </c>
      <c r="S2397">
        <v>78</v>
      </c>
      <c r="T2397">
        <v>55</v>
      </c>
      <c r="U2397">
        <v>0</v>
      </c>
      <c r="V2397" s="3">
        <f t="shared" si="149"/>
        <v>2026764</v>
      </c>
      <c r="W2397">
        <v>168897</v>
      </c>
      <c r="X2397">
        <v>0</v>
      </c>
      <c r="Y2397">
        <f t="shared" si="150"/>
        <v>168897</v>
      </c>
      <c r="Z2397">
        <f t="shared" si="151"/>
        <v>0</v>
      </c>
      <c r="AA2397">
        <v>0</v>
      </c>
    </row>
    <row r="2398" spans="1:27" x14ac:dyDescent="0.25">
      <c r="A2398" s="1">
        <v>2397</v>
      </c>
      <c r="B2398" t="s">
        <v>1084</v>
      </c>
      <c r="C2398" t="s">
        <v>1137</v>
      </c>
      <c r="D2398" t="s">
        <v>1137</v>
      </c>
      <c r="G2398" t="s">
        <v>1206</v>
      </c>
      <c r="H2398" t="s">
        <v>1206</v>
      </c>
      <c r="I2398" t="s">
        <v>1206</v>
      </c>
      <c r="M2398" s="3">
        <f t="shared" si="148"/>
        <v>72.285714285714292</v>
      </c>
      <c r="N2398">
        <v>58</v>
      </c>
      <c r="O2398">
        <v>85</v>
      </c>
      <c r="P2398">
        <v>85</v>
      </c>
      <c r="Q2398">
        <v>80</v>
      </c>
      <c r="R2398">
        <v>66</v>
      </c>
      <c r="S2398">
        <v>66</v>
      </c>
      <c r="T2398">
        <v>66</v>
      </c>
      <c r="U2398">
        <v>0</v>
      </c>
      <c r="V2398" s="3">
        <f t="shared" si="149"/>
        <v>3895156</v>
      </c>
      <c r="W2398">
        <v>324596.33333333331</v>
      </c>
      <c r="X2398">
        <v>0</v>
      </c>
      <c r="Y2398">
        <f t="shared" si="150"/>
        <v>324596.33333333331</v>
      </c>
      <c r="Z2398">
        <f t="shared" si="151"/>
        <v>0</v>
      </c>
      <c r="AA2398">
        <v>0</v>
      </c>
    </row>
    <row r="2399" spans="1:27" x14ac:dyDescent="0.25">
      <c r="A2399" s="1">
        <v>2398</v>
      </c>
      <c r="B2399" t="s">
        <v>1064</v>
      </c>
      <c r="C2399" t="s">
        <v>1137</v>
      </c>
      <c r="D2399" t="s">
        <v>1137</v>
      </c>
      <c r="G2399" t="s">
        <v>1187</v>
      </c>
      <c r="H2399" t="s">
        <v>1187</v>
      </c>
      <c r="I2399" t="s">
        <v>1187</v>
      </c>
      <c r="M2399" s="3">
        <f t="shared" si="148"/>
        <v>75.857142857142861</v>
      </c>
      <c r="N2399">
        <v>66</v>
      </c>
      <c r="O2399">
        <v>85</v>
      </c>
      <c r="P2399">
        <v>80</v>
      </c>
      <c r="Q2399">
        <v>75</v>
      </c>
      <c r="R2399">
        <v>95</v>
      </c>
      <c r="S2399">
        <v>88</v>
      </c>
      <c r="T2399">
        <v>42</v>
      </c>
      <c r="U2399">
        <v>0</v>
      </c>
      <c r="V2399" s="3">
        <f t="shared" si="149"/>
        <v>6309063</v>
      </c>
      <c r="W2399">
        <v>525755.25</v>
      </c>
      <c r="X2399">
        <v>0</v>
      </c>
      <c r="Y2399">
        <f t="shared" si="150"/>
        <v>525755.25</v>
      </c>
      <c r="Z2399">
        <f t="shared" si="151"/>
        <v>0</v>
      </c>
      <c r="AA2399">
        <v>0</v>
      </c>
    </row>
    <row r="2400" spans="1:27" x14ac:dyDescent="0.25">
      <c r="A2400" s="1">
        <v>2399</v>
      </c>
      <c r="B2400" t="s">
        <v>1046</v>
      </c>
      <c r="C2400" t="s">
        <v>1137</v>
      </c>
      <c r="D2400" t="s">
        <v>1137</v>
      </c>
      <c r="G2400" t="s">
        <v>1169</v>
      </c>
      <c r="H2400" t="s">
        <v>1151</v>
      </c>
      <c r="I2400" t="s">
        <v>1151</v>
      </c>
      <c r="M2400" s="3">
        <f t="shared" si="148"/>
        <v>75.428571428571431</v>
      </c>
      <c r="N2400">
        <v>59</v>
      </c>
      <c r="O2400">
        <v>83</v>
      </c>
      <c r="P2400">
        <v>82</v>
      </c>
      <c r="Q2400">
        <v>85</v>
      </c>
      <c r="R2400">
        <v>82</v>
      </c>
      <c r="S2400">
        <v>82</v>
      </c>
      <c r="T2400">
        <v>55</v>
      </c>
      <c r="U2400">
        <v>0</v>
      </c>
      <c r="V2400" s="3">
        <f t="shared" si="149"/>
        <v>5961545</v>
      </c>
      <c r="W2400">
        <v>496795.41666666669</v>
      </c>
      <c r="X2400">
        <v>0</v>
      </c>
      <c r="Y2400">
        <f t="shared" si="150"/>
        <v>496795.41666666669</v>
      </c>
      <c r="Z2400">
        <f t="shared" si="151"/>
        <v>0</v>
      </c>
      <c r="AA2400">
        <v>0</v>
      </c>
    </row>
    <row r="2401" spans="1:27" x14ac:dyDescent="0.25">
      <c r="A2401" s="1">
        <v>2400</v>
      </c>
      <c r="B2401" t="s">
        <v>1074</v>
      </c>
      <c r="C2401" t="s">
        <v>1137</v>
      </c>
      <c r="D2401" t="s">
        <v>1137</v>
      </c>
      <c r="G2401" t="s">
        <v>1197</v>
      </c>
      <c r="H2401" t="s">
        <v>1148</v>
      </c>
      <c r="I2401" t="s">
        <v>1148</v>
      </c>
      <c r="M2401" s="3">
        <f t="shared" si="148"/>
        <v>72.428571428571431</v>
      </c>
      <c r="N2401">
        <v>64</v>
      </c>
      <c r="O2401">
        <v>66</v>
      </c>
      <c r="P2401">
        <v>90</v>
      </c>
      <c r="Q2401">
        <v>72</v>
      </c>
      <c r="R2401">
        <v>65</v>
      </c>
      <c r="S2401">
        <v>85</v>
      </c>
      <c r="T2401">
        <v>65</v>
      </c>
      <c r="U2401">
        <v>0</v>
      </c>
      <c r="V2401" s="3">
        <f t="shared" si="149"/>
        <v>3972823</v>
      </c>
      <c r="W2401">
        <v>331068.58333333331</v>
      </c>
      <c r="X2401">
        <v>0</v>
      </c>
      <c r="Y2401">
        <f t="shared" si="150"/>
        <v>331068.58333333331</v>
      </c>
      <c r="Z2401">
        <f t="shared" si="151"/>
        <v>0</v>
      </c>
      <c r="AA2401">
        <v>0</v>
      </c>
    </row>
    <row r="2402" spans="1:27" x14ac:dyDescent="0.25">
      <c r="A2402" s="1">
        <v>2401</v>
      </c>
      <c r="B2402" t="s">
        <v>1042</v>
      </c>
      <c r="C2402" t="s">
        <v>1137</v>
      </c>
      <c r="D2402" t="s">
        <v>1137</v>
      </c>
      <c r="G2402" t="s">
        <v>1165</v>
      </c>
      <c r="H2402" t="s">
        <v>1211</v>
      </c>
      <c r="I2402" t="s">
        <v>1211</v>
      </c>
      <c r="M2402" s="3">
        <f t="shared" si="148"/>
        <v>65.714285714285708</v>
      </c>
      <c r="N2402">
        <v>56</v>
      </c>
      <c r="O2402">
        <v>79</v>
      </c>
      <c r="P2402">
        <v>67</v>
      </c>
      <c r="Q2402">
        <v>79</v>
      </c>
      <c r="R2402">
        <v>67</v>
      </c>
      <c r="S2402">
        <v>67</v>
      </c>
      <c r="T2402">
        <v>45</v>
      </c>
      <c r="U2402">
        <v>0</v>
      </c>
      <c r="V2402" s="3">
        <f t="shared" si="149"/>
        <v>1501751</v>
      </c>
      <c r="W2402">
        <v>125145.91666666667</v>
      </c>
      <c r="X2402">
        <v>0</v>
      </c>
      <c r="Y2402">
        <f t="shared" si="150"/>
        <v>125145.91666666667</v>
      </c>
      <c r="Z2402">
        <f t="shared" si="151"/>
        <v>0</v>
      </c>
      <c r="AA2402">
        <v>0</v>
      </c>
    </row>
    <row r="2403" spans="1:27" x14ac:dyDescent="0.25">
      <c r="A2403" s="1">
        <v>2402</v>
      </c>
      <c r="B2403" t="s">
        <v>1056</v>
      </c>
      <c r="C2403" t="s">
        <v>1137</v>
      </c>
      <c r="D2403" t="s">
        <v>1137</v>
      </c>
      <c r="G2403" t="s">
        <v>1178</v>
      </c>
      <c r="H2403" t="s">
        <v>1178</v>
      </c>
      <c r="I2403" t="s">
        <v>1178</v>
      </c>
      <c r="M2403" s="3">
        <f t="shared" si="148"/>
        <v>68.428571428571431</v>
      </c>
      <c r="N2403">
        <v>43</v>
      </c>
      <c r="O2403">
        <v>84</v>
      </c>
      <c r="P2403">
        <v>78</v>
      </c>
      <c r="Q2403">
        <v>77</v>
      </c>
      <c r="R2403">
        <v>68</v>
      </c>
      <c r="S2403">
        <v>76</v>
      </c>
      <c r="T2403">
        <v>53</v>
      </c>
      <c r="U2403">
        <v>0</v>
      </c>
      <c r="V2403" s="3">
        <f t="shared" si="149"/>
        <v>2250997</v>
      </c>
      <c r="W2403">
        <v>187583.08333333334</v>
      </c>
      <c r="X2403">
        <v>0</v>
      </c>
      <c r="Y2403">
        <f t="shared" si="150"/>
        <v>187583.08333333334</v>
      </c>
      <c r="Z2403">
        <f t="shared" si="151"/>
        <v>0</v>
      </c>
      <c r="AA2403">
        <v>0</v>
      </c>
    </row>
    <row r="2404" spans="1:27" x14ac:dyDescent="0.25">
      <c r="A2404" s="1">
        <v>2403</v>
      </c>
      <c r="B2404" t="s">
        <v>1038</v>
      </c>
      <c r="C2404" t="s">
        <v>1137</v>
      </c>
      <c r="D2404" t="s">
        <v>1137</v>
      </c>
      <c r="G2404" t="s">
        <v>1160</v>
      </c>
      <c r="H2404" t="s">
        <v>1214</v>
      </c>
      <c r="I2404" t="s">
        <v>1214</v>
      </c>
      <c r="M2404" s="3">
        <f t="shared" si="148"/>
        <v>90.285714285714292</v>
      </c>
      <c r="N2404">
        <v>92</v>
      </c>
      <c r="O2404">
        <v>89</v>
      </c>
      <c r="P2404">
        <v>94</v>
      </c>
      <c r="Q2404">
        <v>89</v>
      </c>
      <c r="R2404">
        <v>88</v>
      </c>
      <c r="S2404">
        <v>89</v>
      </c>
      <c r="T2404">
        <v>91</v>
      </c>
      <c r="U2404">
        <v>0</v>
      </c>
      <c r="V2404" s="3">
        <f t="shared" si="149"/>
        <v>35990708</v>
      </c>
      <c r="W2404">
        <v>2999225.6666666665</v>
      </c>
      <c r="X2404">
        <v>0</v>
      </c>
      <c r="Y2404">
        <f t="shared" si="150"/>
        <v>2999225.6666666665</v>
      </c>
      <c r="Z2404">
        <f t="shared" si="151"/>
        <v>0</v>
      </c>
      <c r="AA2404">
        <v>0</v>
      </c>
    </row>
    <row r="2405" spans="1:27" x14ac:dyDescent="0.25">
      <c r="A2405" s="1">
        <v>2404</v>
      </c>
      <c r="B2405" t="s">
        <v>2705</v>
      </c>
      <c r="C2405" t="s">
        <v>1137</v>
      </c>
      <c r="D2405" t="s">
        <v>1137</v>
      </c>
      <c r="H2405" t="s">
        <v>1182</v>
      </c>
      <c r="I2405" t="s">
        <v>1182</v>
      </c>
      <c r="J2405" t="s">
        <v>1254</v>
      </c>
      <c r="K2405" t="s">
        <v>1212</v>
      </c>
      <c r="M2405" s="3">
        <f t="shared" si="148"/>
        <v>61.142857142857146</v>
      </c>
      <c r="N2405">
        <v>40</v>
      </c>
      <c r="O2405">
        <v>61</v>
      </c>
      <c r="P2405">
        <v>65</v>
      </c>
      <c r="Q2405">
        <v>62</v>
      </c>
      <c r="R2405">
        <v>70</v>
      </c>
      <c r="S2405">
        <v>80</v>
      </c>
      <c r="T2405">
        <v>50</v>
      </c>
      <c r="U2405">
        <v>0</v>
      </c>
      <c r="V2405" s="3">
        <f t="shared" si="149"/>
        <v>730226</v>
      </c>
      <c r="W2405">
        <v>60852.166666666664</v>
      </c>
      <c r="X2405">
        <v>0</v>
      </c>
      <c r="Y2405">
        <f t="shared" si="150"/>
        <v>60852.166666666664</v>
      </c>
      <c r="Z2405">
        <f t="shared" ref="Z2405:Z2406" si="152">ROUND(((W2405-Y2405)/Y2405)*100,2)</f>
        <v>0</v>
      </c>
      <c r="AA2405">
        <v>0</v>
      </c>
    </row>
    <row r="2406" spans="1:27" x14ac:dyDescent="0.25">
      <c r="A2406" s="1">
        <v>2405</v>
      </c>
      <c r="B2406" t="s">
        <v>2706</v>
      </c>
      <c r="C2406" t="s">
        <v>1137</v>
      </c>
      <c r="D2406" t="s">
        <v>1137</v>
      </c>
      <c r="H2406" t="s">
        <v>1173</v>
      </c>
      <c r="I2406" t="s">
        <v>1173</v>
      </c>
      <c r="J2406" t="s">
        <v>1246</v>
      </c>
      <c r="K2406" t="s">
        <v>1212</v>
      </c>
      <c r="M2406" s="3">
        <f t="shared" si="148"/>
        <v>77.714285714285708</v>
      </c>
      <c r="N2406">
        <v>60</v>
      </c>
      <c r="O2406">
        <v>75</v>
      </c>
      <c r="P2406">
        <v>80</v>
      </c>
      <c r="Q2406">
        <v>85</v>
      </c>
      <c r="R2406">
        <v>80</v>
      </c>
      <c r="S2406">
        <v>84</v>
      </c>
      <c r="T2406">
        <v>80</v>
      </c>
      <c r="U2406">
        <v>0</v>
      </c>
      <c r="V2406" s="3">
        <f t="shared" si="149"/>
        <v>8035421</v>
      </c>
      <c r="W2406">
        <v>669618.41666666663</v>
      </c>
      <c r="X2406">
        <v>0</v>
      </c>
      <c r="Y2406">
        <f t="shared" si="150"/>
        <v>669618.41666666663</v>
      </c>
      <c r="Z2406">
        <f t="shared" si="152"/>
        <v>0</v>
      </c>
      <c r="AA2406">
        <v>0</v>
      </c>
    </row>
    <row r="2407" spans="1:27" x14ac:dyDescent="0.25">
      <c r="A2407" s="1">
        <v>2406</v>
      </c>
      <c r="B2407" t="s">
        <v>2707</v>
      </c>
      <c r="C2407" t="s">
        <v>1137</v>
      </c>
      <c r="D2407" t="s">
        <v>1137</v>
      </c>
      <c r="H2407" t="s">
        <v>1185</v>
      </c>
      <c r="I2407" t="s">
        <v>1185</v>
      </c>
      <c r="J2407" t="s">
        <v>1236</v>
      </c>
      <c r="K2407" t="s">
        <v>1212</v>
      </c>
      <c r="M2407" s="3">
        <f t="shared" si="148"/>
        <v>62.142857142857146</v>
      </c>
      <c r="N2407">
        <v>44</v>
      </c>
      <c r="O2407">
        <v>80</v>
      </c>
      <c r="P2407">
        <v>60</v>
      </c>
      <c r="Q2407">
        <v>62</v>
      </c>
      <c r="R2407">
        <v>74</v>
      </c>
      <c r="S2407">
        <v>60</v>
      </c>
      <c r="T2407">
        <v>55</v>
      </c>
      <c r="U2407">
        <v>0</v>
      </c>
      <c r="V2407" s="3">
        <f t="shared" si="149"/>
        <v>858840</v>
      </c>
      <c r="W2407">
        <v>71570</v>
      </c>
      <c r="X2407">
        <v>0</v>
      </c>
      <c r="Y2407">
        <f t="shared" si="150"/>
        <v>71570</v>
      </c>
      <c r="Z2407">
        <f t="shared" ref="Z2407" si="153">ROUND(((W2407-Y2407)/Y2407)*100,2)</f>
        <v>0</v>
      </c>
      <c r="AA2407">
        <v>0</v>
      </c>
    </row>
    <row r="2408" spans="1:27" x14ac:dyDescent="0.25">
      <c r="A2408" s="1">
        <v>2407</v>
      </c>
      <c r="B2408" t="s">
        <v>2708</v>
      </c>
      <c r="C2408" t="s">
        <v>1137</v>
      </c>
      <c r="D2408" t="s">
        <v>1137</v>
      </c>
      <c r="H2408" t="s">
        <v>1154</v>
      </c>
      <c r="I2408" t="s">
        <v>1154</v>
      </c>
      <c r="M2408" s="3">
        <f t="shared" si="148"/>
        <v>65.428571428571431</v>
      </c>
      <c r="N2408">
        <v>40</v>
      </c>
      <c r="O2408">
        <v>95</v>
      </c>
      <c r="P2408">
        <v>85</v>
      </c>
      <c r="Q2408">
        <v>60</v>
      </c>
      <c r="R2408">
        <v>62</v>
      </c>
      <c r="S2408">
        <v>56</v>
      </c>
      <c r="T2408">
        <v>60</v>
      </c>
      <c r="U2408">
        <v>0</v>
      </c>
      <c r="V2408" s="3">
        <f t="shared" si="149"/>
        <v>1437721</v>
      </c>
      <c r="W2408">
        <v>119810.08333333333</v>
      </c>
      <c r="X2408">
        <v>0</v>
      </c>
      <c r="Y2408">
        <f t="shared" si="150"/>
        <v>119810.08333333333</v>
      </c>
      <c r="Z2408">
        <f t="shared" ref="Z2408" si="154">ROUND(((W2408-Y2408)/Y2408)*100,2)</f>
        <v>0</v>
      </c>
      <c r="AA2408">
        <v>1</v>
      </c>
    </row>
    <row r="2409" spans="1:27" x14ac:dyDescent="0.25">
      <c r="A2409" s="1">
        <v>2408</v>
      </c>
      <c r="B2409" t="s">
        <v>2709</v>
      </c>
      <c r="C2409" t="s">
        <v>1137</v>
      </c>
      <c r="D2409" t="s">
        <v>1137</v>
      </c>
      <c r="H2409" t="s">
        <v>1188</v>
      </c>
      <c r="I2409" t="s">
        <v>1188</v>
      </c>
      <c r="J2409" t="s">
        <v>1256</v>
      </c>
      <c r="K2409" t="s">
        <v>1212</v>
      </c>
      <c r="M2409" s="3">
        <f t="shared" si="148"/>
        <v>79.428571428571431</v>
      </c>
      <c r="N2409">
        <v>60</v>
      </c>
      <c r="O2409">
        <v>80</v>
      </c>
      <c r="P2409">
        <v>80</v>
      </c>
      <c r="Q2409">
        <v>95</v>
      </c>
      <c r="R2409">
        <v>80</v>
      </c>
      <c r="S2409">
        <v>81</v>
      </c>
      <c r="T2409">
        <v>80</v>
      </c>
      <c r="U2409">
        <v>0</v>
      </c>
      <c r="V2409" s="3">
        <f t="shared" si="149"/>
        <v>9994649</v>
      </c>
      <c r="W2409">
        <v>832887.41666666663</v>
      </c>
      <c r="X2409">
        <v>0</v>
      </c>
      <c r="Y2409">
        <f t="shared" si="150"/>
        <v>832887.41666666663</v>
      </c>
      <c r="Z2409">
        <f t="shared" ref="Z2409:Z2414" si="155">ROUND(((W2409-Y2409)/Y2409)*100,2)</f>
        <v>0</v>
      </c>
      <c r="AA2409">
        <v>0</v>
      </c>
    </row>
    <row r="2410" spans="1:27" x14ac:dyDescent="0.25">
      <c r="A2410" s="1">
        <v>2409</v>
      </c>
      <c r="B2410" t="s">
        <v>2710</v>
      </c>
      <c r="C2410" t="s">
        <v>1137</v>
      </c>
      <c r="D2410" t="s">
        <v>1137</v>
      </c>
      <c r="H2410" t="s">
        <v>1198</v>
      </c>
      <c r="I2410" t="s">
        <v>1198</v>
      </c>
      <c r="J2410" t="s">
        <v>1266</v>
      </c>
      <c r="K2410" t="s">
        <v>1212</v>
      </c>
      <c r="M2410" s="3">
        <f t="shared" si="148"/>
        <v>59.285714285714285</v>
      </c>
      <c r="N2410">
        <v>37</v>
      </c>
      <c r="O2410">
        <v>61</v>
      </c>
      <c r="P2410">
        <v>83</v>
      </c>
      <c r="Q2410">
        <v>64</v>
      </c>
      <c r="R2410">
        <v>62</v>
      </c>
      <c r="S2410">
        <v>66</v>
      </c>
      <c r="T2410">
        <v>42</v>
      </c>
      <c r="U2410">
        <v>0</v>
      </c>
      <c r="V2410" s="3">
        <f t="shared" si="149"/>
        <v>536415</v>
      </c>
      <c r="W2410">
        <v>44701.25</v>
      </c>
      <c r="X2410">
        <v>0</v>
      </c>
      <c r="Y2410">
        <f t="shared" si="150"/>
        <v>44701.25</v>
      </c>
      <c r="Z2410">
        <f t="shared" si="155"/>
        <v>0</v>
      </c>
      <c r="AA2410">
        <v>0</v>
      </c>
    </row>
    <row r="2411" spans="1:27" x14ac:dyDescent="0.25">
      <c r="A2411" s="1">
        <v>2410</v>
      </c>
      <c r="B2411" t="s">
        <v>2711</v>
      </c>
      <c r="C2411" t="s">
        <v>1137</v>
      </c>
      <c r="D2411" t="s">
        <v>1137</v>
      </c>
      <c r="H2411" t="s">
        <v>1169</v>
      </c>
      <c r="I2411" t="s">
        <v>1169</v>
      </c>
      <c r="J2411" t="s">
        <v>1244</v>
      </c>
      <c r="K2411" t="s">
        <v>1212</v>
      </c>
      <c r="M2411" s="3">
        <f t="shared" si="148"/>
        <v>82.285714285714292</v>
      </c>
      <c r="N2411">
        <v>85</v>
      </c>
      <c r="O2411">
        <v>83</v>
      </c>
      <c r="P2411">
        <v>80</v>
      </c>
      <c r="Q2411">
        <v>84</v>
      </c>
      <c r="R2411">
        <v>80</v>
      </c>
      <c r="S2411">
        <v>88</v>
      </c>
      <c r="T2411">
        <v>76</v>
      </c>
      <c r="U2411">
        <v>0</v>
      </c>
      <c r="V2411" s="3">
        <f t="shared" si="149"/>
        <v>14231296</v>
      </c>
      <c r="W2411">
        <v>1185941.3333333333</v>
      </c>
      <c r="X2411">
        <v>0</v>
      </c>
      <c r="Y2411">
        <f t="shared" si="150"/>
        <v>1185941.3333333333</v>
      </c>
      <c r="Z2411">
        <f t="shared" si="155"/>
        <v>0</v>
      </c>
      <c r="AA2411">
        <v>0</v>
      </c>
    </row>
    <row r="2412" spans="1:27" x14ac:dyDescent="0.25">
      <c r="A2412" s="1">
        <v>2411</v>
      </c>
      <c r="B2412" t="s">
        <v>2712</v>
      </c>
      <c r="C2412" t="s">
        <v>1137</v>
      </c>
      <c r="D2412" t="s">
        <v>1137</v>
      </c>
      <c r="H2412" t="s">
        <v>1185</v>
      </c>
      <c r="I2412" t="s">
        <v>1185</v>
      </c>
      <c r="J2412" t="s">
        <v>1257</v>
      </c>
      <c r="K2412" t="s">
        <v>1212</v>
      </c>
      <c r="M2412" s="3">
        <f t="shared" si="148"/>
        <v>71.571428571428569</v>
      </c>
      <c r="N2412">
        <v>50</v>
      </c>
      <c r="O2412">
        <v>75</v>
      </c>
      <c r="P2412">
        <v>74</v>
      </c>
      <c r="Q2412">
        <v>76</v>
      </c>
      <c r="R2412">
        <v>87</v>
      </c>
      <c r="S2412">
        <v>89</v>
      </c>
      <c r="T2412">
        <v>50</v>
      </c>
      <c r="U2412">
        <v>0</v>
      </c>
      <c r="V2412" s="3">
        <f t="shared" si="149"/>
        <v>3526931</v>
      </c>
      <c r="W2412">
        <v>293910.91666666669</v>
      </c>
      <c r="X2412">
        <v>0</v>
      </c>
      <c r="Y2412">
        <f t="shared" si="150"/>
        <v>293910.91666666669</v>
      </c>
      <c r="Z2412">
        <f t="shared" si="155"/>
        <v>0</v>
      </c>
      <c r="AA2412">
        <v>0</v>
      </c>
    </row>
    <row r="2413" spans="1:27" x14ac:dyDescent="0.25">
      <c r="A2413" s="1">
        <v>2412</v>
      </c>
      <c r="B2413" t="s">
        <v>2713</v>
      </c>
      <c r="C2413" t="s">
        <v>1137</v>
      </c>
      <c r="D2413" t="s">
        <v>1137</v>
      </c>
      <c r="H2413" t="s">
        <v>2714</v>
      </c>
      <c r="I2413" t="s">
        <v>2714</v>
      </c>
      <c r="J2413" t="s">
        <v>1274</v>
      </c>
      <c r="K2413" t="s">
        <v>1212</v>
      </c>
      <c r="M2413" s="3">
        <f t="shared" si="148"/>
        <v>81.714285714285708</v>
      </c>
      <c r="N2413">
        <v>80</v>
      </c>
      <c r="O2413">
        <v>88</v>
      </c>
      <c r="P2413">
        <v>86</v>
      </c>
      <c r="Q2413">
        <v>87</v>
      </c>
      <c r="R2413">
        <v>80</v>
      </c>
      <c r="S2413">
        <v>76</v>
      </c>
      <c r="T2413">
        <v>75</v>
      </c>
      <c r="U2413">
        <v>0</v>
      </c>
      <c r="V2413" s="3">
        <f t="shared" si="149"/>
        <v>13273330</v>
      </c>
      <c r="W2413">
        <v>1106110.8333333333</v>
      </c>
      <c r="X2413">
        <v>0</v>
      </c>
      <c r="Y2413">
        <f t="shared" si="150"/>
        <v>1106110.8333333333</v>
      </c>
      <c r="Z2413">
        <f t="shared" si="155"/>
        <v>0</v>
      </c>
      <c r="AA2413">
        <v>0</v>
      </c>
    </row>
    <row r="2414" spans="1:27" x14ac:dyDescent="0.25">
      <c r="A2414" s="1">
        <v>2413</v>
      </c>
      <c r="B2414" t="s">
        <v>2809</v>
      </c>
      <c r="C2414" t="s">
        <v>1137</v>
      </c>
      <c r="D2414" t="s">
        <v>1137</v>
      </c>
      <c r="H2414" t="s">
        <v>1192</v>
      </c>
      <c r="I2414" t="s">
        <v>1192</v>
      </c>
      <c r="J2414" t="s">
        <v>2716</v>
      </c>
      <c r="K2414" t="s">
        <v>1212</v>
      </c>
      <c r="M2414" s="3">
        <f t="shared" si="148"/>
        <v>39.714285714285715</v>
      </c>
      <c r="N2414">
        <v>22</v>
      </c>
      <c r="O2414">
        <v>59</v>
      </c>
      <c r="P2414">
        <v>63</v>
      </c>
      <c r="Q2414">
        <v>60</v>
      </c>
      <c r="R2414">
        <v>28</v>
      </c>
      <c r="S2414">
        <v>19</v>
      </c>
      <c r="T2414">
        <v>27</v>
      </c>
      <c r="U2414">
        <v>0</v>
      </c>
      <c r="V2414" s="3">
        <f t="shared" si="149"/>
        <v>9761</v>
      </c>
      <c r="W2414">
        <v>813.41666666666663</v>
      </c>
      <c r="X2414">
        <v>0</v>
      </c>
      <c r="Y2414">
        <f t="shared" si="150"/>
        <v>813.41666666666663</v>
      </c>
      <c r="Z2414">
        <f t="shared" si="155"/>
        <v>0</v>
      </c>
      <c r="AA2414">
        <v>0</v>
      </c>
    </row>
    <row r="2415" spans="1:27" x14ac:dyDescent="0.25">
      <c r="A2415" s="1">
        <v>2414</v>
      </c>
      <c r="B2415" t="s">
        <v>2759</v>
      </c>
      <c r="C2415" t="s">
        <v>1133</v>
      </c>
      <c r="D2415" t="s">
        <v>1133</v>
      </c>
      <c r="H2415" t="s">
        <v>1192</v>
      </c>
      <c r="I2415" t="s">
        <v>1192</v>
      </c>
      <c r="J2415" t="s">
        <v>2716</v>
      </c>
      <c r="K2415" t="s">
        <v>1212</v>
      </c>
      <c r="M2415" s="3">
        <f t="shared" ref="M2415:M2478" si="156">AVERAGE(N2415:T2415)</f>
        <v>36.714285714285715</v>
      </c>
      <c r="N2415">
        <v>22</v>
      </c>
      <c r="O2415">
        <v>68</v>
      </c>
      <c r="P2415">
        <v>16</v>
      </c>
      <c r="Q2415">
        <v>49</v>
      </c>
      <c r="R2415">
        <v>39</v>
      </c>
      <c r="S2415">
        <v>49</v>
      </c>
      <c r="T2415">
        <v>14</v>
      </c>
      <c r="U2415">
        <v>0</v>
      </c>
      <c r="V2415" s="3">
        <f t="shared" ref="V2415:V2478" si="157">ROUNDUP(M2415^10/1000000000000 * IF(U2415&gt;0,1.5,1),0)</f>
        <v>4450</v>
      </c>
      <c r="W2415">
        <v>370.83333333333331</v>
      </c>
      <c r="X2415">
        <v>0</v>
      </c>
      <c r="Y2415">
        <f t="shared" ref="Y2415:Y2478" si="158">V2415/12</f>
        <v>370.83333333333331</v>
      </c>
      <c r="Z2415">
        <f t="shared" ref="Z2415:Z2478" si="159">ROUND(((W2415-Y2415)/Y2415)*100,2)</f>
        <v>0</v>
      </c>
      <c r="AA2415">
        <v>0</v>
      </c>
    </row>
    <row r="2416" spans="1:27" x14ac:dyDescent="0.25">
      <c r="A2416" s="1">
        <v>2415</v>
      </c>
      <c r="B2416" t="s">
        <v>2762</v>
      </c>
      <c r="C2416" t="s">
        <v>1134</v>
      </c>
      <c r="D2416" t="s">
        <v>1138</v>
      </c>
      <c r="E2416" t="s">
        <v>1139</v>
      </c>
      <c r="F2416" t="s">
        <v>1140</v>
      </c>
      <c r="H2416" t="s">
        <v>1192</v>
      </c>
      <c r="I2416" t="s">
        <v>1192</v>
      </c>
      <c r="J2416" t="s">
        <v>2716</v>
      </c>
      <c r="K2416" t="s">
        <v>1212</v>
      </c>
      <c r="M2416" s="3">
        <f t="shared" si="156"/>
        <v>25.285714285714285</v>
      </c>
      <c r="N2416">
        <v>23</v>
      </c>
      <c r="O2416">
        <v>8</v>
      </c>
      <c r="P2416">
        <v>5</v>
      </c>
      <c r="Q2416">
        <v>69</v>
      </c>
      <c r="R2416">
        <v>20</v>
      </c>
      <c r="S2416">
        <v>22</v>
      </c>
      <c r="T2416">
        <v>30</v>
      </c>
      <c r="U2416">
        <v>0</v>
      </c>
      <c r="V2416" s="3">
        <f t="shared" si="157"/>
        <v>107</v>
      </c>
      <c r="W2416">
        <v>8.9166666666666661</v>
      </c>
      <c r="X2416">
        <v>0</v>
      </c>
      <c r="Y2416">
        <f t="shared" si="158"/>
        <v>8.9166666666666661</v>
      </c>
      <c r="Z2416">
        <f t="shared" si="159"/>
        <v>0</v>
      </c>
      <c r="AA2416">
        <v>0</v>
      </c>
    </row>
    <row r="2417" spans="1:27" x14ac:dyDescent="0.25">
      <c r="A2417" s="1">
        <v>2416</v>
      </c>
      <c r="B2417" t="s">
        <v>2765</v>
      </c>
      <c r="C2417" t="s">
        <v>1136</v>
      </c>
      <c r="D2417" t="s">
        <v>1143</v>
      </c>
      <c r="E2417" t="s">
        <v>1144</v>
      </c>
      <c r="F2417" t="s">
        <v>1145</v>
      </c>
      <c r="H2417" t="s">
        <v>1192</v>
      </c>
      <c r="I2417" t="s">
        <v>1192</v>
      </c>
      <c r="J2417" t="s">
        <v>2716</v>
      </c>
      <c r="K2417" t="s">
        <v>1212</v>
      </c>
      <c r="M2417" s="3">
        <f t="shared" si="156"/>
        <v>39.285714285714285</v>
      </c>
      <c r="N2417">
        <v>14</v>
      </c>
      <c r="O2417">
        <v>19</v>
      </c>
      <c r="P2417">
        <v>70</v>
      </c>
      <c r="Q2417">
        <v>67</v>
      </c>
      <c r="R2417">
        <v>18</v>
      </c>
      <c r="S2417">
        <v>64</v>
      </c>
      <c r="T2417">
        <v>23</v>
      </c>
      <c r="U2417">
        <v>0</v>
      </c>
      <c r="V2417" s="3">
        <f t="shared" si="157"/>
        <v>8757</v>
      </c>
      <c r="W2417">
        <v>729.75</v>
      </c>
      <c r="X2417">
        <v>0</v>
      </c>
      <c r="Y2417">
        <f t="shared" si="158"/>
        <v>729.75</v>
      </c>
      <c r="Z2417">
        <f t="shared" si="159"/>
        <v>0</v>
      </c>
      <c r="AA2417">
        <v>0</v>
      </c>
    </row>
    <row r="2418" spans="1:27" x14ac:dyDescent="0.25">
      <c r="A2418" s="1">
        <v>2417</v>
      </c>
      <c r="B2418" t="s">
        <v>2753</v>
      </c>
      <c r="C2418" t="s">
        <v>1135</v>
      </c>
      <c r="D2418" t="s">
        <v>1141</v>
      </c>
      <c r="E2418" t="s">
        <v>1142</v>
      </c>
      <c r="H2418" t="s">
        <v>1192</v>
      </c>
      <c r="I2418" t="s">
        <v>1192</v>
      </c>
      <c r="J2418" t="s">
        <v>2716</v>
      </c>
      <c r="K2418" t="s">
        <v>1212</v>
      </c>
      <c r="M2418" s="3">
        <f t="shared" si="156"/>
        <v>42.857142857142854</v>
      </c>
      <c r="N2418">
        <v>30</v>
      </c>
      <c r="O2418">
        <v>50</v>
      </c>
      <c r="P2418">
        <v>70</v>
      </c>
      <c r="Q2418">
        <v>42</v>
      </c>
      <c r="R2418">
        <v>37</v>
      </c>
      <c r="S2418">
        <v>53</v>
      </c>
      <c r="T2418">
        <v>18</v>
      </c>
      <c r="U2418">
        <v>0</v>
      </c>
      <c r="V2418" s="3">
        <f t="shared" si="157"/>
        <v>20905</v>
      </c>
      <c r="W2418">
        <v>1742.0833333333333</v>
      </c>
      <c r="X2418">
        <v>0</v>
      </c>
      <c r="Y2418">
        <f t="shared" si="158"/>
        <v>1742.0833333333333</v>
      </c>
      <c r="Z2418">
        <f t="shared" si="159"/>
        <v>0</v>
      </c>
      <c r="AA2418">
        <v>0</v>
      </c>
    </row>
    <row r="2419" spans="1:27" x14ac:dyDescent="0.25">
      <c r="A2419" s="1">
        <v>2418</v>
      </c>
      <c r="B2419" t="s">
        <v>2739</v>
      </c>
      <c r="C2419" t="s">
        <v>1137</v>
      </c>
      <c r="D2419" t="s">
        <v>1137</v>
      </c>
      <c r="H2419" t="s">
        <v>1195</v>
      </c>
      <c r="I2419" t="s">
        <v>1195</v>
      </c>
      <c r="J2419" t="s">
        <v>2717</v>
      </c>
      <c r="K2419" t="s">
        <v>1212</v>
      </c>
      <c r="M2419" s="3">
        <f t="shared" si="156"/>
        <v>34.571428571428569</v>
      </c>
      <c r="N2419">
        <v>19</v>
      </c>
      <c r="O2419">
        <v>66</v>
      </c>
      <c r="P2419">
        <v>48</v>
      </c>
      <c r="Q2419">
        <v>46</v>
      </c>
      <c r="R2419">
        <v>6</v>
      </c>
      <c r="S2419">
        <v>34</v>
      </c>
      <c r="T2419">
        <v>23</v>
      </c>
      <c r="U2419">
        <v>0</v>
      </c>
      <c r="V2419" s="3">
        <f t="shared" si="157"/>
        <v>2439</v>
      </c>
      <c r="W2419">
        <v>203.25</v>
      </c>
      <c r="X2419">
        <v>0</v>
      </c>
      <c r="Y2419">
        <f t="shared" si="158"/>
        <v>203.25</v>
      </c>
      <c r="Z2419">
        <f t="shared" si="159"/>
        <v>0</v>
      </c>
      <c r="AA2419">
        <v>0</v>
      </c>
    </row>
    <row r="2420" spans="1:27" x14ac:dyDescent="0.25">
      <c r="A2420" s="1">
        <v>2419</v>
      </c>
      <c r="B2420" t="s">
        <v>2740</v>
      </c>
      <c r="C2420" t="s">
        <v>1133</v>
      </c>
      <c r="D2420" t="s">
        <v>1133</v>
      </c>
      <c r="H2420" t="s">
        <v>1195</v>
      </c>
      <c r="I2420" t="s">
        <v>1195</v>
      </c>
      <c r="J2420" t="s">
        <v>2717</v>
      </c>
      <c r="K2420" t="s">
        <v>1212</v>
      </c>
      <c r="M2420" s="3">
        <f t="shared" si="156"/>
        <v>32.142857142857146</v>
      </c>
      <c r="N2420">
        <v>12</v>
      </c>
      <c r="O2420">
        <v>24</v>
      </c>
      <c r="P2420">
        <v>34</v>
      </c>
      <c r="Q2420">
        <v>41</v>
      </c>
      <c r="R2420">
        <v>59</v>
      </c>
      <c r="S2420">
        <v>26</v>
      </c>
      <c r="T2420">
        <v>29</v>
      </c>
      <c r="U2420">
        <v>0</v>
      </c>
      <c r="V2420" s="3">
        <f t="shared" si="157"/>
        <v>1178</v>
      </c>
      <c r="W2420">
        <v>98.166666666666671</v>
      </c>
      <c r="X2420">
        <v>0</v>
      </c>
      <c r="Y2420">
        <f t="shared" si="158"/>
        <v>98.166666666666671</v>
      </c>
      <c r="Z2420">
        <f t="shared" si="159"/>
        <v>0</v>
      </c>
      <c r="AA2420">
        <v>0</v>
      </c>
    </row>
    <row r="2421" spans="1:27" x14ac:dyDescent="0.25">
      <c r="A2421" s="1">
        <v>2420</v>
      </c>
      <c r="B2421" t="s">
        <v>2810</v>
      </c>
      <c r="C2421" t="s">
        <v>1134</v>
      </c>
      <c r="D2421" t="s">
        <v>1138</v>
      </c>
      <c r="E2421" t="s">
        <v>1139</v>
      </c>
      <c r="F2421" t="s">
        <v>1140</v>
      </c>
      <c r="H2421" t="s">
        <v>1195</v>
      </c>
      <c r="I2421" t="s">
        <v>1195</v>
      </c>
      <c r="J2421" t="s">
        <v>2717</v>
      </c>
      <c r="K2421" t="s">
        <v>1212</v>
      </c>
      <c r="M2421" s="3">
        <f t="shared" si="156"/>
        <v>26.714285714285715</v>
      </c>
      <c r="N2421">
        <v>13</v>
      </c>
      <c r="O2421">
        <v>42</v>
      </c>
      <c r="P2421">
        <v>32</v>
      </c>
      <c r="Q2421">
        <v>28</v>
      </c>
      <c r="R2421">
        <v>25</v>
      </c>
      <c r="S2421">
        <v>41</v>
      </c>
      <c r="T2421">
        <v>6</v>
      </c>
      <c r="U2421">
        <v>0</v>
      </c>
      <c r="V2421" s="3">
        <f t="shared" si="157"/>
        <v>186</v>
      </c>
      <c r="W2421">
        <v>15.5</v>
      </c>
      <c r="X2421">
        <v>0</v>
      </c>
      <c r="Y2421">
        <f t="shared" si="158"/>
        <v>15.5</v>
      </c>
      <c r="Z2421">
        <f t="shared" si="159"/>
        <v>0</v>
      </c>
      <c r="AA2421">
        <v>0</v>
      </c>
    </row>
    <row r="2422" spans="1:27" x14ac:dyDescent="0.25">
      <c r="A2422" s="1">
        <v>2421</v>
      </c>
      <c r="B2422" t="s">
        <v>2811</v>
      </c>
      <c r="C2422" t="s">
        <v>1136</v>
      </c>
      <c r="D2422" t="s">
        <v>1143</v>
      </c>
      <c r="E2422" t="s">
        <v>1144</v>
      </c>
      <c r="F2422" t="s">
        <v>1145</v>
      </c>
      <c r="H2422" t="s">
        <v>1195</v>
      </c>
      <c r="I2422" t="s">
        <v>1195</v>
      </c>
      <c r="J2422" t="s">
        <v>2717</v>
      </c>
      <c r="K2422" t="s">
        <v>1212</v>
      </c>
      <c r="M2422" s="3">
        <f t="shared" si="156"/>
        <v>22.571428571428573</v>
      </c>
      <c r="N2422">
        <v>15</v>
      </c>
      <c r="O2422">
        <v>55</v>
      </c>
      <c r="P2422">
        <v>5</v>
      </c>
      <c r="Q2422">
        <v>17</v>
      </c>
      <c r="R2422">
        <v>10</v>
      </c>
      <c r="S2422">
        <v>42</v>
      </c>
      <c r="T2422">
        <v>14</v>
      </c>
      <c r="U2422">
        <v>0</v>
      </c>
      <c r="V2422" s="3">
        <f t="shared" si="157"/>
        <v>35</v>
      </c>
      <c r="W2422">
        <v>2.9166666666666665</v>
      </c>
      <c r="X2422">
        <v>0</v>
      </c>
      <c r="Y2422">
        <f t="shared" si="158"/>
        <v>2.9166666666666665</v>
      </c>
      <c r="Z2422">
        <f t="shared" si="159"/>
        <v>0</v>
      </c>
      <c r="AA2422">
        <v>0</v>
      </c>
    </row>
    <row r="2423" spans="1:27" x14ac:dyDescent="0.25">
      <c r="A2423" s="1">
        <v>2422</v>
      </c>
      <c r="B2423" t="s">
        <v>2812</v>
      </c>
      <c r="C2423" t="s">
        <v>1135</v>
      </c>
      <c r="D2423" t="s">
        <v>1141</v>
      </c>
      <c r="E2423" t="s">
        <v>1142</v>
      </c>
      <c r="H2423" t="s">
        <v>1195</v>
      </c>
      <c r="I2423" t="s">
        <v>1195</v>
      </c>
      <c r="J2423" t="s">
        <v>2717</v>
      </c>
      <c r="K2423" t="s">
        <v>1212</v>
      </c>
      <c r="M2423" s="3">
        <f t="shared" si="156"/>
        <v>21.428571428571427</v>
      </c>
      <c r="N2423">
        <v>5</v>
      </c>
      <c r="O2423">
        <v>28</v>
      </c>
      <c r="P2423">
        <v>27</v>
      </c>
      <c r="Q2423">
        <v>56</v>
      </c>
      <c r="R2423">
        <v>21</v>
      </c>
      <c r="S2423">
        <v>7</v>
      </c>
      <c r="T2423">
        <v>6</v>
      </c>
      <c r="U2423">
        <v>0</v>
      </c>
      <c r="V2423" s="3">
        <f t="shared" si="157"/>
        <v>21</v>
      </c>
      <c r="W2423">
        <v>1.75</v>
      </c>
      <c r="X2423">
        <v>0</v>
      </c>
      <c r="Y2423">
        <f t="shared" si="158"/>
        <v>1.75</v>
      </c>
      <c r="Z2423">
        <f t="shared" si="159"/>
        <v>0</v>
      </c>
      <c r="AA2423">
        <v>0</v>
      </c>
    </row>
    <row r="2424" spans="1:27" x14ac:dyDescent="0.25">
      <c r="A2424" s="1">
        <v>2423</v>
      </c>
      <c r="B2424" t="s">
        <v>2766</v>
      </c>
      <c r="C2424" t="s">
        <v>1137</v>
      </c>
      <c r="D2424" t="s">
        <v>1137</v>
      </c>
      <c r="H2424" t="s">
        <v>1151</v>
      </c>
      <c r="I2424" t="s">
        <v>1151</v>
      </c>
      <c r="J2424" t="s">
        <v>2718</v>
      </c>
      <c r="K2424" t="s">
        <v>1212</v>
      </c>
      <c r="M2424" s="3">
        <f t="shared" si="156"/>
        <v>34.428571428571431</v>
      </c>
      <c r="N2424">
        <v>30</v>
      </c>
      <c r="O2424">
        <v>54</v>
      </c>
      <c r="P2424">
        <v>42</v>
      </c>
      <c r="Q2424">
        <v>18</v>
      </c>
      <c r="R2424">
        <v>61</v>
      </c>
      <c r="S2424">
        <v>15</v>
      </c>
      <c r="T2424">
        <v>21</v>
      </c>
      <c r="U2424">
        <v>0</v>
      </c>
      <c r="V2424" s="3">
        <f t="shared" si="157"/>
        <v>2340</v>
      </c>
      <c r="W2424">
        <v>195</v>
      </c>
      <c r="X2424">
        <v>0</v>
      </c>
      <c r="Y2424">
        <f t="shared" si="158"/>
        <v>195</v>
      </c>
      <c r="Z2424">
        <f t="shared" si="159"/>
        <v>0</v>
      </c>
      <c r="AA2424">
        <v>0</v>
      </c>
    </row>
    <row r="2425" spans="1:27" x14ac:dyDescent="0.25">
      <c r="A2425" s="1">
        <v>2424</v>
      </c>
      <c r="B2425" t="s">
        <v>2813</v>
      </c>
      <c r="C2425" t="s">
        <v>1133</v>
      </c>
      <c r="D2425" t="s">
        <v>1133</v>
      </c>
      <c r="H2425" t="s">
        <v>1151</v>
      </c>
      <c r="I2425" t="s">
        <v>1151</v>
      </c>
      <c r="J2425" t="s">
        <v>2718</v>
      </c>
      <c r="K2425" t="s">
        <v>1212</v>
      </c>
      <c r="M2425" s="3">
        <f t="shared" si="156"/>
        <v>26.714285714285715</v>
      </c>
      <c r="N2425">
        <v>12</v>
      </c>
      <c r="O2425">
        <v>8</v>
      </c>
      <c r="P2425">
        <v>20</v>
      </c>
      <c r="Q2425">
        <v>27</v>
      </c>
      <c r="R2425">
        <v>55</v>
      </c>
      <c r="S2425">
        <v>36</v>
      </c>
      <c r="T2425">
        <v>29</v>
      </c>
      <c r="U2425">
        <v>0</v>
      </c>
      <c r="V2425" s="3">
        <f t="shared" si="157"/>
        <v>186</v>
      </c>
      <c r="W2425">
        <v>15.5</v>
      </c>
      <c r="X2425">
        <v>0</v>
      </c>
      <c r="Y2425">
        <f t="shared" si="158"/>
        <v>15.5</v>
      </c>
      <c r="Z2425">
        <f t="shared" si="159"/>
        <v>0</v>
      </c>
      <c r="AA2425">
        <v>0</v>
      </c>
    </row>
    <row r="2426" spans="1:27" x14ac:dyDescent="0.25">
      <c r="A2426" s="1">
        <v>2425</v>
      </c>
      <c r="B2426" t="s">
        <v>2767</v>
      </c>
      <c r="C2426" t="s">
        <v>1134</v>
      </c>
      <c r="D2426" t="s">
        <v>1138</v>
      </c>
      <c r="E2426" t="s">
        <v>1139</v>
      </c>
      <c r="F2426" t="s">
        <v>1140</v>
      </c>
      <c r="H2426" t="s">
        <v>1151</v>
      </c>
      <c r="I2426" t="s">
        <v>1151</v>
      </c>
      <c r="J2426" t="s">
        <v>2718</v>
      </c>
      <c r="K2426" t="s">
        <v>1212</v>
      </c>
      <c r="M2426" s="3">
        <f t="shared" si="156"/>
        <v>31.428571428571427</v>
      </c>
      <c r="N2426">
        <v>44</v>
      </c>
      <c r="O2426">
        <v>29</v>
      </c>
      <c r="P2426">
        <v>46</v>
      </c>
      <c r="Q2426">
        <v>18</v>
      </c>
      <c r="R2426">
        <v>50</v>
      </c>
      <c r="S2426">
        <v>13</v>
      </c>
      <c r="T2426">
        <v>20</v>
      </c>
      <c r="U2426">
        <v>0</v>
      </c>
      <c r="V2426" s="3">
        <f t="shared" si="157"/>
        <v>941</v>
      </c>
      <c r="W2426">
        <v>78.416666666666671</v>
      </c>
      <c r="X2426">
        <v>0</v>
      </c>
      <c r="Y2426">
        <f t="shared" si="158"/>
        <v>78.416666666666671</v>
      </c>
      <c r="Z2426">
        <f t="shared" si="159"/>
        <v>0</v>
      </c>
      <c r="AA2426">
        <v>0</v>
      </c>
    </row>
    <row r="2427" spans="1:27" x14ac:dyDescent="0.25">
      <c r="A2427" s="1">
        <v>2426</v>
      </c>
      <c r="B2427" t="s">
        <v>2761</v>
      </c>
      <c r="C2427" t="s">
        <v>1136</v>
      </c>
      <c r="D2427" t="s">
        <v>1143</v>
      </c>
      <c r="E2427" t="s">
        <v>1144</v>
      </c>
      <c r="F2427" t="s">
        <v>1145</v>
      </c>
      <c r="H2427" t="s">
        <v>1151</v>
      </c>
      <c r="I2427" t="s">
        <v>1151</v>
      </c>
      <c r="J2427" t="s">
        <v>2718</v>
      </c>
      <c r="K2427" t="s">
        <v>1212</v>
      </c>
      <c r="M2427" s="3">
        <f t="shared" si="156"/>
        <v>26</v>
      </c>
      <c r="N2427">
        <v>16</v>
      </c>
      <c r="O2427">
        <v>24</v>
      </c>
      <c r="P2427">
        <v>42</v>
      </c>
      <c r="Q2427">
        <v>27</v>
      </c>
      <c r="R2427">
        <v>42</v>
      </c>
      <c r="S2427">
        <v>7</v>
      </c>
      <c r="T2427">
        <v>24</v>
      </c>
      <c r="U2427">
        <v>0</v>
      </c>
      <c r="V2427" s="3">
        <f t="shared" si="157"/>
        <v>142</v>
      </c>
      <c r="W2427">
        <v>11.833333333333334</v>
      </c>
      <c r="X2427">
        <v>0</v>
      </c>
      <c r="Y2427">
        <f t="shared" si="158"/>
        <v>11.833333333333334</v>
      </c>
      <c r="Z2427">
        <f t="shared" si="159"/>
        <v>0</v>
      </c>
      <c r="AA2427">
        <v>0</v>
      </c>
    </row>
    <row r="2428" spans="1:27" x14ac:dyDescent="0.25">
      <c r="A2428" s="1">
        <v>2427</v>
      </c>
      <c r="B2428" t="s">
        <v>2745</v>
      </c>
      <c r="C2428" t="s">
        <v>1135</v>
      </c>
      <c r="D2428" t="s">
        <v>1141</v>
      </c>
      <c r="E2428" t="s">
        <v>1142</v>
      </c>
      <c r="H2428" t="s">
        <v>1151</v>
      </c>
      <c r="I2428" t="s">
        <v>1151</v>
      </c>
      <c r="J2428" t="s">
        <v>2718</v>
      </c>
      <c r="K2428" t="s">
        <v>1212</v>
      </c>
      <c r="M2428" s="3">
        <f t="shared" si="156"/>
        <v>40.142857142857146</v>
      </c>
      <c r="N2428">
        <v>8</v>
      </c>
      <c r="O2428">
        <v>40</v>
      </c>
      <c r="P2428">
        <v>47</v>
      </c>
      <c r="Q2428">
        <v>35</v>
      </c>
      <c r="R2428">
        <v>64</v>
      </c>
      <c r="S2428">
        <v>63</v>
      </c>
      <c r="T2428">
        <v>24</v>
      </c>
      <c r="U2428">
        <v>0</v>
      </c>
      <c r="V2428" s="3">
        <f t="shared" si="157"/>
        <v>10867</v>
      </c>
      <c r="W2428">
        <v>905.58333333333337</v>
      </c>
      <c r="X2428">
        <v>0</v>
      </c>
      <c r="Y2428">
        <f t="shared" si="158"/>
        <v>905.58333333333337</v>
      </c>
      <c r="Z2428">
        <f t="shared" si="159"/>
        <v>0</v>
      </c>
      <c r="AA2428">
        <v>0</v>
      </c>
    </row>
    <row r="2429" spans="1:27" x14ac:dyDescent="0.25">
      <c r="A2429" s="1">
        <v>2428</v>
      </c>
      <c r="B2429" t="s">
        <v>2814</v>
      </c>
      <c r="C2429" t="s">
        <v>1137</v>
      </c>
      <c r="D2429" t="s">
        <v>1137</v>
      </c>
      <c r="H2429" t="s">
        <v>1157</v>
      </c>
      <c r="I2429" t="s">
        <v>1157</v>
      </c>
      <c r="J2429" t="s">
        <v>2719</v>
      </c>
      <c r="K2429" t="s">
        <v>1212</v>
      </c>
      <c r="M2429" s="3">
        <f t="shared" si="156"/>
        <v>41.571428571428569</v>
      </c>
      <c r="N2429">
        <v>24</v>
      </c>
      <c r="O2429">
        <v>68</v>
      </c>
      <c r="P2429">
        <v>64</v>
      </c>
      <c r="Q2429">
        <v>47</v>
      </c>
      <c r="R2429">
        <v>49</v>
      </c>
      <c r="S2429">
        <v>30</v>
      </c>
      <c r="T2429">
        <v>9</v>
      </c>
      <c r="U2429">
        <v>0</v>
      </c>
      <c r="V2429" s="3">
        <f t="shared" si="157"/>
        <v>15416</v>
      </c>
      <c r="W2429">
        <v>1284.6666666666667</v>
      </c>
      <c r="X2429">
        <v>0</v>
      </c>
      <c r="Y2429">
        <f t="shared" si="158"/>
        <v>1284.6666666666667</v>
      </c>
      <c r="Z2429">
        <f t="shared" si="159"/>
        <v>0</v>
      </c>
      <c r="AA2429">
        <v>0</v>
      </c>
    </row>
    <row r="2430" spans="1:27" x14ac:dyDescent="0.25">
      <c r="A2430" s="1">
        <v>2429</v>
      </c>
      <c r="B2430" t="s">
        <v>2764</v>
      </c>
      <c r="C2430" t="s">
        <v>1133</v>
      </c>
      <c r="D2430" t="s">
        <v>1133</v>
      </c>
      <c r="H2430" t="s">
        <v>1157</v>
      </c>
      <c r="I2430" t="s">
        <v>1157</v>
      </c>
      <c r="J2430" t="s">
        <v>2719</v>
      </c>
      <c r="K2430" t="s">
        <v>1212</v>
      </c>
      <c r="M2430" s="3">
        <f t="shared" si="156"/>
        <v>25.142857142857142</v>
      </c>
      <c r="N2430">
        <v>11</v>
      </c>
      <c r="O2430">
        <v>26</v>
      </c>
      <c r="P2430">
        <v>45</v>
      </c>
      <c r="Q2430">
        <v>8</v>
      </c>
      <c r="R2430">
        <v>54</v>
      </c>
      <c r="S2430">
        <v>26</v>
      </c>
      <c r="T2430">
        <v>6</v>
      </c>
      <c r="U2430">
        <v>0</v>
      </c>
      <c r="V2430" s="3">
        <f t="shared" si="157"/>
        <v>101</v>
      </c>
      <c r="W2430">
        <v>8.4166666666666661</v>
      </c>
      <c r="X2430">
        <v>0</v>
      </c>
      <c r="Y2430">
        <f t="shared" si="158"/>
        <v>8.4166666666666661</v>
      </c>
      <c r="Z2430">
        <f t="shared" si="159"/>
        <v>0</v>
      </c>
      <c r="AA2430">
        <v>0</v>
      </c>
    </row>
    <row r="2431" spans="1:27" x14ac:dyDescent="0.25">
      <c r="A2431" s="1">
        <v>2430</v>
      </c>
      <c r="B2431" t="s">
        <v>2742</v>
      </c>
      <c r="C2431" t="s">
        <v>1134</v>
      </c>
      <c r="D2431" t="s">
        <v>1138</v>
      </c>
      <c r="E2431" t="s">
        <v>1139</v>
      </c>
      <c r="F2431" t="s">
        <v>1140</v>
      </c>
      <c r="H2431" t="s">
        <v>1157</v>
      </c>
      <c r="I2431" t="s">
        <v>1157</v>
      </c>
      <c r="J2431" t="s">
        <v>2719</v>
      </c>
      <c r="K2431" t="s">
        <v>1212</v>
      </c>
      <c r="M2431" s="3">
        <f t="shared" si="156"/>
        <v>21.857142857142858</v>
      </c>
      <c r="N2431">
        <v>25</v>
      </c>
      <c r="O2431">
        <v>32</v>
      </c>
      <c r="P2431">
        <v>16</v>
      </c>
      <c r="Q2431">
        <v>10</v>
      </c>
      <c r="R2431">
        <v>15</v>
      </c>
      <c r="S2431">
        <v>40</v>
      </c>
      <c r="T2431">
        <v>15</v>
      </c>
      <c r="U2431">
        <v>0</v>
      </c>
      <c r="V2431" s="3">
        <f t="shared" si="157"/>
        <v>25</v>
      </c>
      <c r="W2431">
        <v>2.0833333333333335</v>
      </c>
      <c r="X2431">
        <v>0</v>
      </c>
      <c r="Y2431">
        <f t="shared" si="158"/>
        <v>2.0833333333333335</v>
      </c>
      <c r="Z2431">
        <f t="shared" si="159"/>
        <v>0</v>
      </c>
      <c r="AA2431">
        <v>0</v>
      </c>
    </row>
    <row r="2432" spans="1:27" x14ac:dyDescent="0.25">
      <c r="A2432" s="1">
        <v>2431</v>
      </c>
      <c r="B2432" t="s">
        <v>2815</v>
      </c>
      <c r="C2432" t="s">
        <v>1136</v>
      </c>
      <c r="D2432" t="s">
        <v>1143</v>
      </c>
      <c r="E2432" t="s">
        <v>1144</v>
      </c>
      <c r="F2432" t="s">
        <v>1145</v>
      </c>
      <c r="H2432" t="s">
        <v>1157</v>
      </c>
      <c r="I2432" t="s">
        <v>1157</v>
      </c>
      <c r="J2432" t="s">
        <v>2719</v>
      </c>
      <c r="K2432" t="s">
        <v>1212</v>
      </c>
      <c r="M2432" s="3">
        <f t="shared" si="156"/>
        <v>35.428571428571431</v>
      </c>
      <c r="N2432">
        <v>5</v>
      </c>
      <c r="O2432">
        <v>32</v>
      </c>
      <c r="P2432">
        <v>70</v>
      </c>
      <c r="Q2432">
        <v>47</v>
      </c>
      <c r="R2432">
        <v>24</v>
      </c>
      <c r="S2432">
        <v>52</v>
      </c>
      <c r="T2432">
        <v>18</v>
      </c>
      <c r="U2432">
        <v>0</v>
      </c>
      <c r="V2432" s="3">
        <f t="shared" si="157"/>
        <v>3116</v>
      </c>
      <c r="W2432">
        <v>259.66666666666669</v>
      </c>
      <c r="X2432">
        <v>0</v>
      </c>
      <c r="Y2432">
        <f t="shared" si="158"/>
        <v>259.66666666666669</v>
      </c>
      <c r="Z2432">
        <f t="shared" si="159"/>
        <v>0</v>
      </c>
      <c r="AA2432">
        <v>0</v>
      </c>
    </row>
    <row r="2433" spans="1:27" x14ac:dyDescent="0.25">
      <c r="A2433" s="1">
        <v>2432</v>
      </c>
      <c r="B2433" t="s">
        <v>2816</v>
      </c>
      <c r="C2433" t="s">
        <v>1135</v>
      </c>
      <c r="D2433" t="s">
        <v>1141</v>
      </c>
      <c r="E2433" t="s">
        <v>1142</v>
      </c>
      <c r="H2433" t="s">
        <v>1157</v>
      </c>
      <c r="I2433" t="s">
        <v>1157</v>
      </c>
      <c r="J2433" t="s">
        <v>2719</v>
      </c>
      <c r="K2433" t="s">
        <v>1212</v>
      </c>
      <c r="M2433" s="3">
        <f t="shared" si="156"/>
        <v>16.857142857142858</v>
      </c>
      <c r="N2433">
        <v>23</v>
      </c>
      <c r="O2433">
        <v>23</v>
      </c>
      <c r="P2433">
        <v>8</v>
      </c>
      <c r="Q2433">
        <v>31</v>
      </c>
      <c r="R2433">
        <v>7</v>
      </c>
      <c r="S2433">
        <v>19</v>
      </c>
      <c r="T2433">
        <v>7</v>
      </c>
      <c r="U2433">
        <v>0</v>
      </c>
      <c r="V2433" s="3">
        <f t="shared" si="157"/>
        <v>2</v>
      </c>
      <c r="W2433">
        <v>0.16666666666666666</v>
      </c>
      <c r="X2433">
        <v>0</v>
      </c>
      <c r="Y2433">
        <f t="shared" si="158"/>
        <v>0.16666666666666666</v>
      </c>
      <c r="Z2433">
        <f t="shared" si="159"/>
        <v>0</v>
      </c>
      <c r="AA2433">
        <v>0</v>
      </c>
    </row>
    <row r="2434" spans="1:27" x14ac:dyDescent="0.25">
      <c r="A2434" s="1">
        <v>2433</v>
      </c>
      <c r="B2434" t="s">
        <v>2833</v>
      </c>
      <c r="C2434" t="s">
        <v>1137</v>
      </c>
      <c r="D2434" t="s">
        <v>1137</v>
      </c>
      <c r="H2434" t="s">
        <v>1165</v>
      </c>
      <c r="I2434" t="s">
        <v>1165</v>
      </c>
      <c r="J2434" t="s">
        <v>2720</v>
      </c>
      <c r="K2434" t="s">
        <v>1212</v>
      </c>
      <c r="M2434" s="3">
        <f t="shared" si="156"/>
        <v>38.857142857142854</v>
      </c>
      <c r="N2434">
        <v>28</v>
      </c>
      <c r="O2434">
        <v>25</v>
      </c>
      <c r="P2434">
        <v>51</v>
      </c>
      <c r="Q2434">
        <v>68</v>
      </c>
      <c r="R2434">
        <v>49</v>
      </c>
      <c r="S2434">
        <v>44</v>
      </c>
      <c r="T2434">
        <v>7</v>
      </c>
      <c r="U2434">
        <v>0</v>
      </c>
      <c r="V2434" s="3">
        <f t="shared" si="157"/>
        <v>7848</v>
      </c>
      <c r="W2434">
        <v>654</v>
      </c>
      <c r="X2434">
        <v>0</v>
      </c>
      <c r="Y2434">
        <f t="shared" si="158"/>
        <v>654</v>
      </c>
      <c r="Z2434">
        <f t="shared" si="159"/>
        <v>0</v>
      </c>
      <c r="AA2434">
        <v>0</v>
      </c>
    </row>
    <row r="2435" spans="1:27" x14ac:dyDescent="0.25">
      <c r="A2435" s="1">
        <v>2434</v>
      </c>
      <c r="B2435" t="s">
        <v>2834</v>
      </c>
      <c r="C2435" t="s">
        <v>1133</v>
      </c>
      <c r="D2435" t="s">
        <v>1133</v>
      </c>
      <c r="H2435" t="s">
        <v>1165</v>
      </c>
      <c r="I2435" t="s">
        <v>1165</v>
      </c>
      <c r="J2435" t="s">
        <v>2720</v>
      </c>
      <c r="K2435" t="s">
        <v>1212</v>
      </c>
      <c r="M2435" s="3">
        <f t="shared" si="156"/>
        <v>26.857142857142858</v>
      </c>
      <c r="N2435">
        <v>19</v>
      </c>
      <c r="O2435">
        <v>16</v>
      </c>
      <c r="P2435">
        <v>44</v>
      </c>
      <c r="Q2435">
        <v>26</v>
      </c>
      <c r="R2435">
        <v>44</v>
      </c>
      <c r="S2435">
        <v>14</v>
      </c>
      <c r="T2435">
        <v>25</v>
      </c>
      <c r="U2435">
        <v>0</v>
      </c>
      <c r="V2435" s="3">
        <f t="shared" si="157"/>
        <v>196</v>
      </c>
      <c r="W2435">
        <v>16.333333333333332</v>
      </c>
      <c r="X2435">
        <v>0</v>
      </c>
      <c r="Y2435">
        <f t="shared" si="158"/>
        <v>16.333333333333332</v>
      </c>
      <c r="Z2435">
        <f t="shared" si="159"/>
        <v>0</v>
      </c>
      <c r="AA2435">
        <v>0</v>
      </c>
    </row>
    <row r="2436" spans="1:27" x14ac:dyDescent="0.25">
      <c r="A2436" s="1">
        <v>2435</v>
      </c>
      <c r="B2436" t="s">
        <v>2835</v>
      </c>
      <c r="C2436" t="s">
        <v>1134</v>
      </c>
      <c r="D2436" t="s">
        <v>1138</v>
      </c>
      <c r="E2436" t="s">
        <v>1139</v>
      </c>
      <c r="F2436" t="s">
        <v>1140</v>
      </c>
      <c r="H2436" t="s">
        <v>1165</v>
      </c>
      <c r="I2436" t="s">
        <v>1165</v>
      </c>
      <c r="J2436" t="s">
        <v>2720</v>
      </c>
      <c r="K2436" t="s">
        <v>1212</v>
      </c>
      <c r="M2436" s="3">
        <f t="shared" si="156"/>
        <v>27</v>
      </c>
      <c r="N2436">
        <v>14</v>
      </c>
      <c r="O2436">
        <v>33</v>
      </c>
      <c r="P2436">
        <v>5</v>
      </c>
      <c r="Q2436">
        <v>31</v>
      </c>
      <c r="R2436">
        <v>67</v>
      </c>
      <c r="S2436">
        <v>25</v>
      </c>
      <c r="T2436">
        <v>14</v>
      </c>
      <c r="U2436">
        <v>0</v>
      </c>
      <c r="V2436" s="3">
        <f t="shared" si="157"/>
        <v>206</v>
      </c>
      <c r="W2436">
        <v>17.166666666666668</v>
      </c>
      <c r="X2436">
        <v>0</v>
      </c>
      <c r="Y2436">
        <f t="shared" si="158"/>
        <v>17.166666666666668</v>
      </c>
      <c r="Z2436">
        <f t="shared" si="159"/>
        <v>0</v>
      </c>
      <c r="AA2436">
        <v>0</v>
      </c>
    </row>
    <row r="2437" spans="1:27" x14ac:dyDescent="0.25">
      <c r="A2437" s="1">
        <v>2436</v>
      </c>
      <c r="B2437" t="s">
        <v>2836</v>
      </c>
      <c r="C2437" t="s">
        <v>1136</v>
      </c>
      <c r="D2437" t="s">
        <v>1143</v>
      </c>
      <c r="E2437" t="s">
        <v>1144</v>
      </c>
      <c r="F2437" t="s">
        <v>1145</v>
      </c>
      <c r="H2437" t="s">
        <v>1165</v>
      </c>
      <c r="I2437" t="s">
        <v>1165</v>
      </c>
      <c r="J2437" t="s">
        <v>2720</v>
      </c>
      <c r="K2437" t="s">
        <v>1212</v>
      </c>
      <c r="M2437" s="3">
        <f t="shared" si="156"/>
        <v>30.285714285714285</v>
      </c>
      <c r="N2437">
        <v>12</v>
      </c>
      <c r="O2437">
        <v>15</v>
      </c>
      <c r="P2437">
        <v>31</v>
      </c>
      <c r="Q2437">
        <v>15</v>
      </c>
      <c r="R2437">
        <v>39</v>
      </c>
      <c r="S2437">
        <v>70</v>
      </c>
      <c r="T2437">
        <v>30</v>
      </c>
      <c r="U2437">
        <v>0</v>
      </c>
      <c r="V2437" s="3">
        <f t="shared" si="157"/>
        <v>650</v>
      </c>
      <c r="W2437">
        <v>54.166666666666664</v>
      </c>
      <c r="X2437">
        <v>0</v>
      </c>
      <c r="Y2437">
        <f t="shared" si="158"/>
        <v>54.166666666666664</v>
      </c>
      <c r="Z2437">
        <f t="shared" si="159"/>
        <v>0</v>
      </c>
      <c r="AA2437">
        <v>0</v>
      </c>
    </row>
    <row r="2438" spans="1:27" x14ac:dyDescent="0.25">
      <c r="A2438" s="1">
        <v>2437</v>
      </c>
      <c r="B2438" t="s">
        <v>2837</v>
      </c>
      <c r="C2438" t="s">
        <v>1135</v>
      </c>
      <c r="D2438" t="s">
        <v>1141</v>
      </c>
      <c r="E2438" t="s">
        <v>1142</v>
      </c>
      <c r="H2438" t="s">
        <v>1165</v>
      </c>
      <c r="I2438" t="s">
        <v>1165</v>
      </c>
      <c r="J2438" t="s">
        <v>2720</v>
      </c>
      <c r="K2438" t="s">
        <v>1212</v>
      </c>
      <c r="M2438" s="3">
        <f t="shared" si="156"/>
        <v>33.571428571428569</v>
      </c>
      <c r="N2438">
        <v>8</v>
      </c>
      <c r="O2438">
        <v>57</v>
      </c>
      <c r="P2438">
        <v>47</v>
      </c>
      <c r="Q2438">
        <v>35</v>
      </c>
      <c r="R2438">
        <v>36</v>
      </c>
      <c r="S2438">
        <v>23</v>
      </c>
      <c r="T2438">
        <v>29</v>
      </c>
      <c r="U2438">
        <v>0</v>
      </c>
      <c r="V2438" s="3">
        <f t="shared" si="157"/>
        <v>1819</v>
      </c>
      <c r="W2438">
        <v>151.58333333333334</v>
      </c>
      <c r="X2438">
        <v>0</v>
      </c>
      <c r="Y2438">
        <f t="shared" si="158"/>
        <v>151.58333333333334</v>
      </c>
      <c r="Z2438">
        <f t="shared" si="159"/>
        <v>0</v>
      </c>
      <c r="AA2438">
        <v>0</v>
      </c>
    </row>
    <row r="2439" spans="1:27" x14ac:dyDescent="0.25">
      <c r="A2439" s="1">
        <v>2438</v>
      </c>
      <c r="B2439" t="s">
        <v>2737</v>
      </c>
      <c r="C2439" t="s">
        <v>1137</v>
      </c>
      <c r="D2439" t="s">
        <v>1137</v>
      </c>
      <c r="H2439" t="s">
        <v>1175</v>
      </c>
      <c r="I2439" t="s">
        <v>1175</v>
      </c>
      <c r="J2439" t="s">
        <v>2721</v>
      </c>
      <c r="K2439" t="s">
        <v>1212</v>
      </c>
      <c r="M2439" s="3">
        <f t="shared" si="156"/>
        <v>52</v>
      </c>
      <c r="N2439">
        <v>50</v>
      </c>
      <c r="O2439">
        <v>50</v>
      </c>
      <c r="P2439">
        <v>60</v>
      </c>
      <c r="Q2439">
        <v>48</v>
      </c>
      <c r="R2439">
        <v>53</v>
      </c>
      <c r="S2439">
        <v>63</v>
      </c>
      <c r="T2439">
        <v>40</v>
      </c>
      <c r="U2439">
        <v>0</v>
      </c>
      <c r="V2439" s="3">
        <f t="shared" si="157"/>
        <v>144556</v>
      </c>
      <c r="W2439">
        <v>12046.333333333334</v>
      </c>
      <c r="X2439">
        <v>0</v>
      </c>
      <c r="Y2439">
        <f t="shared" si="158"/>
        <v>12046.333333333334</v>
      </c>
      <c r="Z2439">
        <f t="shared" si="159"/>
        <v>0</v>
      </c>
      <c r="AA2439">
        <v>0</v>
      </c>
    </row>
    <row r="2440" spans="1:27" x14ac:dyDescent="0.25">
      <c r="A2440" s="1">
        <v>2439</v>
      </c>
      <c r="B2440" t="s">
        <v>2817</v>
      </c>
      <c r="C2440" t="s">
        <v>1133</v>
      </c>
      <c r="D2440" t="s">
        <v>1133</v>
      </c>
      <c r="H2440" t="s">
        <v>1175</v>
      </c>
      <c r="I2440" t="s">
        <v>1175</v>
      </c>
      <c r="J2440" t="s">
        <v>2721</v>
      </c>
      <c r="K2440" t="s">
        <v>1212</v>
      </c>
      <c r="M2440" s="3">
        <f t="shared" si="156"/>
        <v>34</v>
      </c>
      <c r="N2440">
        <v>30</v>
      </c>
      <c r="O2440">
        <v>22</v>
      </c>
      <c r="P2440">
        <v>54</v>
      </c>
      <c r="Q2440">
        <v>43</v>
      </c>
      <c r="R2440">
        <v>32</v>
      </c>
      <c r="S2440">
        <v>34</v>
      </c>
      <c r="T2440">
        <v>23</v>
      </c>
      <c r="U2440">
        <v>0</v>
      </c>
      <c r="V2440" s="3">
        <f t="shared" si="157"/>
        <v>2065</v>
      </c>
      <c r="W2440">
        <v>172.08333333333334</v>
      </c>
      <c r="X2440">
        <v>0</v>
      </c>
      <c r="Y2440">
        <f t="shared" si="158"/>
        <v>172.08333333333334</v>
      </c>
      <c r="Z2440">
        <f t="shared" si="159"/>
        <v>0</v>
      </c>
      <c r="AA2440">
        <v>0</v>
      </c>
    </row>
    <row r="2441" spans="1:27" x14ac:dyDescent="0.25">
      <c r="A2441" s="1">
        <v>2440</v>
      </c>
      <c r="B2441" t="s">
        <v>2763</v>
      </c>
      <c r="C2441" t="s">
        <v>1134</v>
      </c>
      <c r="D2441" t="s">
        <v>1138</v>
      </c>
      <c r="E2441" t="s">
        <v>1139</v>
      </c>
      <c r="F2441" t="s">
        <v>1140</v>
      </c>
      <c r="H2441" t="s">
        <v>1185</v>
      </c>
      <c r="I2441" t="s">
        <v>1185</v>
      </c>
      <c r="J2441" t="s">
        <v>2721</v>
      </c>
      <c r="K2441" t="s">
        <v>1212</v>
      </c>
      <c r="M2441" s="3">
        <f t="shared" si="156"/>
        <v>30.571428571428573</v>
      </c>
      <c r="N2441">
        <v>5</v>
      </c>
      <c r="O2441">
        <v>37</v>
      </c>
      <c r="P2441">
        <v>48</v>
      </c>
      <c r="Q2441">
        <v>63</v>
      </c>
      <c r="R2441">
        <v>12</v>
      </c>
      <c r="S2441">
        <v>31</v>
      </c>
      <c r="T2441">
        <v>18</v>
      </c>
      <c r="U2441">
        <v>0</v>
      </c>
      <c r="V2441" s="3">
        <f t="shared" si="157"/>
        <v>714</v>
      </c>
      <c r="W2441">
        <v>59.5</v>
      </c>
      <c r="X2441">
        <v>0</v>
      </c>
      <c r="Y2441">
        <f t="shared" si="158"/>
        <v>59.5</v>
      </c>
      <c r="Z2441">
        <f t="shared" si="159"/>
        <v>0</v>
      </c>
      <c r="AA2441">
        <v>0</v>
      </c>
    </row>
    <row r="2442" spans="1:27" x14ac:dyDescent="0.25">
      <c r="A2442" s="1">
        <v>2441</v>
      </c>
      <c r="B2442" t="s">
        <v>2749</v>
      </c>
      <c r="C2442" t="s">
        <v>1136</v>
      </c>
      <c r="D2442" t="s">
        <v>1143</v>
      </c>
      <c r="E2442" t="s">
        <v>1144</v>
      </c>
      <c r="F2442" t="s">
        <v>1145</v>
      </c>
      <c r="H2442" t="s">
        <v>1175</v>
      </c>
      <c r="I2442" t="s">
        <v>1175</v>
      </c>
      <c r="J2442" t="s">
        <v>2721</v>
      </c>
      <c r="K2442" t="s">
        <v>1212</v>
      </c>
      <c r="M2442" s="3">
        <f t="shared" si="156"/>
        <v>29.571428571428573</v>
      </c>
      <c r="N2442">
        <v>29</v>
      </c>
      <c r="O2442">
        <v>46</v>
      </c>
      <c r="P2442">
        <v>13</v>
      </c>
      <c r="Q2442">
        <v>29</v>
      </c>
      <c r="R2442">
        <v>14</v>
      </c>
      <c r="S2442">
        <v>59</v>
      </c>
      <c r="T2442">
        <v>17</v>
      </c>
      <c r="U2442">
        <v>0</v>
      </c>
      <c r="V2442" s="3">
        <f t="shared" si="157"/>
        <v>512</v>
      </c>
      <c r="W2442">
        <v>42.666666666666664</v>
      </c>
      <c r="X2442">
        <v>0</v>
      </c>
      <c r="Y2442">
        <f t="shared" si="158"/>
        <v>42.666666666666664</v>
      </c>
      <c r="Z2442">
        <f t="shared" si="159"/>
        <v>0</v>
      </c>
      <c r="AA2442">
        <v>0</v>
      </c>
    </row>
    <row r="2443" spans="1:27" x14ac:dyDescent="0.25">
      <c r="A2443" s="1">
        <v>2442</v>
      </c>
      <c r="B2443" t="s">
        <v>2741</v>
      </c>
      <c r="C2443" t="s">
        <v>1135</v>
      </c>
      <c r="D2443" t="s">
        <v>1141</v>
      </c>
      <c r="E2443" t="s">
        <v>1142</v>
      </c>
      <c r="H2443" t="s">
        <v>1175</v>
      </c>
      <c r="I2443" t="s">
        <v>1175</v>
      </c>
      <c r="J2443" t="s">
        <v>2721</v>
      </c>
      <c r="K2443" t="s">
        <v>1212</v>
      </c>
      <c r="M2443" s="3">
        <f t="shared" si="156"/>
        <v>30.571428571428573</v>
      </c>
      <c r="N2443">
        <v>22</v>
      </c>
      <c r="O2443">
        <v>34</v>
      </c>
      <c r="P2443">
        <v>19</v>
      </c>
      <c r="Q2443">
        <v>54</v>
      </c>
      <c r="R2443">
        <v>16</v>
      </c>
      <c r="S2443">
        <v>61</v>
      </c>
      <c r="T2443">
        <v>8</v>
      </c>
      <c r="U2443">
        <v>0</v>
      </c>
      <c r="V2443" s="3">
        <f t="shared" si="157"/>
        <v>714</v>
      </c>
      <c r="W2443">
        <v>59.5</v>
      </c>
      <c r="X2443">
        <v>0</v>
      </c>
      <c r="Y2443">
        <f t="shared" si="158"/>
        <v>59.5</v>
      </c>
      <c r="Z2443">
        <f t="shared" si="159"/>
        <v>0</v>
      </c>
      <c r="AA2443">
        <v>0</v>
      </c>
    </row>
    <row r="2444" spans="1:27" x14ac:dyDescent="0.25">
      <c r="A2444" s="1">
        <v>2443</v>
      </c>
      <c r="B2444" t="s">
        <v>2818</v>
      </c>
      <c r="C2444" t="s">
        <v>1137</v>
      </c>
      <c r="D2444" t="s">
        <v>1137</v>
      </c>
      <c r="H2444" t="s">
        <v>1167</v>
      </c>
      <c r="I2444" t="s">
        <v>1167</v>
      </c>
      <c r="J2444" t="s">
        <v>2722</v>
      </c>
      <c r="K2444" t="s">
        <v>1212</v>
      </c>
      <c r="M2444" s="3">
        <f t="shared" si="156"/>
        <v>32.142857142857146</v>
      </c>
      <c r="N2444">
        <v>27</v>
      </c>
      <c r="O2444">
        <v>59</v>
      </c>
      <c r="P2444">
        <v>11</v>
      </c>
      <c r="Q2444">
        <v>27</v>
      </c>
      <c r="R2444">
        <v>43</v>
      </c>
      <c r="S2444">
        <v>37</v>
      </c>
      <c r="T2444">
        <v>21</v>
      </c>
      <c r="U2444">
        <v>0</v>
      </c>
      <c r="V2444" s="3">
        <f t="shared" si="157"/>
        <v>1178</v>
      </c>
      <c r="W2444">
        <v>98.166666666666671</v>
      </c>
      <c r="X2444">
        <v>0</v>
      </c>
      <c r="Y2444">
        <f t="shared" si="158"/>
        <v>98.166666666666671</v>
      </c>
      <c r="Z2444">
        <f t="shared" si="159"/>
        <v>0</v>
      </c>
      <c r="AA2444">
        <v>0</v>
      </c>
    </row>
    <row r="2445" spans="1:27" x14ac:dyDescent="0.25">
      <c r="A2445" s="1">
        <v>2444</v>
      </c>
      <c r="B2445" t="s">
        <v>2819</v>
      </c>
      <c r="C2445" t="s">
        <v>1133</v>
      </c>
      <c r="D2445" t="s">
        <v>1133</v>
      </c>
      <c r="H2445" t="s">
        <v>1167</v>
      </c>
      <c r="I2445" t="s">
        <v>1167</v>
      </c>
      <c r="J2445" t="s">
        <v>2722</v>
      </c>
      <c r="K2445" t="s">
        <v>1212</v>
      </c>
      <c r="M2445" s="3">
        <f t="shared" si="156"/>
        <v>36</v>
      </c>
      <c r="N2445">
        <v>20</v>
      </c>
      <c r="O2445">
        <v>25</v>
      </c>
      <c r="P2445">
        <v>57</v>
      </c>
      <c r="Q2445">
        <v>65</v>
      </c>
      <c r="R2445">
        <v>15</v>
      </c>
      <c r="S2445">
        <v>62</v>
      </c>
      <c r="T2445">
        <v>8</v>
      </c>
      <c r="U2445">
        <v>0</v>
      </c>
      <c r="V2445" s="3">
        <f t="shared" si="157"/>
        <v>3657</v>
      </c>
      <c r="W2445">
        <v>304.75</v>
      </c>
      <c r="X2445">
        <v>0</v>
      </c>
      <c r="Y2445">
        <f t="shared" si="158"/>
        <v>304.75</v>
      </c>
      <c r="Z2445">
        <f t="shared" si="159"/>
        <v>0</v>
      </c>
      <c r="AA2445">
        <v>0</v>
      </c>
    </row>
    <row r="2446" spans="1:27" x14ac:dyDescent="0.25">
      <c r="A2446" s="1">
        <v>2445</v>
      </c>
      <c r="B2446" t="s">
        <v>2820</v>
      </c>
      <c r="C2446" t="s">
        <v>1134</v>
      </c>
      <c r="D2446" t="s">
        <v>1138</v>
      </c>
      <c r="E2446" t="s">
        <v>1139</v>
      </c>
      <c r="F2446" t="s">
        <v>1140</v>
      </c>
      <c r="H2446" t="s">
        <v>1167</v>
      </c>
      <c r="I2446" t="s">
        <v>1167</v>
      </c>
      <c r="J2446" t="s">
        <v>2722</v>
      </c>
      <c r="K2446" t="s">
        <v>1212</v>
      </c>
      <c r="M2446" s="3">
        <f t="shared" si="156"/>
        <v>43.857142857142854</v>
      </c>
      <c r="N2446">
        <v>17</v>
      </c>
      <c r="O2446">
        <v>66</v>
      </c>
      <c r="P2446">
        <v>62</v>
      </c>
      <c r="Q2446">
        <v>48</v>
      </c>
      <c r="R2446">
        <v>23</v>
      </c>
      <c r="S2446">
        <v>64</v>
      </c>
      <c r="T2446">
        <v>27</v>
      </c>
      <c r="U2446">
        <v>0</v>
      </c>
      <c r="V2446" s="3">
        <f t="shared" si="157"/>
        <v>26328</v>
      </c>
      <c r="W2446">
        <v>2194</v>
      </c>
      <c r="X2446">
        <v>0</v>
      </c>
      <c r="Y2446">
        <f t="shared" si="158"/>
        <v>2194</v>
      </c>
      <c r="Z2446">
        <f t="shared" si="159"/>
        <v>0</v>
      </c>
      <c r="AA2446">
        <v>0</v>
      </c>
    </row>
    <row r="2447" spans="1:27" x14ac:dyDescent="0.25">
      <c r="A2447" s="1">
        <v>2446</v>
      </c>
      <c r="B2447" t="s">
        <v>2744</v>
      </c>
      <c r="C2447" t="s">
        <v>1136</v>
      </c>
      <c r="D2447" t="s">
        <v>1143</v>
      </c>
      <c r="E2447" t="s">
        <v>1144</v>
      </c>
      <c r="F2447" t="s">
        <v>1145</v>
      </c>
      <c r="H2447" t="s">
        <v>1167</v>
      </c>
      <c r="I2447" t="s">
        <v>1167</v>
      </c>
      <c r="J2447" t="s">
        <v>2722</v>
      </c>
      <c r="K2447" t="s">
        <v>1212</v>
      </c>
      <c r="M2447" s="3">
        <f t="shared" si="156"/>
        <v>33</v>
      </c>
      <c r="N2447">
        <v>12</v>
      </c>
      <c r="O2447">
        <v>36</v>
      </c>
      <c r="P2447">
        <v>18</v>
      </c>
      <c r="Q2447">
        <v>70</v>
      </c>
      <c r="R2447">
        <v>37</v>
      </c>
      <c r="S2447">
        <v>51</v>
      </c>
      <c r="T2447">
        <v>7</v>
      </c>
      <c r="U2447">
        <v>0</v>
      </c>
      <c r="V2447" s="3">
        <f t="shared" si="157"/>
        <v>1532</v>
      </c>
      <c r="W2447">
        <v>127.66666666666667</v>
      </c>
      <c r="X2447">
        <v>0</v>
      </c>
      <c r="Y2447">
        <f t="shared" si="158"/>
        <v>127.66666666666667</v>
      </c>
      <c r="Z2447">
        <f t="shared" si="159"/>
        <v>0</v>
      </c>
      <c r="AA2447">
        <v>0</v>
      </c>
    </row>
    <row r="2448" spans="1:27" x14ac:dyDescent="0.25">
      <c r="A2448" s="1">
        <v>2447</v>
      </c>
      <c r="B2448" t="s">
        <v>2821</v>
      </c>
      <c r="C2448" t="s">
        <v>1135</v>
      </c>
      <c r="D2448" t="s">
        <v>1141</v>
      </c>
      <c r="E2448" t="s">
        <v>1142</v>
      </c>
      <c r="H2448" t="s">
        <v>1167</v>
      </c>
      <c r="I2448" t="s">
        <v>1167</v>
      </c>
      <c r="J2448" t="s">
        <v>2722</v>
      </c>
      <c r="K2448" t="s">
        <v>1212</v>
      </c>
      <c r="M2448" s="3">
        <f t="shared" si="156"/>
        <v>40.714285714285715</v>
      </c>
      <c r="N2448">
        <v>26</v>
      </c>
      <c r="O2448">
        <v>20</v>
      </c>
      <c r="P2448">
        <v>61</v>
      </c>
      <c r="Q2448">
        <v>70</v>
      </c>
      <c r="R2448">
        <v>40</v>
      </c>
      <c r="S2448">
        <v>56</v>
      </c>
      <c r="T2448">
        <v>12</v>
      </c>
      <c r="U2448">
        <v>0</v>
      </c>
      <c r="V2448" s="3">
        <f t="shared" si="157"/>
        <v>12517</v>
      </c>
      <c r="W2448">
        <v>1043.0833333333333</v>
      </c>
      <c r="X2448">
        <v>0</v>
      </c>
      <c r="Y2448">
        <f t="shared" si="158"/>
        <v>1043.0833333333333</v>
      </c>
      <c r="Z2448">
        <f t="shared" si="159"/>
        <v>0</v>
      </c>
      <c r="AA2448">
        <v>0</v>
      </c>
    </row>
    <row r="2449" spans="1:27" x14ac:dyDescent="0.25">
      <c r="A2449" s="1">
        <v>2448</v>
      </c>
      <c r="B2449" t="s">
        <v>2838</v>
      </c>
      <c r="C2449" t="s">
        <v>1137</v>
      </c>
      <c r="D2449" t="s">
        <v>1137</v>
      </c>
      <c r="H2449" t="s">
        <v>1173</v>
      </c>
      <c r="I2449" t="s">
        <v>1173</v>
      </c>
      <c r="J2449" t="s">
        <v>2723</v>
      </c>
      <c r="K2449" t="s">
        <v>1212</v>
      </c>
      <c r="M2449" s="3">
        <f t="shared" si="156"/>
        <v>27.571428571428573</v>
      </c>
      <c r="N2449">
        <v>14</v>
      </c>
      <c r="O2449">
        <v>29</v>
      </c>
      <c r="P2449">
        <v>15</v>
      </c>
      <c r="Q2449">
        <v>36</v>
      </c>
      <c r="R2449">
        <v>14</v>
      </c>
      <c r="S2449">
        <v>61</v>
      </c>
      <c r="T2449">
        <v>24</v>
      </c>
      <c r="U2449">
        <v>0</v>
      </c>
      <c r="V2449" s="3">
        <f t="shared" si="157"/>
        <v>254</v>
      </c>
      <c r="W2449">
        <v>21.166666666666668</v>
      </c>
      <c r="X2449">
        <v>0</v>
      </c>
      <c r="Y2449">
        <f t="shared" si="158"/>
        <v>21.166666666666668</v>
      </c>
      <c r="Z2449">
        <f t="shared" si="159"/>
        <v>0</v>
      </c>
      <c r="AA2449">
        <v>0</v>
      </c>
    </row>
    <row r="2450" spans="1:27" x14ac:dyDescent="0.25">
      <c r="A2450" s="1">
        <v>2449</v>
      </c>
      <c r="B2450" t="s">
        <v>2839</v>
      </c>
      <c r="C2450" t="s">
        <v>1133</v>
      </c>
      <c r="D2450" t="s">
        <v>1133</v>
      </c>
      <c r="H2450" t="s">
        <v>1173</v>
      </c>
      <c r="I2450" t="s">
        <v>1173</v>
      </c>
      <c r="J2450" t="s">
        <v>2723</v>
      </c>
      <c r="K2450" t="s">
        <v>1212</v>
      </c>
      <c r="M2450" s="3">
        <f t="shared" si="156"/>
        <v>35.571428571428569</v>
      </c>
      <c r="N2450">
        <v>24</v>
      </c>
      <c r="O2450">
        <v>67</v>
      </c>
      <c r="P2450">
        <v>62</v>
      </c>
      <c r="Q2450">
        <v>9</v>
      </c>
      <c r="R2450">
        <v>12</v>
      </c>
      <c r="S2450">
        <v>55</v>
      </c>
      <c r="T2450">
        <v>20</v>
      </c>
      <c r="U2450">
        <v>0</v>
      </c>
      <c r="V2450" s="3">
        <f t="shared" si="157"/>
        <v>3244</v>
      </c>
      <c r="W2450">
        <v>270.33333333333331</v>
      </c>
      <c r="X2450">
        <v>0</v>
      </c>
      <c r="Y2450">
        <f t="shared" si="158"/>
        <v>270.33333333333331</v>
      </c>
      <c r="Z2450">
        <f t="shared" si="159"/>
        <v>0</v>
      </c>
      <c r="AA2450">
        <v>0</v>
      </c>
    </row>
    <row r="2451" spans="1:27" x14ac:dyDescent="0.25">
      <c r="A2451" s="1">
        <v>2450</v>
      </c>
      <c r="B2451" t="s">
        <v>2832</v>
      </c>
      <c r="C2451" t="s">
        <v>1134</v>
      </c>
      <c r="D2451" t="s">
        <v>1138</v>
      </c>
      <c r="E2451" t="s">
        <v>1139</v>
      </c>
      <c r="F2451" t="s">
        <v>1140</v>
      </c>
      <c r="H2451" t="s">
        <v>1173</v>
      </c>
      <c r="I2451" t="s">
        <v>1173</v>
      </c>
      <c r="J2451" t="s">
        <v>2723</v>
      </c>
      <c r="K2451" t="s">
        <v>1212</v>
      </c>
      <c r="M2451" s="3">
        <f t="shared" si="156"/>
        <v>31.142857142857142</v>
      </c>
      <c r="N2451">
        <v>26</v>
      </c>
      <c r="O2451">
        <v>45</v>
      </c>
      <c r="P2451">
        <v>68</v>
      </c>
      <c r="Q2451">
        <v>36</v>
      </c>
      <c r="R2451">
        <v>6</v>
      </c>
      <c r="S2451">
        <v>26</v>
      </c>
      <c r="T2451">
        <v>11</v>
      </c>
      <c r="U2451">
        <v>0</v>
      </c>
      <c r="V2451" s="3">
        <f t="shared" si="157"/>
        <v>859</v>
      </c>
      <c r="W2451">
        <v>71.583333333333329</v>
      </c>
      <c r="X2451">
        <v>0</v>
      </c>
      <c r="Y2451">
        <f t="shared" si="158"/>
        <v>71.583333333333329</v>
      </c>
      <c r="Z2451">
        <f t="shared" si="159"/>
        <v>0</v>
      </c>
      <c r="AA2451">
        <v>0</v>
      </c>
    </row>
    <row r="2452" spans="1:27" x14ac:dyDescent="0.25">
      <c r="A2452" s="1">
        <v>2451</v>
      </c>
      <c r="B2452" t="s">
        <v>2772</v>
      </c>
      <c r="C2452" t="s">
        <v>1136</v>
      </c>
      <c r="D2452" t="s">
        <v>1143</v>
      </c>
      <c r="E2452" t="s">
        <v>1144</v>
      </c>
      <c r="F2452" t="s">
        <v>1145</v>
      </c>
      <c r="H2452" t="s">
        <v>1173</v>
      </c>
      <c r="I2452" t="s">
        <v>1173</v>
      </c>
      <c r="J2452" t="s">
        <v>2723</v>
      </c>
      <c r="K2452" t="s">
        <v>1212</v>
      </c>
      <c r="M2452" s="3">
        <f t="shared" si="156"/>
        <v>30.857142857142858</v>
      </c>
      <c r="N2452">
        <v>18</v>
      </c>
      <c r="O2452">
        <v>19</v>
      </c>
      <c r="P2452">
        <v>11</v>
      </c>
      <c r="Q2452">
        <v>58</v>
      </c>
      <c r="R2452">
        <v>43</v>
      </c>
      <c r="S2452">
        <v>60</v>
      </c>
      <c r="T2452">
        <v>7</v>
      </c>
      <c r="U2452">
        <v>0</v>
      </c>
      <c r="V2452" s="3">
        <f t="shared" si="157"/>
        <v>783</v>
      </c>
      <c r="W2452">
        <v>65.25</v>
      </c>
      <c r="X2452">
        <v>0</v>
      </c>
      <c r="Y2452">
        <f t="shared" si="158"/>
        <v>65.25</v>
      </c>
      <c r="Z2452">
        <f t="shared" si="159"/>
        <v>0</v>
      </c>
      <c r="AA2452">
        <v>0</v>
      </c>
    </row>
    <row r="2453" spans="1:27" x14ac:dyDescent="0.25">
      <c r="A2453" s="1">
        <v>2452</v>
      </c>
      <c r="B2453" t="s">
        <v>2829</v>
      </c>
      <c r="C2453" t="s">
        <v>1135</v>
      </c>
      <c r="D2453" t="s">
        <v>1141</v>
      </c>
      <c r="E2453" t="s">
        <v>1142</v>
      </c>
      <c r="H2453" t="s">
        <v>1173</v>
      </c>
      <c r="I2453" t="s">
        <v>1173</v>
      </c>
      <c r="J2453" t="s">
        <v>2723</v>
      </c>
      <c r="K2453" t="s">
        <v>1212</v>
      </c>
      <c r="M2453" s="3">
        <f t="shared" si="156"/>
        <v>40.142857142857146</v>
      </c>
      <c r="N2453">
        <v>15</v>
      </c>
      <c r="O2453">
        <v>67</v>
      </c>
      <c r="P2453">
        <v>17</v>
      </c>
      <c r="Q2453">
        <v>27</v>
      </c>
      <c r="R2453">
        <v>68</v>
      </c>
      <c r="S2453">
        <v>59</v>
      </c>
      <c r="T2453">
        <v>28</v>
      </c>
      <c r="U2453">
        <v>0</v>
      </c>
      <c r="V2453" s="3">
        <f t="shared" si="157"/>
        <v>10867</v>
      </c>
      <c r="W2453">
        <v>905.58333333333337</v>
      </c>
      <c r="X2453">
        <v>0</v>
      </c>
      <c r="Y2453">
        <f t="shared" si="158"/>
        <v>905.58333333333337</v>
      </c>
      <c r="Z2453">
        <f t="shared" si="159"/>
        <v>0</v>
      </c>
      <c r="AA2453">
        <v>0</v>
      </c>
    </row>
    <row r="2454" spans="1:27" x14ac:dyDescent="0.25">
      <c r="A2454" s="1">
        <v>2453</v>
      </c>
      <c r="B2454" t="s">
        <v>2777</v>
      </c>
      <c r="C2454" t="s">
        <v>1137</v>
      </c>
      <c r="D2454" t="s">
        <v>1137</v>
      </c>
      <c r="H2454" t="s">
        <v>1193</v>
      </c>
      <c r="I2454" t="s">
        <v>1193</v>
      </c>
      <c r="J2454" t="s">
        <v>2724</v>
      </c>
      <c r="K2454" t="s">
        <v>1212</v>
      </c>
      <c r="M2454" s="3">
        <f t="shared" si="156"/>
        <v>46.142857142857146</v>
      </c>
      <c r="N2454">
        <v>28</v>
      </c>
      <c r="O2454">
        <v>64</v>
      </c>
      <c r="P2454">
        <v>66</v>
      </c>
      <c r="Q2454">
        <v>33</v>
      </c>
      <c r="R2454">
        <v>41</v>
      </c>
      <c r="S2454">
        <v>68</v>
      </c>
      <c r="T2454">
        <v>23</v>
      </c>
      <c r="U2454">
        <v>0</v>
      </c>
      <c r="V2454" s="3">
        <f t="shared" si="157"/>
        <v>43757</v>
      </c>
      <c r="W2454">
        <v>3646.4166666666665</v>
      </c>
      <c r="X2454">
        <v>0</v>
      </c>
      <c r="Y2454">
        <f t="shared" si="158"/>
        <v>3646.4166666666665</v>
      </c>
      <c r="Z2454">
        <f t="shared" si="159"/>
        <v>0</v>
      </c>
      <c r="AA2454">
        <v>0</v>
      </c>
    </row>
    <row r="2455" spans="1:27" x14ac:dyDescent="0.25">
      <c r="A2455" s="1">
        <v>2454</v>
      </c>
      <c r="B2455" t="s">
        <v>2768</v>
      </c>
      <c r="C2455" t="s">
        <v>1133</v>
      </c>
      <c r="D2455" t="s">
        <v>1133</v>
      </c>
      <c r="H2455" t="s">
        <v>1193</v>
      </c>
      <c r="I2455" t="s">
        <v>1193</v>
      </c>
      <c r="J2455" t="s">
        <v>2724</v>
      </c>
      <c r="K2455" t="s">
        <v>1212</v>
      </c>
      <c r="M2455" s="3">
        <f t="shared" si="156"/>
        <v>34.714285714285715</v>
      </c>
      <c r="N2455">
        <v>22</v>
      </c>
      <c r="O2455">
        <v>24</v>
      </c>
      <c r="P2455">
        <v>56</v>
      </c>
      <c r="Q2455">
        <v>40</v>
      </c>
      <c r="R2455">
        <v>47</v>
      </c>
      <c r="S2455">
        <v>16</v>
      </c>
      <c r="T2455">
        <v>38</v>
      </c>
      <c r="U2455">
        <v>0</v>
      </c>
      <c r="V2455" s="3">
        <f t="shared" si="157"/>
        <v>2542</v>
      </c>
      <c r="W2455">
        <v>211.83333333333334</v>
      </c>
      <c r="X2455">
        <v>0</v>
      </c>
      <c r="Y2455">
        <f t="shared" si="158"/>
        <v>211.83333333333334</v>
      </c>
      <c r="Z2455">
        <f t="shared" si="159"/>
        <v>0</v>
      </c>
      <c r="AA2455">
        <v>0</v>
      </c>
    </row>
    <row r="2456" spans="1:27" x14ac:dyDescent="0.25">
      <c r="A2456" s="1">
        <v>2455</v>
      </c>
      <c r="B2456" t="s">
        <v>2773</v>
      </c>
      <c r="C2456" t="s">
        <v>1134</v>
      </c>
      <c r="D2456" t="s">
        <v>1138</v>
      </c>
      <c r="E2456" t="s">
        <v>1139</v>
      </c>
      <c r="F2456" t="s">
        <v>1140</v>
      </c>
      <c r="H2456" t="s">
        <v>1193</v>
      </c>
      <c r="I2456" t="s">
        <v>1193</v>
      </c>
      <c r="J2456" t="s">
        <v>2724</v>
      </c>
      <c r="K2456" t="s">
        <v>1212</v>
      </c>
      <c r="M2456" s="3">
        <f t="shared" si="156"/>
        <v>48.285714285714285</v>
      </c>
      <c r="N2456">
        <v>30</v>
      </c>
      <c r="O2456">
        <v>71</v>
      </c>
      <c r="P2456">
        <v>77</v>
      </c>
      <c r="Q2456">
        <v>24</v>
      </c>
      <c r="R2456">
        <v>77</v>
      </c>
      <c r="S2456">
        <v>41</v>
      </c>
      <c r="T2456">
        <v>18</v>
      </c>
      <c r="U2456">
        <v>0</v>
      </c>
      <c r="V2456" s="3">
        <f t="shared" si="157"/>
        <v>68895</v>
      </c>
      <c r="W2456">
        <v>5741.25</v>
      </c>
      <c r="X2456">
        <v>0</v>
      </c>
      <c r="Y2456">
        <f t="shared" si="158"/>
        <v>5741.25</v>
      </c>
      <c r="Z2456">
        <f t="shared" si="159"/>
        <v>0</v>
      </c>
      <c r="AA2456">
        <v>0</v>
      </c>
    </row>
    <row r="2457" spans="1:27" x14ac:dyDescent="0.25">
      <c r="A2457" s="1">
        <v>2456</v>
      </c>
      <c r="B2457" t="s">
        <v>2743</v>
      </c>
      <c r="C2457" t="s">
        <v>1136</v>
      </c>
      <c r="D2457" t="s">
        <v>1143</v>
      </c>
      <c r="E2457" t="s">
        <v>1144</v>
      </c>
      <c r="F2457" t="s">
        <v>1145</v>
      </c>
      <c r="H2457" t="s">
        <v>1193</v>
      </c>
      <c r="I2457" t="s">
        <v>1193</v>
      </c>
      <c r="J2457" t="s">
        <v>2724</v>
      </c>
      <c r="K2457" t="s">
        <v>1212</v>
      </c>
      <c r="M2457" s="3">
        <f t="shared" si="156"/>
        <v>50.857142857142854</v>
      </c>
      <c r="N2457">
        <v>32</v>
      </c>
      <c r="O2457">
        <v>79</v>
      </c>
      <c r="P2457">
        <v>79</v>
      </c>
      <c r="Q2457">
        <v>24</v>
      </c>
      <c r="R2457">
        <v>71</v>
      </c>
      <c r="S2457">
        <v>37</v>
      </c>
      <c r="T2457">
        <v>34</v>
      </c>
      <c r="U2457">
        <v>0</v>
      </c>
      <c r="V2457" s="3">
        <f t="shared" si="157"/>
        <v>115750</v>
      </c>
      <c r="W2457">
        <v>9645.8333333333339</v>
      </c>
      <c r="X2457">
        <v>0</v>
      </c>
      <c r="Y2457">
        <f t="shared" si="158"/>
        <v>9645.8333333333339</v>
      </c>
      <c r="Z2457">
        <f t="shared" si="159"/>
        <v>0</v>
      </c>
      <c r="AA2457">
        <v>0</v>
      </c>
    </row>
    <row r="2458" spans="1:27" x14ac:dyDescent="0.25">
      <c r="A2458" s="1">
        <v>2457</v>
      </c>
      <c r="B2458" t="s">
        <v>2774</v>
      </c>
      <c r="C2458" t="s">
        <v>1135</v>
      </c>
      <c r="D2458" t="s">
        <v>1141</v>
      </c>
      <c r="E2458" t="s">
        <v>1142</v>
      </c>
      <c r="H2458" t="s">
        <v>1193</v>
      </c>
      <c r="I2458" t="s">
        <v>1193</v>
      </c>
      <c r="J2458" t="s">
        <v>2724</v>
      </c>
      <c r="K2458" t="s">
        <v>1212</v>
      </c>
      <c r="M2458" s="3">
        <f t="shared" si="156"/>
        <v>36.428571428571431</v>
      </c>
      <c r="N2458">
        <v>26</v>
      </c>
      <c r="O2458">
        <v>63</v>
      </c>
      <c r="P2458">
        <v>20</v>
      </c>
      <c r="Q2458">
        <v>34</v>
      </c>
      <c r="R2458">
        <v>34</v>
      </c>
      <c r="S2458">
        <v>38</v>
      </c>
      <c r="T2458">
        <v>40</v>
      </c>
      <c r="U2458">
        <v>0</v>
      </c>
      <c r="V2458" s="3">
        <f t="shared" si="157"/>
        <v>4116</v>
      </c>
      <c r="W2458">
        <v>343</v>
      </c>
      <c r="X2458">
        <v>0</v>
      </c>
      <c r="Y2458">
        <f t="shared" si="158"/>
        <v>343</v>
      </c>
      <c r="Z2458">
        <f t="shared" si="159"/>
        <v>0</v>
      </c>
      <c r="AA2458">
        <v>0</v>
      </c>
    </row>
    <row r="2459" spans="1:27" x14ac:dyDescent="0.25">
      <c r="A2459" s="1">
        <v>2458</v>
      </c>
      <c r="B2459" t="s">
        <v>2831</v>
      </c>
      <c r="C2459" t="s">
        <v>1137</v>
      </c>
      <c r="D2459" t="s">
        <v>1137</v>
      </c>
      <c r="H2459" t="s">
        <v>1211</v>
      </c>
      <c r="I2459" t="s">
        <v>1211</v>
      </c>
      <c r="J2459" t="s">
        <v>2725</v>
      </c>
      <c r="K2459" t="s">
        <v>1212</v>
      </c>
      <c r="M2459" s="3">
        <f t="shared" si="156"/>
        <v>26</v>
      </c>
      <c r="N2459">
        <v>11</v>
      </c>
      <c r="O2459">
        <v>28</v>
      </c>
      <c r="P2459">
        <v>5</v>
      </c>
      <c r="Q2459">
        <v>56</v>
      </c>
      <c r="R2459">
        <v>16</v>
      </c>
      <c r="S2459">
        <v>51</v>
      </c>
      <c r="T2459">
        <v>15</v>
      </c>
      <c r="U2459">
        <v>0</v>
      </c>
      <c r="V2459" s="3">
        <f t="shared" si="157"/>
        <v>142</v>
      </c>
      <c r="W2459">
        <v>11.833333333333334</v>
      </c>
      <c r="X2459">
        <v>0</v>
      </c>
      <c r="Y2459">
        <f t="shared" si="158"/>
        <v>11.833333333333334</v>
      </c>
      <c r="Z2459">
        <f t="shared" si="159"/>
        <v>0</v>
      </c>
      <c r="AA2459">
        <v>0</v>
      </c>
    </row>
    <row r="2460" spans="1:27" x14ac:dyDescent="0.25">
      <c r="A2460" s="1">
        <v>2459</v>
      </c>
      <c r="B2460" t="s">
        <v>2830</v>
      </c>
      <c r="C2460" t="s">
        <v>1133</v>
      </c>
      <c r="D2460" t="s">
        <v>1133</v>
      </c>
      <c r="H2460" t="s">
        <v>1211</v>
      </c>
      <c r="I2460" t="s">
        <v>1211</v>
      </c>
      <c r="J2460" t="s">
        <v>2725</v>
      </c>
      <c r="K2460" t="s">
        <v>1212</v>
      </c>
      <c r="M2460" s="3">
        <f t="shared" si="156"/>
        <v>23.142857142857142</v>
      </c>
      <c r="N2460">
        <v>6</v>
      </c>
      <c r="O2460">
        <v>6</v>
      </c>
      <c r="P2460">
        <v>25</v>
      </c>
      <c r="Q2460">
        <v>47</v>
      </c>
      <c r="R2460">
        <v>49</v>
      </c>
      <c r="S2460">
        <v>22</v>
      </c>
      <c r="T2460">
        <v>7</v>
      </c>
      <c r="U2460">
        <v>0</v>
      </c>
      <c r="V2460" s="3">
        <f t="shared" si="157"/>
        <v>45</v>
      </c>
      <c r="W2460">
        <v>3.75</v>
      </c>
      <c r="X2460">
        <v>0</v>
      </c>
      <c r="Y2460">
        <f t="shared" si="158"/>
        <v>3.75</v>
      </c>
      <c r="Z2460">
        <f t="shared" si="159"/>
        <v>0</v>
      </c>
      <c r="AA2460">
        <v>0</v>
      </c>
    </row>
    <row r="2461" spans="1:27" x14ac:dyDescent="0.25">
      <c r="A2461" s="1">
        <v>2460</v>
      </c>
      <c r="B2461" t="s">
        <v>2842</v>
      </c>
      <c r="C2461" t="s">
        <v>1134</v>
      </c>
      <c r="D2461" t="s">
        <v>1138</v>
      </c>
      <c r="E2461" t="s">
        <v>1139</v>
      </c>
      <c r="F2461" t="s">
        <v>1140</v>
      </c>
      <c r="H2461" t="s">
        <v>1211</v>
      </c>
      <c r="I2461" t="s">
        <v>1211</v>
      </c>
      <c r="J2461" t="s">
        <v>2725</v>
      </c>
      <c r="K2461" t="s">
        <v>1212</v>
      </c>
      <c r="M2461" s="3">
        <f t="shared" si="156"/>
        <v>30.428571428571427</v>
      </c>
      <c r="N2461">
        <v>30</v>
      </c>
      <c r="O2461">
        <v>58</v>
      </c>
      <c r="P2461">
        <v>54</v>
      </c>
      <c r="Q2461">
        <v>20</v>
      </c>
      <c r="R2461">
        <v>23</v>
      </c>
      <c r="S2461">
        <v>19</v>
      </c>
      <c r="T2461">
        <v>9</v>
      </c>
      <c r="U2461">
        <v>0</v>
      </c>
      <c r="V2461" s="3">
        <f t="shared" si="157"/>
        <v>681</v>
      </c>
      <c r="W2461">
        <v>56.75</v>
      </c>
      <c r="X2461">
        <v>0</v>
      </c>
      <c r="Y2461">
        <f t="shared" si="158"/>
        <v>56.75</v>
      </c>
      <c r="Z2461">
        <f t="shared" si="159"/>
        <v>0</v>
      </c>
      <c r="AA2461">
        <v>0</v>
      </c>
    </row>
    <row r="2462" spans="1:27" x14ac:dyDescent="0.25">
      <c r="A2462" s="1">
        <v>2461</v>
      </c>
      <c r="B2462" t="s">
        <v>2843</v>
      </c>
      <c r="C2462" t="s">
        <v>1136</v>
      </c>
      <c r="D2462" t="s">
        <v>1143</v>
      </c>
      <c r="E2462" t="s">
        <v>1144</v>
      </c>
      <c r="F2462" t="s">
        <v>1145</v>
      </c>
      <c r="H2462" t="s">
        <v>1211</v>
      </c>
      <c r="I2462" t="s">
        <v>1211</v>
      </c>
      <c r="J2462" t="s">
        <v>2725</v>
      </c>
      <c r="K2462" t="s">
        <v>1212</v>
      </c>
      <c r="M2462" s="3">
        <f t="shared" si="156"/>
        <v>41.571428571428569</v>
      </c>
      <c r="N2462">
        <v>20</v>
      </c>
      <c r="O2462">
        <v>54</v>
      </c>
      <c r="P2462">
        <v>14</v>
      </c>
      <c r="Q2462">
        <v>68</v>
      </c>
      <c r="R2462">
        <v>68</v>
      </c>
      <c r="S2462">
        <v>52</v>
      </c>
      <c r="T2462">
        <v>15</v>
      </c>
      <c r="U2462">
        <v>0</v>
      </c>
      <c r="V2462" s="3">
        <f t="shared" si="157"/>
        <v>15416</v>
      </c>
      <c r="W2462">
        <v>1284.6666666666667</v>
      </c>
      <c r="X2462">
        <v>0</v>
      </c>
      <c r="Y2462">
        <f t="shared" si="158"/>
        <v>1284.6666666666667</v>
      </c>
      <c r="Z2462">
        <f t="shared" si="159"/>
        <v>0</v>
      </c>
      <c r="AA2462">
        <v>0</v>
      </c>
    </row>
    <row r="2463" spans="1:27" x14ac:dyDescent="0.25">
      <c r="A2463" s="1">
        <v>2462</v>
      </c>
      <c r="B2463" t="s">
        <v>2844</v>
      </c>
      <c r="C2463" t="s">
        <v>1135</v>
      </c>
      <c r="D2463" t="s">
        <v>1141</v>
      </c>
      <c r="E2463" t="s">
        <v>1142</v>
      </c>
      <c r="H2463" t="s">
        <v>1211</v>
      </c>
      <c r="I2463" t="s">
        <v>1211</v>
      </c>
      <c r="J2463" t="s">
        <v>2725</v>
      </c>
      <c r="K2463" t="s">
        <v>1212</v>
      </c>
      <c r="M2463" s="3">
        <f t="shared" si="156"/>
        <v>30.571428571428573</v>
      </c>
      <c r="N2463">
        <v>26</v>
      </c>
      <c r="O2463">
        <v>53</v>
      </c>
      <c r="P2463">
        <v>25</v>
      </c>
      <c r="Q2463">
        <v>42</v>
      </c>
      <c r="R2463">
        <v>14</v>
      </c>
      <c r="S2463">
        <v>38</v>
      </c>
      <c r="T2463">
        <v>16</v>
      </c>
      <c r="U2463">
        <v>0</v>
      </c>
      <c r="V2463" s="3">
        <f t="shared" si="157"/>
        <v>714</v>
      </c>
      <c r="W2463">
        <v>59.5</v>
      </c>
      <c r="X2463">
        <v>0</v>
      </c>
      <c r="Y2463">
        <f t="shared" si="158"/>
        <v>59.5</v>
      </c>
      <c r="Z2463">
        <f t="shared" si="159"/>
        <v>0</v>
      </c>
      <c r="AA2463">
        <v>0</v>
      </c>
    </row>
    <row r="2464" spans="1:27" x14ac:dyDescent="0.25">
      <c r="A2464" s="1">
        <v>2463</v>
      </c>
      <c r="B2464" t="s">
        <v>2845</v>
      </c>
      <c r="C2464" t="s">
        <v>1137</v>
      </c>
      <c r="D2464" t="s">
        <v>1137</v>
      </c>
      <c r="H2464" t="s">
        <v>2840</v>
      </c>
      <c r="I2464" t="s">
        <v>2840</v>
      </c>
      <c r="J2464" t="s">
        <v>2841</v>
      </c>
      <c r="K2464" t="s">
        <v>1212</v>
      </c>
      <c r="M2464" s="3">
        <f t="shared" si="156"/>
        <v>92.571428571428569</v>
      </c>
      <c r="N2464">
        <v>90</v>
      </c>
      <c r="O2464">
        <v>92</v>
      </c>
      <c r="P2464">
        <v>94</v>
      </c>
      <c r="Q2464">
        <v>95</v>
      </c>
      <c r="R2464">
        <v>90</v>
      </c>
      <c r="S2464">
        <v>91</v>
      </c>
      <c r="T2464">
        <v>96</v>
      </c>
      <c r="U2464">
        <v>0</v>
      </c>
      <c r="V2464" s="3">
        <f t="shared" si="157"/>
        <v>46213585</v>
      </c>
      <c r="W2464">
        <v>100000</v>
      </c>
      <c r="X2464">
        <v>0</v>
      </c>
      <c r="Y2464">
        <f t="shared" si="158"/>
        <v>3851132.0833333335</v>
      </c>
      <c r="Z2464">
        <f t="shared" si="159"/>
        <v>-97.4</v>
      </c>
      <c r="AA2464">
        <v>0</v>
      </c>
    </row>
    <row r="2465" spans="1:27" x14ac:dyDescent="0.25">
      <c r="A2465" s="1">
        <v>2464</v>
      </c>
      <c r="B2465" t="s">
        <v>2846</v>
      </c>
      <c r="C2465" t="s">
        <v>1133</v>
      </c>
      <c r="D2465" t="s">
        <v>1133</v>
      </c>
      <c r="H2465" t="s">
        <v>2840</v>
      </c>
      <c r="I2465" t="s">
        <v>2840</v>
      </c>
      <c r="J2465" t="s">
        <v>2841</v>
      </c>
      <c r="K2465" t="s">
        <v>1212</v>
      </c>
      <c r="M2465" s="3">
        <f t="shared" si="156"/>
        <v>43</v>
      </c>
      <c r="N2465">
        <v>33</v>
      </c>
      <c r="O2465">
        <v>35</v>
      </c>
      <c r="P2465">
        <v>80</v>
      </c>
      <c r="Q2465">
        <v>50</v>
      </c>
      <c r="R2465">
        <v>27</v>
      </c>
      <c r="S2465">
        <v>47</v>
      </c>
      <c r="T2465">
        <v>29</v>
      </c>
      <c r="U2465">
        <v>0</v>
      </c>
      <c r="V2465" s="3">
        <f t="shared" si="157"/>
        <v>21612</v>
      </c>
      <c r="W2465">
        <v>1801</v>
      </c>
      <c r="X2465">
        <v>0</v>
      </c>
      <c r="Y2465">
        <f t="shared" si="158"/>
        <v>1801</v>
      </c>
      <c r="Z2465">
        <f t="shared" si="159"/>
        <v>0</v>
      </c>
      <c r="AA2465">
        <v>0</v>
      </c>
    </row>
    <row r="2466" spans="1:27" x14ac:dyDescent="0.25">
      <c r="A2466" s="1">
        <v>2465</v>
      </c>
      <c r="B2466" t="s">
        <v>2847</v>
      </c>
      <c r="C2466" t="s">
        <v>1134</v>
      </c>
      <c r="D2466" t="s">
        <v>1138</v>
      </c>
      <c r="H2466" t="s">
        <v>2840</v>
      </c>
      <c r="I2466" t="s">
        <v>2840</v>
      </c>
      <c r="J2466" t="s">
        <v>2841</v>
      </c>
      <c r="K2466" t="s">
        <v>1212</v>
      </c>
      <c r="M2466" s="3">
        <f t="shared" si="156"/>
        <v>47.857142857142854</v>
      </c>
      <c r="N2466">
        <v>25</v>
      </c>
      <c r="O2466">
        <v>58</v>
      </c>
      <c r="P2466">
        <v>81</v>
      </c>
      <c r="Q2466">
        <v>37</v>
      </c>
      <c r="R2466">
        <v>47</v>
      </c>
      <c r="S2466">
        <v>63</v>
      </c>
      <c r="T2466">
        <v>24</v>
      </c>
      <c r="U2466">
        <v>0</v>
      </c>
      <c r="V2466" s="3">
        <f t="shared" si="157"/>
        <v>63019</v>
      </c>
      <c r="W2466">
        <v>5251.583333333333</v>
      </c>
      <c r="X2466">
        <v>0</v>
      </c>
      <c r="Y2466">
        <f t="shared" si="158"/>
        <v>5251.583333333333</v>
      </c>
      <c r="Z2466">
        <f t="shared" si="159"/>
        <v>0</v>
      </c>
      <c r="AA2466">
        <v>0</v>
      </c>
    </row>
    <row r="2467" spans="1:27" x14ac:dyDescent="0.25">
      <c r="A2467" s="1">
        <v>2466</v>
      </c>
      <c r="B2467" t="s">
        <v>2849</v>
      </c>
      <c r="C2467" t="s">
        <v>1134</v>
      </c>
      <c r="D2467" t="s">
        <v>1138</v>
      </c>
      <c r="H2467" t="s">
        <v>2840</v>
      </c>
      <c r="I2467" t="s">
        <v>2840</v>
      </c>
      <c r="J2467" t="s">
        <v>2841</v>
      </c>
      <c r="K2467" t="s">
        <v>1212</v>
      </c>
      <c r="M2467" s="3">
        <f t="shared" si="156"/>
        <v>55.571428571428569</v>
      </c>
      <c r="N2467">
        <v>26</v>
      </c>
      <c r="O2467">
        <v>78</v>
      </c>
      <c r="P2467">
        <v>58</v>
      </c>
      <c r="Q2467">
        <v>40</v>
      </c>
      <c r="R2467">
        <v>72</v>
      </c>
      <c r="S2467">
        <v>78</v>
      </c>
      <c r="T2467">
        <v>37</v>
      </c>
      <c r="U2467">
        <v>0</v>
      </c>
      <c r="V2467" s="3">
        <f t="shared" si="157"/>
        <v>280877</v>
      </c>
      <c r="W2467">
        <v>23406.416666666668</v>
      </c>
      <c r="X2467">
        <v>0</v>
      </c>
      <c r="Y2467">
        <f t="shared" si="158"/>
        <v>23406.416666666668</v>
      </c>
      <c r="Z2467">
        <f t="shared" si="159"/>
        <v>0</v>
      </c>
      <c r="AA2467">
        <v>0</v>
      </c>
    </row>
    <row r="2468" spans="1:27" x14ac:dyDescent="0.25">
      <c r="A2468" s="1">
        <v>2467</v>
      </c>
      <c r="B2468" t="s">
        <v>2850</v>
      </c>
      <c r="C2468" t="s">
        <v>1134</v>
      </c>
      <c r="D2468" t="s">
        <v>1139</v>
      </c>
      <c r="H2468" t="s">
        <v>2840</v>
      </c>
      <c r="I2468" t="s">
        <v>2840</v>
      </c>
      <c r="J2468" t="s">
        <v>2841</v>
      </c>
      <c r="K2468" t="s">
        <v>1212</v>
      </c>
      <c r="M2468" s="3">
        <f t="shared" si="156"/>
        <v>58</v>
      </c>
      <c r="N2468">
        <v>40</v>
      </c>
      <c r="O2468">
        <v>62</v>
      </c>
      <c r="P2468">
        <v>59</v>
      </c>
      <c r="Q2468">
        <v>45</v>
      </c>
      <c r="R2468">
        <v>76</v>
      </c>
      <c r="S2468">
        <v>82</v>
      </c>
      <c r="T2468">
        <v>42</v>
      </c>
      <c r="U2468">
        <v>0</v>
      </c>
      <c r="V2468" s="3">
        <f t="shared" si="157"/>
        <v>430805</v>
      </c>
      <c r="W2468">
        <v>35900.416666666664</v>
      </c>
      <c r="X2468">
        <v>0</v>
      </c>
      <c r="Y2468">
        <f t="shared" si="158"/>
        <v>35900.416666666664</v>
      </c>
      <c r="Z2468">
        <f t="shared" si="159"/>
        <v>0</v>
      </c>
      <c r="AA2468">
        <v>0</v>
      </c>
    </row>
    <row r="2469" spans="1:27" x14ac:dyDescent="0.25">
      <c r="A2469" s="1">
        <v>2468</v>
      </c>
      <c r="B2469" t="s">
        <v>2851</v>
      </c>
      <c r="C2469" t="s">
        <v>1134</v>
      </c>
      <c r="D2469" t="s">
        <v>1140</v>
      </c>
      <c r="H2469" t="s">
        <v>2840</v>
      </c>
      <c r="I2469" t="s">
        <v>2840</v>
      </c>
      <c r="J2469" t="s">
        <v>2841</v>
      </c>
      <c r="K2469" t="s">
        <v>1212</v>
      </c>
      <c r="M2469" s="3">
        <f t="shared" si="156"/>
        <v>46.142857142857146</v>
      </c>
      <c r="N2469">
        <v>25</v>
      </c>
      <c r="O2469">
        <v>64</v>
      </c>
      <c r="P2469">
        <v>49</v>
      </c>
      <c r="Q2469">
        <v>57</v>
      </c>
      <c r="R2469">
        <v>41</v>
      </c>
      <c r="S2469">
        <v>50</v>
      </c>
      <c r="T2469">
        <v>37</v>
      </c>
      <c r="U2469">
        <v>0</v>
      </c>
      <c r="V2469" s="3">
        <f t="shared" si="157"/>
        <v>43757</v>
      </c>
      <c r="W2469">
        <v>3646.4166666666665</v>
      </c>
      <c r="X2469">
        <v>0</v>
      </c>
      <c r="Y2469">
        <f t="shared" si="158"/>
        <v>3646.4166666666665</v>
      </c>
      <c r="Z2469">
        <f t="shared" si="159"/>
        <v>0</v>
      </c>
      <c r="AA2469">
        <v>0</v>
      </c>
    </row>
    <row r="2470" spans="1:27" x14ac:dyDescent="0.25">
      <c r="A2470" s="1">
        <v>2469</v>
      </c>
      <c r="B2470" t="s">
        <v>2771</v>
      </c>
      <c r="C2470" t="s">
        <v>1136</v>
      </c>
      <c r="D2470" t="s">
        <v>1144</v>
      </c>
      <c r="H2470" t="s">
        <v>2840</v>
      </c>
      <c r="I2470" t="s">
        <v>2840</v>
      </c>
      <c r="J2470" t="s">
        <v>2841</v>
      </c>
      <c r="K2470" t="s">
        <v>1212</v>
      </c>
      <c r="M2470" s="3">
        <f t="shared" si="156"/>
        <v>57.142857142857146</v>
      </c>
      <c r="N2470">
        <v>43</v>
      </c>
      <c r="O2470">
        <v>85</v>
      </c>
      <c r="P2470">
        <v>68</v>
      </c>
      <c r="Q2470">
        <v>42</v>
      </c>
      <c r="R2470">
        <v>79</v>
      </c>
      <c r="S2470">
        <v>46</v>
      </c>
      <c r="T2470">
        <v>37</v>
      </c>
      <c r="U2470">
        <v>0</v>
      </c>
      <c r="V2470" s="3">
        <f t="shared" si="157"/>
        <v>371210</v>
      </c>
      <c r="W2470">
        <v>30934.166666666668</v>
      </c>
      <c r="X2470">
        <v>0</v>
      </c>
      <c r="Y2470">
        <f t="shared" si="158"/>
        <v>30934.166666666668</v>
      </c>
      <c r="Z2470">
        <f t="shared" si="159"/>
        <v>0</v>
      </c>
      <c r="AA2470">
        <v>0</v>
      </c>
    </row>
    <row r="2471" spans="1:27" x14ac:dyDescent="0.25">
      <c r="A2471" s="1">
        <v>2470</v>
      </c>
      <c r="B2471" t="s">
        <v>2852</v>
      </c>
      <c r="C2471" t="s">
        <v>1136</v>
      </c>
      <c r="D2471" t="s">
        <v>1143</v>
      </c>
      <c r="H2471" t="s">
        <v>2840</v>
      </c>
      <c r="I2471" t="s">
        <v>2840</v>
      </c>
      <c r="J2471" t="s">
        <v>2841</v>
      </c>
      <c r="K2471" t="s">
        <v>1212</v>
      </c>
      <c r="M2471" s="3">
        <f t="shared" si="156"/>
        <v>47.571428571428569</v>
      </c>
      <c r="N2471">
        <v>41</v>
      </c>
      <c r="O2471">
        <v>74</v>
      </c>
      <c r="P2471">
        <v>22</v>
      </c>
      <c r="Q2471">
        <v>35</v>
      </c>
      <c r="R2471">
        <v>80</v>
      </c>
      <c r="S2471">
        <v>53</v>
      </c>
      <c r="T2471">
        <v>28</v>
      </c>
      <c r="U2471">
        <v>0</v>
      </c>
      <c r="V2471" s="3">
        <f t="shared" si="157"/>
        <v>59356</v>
      </c>
      <c r="W2471">
        <v>4946.333333333333</v>
      </c>
      <c r="X2471">
        <v>0</v>
      </c>
      <c r="Y2471">
        <f t="shared" si="158"/>
        <v>4946.333333333333</v>
      </c>
      <c r="Z2471">
        <f t="shared" si="159"/>
        <v>0</v>
      </c>
      <c r="AA2471">
        <v>0</v>
      </c>
    </row>
    <row r="2472" spans="1:27" x14ac:dyDescent="0.25">
      <c r="A2472" s="1">
        <v>2471</v>
      </c>
      <c r="B2472" t="s">
        <v>2853</v>
      </c>
      <c r="C2472" t="s">
        <v>1136</v>
      </c>
      <c r="D2472" t="s">
        <v>1145</v>
      </c>
      <c r="H2472" t="s">
        <v>2840</v>
      </c>
      <c r="I2472" t="s">
        <v>2840</v>
      </c>
      <c r="J2472" t="s">
        <v>2841</v>
      </c>
      <c r="K2472" t="s">
        <v>1212</v>
      </c>
      <c r="M2472" s="3">
        <f t="shared" si="156"/>
        <v>46.857142857142854</v>
      </c>
      <c r="N2472">
        <v>28</v>
      </c>
      <c r="O2472">
        <v>52</v>
      </c>
      <c r="P2472">
        <v>44</v>
      </c>
      <c r="Q2472">
        <v>30</v>
      </c>
      <c r="R2472">
        <v>82</v>
      </c>
      <c r="S2472">
        <v>48</v>
      </c>
      <c r="T2472">
        <v>44</v>
      </c>
      <c r="U2472">
        <v>0</v>
      </c>
      <c r="V2472" s="3">
        <f t="shared" si="157"/>
        <v>51023</v>
      </c>
      <c r="W2472">
        <v>4251.916666666667</v>
      </c>
      <c r="X2472">
        <v>0</v>
      </c>
      <c r="Y2472">
        <f t="shared" si="158"/>
        <v>4251.916666666667</v>
      </c>
      <c r="Z2472">
        <f t="shared" si="159"/>
        <v>0</v>
      </c>
      <c r="AA2472">
        <v>0</v>
      </c>
    </row>
    <row r="2473" spans="1:27" x14ac:dyDescent="0.25">
      <c r="A2473" s="1">
        <v>2472</v>
      </c>
      <c r="B2473" t="s">
        <v>2854</v>
      </c>
      <c r="C2473" t="s">
        <v>1136</v>
      </c>
      <c r="D2473" t="s">
        <v>1146</v>
      </c>
      <c r="H2473" t="s">
        <v>2840</v>
      </c>
      <c r="I2473" t="s">
        <v>2840</v>
      </c>
      <c r="J2473" t="s">
        <v>2841</v>
      </c>
      <c r="K2473" t="s">
        <v>1212</v>
      </c>
      <c r="M2473" s="3">
        <f t="shared" si="156"/>
        <v>44</v>
      </c>
      <c r="N2473">
        <v>40</v>
      </c>
      <c r="O2473">
        <v>42</v>
      </c>
      <c r="P2473">
        <v>32</v>
      </c>
      <c r="Q2473">
        <v>36</v>
      </c>
      <c r="R2473">
        <v>52</v>
      </c>
      <c r="S2473">
        <v>70</v>
      </c>
      <c r="T2473">
        <v>36</v>
      </c>
      <c r="U2473">
        <v>0</v>
      </c>
      <c r="V2473" s="3">
        <f t="shared" si="157"/>
        <v>27198</v>
      </c>
      <c r="W2473">
        <v>2266.5</v>
      </c>
      <c r="X2473">
        <v>0</v>
      </c>
      <c r="Y2473">
        <f t="shared" si="158"/>
        <v>2266.5</v>
      </c>
      <c r="Z2473">
        <f t="shared" si="159"/>
        <v>0</v>
      </c>
      <c r="AA2473">
        <v>0</v>
      </c>
    </row>
    <row r="2474" spans="1:27" x14ac:dyDescent="0.25">
      <c r="A2474" s="1">
        <v>2473</v>
      </c>
      <c r="B2474" t="s">
        <v>2855</v>
      </c>
      <c r="C2474" t="s">
        <v>1136</v>
      </c>
      <c r="D2474" t="s">
        <v>1147</v>
      </c>
      <c r="H2474" t="s">
        <v>2840</v>
      </c>
      <c r="I2474" t="s">
        <v>2840</v>
      </c>
      <c r="J2474" t="s">
        <v>2841</v>
      </c>
      <c r="K2474" t="s">
        <v>1212</v>
      </c>
      <c r="M2474" s="3">
        <f t="shared" si="156"/>
        <v>42.857142857142854</v>
      </c>
      <c r="N2474">
        <v>23</v>
      </c>
      <c r="O2474">
        <v>72</v>
      </c>
      <c r="P2474">
        <v>53</v>
      </c>
      <c r="Q2474">
        <v>29</v>
      </c>
      <c r="R2474">
        <v>57</v>
      </c>
      <c r="S2474">
        <v>31</v>
      </c>
      <c r="T2474">
        <v>35</v>
      </c>
      <c r="U2474">
        <v>0</v>
      </c>
      <c r="V2474" s="3">
        <f t="shared" si="157"/>
        <v>20905</v>
      </c>
      <c r="W2474">
        <v>1742.0833333333333</v>
      </c>
      <c r="X2474">
        <v>0</v>
      </c>
      <c r="Y2474">
        <f t="shared" si="158"/>
        <v>1742.0833333333333</v>
      </c>
      <c r="Z2474">
        <f t="shared" si="159"/>
        <v>0</v>
      </c>
      <c r="AA2474">
        <v>0</v>
      </c>
    </row>
    <row r="2475" spans="1:27" x14ac:dyDescent="0.25">
      <c r="A2475" s="1">
        <v>2474</v>
      </c>
      <c r="B2475" t="s">
        <v>2856</v>
      </c>
      <c r="C2475" t="s">
        <v>1135</v>
      </c>
      <c r="D2475" t="s">
        <v>1142</v>
      </c>
      <c r="H2475" t="s">
        <v>2840</v>
      </c>
      <c r="I2475" t="s">
        <v>2840</v>
      </c>
      <c r="J2475" t="s">
        <v>2841</v>
      </c>
      <c r="K2475" t="s">
        <v>1212</v>
      </c>
      <c r="M2475" s="3">
        <f t="shared" si="156"/>
        <v>49.285714285714285</v>
      </c>
      <c r="N2475">
        <v>39</v>
      </c>
      <c r="O2475">
        <v>58</v>
      </c>
      <c r="P2475">
        <v>28</v>
      </c>
      <c r="Q2475">
        <v>82</v>
      </c>
      <c r="R2475">
        <v>40</v>
      </c>
      <c r="S2475">
        <v>63</v>
      </c>
      <c r="T2475">
        <v>35</v>
      </c>
      <c r="U2475">
        <v>0</v>
      </c>
      <c r="V2475" s="3">
        <f t="shared" si="157"/>
        <v>84569</v>
      </c>
      <c r="W2475">
        <v>7047.416666666667</v>
      </c>
      <c r="X2475">
        <v>0</v>
      </c>
      <c r="Y2475">
        <f t="shared" si="158"/>
        <v>7047.416666666667</v>
      </c>
      <c r="Z2475">
        <f t="shared" si="159"/>
        <v>0</v>
      </c>
      <c r="AA2475">
        <v>0</v>
      </c>
    </row>
    <row r="2476" spans="1:27" x14ac:dyDescent="0.25">
      <c r="A2476" s="1">
        <v>2475</v>
      </c>
      <c r="B2476" t="s">
        <v>2848</v>
      </c>
      <c r="C2476" t="s">
        <v>1135</v>
      </c>
      <c r="D2476" t="s">
        <v>1141</v>
      </c>
      <c r="H2476" t="s">
        <v>2840</v>
      </c>
      <c r="I2476" t="s">
        <v>2840</v>
      </c>
      <c r="J2476" t="s">
        <v>2841</v>
      </c>
      <c r="K2476" t="s">
        <v>1212</v>
      </c>
      <c r="M2476" s="3">
        <f t="shared" si="156"/>
        <v>55.285714285714285</v>
      </c>
      <c r="N2476">
        <v>41</v>
      </c>
      <c r="O2476">
        <v>40</v>
      </c>
      <c r="P2476">
        <v>42</v>
      </c>
      <c r="Q2476">
        <v>59</v>
      </c>
      <c r="R2476">
        <v>82</v>
      </c>
      <c r="S2476">
        <v>78</v>
      </c>
      <c r="T2476">
        <v>45</v>
      </c>
      <c r="U2476">
        <v>0</v>
      </c>
      <c r="V2476" s="3">
        <f t="shared" si="157"/>
        <v>266766</v>
      </c>
      <c r="W2476">
        <v>22230.5</v>
      </c>
      <c r="X2476">
        <v>0</v>
      </c>
      <c r="Y2476">
        <f t="shared" si="158"/>
        <v>22230.5</v>
      </c>
      <c r="Z2476">
        <f t="shared" si="159"/>
        <v>0</v>
      </c>
      <c r="AA2476">
        <v>0</v>
      </c>
    </row>
    <row r="2477" spans="1:27" x14ac:dyDescent="0.25">
      <c r="A2477" s="1">
        <v>2476</v>
      </c>
      <c r="B2477" t="s">
        <v>2828</v>
      </c>
      <c r="C2477" t="s">
        <v>1137</v>
      </c>
      <c r="D2477" t="s">
        <v>1137</v>
      </c>
      <c r="H2477" t="s">
        <v>1200</v>
      </c>
      <c r="I2477" t="s">
        <v>1200</v>
      </c>
      <c r="J2477" t="s">
        <v>2726</v>
      </c>
      <c r="K2477" t="s">
        <v>1212</v>
      </c>
      <c r="M2477" s="3">
        <f t="shared" si="156"/>
        <v>46</v>
      </c>
      <c r="N2477">
        <v>26</v>
      </c>
      <c r="O2477">
        <v>66</v>
      </c>
      <c r="P2477">
        <v>65</v>
      </c>
      <c r="Q2477">
        <v>47</v>
      </c>
      <c r="R2477">
        <v>40</v>
      </c>
      <c r="S2477">
        <v>58</v>
      </c>
      <c r="T2477">
        <v>20</v>
      </c>
      <c r="U2477">
        <v>0</v>
      </c>
      <c r="V2477" s="3">
        <f t="shared" si="157"/>
        <v>42421</v>
      </c>
      <c r="W2477">
        <v>3535.0833333333335</v>
      </c>
      <c r="X2477">
        <v>0</v>
      </c>
      <c r="Y2477">
        <f t="shared" si="158"/>
        <v>3535.0833333333335</v>
      </c>
      <c r="Z2477">
        <f t="shared" si="159"/>
        <v>0</v>
      </c>
      <c r="AA2477">
        <v>0</v>
      </c>
    </row>
    <row r="2478" spans="1:27" x14ac:dyDescent="0.25">
      <c r="A2478" s="1">
        <v>2477</v>
      </c>
      <c r="B2478" t="s">
        <v>2827</v>
      </c>
      <c r="C2478" t="s">
        <v>1133</v>
      </c>
      <c r="D2478" t="s">
        <v>1133</v>
      </c>
      <c r="H2478" t="s">
        <v>1200</v>
      </c>
      <c r="I2478" t="s">
        <v>1200</v>
      </c>
      <c r="J2478" t="s">
        <v>2726</v>
      </c>
      <c r="K2478" t="s">
        <v>1212</v>
      </c>
      <c r="M2478" s="3">
        <f t="shared" si="156"/>
        <v>40.142857142857146</v>
      </c>
      <c r="N2478">
        <v>18</v>
      </c>
      <c r="O2478">
        <v>33</v>
      </c>
      <c r="P2478">
        <v>29</v>
      </c>
      <c r="Q2478">
        <v>60</v>
      </c>
      <c r="R2478">
        <v>64</v>
      </c>
      <c r="S2478">
        <v>61</v>
      </c>
      <c r="T2478">
        <v>16</v>
      </c>
      <c r="U2478">
        <v>0</v>
      </c>
      <c r="V2478" s="3">
        <f t="shared" si="157"/>
        <v>10867</v>
      </c>
      <c r="W2478">
        <v>905.58333333333337</v>
      </c>
      <c r="X2478">
        <v>0</v>
      </c>
      <c r="Y2478">
        <f t="shared" si="158"/>
        <v>905.58333333333337</v>
      </c>
      <c r="Z2478">
        <f t="shared" si="159"/>
        <v>0</v>
      </c>
      <c r="AA2478">
        <v>0</v>
      </c>
    </row>
    <row r="2479" spans="1:27" x14ac:dyDescent="0.25">
      <c r="A2479" s="1">
        <v>2478</v>
      </c>
      <c r="B2479" t="s">
        <v>2760</v>
      </c>
      <c r="C2479" t="s">
        <v>1134</v>
      </c>
      <c r="D2479" t="s">
        <v>1138</v>
      </c>
      <c r="E2479" t="s">
        <v>1139</v>
      </c>
      <c r="F2479" t="s">
        <v>1140</v>
      </c>
      <c r="H2479" t="s">
        <v>1200</v>
      </c>
      <c r="I2479" t="s">
        <v>1200</v>
      </c>
      <c r="J2479" t="s">
        <v>2726</v>
      </c>
      <c r="K2479" t="s">
        <v>1212</v>
      </c>
      <c r="M2479" s="3">
        <f t="shared" ref="M2479:M2531" si="160">AVERAGE(N2479:T2479)</f>
        <v>45.285714285714285</v>
      </c>
      <c r="N2479">
        <v>17</v>
      </c>
      <c r="O2479">
        <v>77</v>
      </c>
      <c r="P2479">
        <v>72</v>
      </c>
      <c r="Q2479">
        <v>16</v>
      </c>
      <c r="R2479">
        <v>69</v>
      </c>
      <c r="S2479">
        <v>47</v>
      </c>
      <c r="T2479">
        <v>19</v>
      </c>
      <c r="U2479">
        <v>0</v>
      </c>
      <c r="V2479" s="3">
        <f t="shared" ref="V2479:V2531" si="161">ROUNDUP(M2479^10/1000000000000 * IF(U2479&gt;0,1.5,1),0)</f>
        <v>36276</v>
      </c>
      <c r="W2479">
        <v>3023</v>
      </c>
      <c r="X2479">
        <v>0</v>
      </c>
      <c r="Y2479">
        <f t="shared" ref="Y2479:Y2531" si="162">V2479/12</f>
        <v>3023</v>
      </c>
      <c r="Z2479">
        <f t="shared" ref="Z2479:Z2531" si="163">ROUND(((W2479-Y2479)/Y2479)*100,2)</f>
        <v>0</v>
      </c>
      <c r="AA2479">
        <v>0</v>
      </c>
    </row>
    <row r="2480" spans="1:27" x14ac:dyDescent="0.25">
      <c r="A2480" s="1">
        <v>2479</v>
      </c>
      <c r="B2480" t="s">
        <v>2747</v>
      </c>
      <c r="C2480" t="s">
        <v>1136</v>
      </c>
      <c r="D2480" t="s">
        <v>1143</v>
      </c>
      <c r="E2480" t="s">
        <v>1144</v>
      </c>
      <c r="F2480" t="s">
        <v>1145</v>
      </c>
      <c r="H2480" t="s">
        <v>1200</v>
      </c>
      <c r="I2480" t="s">
        <v>1200</v>
      </c>
      <c r="J2480" t="s">
        <v>2726</v>
      </c>
      <c r="K2480" t="s">
        <v>1212</v>
      </c>
      <c r="M2480" s="3">
        <f t="shared" si="160"/>
        <v>40.714285714285715</v>
      </c>
      <c r="N2480">
        <v>28</v>
      </c>
      <c r="O2480">
        <v>32</v>
      </c>
      <c r="P2480">
        <v>31</v>
      </c>
      <c r="Q2480">
        <v>41</v>
      </c>
      <c r="R2480">
        <v>75</v>
      </c>
      <c r="S2480">
        <v>59</v>
      </c>
      <c r="T2480">
        <v>19</v>
      </c>
      <c r="U2480">
        <v>0</v>
      </c>
      <c r="V2480" s="3">
        <f t="shared" si="161"/>
        <v>12517</v>
      </c>
      <c r="W2480">
        <v>1043.0833333333333</v>
      </c>
      <c r="X2480">
        <v>0</v>
      </c>
      <c r="Y2480">
        <f t="shared" si="162"/>
        <v>1043.0833333333333</v>
      </c>
      <c r="Z2480">
        <f t="shared" si="163"/>
        <v>0</v>
      </c>
      <c r="AA2480">
        <v>0</v>
      </c>
    </row>
    <row r="2481" spans="1:27" x14ac:dyDescent="0.25">
      <c r="A2481" s="1">
        <v>2480</v>
      </c>
      <c r="B2481" t="s">
        <v>2770</v>
      </c>
      <c r="C2481" t="s">
        <v>1135</v>
      </c>
      <c r="D2481" t="s">
        <v>1141</v>
      </c>
      <c r="E2481" t="s">
        <v>1142</v>
      </c>
      <c r="H2481" t="s">
        <v>1200</v>
      </c>
      <c r="I2481" t="s">
        <v>1200</v>
      </c>
      <c r="J2481" t="s">
        <v>2726</v>
      </c>
      <c r="K2481" t="s">
        <v>1212</v>
      </c>
      <c r="M2481" s="3">
        <f t="shared" si="160"/>
        <v>42.428571428571431</v>
      </c>
      <c r="N2481">
        <v>30</v>
      </c>
      <c r="O2481">
        <v>30</v>
      </c>
      <c r="P2481">
        <v>27</v>
      </c>
      <c r="Q2481">
        <v>67</v>
      </c>
      <c r="R2481">
        <v>80</v>
      </c>
      <c r="S2481">
        <v>40</v>
      </c>
      <c r="T2481">
        <v>23</v>
      </c>
      <c r="U2481">
        <v>0</v>
      </c>
      <c r="V2481" s="3">
        <f t="shared" si="161"/>
        <v>18906</v>
      </c>
      <c r="W2481">
        <v>1575.5</v>
      </c>
      <c r="X2481">
        <v>0</v>
      </c>
      <c r="Y2481">
        <f t="shared" si="162"/>
        <v>1575.5</v>
      </c>
      <c r="Z2481">
        <f t="shared" si="163"/>
        <v>0</v>
      </c>
      <c r="AA2481">
        <v>0</v>
      </c>
    </row>
    <row r="2482" spans="1:27" x14ac:dyDescent="0.25">
      <c r="A2482" s="1">
        <v>2481</v>
      </c>
      <c r="B2482" t="s">
        <v>2748</v>
      </c>
      <c r="C2482" t="s">
        <v>1137</v>
      </c>
      <c r="D2482" t="s">
        <v>1137</v>
      </c>
      <c r="H2482" t="s">
        <v>1193</v>
      </c>
      <c r="I2482" t="s">
        <v>1193</v>
      </c>
      <c r="J2482" t="s">
        <v>2727</v>
      </c>
      <c r="K2482" t="s">
        <v>1212</v>
      </c>
      <c r="M2482" s="3">
        <f t="shared" si="160"/>
        <v>30</v>
      </c>
      <c r="N2482">
        <v>31</v>
      </c>
      <c r="O2482">
        <v>20</v>
      </c>
      <c r="P2482">
        <v>31</v>
      </c>
      <c r="Q2482">
        <v>49</v>
      </c>
      <c r="R2482">
        <v>15</v>
      </c>
      <c r="S2482">
        <v>27</v>
      </c>
      <c r="T2482">
        <v>37</v>
      </c>
      <c r="U2482">
        <v>0</v>
      </c>
      <c r="V2482" s="3">
        <f t="shared" si="161"/>
        <v>591</v>
      </c>
      <c r="W2482">
        <v>49.25</v>
      </c>
      <c r="X2482">
        <v>0</v>
      </c>
      <c r="Y2482">
        <f t="shared" si="162"/>
        <v>49.25</v>
      </c>
      <c r="Z2482">
        <f t="shared" si="163"/>
        <v>0</v>
      </c>
      <c r="AA2482">
        <v>0</v>
      </c>
    </row>
    <row r="2483" spans="1:27" x14ac:dyDescent="0.25">
      <c r="A2483" s="1">
        <v>2482</v>
      </c>
      <c r="B2483" t="s">
        <v>2775</v>
      </c>
      <c r="C2483" t="s">
        <v>1133</v>
      </c>
      <c r="D2483" t="s">
        <v>1133</v>
      </c>
      <c r="H2483" t="s">
        <v>1193</v>
      </c>
      <c r="I2483" t="s">
        <v>1193</v>
      </c>
      <c r="J2483" t="s">
        <v>2727</v>
      </c>
      <c r="K2483" t="s">
        <v>1212</v>
      </c>
      <c r="M2483" s="3">
        <f t="shared" si="160"/>
        <v>43.428571428571431</v>
      </c>
      <c r="N2483">
        <v>39</v>
      </c>
      <c r="O2483">
        <v>25</v>
      </c>
      <c r="P2483">
        <v>32</v>
      </c>
      <c r="Q2483">
        <v>32</v>
      </c>
      <c r="R2483">
        <v>76</v>
      </c>
      <c r="S2483">
        <v>71</v>
      </c>
      <c r="T2483">
        <v>29</v>
      </c>
      <c r="U2483">
        <v>0</v>
      </c>
      <c r="V2483" s="3">
        <f t="shared" si="161"/>
        <v>23865</v>
      </c>
      <c r="W2483">
        <v>1988.75</v>
      </c>
      <c r="X2483">
        <v>0</v>
      </c>
      <c r="Y2483">
        <f t="shared" si="162"/>
        <v>1988.75</v>
      </c>
      <c r="Z2483">
        <f t="shared" si="163"/>
        <v>0</v>
      </c>
      <c r="AA2483">
        <v>0</v>
      </c>
    </row>
    <row r="2484" spans="1:27" x14ac:dyDescent="0.25">
      <c r="A2484" s="1">
        <v>2483</v>
      </c>
      <c r="B2484" t="s">
        <v>2752</v>
      </c>
      <c r="C2484" t="s">
        <v>1134</v>
      </c>
      <c r="D2484" t="s">
        <v>1138</v>
      </c>
      <c r="E2484" t="s">
        <v>1139</v>
      </c>
      <c r="F2484" t="s">
        <v>1140</v>
      </c>
      <c r="H2484" t="s">
        <v>1193</v>
      </c>
      <c r="I2484" t="s">
        <v>1193</v>
      </c>
      <c r="J2484" t="s">
        <v>2727</v>
      </c>
      <c r="K2484" t="s">
        <v>1212</v>
      </c>
      <c r="M2484" s="3">
        <f t="shared" si="160"/>
        <v>47</v>
      </c>
      <c r="N2484">
        <v>23</v>
      </c>
      <c r="O2484">
        <v>55</v>
      </c>
      <c r="P2484">
        <v>60</v>
      </c>
      <c r="Q2484">
        <v>35</v>
      </c>
      <c r="R2484">
        <v>63</v>
      </c>
      <c r="S2484">
        <v>75</v>
      </c>
      <c r="T2484">
        <v>18</v>
      </c>
      <c r="U2484">
        <v>0</v>
      </c>
      <c r="V2484" s="3">
        <f t="shared" si="161"/>
        <v>52600</v>
      </c>
      <c r="W2484">
        <v>4383.333333333333</v>
      </c>
      <c r="X2484">
        <v>0</v>
      </c>
      <c r="Y2484">
        <f t="shared" si="162"/>
        <v>4383.333333333333</v>
      </c>
      <c r="Z2484">
        <f t="shared" si="163"/>
        <v>0</v>
      </c>
      <c r="AA2484">
        <v>0</v>
      </c>
    </row>
    <row r="2485" spans="1:27" x14ac:dyDescent="0.25">
      <c r="A2485" s="1">
        <v>2484</v>
      </c>
      <c r="B2485" t="s">
        <v>2750</v>
      </c>
      <c r="C2485" t="s">
        <v>1136</v>
      </c>
      <c r="D2485" t="s">
        <v>1143</v>
      </c>
      <c r="E2485" t="s">
        <v>1144</v>
      </c>
      <c r="F2485" t="s">
        <v>1145</v>
      </c>
      <c r="H2485" t="s">
        <v>1193</v>
      </c>
      <c r="I2485" t="s">
        <v>1193</v>
      </c>
      <c r="J2485" t="s">
        <v>2727</v>
      </c>
      <c r="K2485" t="s">
        <v>1212</v>
      </c>
      <c r="M2485" s="3">
        <f t="shared" si="160"/>
        <v>48.285714285714285</v>
      </c>
      <c r="N2485">
        <v>40</v>
      </c>
      <c r="O2485">
        <v>60</v>
      </c>
      <c r="P2485">
        <v>38</v>
      </c>
      <c r="Q2485">
        <v>37</v>
      </c>
      <c r="R2485">
        <v>66</v>
      </c>
      <c r="S2485">
        <v>67</v>
      </c>
      <c r="T2485">
        <v>30</v>
      </c>
      <c r="U2485">
        <v>0</v>
      </c>
      <c r="V2485" s="3">
        <f t="shared" si="161"/>
        <v>68895</v>
      </c>
      <c r="W2485">
        <v>5741.25</v>
      </c>
      <c r="X2485">
        <v>0</v>
      </c>
      <c r="Y2485">
        <f t="shared" si="162"/>
        <v>5741.25</v>
      </c>
      <c r="Z2485">
        <f t="shared" si="163"/>
        <v>0</v>
      </c>
      <c r="AA2485">
        <v>0</v>
      </c>
    </row>
    <row r="2486" spans="1:27" x14ac:dyDescent="0.25">
      <c r="A2486" s="1">
        <v>2485</v>
      </c>
      <c r="B2486" t="s">
        <v>2751</v>
      </c>
      <c r="C2486" t="s">
        <v>1135</v>
      </c>
      <c r="D2486" t="s">
        <v>1141</v>
      </c>
      <c r="E2486" t="s">
        <v>1142</v>
      </c>
      <c r="H2486" t="s">
        <v>1193</v>
      </c>
      <c r="I2486" t="s">
        <v>1193</v>
      </c>
      <c r="J2486" t="s">
        <v>2727</v>
      </c>
      <c r="K2486" t="s">
        <v>1212</v>
      </c>
      <c r="M2486" s="3">
        <f t="shared" si="160"/>
        <v>48.857142857142854</v>
      </c>
      <c r="N2486">
        <v>34</v>
      </c>
      <c r="O2486">
        <v>69</v>
      </c>
      <c r="P2486">
        <v>77</v>
      </c>
      <c r="Q2486">
        <v>44</v>
      </c>
      <c r="R2486">
        <v>40</v>
      </c>
      <c r="S2486">
        <v>40</v>
      </c>
      <c r="T2486">
        <v>38</v>
      </c>
      <c r="U2486">
        <v>0</v>
      </c>
      <c r="V2486" s="3">
        <f t="shared" si="161"/>
        <v>77497</v>
      </c>
      <c r="W2486">
        <v>6458.083333333333</v>
      </c>
      <c r="X2486">
        <v>0</v>
      </c>
      <c r="Y2486">
        <f t="shared" si="162"/>
        <v>6458.083333333333</v>
      </c>
      <c r="Z2486">
        <f t="shared" si="163"/>
        <v>0</v>
      </c>
      <c r="AA2486">
        <v>0</v>
      </c>
    </row>
    <row r="2487" spans="1:27" x14ac:dyDescent="0.25">
      <c r="A2487" s="1">
        <v>2486</v>
      </c>
      <c r="B2487" t="s">
        <v>2801</v>
      </c>
      <c r="C2487" t="s">
        <v>1137</v>
      </c>
      <c r="D2487" t="s">
        <v>1137</v>
      </c>
      <c r="H2487" t="s">
        <v>1205</v>
      </c>
      <c r="I2487" t="s">
        <v>1205</v>
      </c>
      <c r="J2487" t="s">
        <v>2728</v>
      </c>
      <c r="K2487" t="s">
        <v>1212</v>
      </c>
      <c r="M2487" s="3">
        <f t="shared" si="160"/>
        <v>36.714285714285715</v>
      </c>
      <c r="N2487">
        <v>30</v>
      </c>
      <c r="O2487">
        <v>38</v>
      </c>
      <c r="P2487">
        <v>17</v>
      </c>
      <c r="Q2487">
        <v>45</v>
      </c>
      <c r="R2487">
        <v>58</v>
      </c>
      <c r="S2487">
        <v>50</v>
      </c>
      <c r="T2487">
        <v>19</v>
      </c>
      <c r="U2487">
        <v>0</v>
      </c>
      <c r="V2487" s="3">
        <f t="shared" si="161"/>
        <v>4450</v>
      </c>
      <c r="W2487">
        <v>370.83333333333331</v>
      </c>
      <c r="X2487">
        <v>0</v>
      </c>
      <c r="Y2487">
        <f t="shared" si="162"/>
        <v>370.83333333333331</v>
      </c>
      <c r="Z2487">
        <f t="shared" si="163"/>
        <v>0</v>
      </c>
      <c r="AA2487">
        <v>0</v>
      </c>
    </row>
    <row r="2488" spans="1:27" x14ac:dyDescent="0.25">
      <c r="A2488" s="1">
        <v>2487</v>
      </c>
      <c r="B2488" t="s">
        <v>2781</v>
      </c>
      <c r="C2488" t="s">
        <v>1133</v>
      </c>
      <c r="D2488" t="s">
        <v>1133</v>
      </c>
      <c r="H2488" t="s">
        <v>1205</v>
      </c>
      <c r="I2488" t="s">
        <v>1205</v>
      </c>
      <c r="J2488" t="s">
        <v>2728</v>
      </c>
      <c r="K2488" t="s">
        <v>1212</v>
      </c>
      <c r="M2488" s="3">
        <f t="shared" si="160"/>
        <v>45.428571428571431</v>
      </c>
      <c r="N2488">
        <v>23</v>
      </c>
      <c r="O2488">
        <v>32</v>
      </c>
      <c r="P2488">
        <v>68</v>
      </c>
      <c r="Q2488">
        <v>22</v>
      </c>
      <c r="R2488">
        <v>64</v>
      </c>
      <c r="S2488">
        <v>71</v>
      </c>
      <c r="T2488">
        <v>38</v>
      </c>
      <c r="U2488">
        <v>0</v>
      </c>
      <c r="V2488" s="3">
        <f t="shared" si="161"/>
        <v>37437</v>
      </c>
      <c r="W2488">
        <v>3119.75</v>
      </c>
      <c r="X2488">
        <v>0</v>
      </c>
      <c r="Y2488">
        <f t="shared" si="162"/>
        <v>3119.75</v>
      </c>
      <c r="Z2488">
        <f t="shared" si="163"/>
        <v>0</v>
      </c>
      <c r="AA2488">
        <v>0</v>
      </c>
    </row>
    <row r="2489" spans="1:27" x14ac:dyDescent="0.25">
      <c r="A2489" s="1">
        <v>2488</v>
      </c>
      <c r="B2489" t="s">
        <v>2780</v>
      </c>
      <c r="C2489" t="s">
        <v>1134</v>
      </c>
      <c r="D2489" t="s">
        <v>1138</v>
      </c>
      <c r="E2489" t="s">
        <v>1139</v>
      </c>
      <c r="F2489" t="s">
        <v>1140</v>
      </c>
      <c r="H2489" t="s">
        <v>1205</v>
      </c>
      <c r="I2489" t="s">
        <v>1205</v>
      </c>
      <c r="J2489" t="s">
        <v>2728</v>
      </c>
      <c r="K2489" t="s">
        <v>1212</v>
      </c>
      <c r="M2489" s="3">
        <f t="shared" si="160"/>
        <v>48.571428571428569</v>
      </c>
      <c r="N2489">
        <v>27</v>
      </c>
      <c r="O2489">
        <v>23</v>
      </c>
      <c r="P2489">
        <v>73</v>
      </c>
      <c r="Q2489">
        <v>75</v>
      </c>
      <c r="R2489">
        <v>35</v>
      </c>
      <c r="S2489">
        <v>79</v>
      </c>
      <c r="T2489">
        <v>28</v>
      </c>
      <c r="U2489">
        <v>0</v>
      </c>
      <c r="V2489" s="3">
        <f t="shared" si="161"/>
        <v>73082</v>
      </c>
      <c r="W2489">
        <v>6090.166666666667</v>
      </c>
      <c r="X2489">
        <v>0</v>
      </c>
      <c r="Y2489">
        <f t="shared" si="162"/>
        <v>6090.166666666667</v>
      </c>
      <c r="Z2489">
        <f t="shared" si="163"/>
        <v>0</v>
      </c>
      <c r="AA2489">
        <v>0</v>
      </c>
    </row>
    <row r="2490" spans="1:27" x14ac:dyDescent="0.25">
      <c r="A2490" s="1">
        <v>2489</v>
      </c>
      <c r="B2490" t="s">
        <v>2779</v>
      </c>
      <c r="C2490" t="s">
        <v>1136</v>
      </c>
      <c r="D2490" t="s">
        <v>1143</v>
      </c>
      <c r="E2490" t="s">
        <v>1144</v>
      </c>
      <c r="F2490" t="s">
        <v>1145</v>
      </c>
      <c r="H2490" t="s">
        <v>1205</v>
      </c>
      <c r="I2490" t="s">
        <v>1205</v>
      </c>
      <c r="J2490" t="s">
        <v>2728</v>
      </c>
      <c r="K2490" t="s">
        <v>1212</v>
      </c>
      <c r="M2490" s="3">
        <f t="shared" si="160"/>
        <v>40.714285714285715</v>
      </c>
      <c r="N2490">
        <v>16</v>
      </c>
      <c r="O2490">
        <v>33</v>
      </c>
      <c r="P2490">
        <v>34</v>
      </c>
      <c r="Q2490">
        <v>66</v>
      </c>
      <c r="R2490">
        <v>69</v>
      </c>
      <c r="S2490">
        <v>52</v>
      </c>
      <c r="T2490">
        <v>15</v>
      </c>
      <c r="U2490">
        <v>0</v>
      </c>
      <c r="V2490" s="3">
        <f t="shared" si="161"/>
        <v>12517</v>
      </c>
      <c r="W2490">
        <v>1043.0833333333333</v>
      </c>
      <c r="X2490">
        <v>0</v>
      </c>
      <c r="Y2490">
        <f t="shared" si="162"/>
        <v>1043.0833333333333</v>
      </c>
      <c r="Z2490">
        <f t="shared" si="163"/>
        <v>0</v>
      </c>
      <c r="AA2490">
        <v>0</v>
      </c>
    </row>
    <row r="2491" spans="1:27" x14ac:dyDescent="0.25">
      <c r="A2491" s="1">
        <v>2490</v>
      </c>
      <c r="B2491" t="s">
        <v>2802</v>
      </c>
      <c r="C2491" t="s">
        <v>1135</v>
      </c>
      <c r="D2491" t="s">
        <v>1141</v>
      </c>
      <c r="E2491" t="s">
        <v>1142</v>
      </c>
      <c r="H2491" t="s">
        <v>1205</v>
      </c>
      <c r="I2491" t="s">
        <v>1205</v>
      </c>
      <c r="J2491" t="s">
        <v>2728</v>
      </c>
      <c r="K2491" t="s">
        <v>1212</v>
      </c>
      <c r="M2491" s="3">
        <f t="shared" si="160"/>
        <v>36.142857142857146</v>
      </c>
      <c r="N2491">
        <v>16</v>
      </c>
      <c r="O2491">
        <v>62</v>
      </c>
      <c r="P2491">
        <v>21</v>
      </c>
      <c r="Q2491">
        <v>31</v>
      </c>
      <c r="R2491">
        <v>47</v>
      </c>
      <c r="S2491">
        <v>43</v>
      </c>
      <c r="T2491">
        <v>33</v>
      </c>
      <c r="U2491">
        <v>0</v>
      </c>
      <c r="V2491" s="3">
        <f t="shared" si="161"/>
        <v>3804</v>
      </c>
      <c r="W2491">
        <v>317</v>
      </c>
      <c r="X2491">
        <v>0</v>
      </c>
      <c r="Y2491">
        <f t="shared" si="162"/>
        <v>317</v>
      </c>
      <c r="Z2491">
        <f t="shared" si="163"/>
        <v>0</v>
      </c>
      <c r="AA2491">
        <v>0</v>
      </c>
    </row>
    <row r="2492" spans="1:27" x14ac:dyDescent="0.25">
      <c r="A2492" s="1">
        <v>2491</v>
      </c>
      <c r="B2492" t="s">
        <v>2803</v>
      </c>
      <c r="C2492" t="s">
        <v>1137</v>
      </c>
      <c r="D2492" t="s">
        <v>1137</v>
      </c>
      <c r="H2492" t="s">
        <v>1161</v>
      </c>
      <c r="I2492" t="s">
        <v>1161</v>
      </c>
      <c r="J2492" t="s">
        <v>2729</v>
      </c>
      <c r="K2492" t="s">
        <v>1212</v>
      </c>
      <c r="M2492" s="3">
        <f t="shared" si="160"/>
        <v>40.142857142857146</v>
      </c>
      <c r="N2492">
        <v>10</v>
      </c>
      <c r="O2492">
        <v>67</v>
      </c>
      <c r="P2492">
        <v>36</v>
      </c>
      <c r="Q2492">
        <v>63</v>
      </c>
      <c r="R2492">
        <v>39</v>
      </c>
      <c r="S2492">
        <v>59</v>
      </c>
      <c r="T2492">
        <v>7</v>
      </c>
      <c r="U2492">
        <v>0</v>
      </c>
      <c r="V2492" s="3">
        <f t="shared" si="161"/>
        <v>10867</v>
      </c>
      <c r="W2492">
        <v>905.58333333333337</v>
      </c>
      <c r="X2492">
        <v>0</v>
      </c>
      <c r="Y2492">
        <f t="shared" si="162"/>
        <v>905.58333333333337</v>
      </c>
      <c r="Z2492">
        <f t="shared" si="163"/>
        <v>0</v>
      </c>
      <c r="AA2492">
        <v>0</v>
      </c>
    </row>
    <row r="2493" spans="1:27" x14ac:dyDescent="0.25">
      <c r="A2493" s="1">
        <v>2492</v>
      </c>
      <c r="B2493" t="s">
        <v>2804</v>
      </c>
      <c r="C2493" t="s">
        <v>1133</v>
      </c>
      <c r="D2493" t="s">
        <v>1133</v>
      </c>
      <c r="H2493" t="s">
        <v>1161</v>
      </c>
      <c r="I2493" t="s">
        <v>1161</v>
      </c>
      <c r="J2493" t="s">
        <v>2729</v>
      </c>
      <c r="K2493" t="s">
        <v>1212</v>
      </c>
      <c r="M2493" s="3">
        <f t="shared" si="160"/>
        <v>22.571428571428573</v>
      </c>
      <c r="N2493">
        <v>15</v>
      </c>
      <c r="O2493">
        <v>11</v>
      </c>
      <c r="P2493">
        <v>9</v>
      </c>
      <c r="Q2493">
        <v>41</v>
      </c>
      <c r="R2493">
        <v>46</v>
      </c>
      <c r="S2493">
        <v>26</v>
      </c>
      <c r="T2493">
        <v>10</v>
      </c>
      <c r="U2493">
        <v>0</v>
      </c>
      <c r="V2493" s="3">
        <f t="shared" si="161"/>
        <v>35</v>
      </c>
      <c r="W2493">
        <v>2.9166666666666665</v>
      </c>
      <c r="X2493">
        <v>0</v>
      </c>
      <c r="Y2493">
        <f t="shared" si="162"/>
        <v>2.9166666666666665</v>
      </c>
      <c r="Z2493">
        <f t="shared" si="163"/>
        <v>0</v>
      </c>
      <c r="AA2493">
        <v>0</v>
      </c>
    </row>
    <row r="2494" spans="1:27" x14ac:dyDescent="0.25">
      <c r="A2494" s="1">
        <v>2493</v>
      </c>
      <c r="B2494" t="s">
        <v>2805</v>
      </c>
      <c r="C2494" t="s">
        <v>1134</v>
      </c>
      <c r="D2494" t="s">
        <v>1138</v>
      </c>
      <c r="E2494" t="s">
        <v>1139</v>
      </c>
      <c r="F2494" t="s">
        <v>1140</v>
      </c>
      <c r="H2494" t="s">
        <v>1161</v>
      </c>
      <c r="I2494" t="s">
        <v>1161</v>
      </c>
      <c r="J2494" t="s">
        <v>2729</v>
      </c>
      <c r="K2494" t="s">
        <v>1212</v>
      </c>
      <c r="M2494" s="3">
        <f t="shared" si="160"/>
        <v>32.857142857142854</v>
      </c>
      <c r="N2494">
        <v>30</v>
      </c>
      <c r="O2494">
        <v>29</v>
      </c>
      <c r="P2494">
        <v>50</v>
      </c>
      <c r="Q2494">
        <v>16</v>
      </c>
      <c r="R2494">
        <v>42</v>
      </c>
      <c r="S2494">
        <v>48</v>
      </c>
      <c r="T2494">
        <v>15</v>
      </c>
      <c r="U2494">
        <v>0</v>
      </c>
      <c r="V2494" s="3">
        <f t="shared" si="161"/>
        <v>1467</v>
      </c>
      <c r="W2494">
        <v>122.25</v>
      </c>
      <c r="X2494">
        <v>0</v>
      </c>
      <c r="Y2494">
        <f t="shared" si="162"/>
        <v>122.25</v>
      </c>
      <c r="Z2494">
        <f t="shared" si="163"/>
        <v>0</v>
      </c>
      <c r="AA2494">
        <v>0</v>
      </c>
    </row>
    <row r="2495" spans="1:27" x14ac:dyDescent="0.25">
      <c r="A2495" s="1">
        <v>2494</v>
      </c>
      <c r="B2495" t="s">
        <v>2806</v>
      </c>
      <c r="C2495" t="s">
        <v>1136</v>
      </c>
      <c r="D2495" t="s">
        <v>1143</v>
      </c>
      <c r="E2495" t="s">
        <v>1144</v>
      </c>
      <c r="F2495" t="s">
        <v>1145</v>
      </c>
      <c r="H2495" t="s">
        <v>1161</v>
      </c>
      <c r="I2495" t="s">
        <v>1161</v>
      </c>
      <c r="J2495" t="s">
        <v>2729</v>
      </c>
      <c r="K2495" t="s">
        <v>1212</v>
      </c>
      <c r="M2495" s="3">
        <f t="shared" si="160"/>
        <v>41.857142857142854</v>
      </c>
      <c r="N2495">
        <v>22</v>
      </c>
      <c r="O2495">
        <v>56</v>
      </c>
      <c r="P2495">
        <v>8</v>
      </c>
      <c r="Q2495">
        <v>70</v>
      </c>
      <c r="R2495">
        <v>62</v>
      </c>
      <c r="S2495">
        <v>48</v>
      </c>
      <c r="T2495">
        <v>27</v>
      </c>
      <c r="U2495">
        <v>0</v>
      </c>
      <c r="V2495" s="3">
        <f t="shared" si="161"/>
        <v>16509</v>
      </c>
      <c r="W2495">
        <v>1375.75</v>
      </c>
      <c r="X2495">
        <v>0</v>
      </c>
      <c r="Y2495">
        <f t="shared" si="162"/>
        <v>1375.75</v>
      </c>
      <c r="Z2495">
        <f t="shared" si="163"/>
        <v>0</v>
      </c>
      <c r="AA2495">
        <v>0</v>
      </c>
    </row>
    <row r="2496" spans="1:27" x14ac:dyDescent="0.25">
      <c r="A2496" s="1">
        <v>2495</v>
      </c>
      <c r="B2496" t="s">
        <v>2807</v>
      </c>
      <c r="C2496" t="s">
        <v>1135</v>
      </c>
      <c r="D2496" t="s">
        <v>1141</v>
      </c>
      <c r="E2496" t="s">
        <v>1142</v>
      </c>
      <c r="H2496" t="s">
        <v>1161</v>
      </c>
      <c r="I2496" t="s">
        <v>1161</v>
      </c>
      <c r="J2496" t="s">
        <v>2729</v>
      </c>
      <c r="K2496" t="s">
        <v>1212</v>
      </c>
      <c r="M2496" s="3">
        <f t="shared" si="160"/>
        <v>25.857142857142858</v>
      </c>
      <c r="N2496">
        <v>6</v>
      </c>
      <c r="O2496">
        <v>52</v>
      </c>
      <c r="P2496">
        <v>33</v>
      </c>
      <c r="Q2496">
        <v>31</v>
      </c>
      <c r="R2496">
        <v>19</v>
      </c>
      <c r="S2496">
        <v>32</v>
      </c>
      <c r="T2496">
        <v>8</v>
      </c>
      <c r="U2496">
        <v>0</v>
      </c>
      <c r="V2496" s="3">
        <f t="shared" si="161"/>
        <v>134</v>
      </c>
      <c r="W2496">
        <v>11.166666666666666</v>
      </c>
      <c r="X2496">
        <v>0</v>
      </c>
      <c r="Y2496">
        <f t="shared" si="162"/>
        <v>11.166666666666666</v>
      </c>
      <c r="Z2496">
        <f t="shared" si="163"/>
        <v>0</v>
      </c>
      <c r="AA2496">
        <v>0</v>
      </c>
    </row>
    <row r="2497" spans="1:27" x14ac:dyDescent="0.25">
      <c r="A2497" s="1">
        <v>2496</v>
      </c>
      <c r="B2497" t="s">
        <v>2808</v>
      </c>
      <c r="C2497" t="s">
        <v>1137</v>
      </c>
      <c r="D2497" t="s">
        <v>1137</v>
      </c>
      <c r="H2497" t="s">
        <v>1180</v>
      </c>
      <c r="I2497" t="s">
        <v>1180</v>
      </c>
      <c r="J2497" t="s">
        <v>2730</v>
      </c>
      <c r="K2497" t="s">
        <v>1212</v>
      </c>
      <c r="M2497" s="3">
        <f t="shared" si="160"/>
        <v>29.142857142857142</v>
      </c>
      <c r="N2497">
        <v>16</v>
      </c>
      <c r="O2497">
        <v>29</v>
      </c>
      <c r="P2497">
        <v>43</v>
      </c>
      <c r="Q2497">
        <v>44</v>
      </c>
      <c r="R2497">
        <v>11</v>
      </c>
      <c r="S2497">
        <v>54</v>
      </c>
      <c r="T2497">
        <v>7</v>
      </c>
      <c r="U2497">
        <v>0</v>
      </c>
      <c r="V2497" s="3">
        <f t="shared" si="161"/>
        <v>442</v>
      </c>
      <c r="W2497">
        <v>36.833333333333336</v>
      </c>
      <c r="X2497">
        <v>0</v>
      </c>
      <c r="Y2497">
        <f t="shared" si="162"/>
        <v>36.833333333333336</v>
      </c>
      <c r="Z2497">
        <f t="shared" si="163"/>
        <v>0</v>
      </c>
      <c r="AA2497">
        <v>0</v>
      </c>
    </row>
    <row r="2498" spans="1:27" x14ac:dyDescent="0.25">
      <c r="A2498" s="1">
        <v>2497</v>
      </c>
      <c r="B2498" t="s">
        <v>2797</v>
      </c>
      <c r="C2498" t="s">
        <v>1133</v>
      </c>
      <c r="D2498" t="s">
        <v>1133</v>
      </c>
      <c r="H2498" t="s">
        <v>1180</v>
      </c>
      <c r="I2498" t="s">
        <v>1180</v>
      </c>
      <c r="J2498" t="s">
        <v>2730</v>
      </c>
      <c r="K2498" t="s">
        <v>1212</v>
      </c>
      <c r="M2498" s="3">
        <f t="shared" si="160"/>
        <v>28.285714285714285</v>
      </c>
      <c r="N2498">
        <v>13</v>
      </c>
      <c r="O2498">
        <v>42</v>
      </c>
      <c r="P2498">
        <v>47</v>
      </c>
      <c r="Q2498">
        <v>22</v>
      </c>
      <c r="R2498">
        <v>17</v>
      </c>
      <c r="S2498">
        <v>47</v>
      </c>
      <c r="T2498">
        <v>10</v>
      </c>
      <c r="U2498">
        <v>0</v>
      </c>
      <c r="V2498" s="3">
        <f t="shared" si="161"/>
        <v>328</v>
      </c>
      <c r="W2498">
        <v>27.333333333333332</v>
      </c>
      <c r="X2498">
        <v>0</v>
      </c>
      <c r="Y2498">
        <f t="shared" si="162"/>
        <v>27.333333333333332</v>
      </c>
      <c r="Z2498">
        <f t="shared" si="163"/>
        <v>0</v>
      </c>
      <c r="AA2498">
        <v>0</v>
      </c>
    </row>
    <row r="2499" spans="1:27" x14ac:dyDescent="0.25">
      <c r="A2499" s="1">
        <v>2498</v>
      </c>
      <c r="B2499" t="s">
        <v>2778</v>
      </c>
      <c r="C2499" t="s">
        <v>1134</v>
      </c>
      <c r="D2499" t="s">
        <v>1138</v>
      </c>
      <c r="E2499" t="s">
        <v>1139</v>
      </c>
      <c r="F2499" t="s">
        <v>1140</v>
      </c>
      <c r="H2499" t="s">
        <v>1180</v>
      </c>
      <c r="I2499" t="s">
        <v>1180</v>
      </c>
      <c r="J2499" t="s">
        <v>2730</v>
      </c>
      <c r="K2499" t="s">
        <v>1212</v>
      </c>
      <c r="M2499" s="3">
        <f t="shared" si="160"/>
        <v>32.285714285714285</v>
      </c>
      <c r="N2499">
        <v>6</v>
      </c>
      <c r="O2499">
        <v>63</v>
      </c>
      <c r="P2499">
        <v>20</v>
      </c>
      <c r="Q2499">
        <v>40</v>
      </c>
      <c r="R2499">
        <v>54</v>
      </c>
      <c r="S2499">
        <v>30</v>
      </c>
      <c r="T2499">
        <v>13</v>
      </c>
      <c r="U2499">
        <v>0</v>
      </c>
      <c r="V2499" s="3">
        <f t="shared" si="161"/>
        <v>1231</v>
      </c>
      <c r="W2499">
        <v>102.58333333333333</v>
      </c>
      <c r="X2499">
        <v>0</v>
      </c>
      <c r="Y2499">
        <f t="shared" si="162"/>
        <v>102.58333333333333</v>
      </c>
      <c r="Z2499">
        <f t="shared" si="163"/>
        <v>0</v>
      </c>
      <c r="AA2499">
        <v>0</v>
      </c>
    </row>
    <row r="2500" spans="1:27" x14ac:dyDescent="0.25">
      <c r="A2500" s="1">
        <v>2499</v>
      </c>
      <c r="B2500" t="s">
        <v>2782</v>
      </c>
      <c r="C2500" t="s">
        <v>1136</v>
      </c>
      <c r="D2500" t="s">
        <v>1143</v>
      </c>
      <c r="E2500" t="s">
        <v>1144</v>
      </c>
      <c r="F2500" t="s">
        <v>1145</v>
      </c>
      <c r="H2500" t="s">
        <v>1180</v>
      </c>
      <c r="I2500" t="s">
        <v>1180</v>
      </c>
      <c r="J2500" t="s">
        <v>2730</v>
      </c>
      <c r="K2500" t="s">
        <v>1212</v>
      </c>
      <c r="M2500" s="3">
        <f t="shared" si="160"/>
        <v>38.285714285714285</v>
      </c>
      <c r="N2500">
        <v>22</v>
      </c>
      <c r="O2500">
        <v>33</v>
      </c>
      <c r="P2500">
        <v>62</v>
      </c>
      <c r="Q2500">
        <v>32</v>
      </c>
      <c r="R2500">
        <v>60</v>
      </c>
      <c r="S2500">
        <v>33</v>
      </c>
      <c r="T2500">
        <v>26</v>
      </c>
      <c r="U2500">
        <v>0</v>
      </c>
      <c r="V2500" s="3">
        <f t="shared" si="161"/>
        <v>6767</v>
      </c>
      <c r="W2500">
        <v>563.91666666666663</v>
      </c>
      <c r="X2500">
        <v>0</v>
      </c>
      <c r="Y2500">
        <f t="shared" si="162"/>
        <v>563.91666666666663</v>
      </c>
      <c r="Z2500">
        <f t="shared" si="163"/>
        <v>0</v>
      </c>
      <c r="AA2500">
        <v>0</v>
      </c>
    </row>
    <row r="2501" spans="1:27" x14ac:dyDescent="0.25">
      <c r="A2501" s="1">
        <v>2500</v>
      </c>
      <c r="B2501" t="s">
        <v>2787</v>
      </c>
      <c r="C2501" t="s">
        <v>1135</v>
      </c>
      <c r="D2501" t="s">
        <v>1141</v>
      </c>
      <c r="E2501" t="s">
        <v>1142</v>
      </c>
      <c r="H2501" t="s">
        <v>1180</v>
      </c>
      <c r="I2501" t="s">
        <v>1180</v>
      </c>
      <c r="J2501" t="s">
        <v>2730</v>
      </c>
      <c r="K2501" t="s">
        <v>1212</v>
      </c>
      <c r="M2501" s="3">
        <f t="shared" si="160"/>
        <v>33</v>
      </c>
      <c r="N2501">
        <v>7</v>
      </c>
      <c r="O2501">
        <v>37</v>
      </c>
      <c r="P2501">
        <v>43</v>
      </c>
      <c r="Q2501">
        <v>58</v>
      </c>
      <c r="R2501">
        <v>47</v>
      </c>
      <c r="S2501">
        <v>21</v>
      </c>
      <c r="T2501">
        <v>18</v>
      </c>
      <c r="U2501">
        <v>0</v>
      </c>
      <c r="V2501" s="3">
        <f t="shared" si="161"/>
        <v>1532</v>
      </c>
      <c r="W2501">
        <v>127.66666666666667</v>
      </c>
      <c r="X2501">
        <v>0</v>
      </c>
      <c r="Y2501">
        <f t="shared" si="162"/>
        <v>127.66666666666667</v>
      </c>
      <c r="Z2501">
        <f t="shared" si="163"/>
        <v>0</v>
      </c>
      <c r="AA2501">
        <v>0</v>
      </c>
    </row>
    <row r="2502" spans="1:27" x14ac:dyDescent="0.25">
      <c r="A2502" s="1">
        <v>2501</v>
      </c>
      <c r="B2502" t="s">
        <v>2798</v>
      </c>
      <c r="C2502" t="s">
        <v>1137</v>
      </c>
      <c r="D2502" t="s">
        <v>1137</v>
      </c>
      <c r="H2502" t="s">
        <v>1188</v>
      </c>
      <c r="I2502" t="s">
        <v>1188</v>
      </c>
      <c r="J2502" t="s">
        <v>2731</v>
      </c>
      <c r="K2502" t="s">
        <v>1212</v>
      </c>
      <c r="M2502" s="3">
        <f t="shared" si="160"/>
        <v>38.428571428571431</v>
      </c>
      <c r="N2502">
        <v>10</v>
      </c>
      <c r="O2502">
        <v>34</v>
      </c>
      <c r="P2502">
        <v>56</v>
      </c>
      <c r="Q2502">
        <v>47</v>
      </c>
      <c r="R2502">
        <v>55</v>
      </c>
      <c r="S2502">
        <v>45</v>
      </c>
      <c r="T2502">
        <v>22</v>
      </c>
      <c r="U2502">
        <v>0</v>
      </c>
      <c r="V2502" s="3">
        <f t="shared" si="161"/>
        <v>7024</v>
      </c>
      <c r="W2502">
        <v>585.33333333333337</v>
      </c>
      <c r="X2502">
        <v>0</v>
      </c>
      <c r="Y2502">
        <f t="shared" si="162"/>
        <v>585.33333333333337</v>
      </c>
      <c r="Z2502">
        <f t="shared" si="163"/>
        <v>0</v>
      </c>
      <c r="AA2502">
        <v>0</v>
      </c>
    </row>
    <row r="2503" spans="1:27" x14ac:dyDescent="0.25">
      <c r="A2503" s="1">
        <v>2502</v>
      </c>
      <c r="B2503" t="s">
        <v>2799</v>
      </c>
      <c r="C2503" t="s">
        <v>1133</v>
      </c>
      <c r="D2503" t="s">
        <v>1133</v>
      </c>
      <c r="H2503" t="s">
        <v>1188</v>
      </c>
      <c r="I2503" t="s">
        <v>1188</v>
      </c>
      <c r="J2503" t="s">
        <v>2731</v>
      </c>
      <c r="K2503" t="s">
        <v>1212</v>
      </c>
      <c r="M2503" s="3">
        <f t="shared" si="160"/>
        <v>35.571428571428569</v>
      </c>
      <c r="N2503">
        <v>15</v>
      </c>
      <c r="O2503">
        <v>19</v>
      </c>
      <c r="P2503">
        <v>23</v>
      </c>
      <c r="Q2503">
        <v>78</v>
      </c>
      <c r="R2503">
        <v>47</v>
      </c>
      <c r="S2503">
        <v>36</v>
      </c>
      <c r="T2503">
        <v>31</v>
      </c>
      <c r="U2503">
        <v>0</v>
      </c>
      <c r="V2503" s="3">
        <f t="shared" si="161"/>
        <v>3244</v>
      </c>
      <c r="W2503">
        <v>270.33333333333331</v>
      </c>
      <c r="X2503">
        <v>0</v>
      </c>
      <c r="Y2503">
        <f t="shared" si="162"/>
        <v>270.33333333333331</v>
      </c>
      <c r="Z2503">
        <f t="shared" si="163"/>
        <v>0</v>
      </c>
      <c r="AA2503">
        <v>0</v>
      </c>
    </row>
    <row r="2504" spans="1:27" x14ac:dyDescent="0.25">
      <c r="A2504" s="1">
        <v>2503</v>
      </c>
      <c r="B2504" t="s">
        <v>2800</v>
      </c>
      <c r="C2504" t="s">
        <v>1134</v>
      </c>
      <c r="D2504" t="s">
        <v>1138</v>
      </c>
      <c r="E2504" t="s">
        <v>1139</v>
      </c>
      <c r="F2504" t="s">
        <v>1140</v>
      </c>
      <c r="H2504" t="s">
        <v>1188</v>
      </c>
      <c r="I2504" t="s">
        <v>1188</v>
      </c>
      <c r="J2504" t="s">
        <v>2731</v>
      </c>
      <c r="K2504" t="s">
        <v>1212</v>
      </c>
      <c r="M2504" s="3">
        <f t="shared" si="160"/>
        <v>47.571428571428569</v>
      </c>
      <c r="N2504">
        <v>21</v>
      </c>
      <c r="O2504">
        <v>33</v>
      </c>
      <c r="P2504">
        <v>60</v>
      </c>
      <c r="Q2504">
        <v>51</v>
      </c>
      <c r="R2504">
        <v>64</v>
      </c>
      <c r="S2504">
        <v>72</v>
      </c>
      <c r="T2504">
        <v>32</v>
      </c>
      <c r="U2504">
        <v>0</v>
      </c>
      <c r="V2504" s="3">
        <f t="shared" si="161"/>
        <v>59356</v>
      </c>
      <c r="W2504">
        <v>4946.333333333333</v>
      </c>
      <c r="X2504">
        <v>0</v>
      </c>
      <c r="Y2504">
        <f t="shared" si="162"/>
        <v>4946.333333333333</v>
      </c>
      <c r="Z2504">
        <f t="shared" si="163"/>
        <v>0</v>
      </c>
      <c r="AA2504">
        <v>0</v>
      </c>
    </row>
    <row r="2505" spans="1:27" x14ac:dyDescent="0.25">
      <c r="A2505" s="1">
        <v>2504</v>
      </c>
      <c r="B2505" t="s">
        <v>2738</v>
      </c>
      <c r="C2505" t="s">
        <v>1136</v>
      </c>
      <c r="D2505" t="s">
        <v>1143</v>
      </c>
      <c r="E2505" t="s">
        <v>1144</v>
      </c>
      <c r="F2505" t="s">
        <v>1145</v>
      </c>
      <c r="H2505" t="s">
        <v>1188</v>
      </c>
      <c r="I2505" t="s">
        <v>1188</v>
      </c>
      <c r="J2505" t="s">
        <v>2731</v>
      </c>
      <c r="K2505" t="s">
        <v>1212</v>
      </c>
      <c r="M2505" s="3">
        <f t="shared" si="160"/>
        <v>54.857142857142854</v>
      </c>
      <c r="N2505">
        <v>29</v>
      </c>
      <c r="O2505">
        <v>70</v>
      </c>
      <c r="P2505">
        <v>58</v>
      </c>
      <c r="Q2505">
        <v>80</v>
      </c>
      <c r="R2505">
        <v>76</v>
      </c>
      <c r="S2505">
        <v>55</v>
      </c>
      <c r="T2505">
        <v>16</v>
      </c>
      <c r="U2505">
        <v>0</v>
      </c>
      <c r="V2505" s="3">
        <f t="shared" si="161"/>
        <v>246793</v>
      </c>
      <c r="W2505">
        <v>20566.083333333332</v>
      </c>
      <c r="X2505">
        <v>0</v>
      </c>
      <c r="Y2505">
        <f t="shared" si="162"/>
        <v>20566.083333333332</v>
      </c>
      <c r="Z2505">
        <f t="shared" si="163"/>
        <v>0</v>
      </c>
      <c r="AA2505">
        <v>0</v>
      </c>
    </row>
    <row r="2506" spans="1:27" x14ac:dyDescent="0.25">
      <c r="A2506" s="1">
        <v>2505</v>
      </c>
      <c r="B2506" t="s">
        <v>2783</v>
      </c>
      <c r="C2506" t="s">
        <v>1135</v>
      </c>
      <c r="D2506" t="s">
        <v>1141</v>
      </c>
      <c r="E2506" t="s">
        <v>1142</v>
      </c>
      <c r="H2506" t="s">
        <v>1188</v>
      </c>
      <c r="I2506" t="s">
        <v>1188</v>
      </c>
      <c r="J2506" t="s">
        <v>2731</v>
      </c>
      <c r="K2506" t="s">
        <v>1212</v>
      </c>
      <c r="M2506" s="3">
        <f t="shared" si="160"/>
        <v>45</v>
      </c>
      <c r="N2506">
        <v>31</v>
      </c>
      <c r="O2506">
        <v>36</v>
      </c>
      <c r="P2506">
        <v>58</v>
      </c>
      <c r="Q2506">
        <v>75</v>
      </c>
      <c r="R2506">
        <v>72</v>
      </c>
      <c r="S2506">
        <v>24</v>
      </c>
      <c r="T2506">
        <v>19</v>
      </c>
      <c r="U2506">
        <v>0</v>
      </c>
      <c r="V2506" s="3">
        <f t="shared" si="161"/>
        <v>34051</v>
      </c>
      <c r="W2506">
        <v>2837.5833333333335</v>
      </c>
      <c r="X2506">
        <v>0</v>
      </c>
      <c r="Y2506">
        <f t="shared" si="162"/>
        <v>2837.5833333333335</v>
      </c>
      <c r="Z2506">
        <f t="shared" si="163"/>
        <v>0</v>
      </c>
      <c r="AA2506">
        <v>0</v>
      </c>
    </row>
    <row r="2507" spans="1:27" x14ac:dyDescent="0.25">
      <c r="A2507" s="1">
        <v>2506</v>
      </c>
      <c r="B2507" t="s">
        <v>2826</v>
      </c>
      <c r="C2507" t="s">
        <v>1137</v>
      </c>
      <c r="D2507" t="s">
        <v>1137</v>
      </c>
      <c r="H2507" t="s">
        <v>1188</v>
      </c>
      <c r="I2507" t="s">
        <v>1188</v>
      </c>
      <c r="J2507" t="s">
        <v>2732</v>
      </c>
      <c r="K2507" t="s">
        <v>1212</v>
      </c>
      <c r="M2507" s="3">
        <f t="shared" si="160"/>
        <v>40.714285714285715</v>
      </c>
      <c r="N2507">
        <v>15</v>
      </c>
      <c r="O2507">
        <v>28</v>
      </c>
      <c r="P2507">
        <v>25</v>
      </c>
      <c r="Q2507">
        <v>64</v>
      </c>
      <c r="R2507">
        <v>33</v>
      </c>
      <c r="S2507">
        <v>80</v>
      </c>
      <c r="T2507">
        <v>40</v>
      </c>
      <c r="U2507">
        <v>0</v>
      </c>
      <c r="V2507" s="3">
        <f t="shared" si="161"/>
        <v>12517</v>
      </c>
      <c r="W2507">
        <v>1043.0833333333333</v>
      </c>
      <c r="X2507">
        <v>0</v>
      </c>
      <c r="Y2507">
        <f t="shared" si="162"/>
        <v>1043.0833333333333</v>
      </c>
      <c r="Z2507">
        <f t="shared" si="163"/>
        <v>0</v>
      </c>
      <c r="AA2507">
        <v>0</v>
      </c>
    </row>
    <row r="2508" spans="1:27" x14ac:dyDescent="0.25">
      <c r="A2508" s="1">
        <v>2507</v>
      </c>
      <c r="B2508" t="s">
        <v>2793</v>
      </c>
      <c r="C2508" t="s">
        <v>1133</v>
      </c>
      <c r="D2508" t="s">
        <v>1133</v>
      </c>
      <c r="H2508" t="s">
        <v>1188</v>
      </c>
      <c r="I2508" t="s">
        <v>1188</v>
      </c>
      <c r="J2508" t="s">
        <v>2732</v>
      </c>
      <c r="K2508" t="s">
        <v>1212</v>
      </c>
      <c r="M2508" s="3">
        <f t="shared" si="160"/>
        <v>37</v>
      </c>
      <c r="N2508">
        <v>23</v>
      </c>
      <c r="O2508">
        <v>57</v>
      </c>
      <c r="P2508">
        <v>26</v>
      </c>
      <c r="Q2508">
        <v>44</v>
      </c>
      <c r="R2508">
        <v>46</v>
      </c>
      <c r="S2508">
        <v>28</v>
      </c>
      <c r="T2508">
        <v>35</v>
      </c>
      <c r="U2508">
        <v>0</v>
      </c>
      <c r="V2508" s="3">
        <f t="shared" si="161"/>
        <v>4809</v>
      </c>
      <c r="W2508">
        <v>400.75</v>
      </c>
      <c r="X2508">
        <v>0</v>
      </c>
      <c r="Y2508">
        <f t="shared" si="162"/>
        <v>400.75</v>
      </c>
      <c r="Z2508">
        <f t="shared" si="163"/>
        <v>0</v>
      </c>
      <c r="AA2508">
        <v>0</v>
      </c>
    </row>
    <row r="2509" spans="1:27" x14ac:dyDescent="0.25">
      <c r="A2509" s="1">
        <v>2508</v>
      </c>
      <c r="B2509" t="s">
        <v>2786</v>
      </c>
      <c r="C2509" t="s">
        <v>1134</v>
      </c>
      <c r="D2509" t="s">
        <v>1138</v>
      </c>
      <c r="E2509" t="s">
        <v>1139</v>
      </c>
      <c r="F2509" t="s">
        <v>1140</v>
      </c>
      <c r="H2509" t="s">
        <v>1188</v>
      </c>
      <c r="I2509" t="s">
        <v>1188</v>
      </c>
      <c r="J2509" t="s">
        <v>2732</v>
      </c>
      <c r="K2509" t="s">
        <v>1212</v>
      </c>
      <c r="M2509" s="3">
        <f t="shared" si="160"/>
        <v>48.142857142857146</v>
      </c>
      <c r="N2509">
        <v>28</v>
      </c>
      <c r="O2509">
        <v>32</v>
      </c>
      <c r="P2509">
        <v>77</v>
      </c>
      <c r="Q2509">
        <v>43</v>
      </c>
      <c r="R2509">
        <v>45</v>
      </c>
      <c r="S2509">
        <v>78</v>
      </c>
      <c r="T2509">
        <v>34</v>
      </c>
      <c r="U2509">
        <v>0</v>
      </c>
      <c r="V2509" s="3">
        <f t="shared" si="161"/>
        <v>66884</v>
      </c>
      <c r="W2509">
        <v>5573.666666666667</v>
      </c>
      <c r="X2509">
        <v>0</v>
      </c>
      <c r="Y2509">
        <f t="shared" si="162"/>
        <v>5573.666666666667</v>
      </c>
      <c r="Z2509">
        <f t="shared" si="163"/>
        <v>0</v>
      </c>
      <c r="AA2509">
        <v>0</v>
      </c>
    </row>
    <row r="2510" spans="1:27" x14ac:dyDescent="0.25">
      <c r="A2510" s="1">
        <v>2509</v>
      </c>
      <c r="B2510" t="s">
        <v>2776</v>
      </c>
      <c r="C2510" t="s">
        <v>1136</v>
      </c>
      <c r="D2510" t="s">
        <v>1143</v>
      </c>
      <c r="E2510" t="s">
        <v>1144</v>
      </c>
      <c r="F2510" t="s">
        <v>1145</v>
      </c>
      <c r="H2510" t="s">
        <v>1188</v>
      </c>
      <c r="I2510" t="s">
        <v>1188</v>
      </c>
      <c r="J2510" t="s">
        <v>2732</v>
      </c>
      <c r="K2510" t="s">
        <v>1212</v>
      </c>
      <c r="M2510" s="3">
        <f t="shared" si="160"/>
        <v>44.571428571428569</v>
      </c>
      <c r="N2510">
        <v>18</v>
      </c>
      <c r="O2510">
        <v>55</v>
      </c>
      <c r="P2510">
        <v>77</v>
      </c>
      <c r="Q2510">
        <v>31</v>
      </c>
      <c r="R2510">
        <v>79</v>
      </c>
      <c r="S2510">
        <v>22</v>
      </c>
      <c r="T2510">
        <v>30</v>
      </c>
      <c r="U2510">
        <v>0</v>
      </c>
      <c r="V2510" s="3">
        <f t="shared" si="161"/>
        <v>30944</v>
      </c>
      <c r="W2510">
        <v>2578.6666666666665</v>
      </c>
      <c r="X2510">
        <v>0</v>
      </c>
      <c r="Y2510">
        <f t="shared" si="162"/>
        <v>2578.6666666666665</v>
      </c>
      <c r="Z2510">
        <f t="shared" si="163"/>
        <v>0</v>
      </c>
      <c r="AA2510">
        <v>0</v>
      </c>
    </row>
    <row r="2511" spans="1:27" x14ac:dyDescent="0.25">
      <c r="A2511" s="1">
        <v>2510</v>
      </c>
      <c r="B2511" t="s">
        <v>2794</v>
      </c>
      <c r="C2511" t="s">
        <v>1135</v>
      </c>
      <c r="D2511" t="s">
        <v>1141</v>
      </c>
      <c r="E2511" t="s">
        <v>1142</v>
      </c>
      <c r="H2511" t="s">
        <v>1188</v>
      </c>
      <c r="I2511" t="s">
        <v>1188</v>
      </c>
      <c r="J2511" t="s">
        <v>2732</v>
      </c>
      <c r="K2511" t="s">
        <v>1212</v>
      </c>
      <c r="M2511" s="3">
        <f t="shared" si="160"/>
        <v>48.285714285714285</v>
      </c>
      <c r="N2511">
        <v>16</v>
      </c>
      <c r="O2511">
        <v>15</v>
      </c>
      <c r="P2511">
        <v>79</v>
      </c>
      <c r="Q2511">
        <v>73</v>
      </c>
      <c r="R2511">
        <v>60</v>
      </c>
      <c r="S2511">
        <v>75</v>
      </c>
      <c r="T2511">
        <v>20</v>
      </c>
      <c r="U2511">
        <v>0</v>
      </c>
      <c r="V2511" s="3">
        <f t="shared" si="161"/>
        <v>68895</v>
      </c>
      <c r="W2511">
        <v>5741.25</v>
      </c>
      <c r="X2511">
        <v>0</v>
      </c>
      <c r="Y2511">
        <f t="shared" si="162"/>
        <v>5741.25</v>
      </c>
      <c r="Z2511">
        <f t="shared" si="163"/>
        <v>0</v>
      </c>
      <c r="AA2511">
        <v>0</v>
      </c>
    </row>
    <row r="2512" spans="1:27" x14ac:dyDescent="0.25">
      <c r="A2512" s="1">
        <v>2511</v>
      </c>
      <c r="B2512" t="s">
        <v>2825</v>
      </c>
      <c r="C2512" t="s">
        <v>1137</v>
      </c>
      <c r="D2512" t="s">
        <v>1137</v>
      </c>
      <c r="H2512" t="s">
        <v>1148</v>
      </c>
      <c r="I2512" t="s">
        <v>1148</v>
      </c>
      <c r="J2512" t="s">
        <v>2733</v>
      </c>
      <c r="K2512" t="s">
        <v>1212</v>
      </c>
      <c r="M2512" s="3">
        <f t="shared" si="160"/>
        <v>36.142857142857146</v>
      </c>
      <c r="N2512">
        <v>15</v>
      </c>
      <c r="O2512">
        <v>32</v>
      </c>
      <c r="P2512">
        <v>52</v>
      </c>
      <c r="Q2512">
        <v>36</v>
      </c>
      <c r="R2512">
        <v>32</v>
      </c>
      <c r="S2512">
        <v>64</v>
      </c>
      <c r="T2512">
        <v>22</v>
      </c>
      <c r="U2512">
        <v>0</v>
      </c>
      <c r="V2512" s="3">
        <f t="shared" si="161"/>
        <v>3804</v>
      </c>
      <c r="W2512">
        <v>317</v>
      </c>
      <c r="X2512">
        <v>0</v>
      </c>
      <c r="Y2512">
        <f t="shared" si="162"/>
        <v>317</v>
      </c>
      <c r="Z2512">
        <f t="shared" si="163"/>
        <v>0</v>
      </c>
      <c r="AA2512">
        <v>0</v>
      </c>
    </row>
    <row r="2513" spans="1:27" x14ac:dyDescent="0.25">
      <c r="A2513" s="1">
        <v>2512</v>
      </c>
      <c r="B2513" t="s">
        <v>2755</v>
      </c>
      <c r="C2513" t="s">
        <v>1133</v>
      </c>
      <c r="D2513" t="s">
        <v>1133</v>
      </c>
      <c r="H2513" t="s">
        <v>1148</v>
      </c>
      <c r="I2513" t="s">
        <v>1148</v>
      </c>
      <c r="J2513" t="s">
        <v>2733</v>
      </c>
      <c r="K2513" t="s">
        <v>1212</v>
      </c>
      <c r="M2513" s="3">
        <f t="shared" si="160"/>
        <v>32.714285714285715</v>
      </c>
      <c r="N2513">
        <v>5</v>
      </c>
      <c r="O2513">
        <v>24</v>
      </c>
      <c r="P2513">
        <v>42</v>
      </c>
      <c r="Q2513">
        <v>59</v>
      </c>
      <c r="R2513">
        <v>18</v>
      </c>
      <c r="S2513">
        <v>68</v>
      </c>
      <c r="T2513">
        <v>13</v>
      </c>
      <c r="U2513">
        <v>0</v>
      </c>
      <c r="V2513" s="3">
        <f t="shared" si="161"/>
        <v>1405</v>
      </c>
      <c r="W2513">
        <v>117.08333333333333</v>
      </c>
      <c r="X2513">
        <v>0</v>
      </c>
      <c r="Y2513">
        <f t="shared" si="162"/>
        <v>117.08333333333333</v>
      </c>
      <c r="Z2513">
        <f t="shared" si="163"/>
        <v>0</v>
      </c>
      <c r="AA2513">
        <v>0</v>
      </c>
    </row>
    <row r="2514" spans="1:27" x14ac:dyDescent="0.25">
      <c r="A2514" s="1">
        <v>2513</v>
      </c>
      <c r="B2514" t="s">
        <v>2754</v>
      </c>
      <c r="C2514" t="s">
        <v>1134</v>
      </c>
      <c r="D2514" t="s">
        <v>1138</v>
      </c>
      <c r="E2514" t="s">
        <v>1139</v>
      </c>
      <c r="F2514" t="s">
        <v>1140</v>
      </c>
      <c r="H2514" t="s">
        <v>1148</v>
      </c>
      <c r="I2514" t="s">
        <v>1148</v>
      </c>
      <c r="J2514" t="s">
        <v>2733</v>
      </c>
      <c r="K2514" t="s">
        <v>1212</v>
      </c>
      <c r="M2514" s="3">
        <f t="shared" si="160"/>
        <v>37.571428571428569</v>
      </c>
      <c r="N2514">
        <v>27</v>
      </c>
      <c r="O2514">
        <v>58</v>
      </c>
      <c r="P2514">
        <v>47</v>
      </c>
      <c r="Q2514">
        <v>37</v>
      </c>
      <c r="R2514">
        <v>36</v>
      </c>
      <c r="S2514">
        <v>46</v>
      </c>
      <c r="T2514">
        <v>12</v>
      </c>
      <c r="U2514">
        <v>0</v>
      </c>
      <c r="V2514" s="3">
        <f t="shared" si="161"/>
        <v>5606</v>
      </c>
      <c r="W2514">
        <v>467.16666666666669</v>
      </c>
      <c r="X2514">
        <v>0</v>
      </c>
      <c r="Y2514">
        <f t="shared" si="162"/>
        <v>467.16666666666669</v>
      </c>
      <c r="Z2514">
        <f t="shared" si="163"/>
        <v>0</v>
      </c>
      <c r="AA2514">
        <v>0</v>
      </c>
    </row>
    <row r="2515" spans="1:27" x14ac:dyDescent="0.25">
      <c r="A2515" s="1">
        <v>2514</v>
      </c>
      <c r="B2515" t="s">
        <v>2746</v>
      </c>
      <c r="C2515" t="s">
        <v>1136</v>
      </c>
      <c r="D2515" t="s">
        <v>1143</v>
      </c>
      <c r="E2515" t="s">
        <v>1144</v>
      </c>
      <c r="F2515" t="s">
        <v>1145</v>
      </c>
      <c r="H2515" t="s">
        <v>1148</v>
      </c>
      <c r="I2515" t="s">
        <v>1148</v>
      </c>
      <c r="J2515" t="s">
        <v>2733</v>
      </c>
      <c r="K2515" t="s">
        <v>1212</v>
      </c>
      <c r="M2515" s="3">
        <f t="shared" si="160"/>
        <v>31.857142857142858</v>
      </c>
      <c r="N2515">
        <v>5</v>
      </c>
      <c r="O2515">
        <v>5</v>
      </c>
      <c r="P2515">
        <v>61</v>
      </c>
      <c r="Q2515">
        <v>33</v>
      </c>
      <c r="R2515">
        <v>29</v>
      </c>
      <c r="S2515">
        <v>63</v>
      </c>
      <c r="T2515">
        <v>27</v>
      </c>
      <c r="U2515">
        <v>0</v>
      </c>
      <c r="V2515" s="3">
        <f t="shared" si="161"/>
        <v>1077</v>
      </c>
      <c r="W2515">
        <v>89.75</v>
      </c>
      <c r="X2515">
        <v>0</v>
      </c>
      <c r="Y2515">
        <f t="shared" si="162"/>
        <v>89.75</v>
      </c>
      <c r="Z2515">
        <f t="shared" si="163"/>
        <v>0</v>
      </c>
      <c r="AA2515">
        <v>0</v>
      </c>
    </row>
    <row r="2516" spans="1:27" x14ac:dyDescent="0.25">
      <c r="A2516" s="1">
        <v>2515</v>
      </c>
      <c r="B2516" t="s">
        <v>2824</v>
      </c>
      <c r="C2516" t="s">
        <v>1135</v>
      </c>
      <c r="D2516" t="s">
        <v>1141</v>
      </c>
      <c r="E2516" t="s">
        <v>1142</v>
      </c>
      <c r="H2516" t="s">
        <v>1148</v>
      </c>
      <c r="I2516" t="s">
        <v>1148</v>
      </c>
      <c r="J2516" t="s">
        <v>2733</v>
      </c>
      <c r="K2516" t="s">
        <v>1212</v>
      </c>
      <c r="M2516" s="3">
        <f t="shared" si="160"/>
        <v>25.142857142857142</v>
      </c>
      <c r="N2516">
        <v>12</v>
      </c>
      <c r="O2516">
        <v>9</v>
      </c>
      <c r="P2516">
        <v>62</v>
      </c>
      <c r="Q2516">
        <v>18</v>
      </c>
      <c r="R2516">
        <v>42</v>
      </c>
      <c r="S2516">
        <v>28</v>
      </c>
      <c r="T2516">
        <v>5</v>
      </c>
      <c r="U2516">
        <v>0</v>
      </c>
      <c r="V2516" s="3">
        <f t="shared" si="161"/>
        <v>101</v>
      </c>
      <c r="W2516">
        <v>8.4166666666666661</v>
      </c>
      <c r="X2516">
        <v>0</v>
      </c>
      <c r="Y2516">
        <f t="shared" si="162"/>
        <v>8.4166666666666661</v>
      </c>
      <c r="Z2516">
        <f t="shared" si="163"/>
        <v>0</v>
      </c>
      <c r="AA2516">
        <v>0</v>
      </c>
    </row>
    <row r="2517" spans="1:27" x14ac:dyDescent="0.25">
      <c r="A2517" s="1">
        <v>2516</v>
      </c>
      <c r="B2517" t="s">
        <v>2792</v>
      </c>
      <c r="C2517" t="s">
        <v>1137</v>
      </c>
      <c r="D2517" t="s">
        <v>1137</v>
      </c>
      <c r="H2517" t="s">
        <v>1160</v>
      </c>
      <c r="I2517" t="s">
        <v>1160</v>
      </c>
      <c r="J2517" t="s">
        <v>2734</v>
      </c>
      <c r="K2517" t="s">
        <v>1212</v>
      </c>
      <c r="M2517" s="3">
        <f t="shared" si="160"/>
        <v>19.285714285714285</v>
      </c>
      <c r="N2517">
        <v>11</v>
      </c>
      <c r="O2517">
        <v>32</v>
      </c>
      <c r="P2517">
        <v>14</v>
      </c>
      <c r="Q2517">
        <v>14</v>
      </c>
      <c r="R2517">
        <v>21</v>
      </c>
      <c r="S2517">
        <v>32</v>
      </c>
      <c r="T2517">
        <v>11</v>
      </c>
      <c r="U2517">
        <v>0</v>
      </c>
      <c r="V2517" s="3">
        <f t="shared" si="161"/>
        <v>8</v>
      </c>
      <c r="W2517">
        <v>0.66666666666666663</v>
      </c>
      <c r="X2517">
        <v>0</v>
      </c>
      <c r="Y2517">
        <f t="shared" si="162"/>
        <v>0.66666666666666663</v>
      </c>
      <c r="Z2517">
        <f t="shared" si="163"/>
        <v>0</v>
      </c>
      <c r="AA2517">
        <v>0</v>
      </c>
    </row>
    <row r="2518" spans="1:27" x14ac:dyDescent="0.25">
      <c r="A2518" s="1">
        <v>2517</v>
      </c>
      <c r="B2518" t="s">
        <v>2784</v>
      </c>
      <c r="C2518" t="s">
        <v>1133</v>
      </c>
      <c r="D2518" t="s">
        <v>1133</v>
      </c>
      <c r="H2518" t="s">
        <v>1160</v>
      </c>
      <c r="I2518" t="s">
        <v>1160</v>
      </c>
      <c r="J2518" t="s">
        <v>2734</v>
      </c>
      <c r="K2518" t="s">
        <v>1212</v>
      </c>
      <c r="M2518" s="3">
        <f t="shared" si="160"/>
        <v>26.571428571428573</v>
      </c>
      <c r="N2518">
        <v>30</v>
      </c>
      <c r="O2518">
        <v>15</v>
      </c>
      <c r="P2518">
        <v>18</v>
      </c>
      <c r="Q2518">
        <v>62</v>
      </c>
      <c r="R2518">
        <v>8</v>
      </c>
      <c r="S2518">
        <v>47</v>
      </c>
      <c r="T2518">
        <v>6</v>
      </c>
      <c r="U2518">
        <v>0</v>
      </c>
      <c r="V2518" s="3">
        <f t="shared" si="161"/>
        <v>176</v>
      </c>
      <c r="W2518">
        <v>14.666666666666666</v>
      </c>
      <c r="X2518">
        <v>0</v>
      </c>
      <c r="Y2518">
        <f t="shared" si="162"/>
        <v>14.666666666666666</v>
      </c>
      <c r="Z2518">
        <f t="shared" si="163"/>
        <v>0</v>
      </c>
      <c r="AA2518">
        <v>0</v>
      </c>
    </row>
    <row r="2519" spans="1:27" x14ac:dyDescent="0.25">
      <c r="A2519" s="1">
        <v>2518</v>
      </c>
      <c r="B2519" t="s">
        <v>2791</v>
      </c>
      <c r="C2519" t="s">
        <v>1134</v>
      </c>
      <c r="D2519" t="s">
        <v>1138</v>
      </c>
      <c r="E2519" t="s">
        <v>1139</v>
      </c>
      <c r="F2519" t="s">
        <v>1140</v>
      </c>
      <c r="H2519" t="s">
        <v>1160</v>
      </c>
      <c r="I2519" t="s">
        <v>1160</v>
      </c>
      <c r="J2519" t="s">
        <v>2734</v>
      </c>
      <c r="K2519" t="s">
        <v>1212</v>
      </c>
      <c r="M2519" s="3">
        <f t="shared" si="160"/>
        <v>30.142857142857142</v>
      </c>
      <c r="N2519">
        <v>7</v>
      </c>
      <c r="O2519">
        <v>35</v>
      </c>
      <c r="P2519">
        <v>47</v>
      </c>
      <c r="Q2519">
        <v>47</v>
      </c>
      <c r="R2519">
        <v>59</v>
      </c>
      <c r="S2519">
        <v>7</v>
      </c>
      <c r="T2519">
        <v>9</v>
      </c>
      <c r="U2519">
        <v>0</v>
      </c>
      <c r="V2519" s="3">
        <f t="shared" si="161"/>
        <v>620</v>
      </c>
      <c r="W2519">
        <v>51.666666666666664</v>
      </c>
      <c r="X2519">
        <v>0</v>
      </c>
      <c r="Y2519">
        <f t="shared" si="162"/>
        <v>51.666666666666664</v>
      </c>
      <c r="Z2519">
        <f t="shared" si="163"/>
        <v>0</v>
      </c>
      <c r="AA2519">
        <v>0</v>
      </c>
    </row>
    <row r="2520" spans="1:27" x14ac:dyDescent="0.25">
      <c r="A2520" s="1">
        <v>2519</v>
      </c>
      <c r="B2520" t="s">
        <v>2790</v>
      </c>
      <c r="C2520" t="s">
        <v>1136</v>
      </c>
      <c r="D2520" t="s">
        <v>1143</v>
      </c>
      <c r="E2520" t="s">
        <v>1144</v>
      </c>
      <c r="F2520" t="s">
        <v>1145</v>
      </c>
      <c r="H2520" t="s">
        <v>1160</v>
      </c>
      <c r="I2520" t="s">
        <v>1160</v>
      </c>
      <c r="J2520" t="s">
        <v>2734</v>
      </c>
      <c r="K2520" t="s">
        <v>1212</v>
      </c>
      <c r="M2520" s="3">
        <f t="shared" si="160"/>
        <v>25.428571428571427</v>
      </c>
      <c r="N2520">
        <v>10</v>
      </c>
      <c r="O2520">
        <v>30</v>
      </c>
      <c r="P2520">
        <v>35</v>
      </c>
      <c r="Q2520">
        <v>8</v>
      </c>
      <c r="R2520">
        <v>31</v>
      </c>
      <c r="S2520">
        <v>48</v>
      </c>
      <c r="T2520">
        <v>16</v>
      </c>
      <c r="U2520">
        <v>0</v>
      </c>
      <c r="V2520" s="3">
        <f t="shared" si="161"/>
        <v>114</v>
      </c>
      <c r="W2520">
        <v>9.5</v>
      </c>
      <c r="X2520">
        <v>0</v>
      </c>
      <c r="Y2520">
        <f t="shared" si="162"/>
        <v>9.5</v>
      </c>
      <c r="Z2520">
        <f t="shared" si="163"/>
        <v>0</v>
      </c>
      <c r="AA2520">
        <v>0</v>
      </c>
    </row>
    <row r="2521" spans="1:27" x14ac:dyDescent="0.25">
      <c r="A2521" s="1">
        <v>2520</v>
      </c>
      <c r="B2521" t="s">
        <v>2795</v>
      </c>
      <c r="C2521" t="s">
        <v>1135</v>
      </c>
      <c r="D2521" t="s">
        <v>1141</v>
      </c>
      <c r="E2521" t="s">
        <v>1142</v>
      </c>
      <c r="H2521" t="s">
        <v>1160</v>
      </c>
      <c r="I2521" t="s">
        <v>1160</v>
      </c>
      <c r="J2521" t="s">
        <v>2734</v>
      </c>
      <c r="K2521" t="s">
        <v>1212</v>
      </c>
      <c r="M2521" s="3">
        <f t="shared" si="160"/>
        <v>32.714285714285715</v>
      </c>
      <c r="N2521">
        <v>12</v>
      </c>
      <c r="O2521">
        <v>60</v>
      </c>
      <c r="P2521">
        <v>43</v>
      </c>
      <c r="Q2521">
        <v>29</v>
      </c>
      <c r="R2521">
        <v>15</v>
      </c>
      <c r="S2521">
        <v>60</v>
      </c>
      <c r="T2521">
        <v>10</v>
      </c>
      <c r="U2521">
        <v>0</v>
      </c>
      <c r="V2521" s="3">
        <f t="shared" si="161"/>
        <v>1405</v>
      </c>
      <c r="W2521">
        <v>117.08333333333333</v>
      </c>
      <c r="X2521">
        <v>0</v>
      </c>
      <c r="Y2521">
        <f t="shared" si="162"/>
        <v>117.08333333333333</v>
      </c>
      <c r="Z2521">
        <f t="shared" si="163"/>
        <v>0</v>
      </c>
      <c r="AA2521">
        <v>0</v>
      </c>
    </row>
    <row r="2522" spans="1:27" x14ac:dyDescent="0.25">
      <c r="A2522" s="1">
        <v>2521</v>
      </c>
      <c r="B2522" t="s">
        <v>2785</v>
      </c>
      <c r="C2522" t="s">
        <v>1137</v>
      </c>
      <c r="D2522" t="s">
        <v>1137</v>
      </c>
      <c r="H2522" t="s">
        <v>1155</v>
      </c>
      <c r="I2522" t="s">
        <v>1155</v>
      </c>
      <c r="J2522" t="s">
        <v>2735</v>
      </c>
      <c r="K2522" t="s">
        <v>1212</v>
      </c>
      <c r="M2522" s="3">
        <f t="shared" si="160"/>
        <v>48.857142857142854</v>
      </c>
      <c r="N2522">
        <v>16</v>
      </c>
      <c r="O2522">
        <v>55</v>
      </c>
      <c r="P2522">
        <v>25</v>
      </c>
      <c r="Q2522">
        <v>50</v>
      </c>
      <c r="R2522">
        <v>86</v>
      </c>
      <c r="S2522">
        <v>74</v>
      </c>
      <c r="T2522">
        <v>36</v>
      </c>
      <c r="U2522">
        <v>0</v>
      </c>
      <c r="V2522" s="3">
        <f t="shared" si="161"/>
        <v>77497</v>
      </c>
      <c r="W2522">
        <v>6458.083333333333</v>
      </c>
      <c r="X2522">
        <v>0</v>
      </c>
      <c r="Y2522">
        <f t="shared" si="162"/>
        <v>6458.083333333333</v>
      </c>
      <c r="Z2522">
        <f t="shared" si="163"/>
        <v>0</v>
      </c>
      <c r="AA2522">
        <v>0</v>
      </c>
    </row>
    <row r="2523" spans="1:27" x14ac:dyDescent="0.25">
      <c r="A2523" s="1">
        <v>2522</v>
      </c>
      <c r="B2523" t="s">
        <v>2796</v>
      </c>
      <c r="C2523" t="s">
        <v>1133</v>
      </c>
      <c r="D2523" t="s">
        <v>1133</v>
      </c>
      <c r="H2523" t="s">
        <v>1155</v>
      </c>
      <c r="I2523" t="s">
        <v>1155</v>
      </c>
      <c r="J2523" t="s">
        <v>2735</v>
      </c>
      <c r="K2523" t="s">
        <v>1212</v>
      </c>
      <c r="M2523" s="3">
        <f t="shared" si="160"/>
        <v>42.428571428571431</v>
      </c>
      <c r="N2523">
        <v>36</v>
      </c>
      <c r="O2523">
        <v>74</v>
      </c>
      <c r="P2523">
        <v>53</v>
      </c>
      <c r="Q2523">
        <v>28</v>
      </c>
      <c r="R2523">
        <v>39</v>
      </c>
      <c r="S2523">
        <v>35</v>
      </c>
      <c r="T2523">
        <v>32</v>
      </c>
      <c r="U2523">
        <v>0</v>
      </c>
      <c r="V2523" s="3">
        <f t="shared" si="161"/>
        <v>18906</v>
      </c>
      <c r="W2523">
        <v>1575.5</v>
      </c>
      <c r="X2523">
        <v>0</v>
      </c>
      <c r="Y2523">
        <f t="shared" si="162"/>
        <v>1575.5</v>
      </c>
      <c r="Z2523">
        <f t="shared" si="163"/>
        <v>0</v>
      </c>
      <c r="AA2523">
        <v>0</v>
      </c>
    </row>
    <row r="2524" spans="1:27" x14ac:dyDescent="0.25">
      <c r="A2524" s="1">
        <v>2523</v>
      </c>
      <c r="B2524" t="s">
        <v>2789</v>
      </c>
      <c r="C2524" t="s">
        <v>1134</v>
      </c>
      <c r="D2524" t="s">
        <v>1138</v>
      </c>
      <c r="E2524" t="s">
        <v>1139</v>
      </c>
      <c r="F2524" t="s">
        <v>1140</v>
      </c>
      <c r="H2524" t="s">
        <v>1155</v>
      </c>
      <c r="I2524" t="s">
        <v>1155</v>
      </c>
      <c r="J2524" t="s">
        <v>2735</v>
      </c>
      <c r="K2524" t="s">
        <v>1212</v>
      </c>
      <c r="M2524" s="3">
        <f t="shared" si="160"/>
        <v>41.714285714285715</v>
      </c>
      <c r="N2524">
        <v>38</v>
      </c>
      <c r="O2524">
        <v>45</v>
      </c>
      <c r="P2524">
        <v>71</v>
      </c>
      <c r="Q2524">
        <v>22</v>
      </c>
      <c r="R2524">
        <v>45</v>
      </c>
      <c r="S2524">
        <v>51</v>
      </c>
      <c r="T2524">
        <v>20</v>
      </c>
      <c r="U2524">
        <v>0</v>
      </c>
      <c r="V2524" s="3">
        <f t="shared" si="161"/>
        <v>15954</v>
      </c>
      <c r="W2524">
        <v>1329.5</v>
      </c>
      <c r="X2524">
        <v>0</v>
      </c>
      <c r="Y2524">
        <f t="shared" si="162"/>
        <v>1329.5</v>
      </c>
      <c r="Z2524">
        <f t="shared" si="163"/>
        <v>0</v>
      </c>
      <c r="AA2524">
        <v>0</v>
      </c>
    </row>
    <row r="2525" spans="1:27" x14ac:dyDescent="0.25">
      <c r="A2525" s="1">
        <v>2524</v>
      </c>
      <c r="B2525" t="s">
        <v>2757</v>
      </c>
      <c r="C2525" t="s">
        <v>1136</v>
      </c>
      <c r="D2525" t="s">
        <v>1143</v>
      </c>
      <c r="E2525" t="s">
        <v>1144</v>
      </c>
      <c r="F2525" t="s">
        <v>1145</v>
      </c>
      <c r="H2525" t="s">
        <v>1155</v>
      </c>
      <c r="I2525" t="s">
        <v>1155</v>
      </c>
      <c r="J2525" t="s">
        <v>2735</v>
      </c>
      <c r="K2525" t="s">
        <v>1212</v>
      </c>
      <c r="M2525" s="3">
        <f t="shared" si="160"/>
        <v>37.142857142857146</v>
      </c>
      <c r="N2525">
        <v>24</v>
      </c>
      <c r="O2525">
        <v>26</v>
      </c>
      <c r="P2525">
        <v>18</v>
      </c>
      <c r="Q2525">
        <v>43</v>
      </c>
      <c r="R2525">
        <v>51</v>
      </c>
      <c r="S2525">
        <v>59</v>
      </c>
      <c r="T2525">
        <v>39</v>
      </c>
      <c r="U2525">
        <v>0</v>
      </c>
      <c r="V2525" s="3">
        <f t="shared" si="161"/>
        <v>4998</v>
      </c>
      <c r="W2525">
        <v>416.5</v>
      </c>
      <c r="X2525">
        <v>0</v>
      </c>
      <c r="Y2525">
        <f t="shared" si="162"/>
        <v>416.5</v>
      </c>
      <c r="Z2525">
        <f t="shared" si="163"/>
        <v>0</v>
      </c>
      <c r="AA2525">
        <v>0</v>
      </c>
    </row>
    <row r="2526" spans="1:27" x14ac:dyDescent="0.25">
      <c r="A2526" s="1">
        <v>2525</v>
      </c>
      <c r="B2526" t="s">
        <v>2823</v>
      </c>
      <c r="C2526" t="s">
        <v>1135</v>
      </c>
      <c r="D2526" t="s">
        <v>1141</v>
      </c>
      <c r="E2526" t="s">
        <v>1142</v>
      </c>
      <c r="H2526" t="s">
        <v>1155</v>
      </c>
      <c r="I2526" t="s">
        <v>1155</v>
      </c>
      <c r="J2526" t="s">
        <v>2735</v>
      </c>
      <c r="K2526" t="s">
        <v>1212</v>
      </c>
      <c r="M2526" s="3">
        <f t="shared" si="160"/>
        <v>39.571428571428569</v>
      </c>
      <c r="N2526">
        <v>31</v>
      </c>
      <c r="O2526">
        <v>19</v>
      </c>
      <c r="P2526">
        <v>71</v>
      </c>
      <c r="Q2526">
        <v>73</v>
      </c>
      <c r="R2526">
        <v>45</v>
      </c>
      <c r="S2526">
        <v>18</v>
      </c>
      <c r="T2526">
        <v>20</v>
      </c>
      <c r="U2526">
        <v>0</v>
      </c>
      <c r="V2526" s="3">
        <f t="shared" si="161"/>
        <v>9415</v>
      </c>
      <c r="W2526">
        <v>784.58333333333337</v>
      </c>
      <c r="X2526">
        <v>0</v>
      </c>
      <c r="Y2526">
        <f t="shared" si="162"/>
        <v>784.58333333333337</v>
      </c>
      <c r="Z2526">
        <f t="shared" si="163"/>
        <v>0</v>
      </c>
      <c r="AA2526">
        <v>0</v>
      </c>
    </row>
    <row r="2527" spans="1:27" x14ac:dyDescent="0.25">
      <c r="A2527" s="1">
        <v>2526</v>
      </c>
      <c r="B2527" t="s">
        <v>2756</v>
      </c>
      <c r="C2527" t="s">
        <v>1137</v>
      </c>
      <c r="D2527" t="s">
        <v>1137</v>
      </c>
      <c r="H2527" t="s">
        <v>1151</v>
      </c>
      <c r="I2527" t="s">
        <v>1151</v>
      </c>
      <c r="J2527" t="s">
        <v>2736</v>
      </c>
      <c r="K2527" t="s">
        <v>1212</v>
      </c>
      <c r="M2527" s="3">
        <f t="shared" si="160"/>
        <v>48.857142857142854</v>
      </c>
      <c r="N2527">
        <v>35</v>
      </c>
      <c r="O2527">
        <v>80</v>
      </c>
      <c r="P2527">
        <v>73</v>
      </c>
      <c r="Q2527">
        <v>31</v>
      </c>
      <c r="R2527">
        <v>38</v>
      </c>
      <c r="S2527">
        <v>66</v>
      </c>
      <c r="T2527">
        <v>19</v>
      </c>
      <c r="U2527">
        <v>0</v>
      </c>
      <c r="V2527" s="3">
        <f t="shared" si="161"/>
        <v>77497</v>
      </c>
      <c r="W2527">
        <v>6458.083333333333</v>
      </c>
      <c r="X2527">
        <v>0</v>
      </c>
      <c r="Y2527">
        <f t="shared" si="162"/>
        <v>6458.083333333333</v>
      </c>
      <c r="Z2527">
        <f t="shared" si="163"/>
        <v>0</v>
      </c>
      <c r="AA2527">
        <v>0</v>
      </c>
    </row>
    <row r="2528" spans="1:27" x14ac:dyDescent="0.25">
      <c r="A2528" s="1">
        <v>2527</v>
      </c>
      <c r="B2528" t="s">
        <v>2788</v>
      </c>
      <c r="C2528" t="s">
        <v>1133</v>
      </c>
      <c r="D2528" t="s">
        <v>1133</v>
      </c>
      <c r="H2528" t="s">
        <v>1151</v>
      </c>
      <c r="I2528" t="s">
        <v>1151</v>
      </c>
      <c r="J2528" t="s">
        <v>2736</v>
      </c>
      <c r="K2528" t="s">
        <v>1212</v>
      </c>
      <c r="M2528" s="3">
        <f t="shared" si="160"/>
        <v>45.428571428571431</v>
      </c>
      <c r="N2528">
        <v>29</v>
      </c>
      <c r="O2528">
        <v>49</v>
      </c>
      <c r="P2528">
        <v>26</v>
      </c>
      <c r="Q2528">
        <v>69</v>
      </c>
      <c r="R2528">
        <v>52</v>
      </c>
      <c r="S2528">
        <v>77</v>
      </c>
      <c r="T2528">
        <v>16</v>
      </c>
      <c r="U2528">
        <v>0</v>
      </c>
      <c r="V2528" s="3">
        <f t="shared" si="161"/>
        <v>37437</v>
      </c>
      <c r="W2528">
        <v>3119.75</v>
      </c>
      <c r="X2528">
        <v>0</v>
      </c>
      <c r="Y2528">
        <f t="shared" si="162"/>
        <v>3119.75</v>
      </c>
      <c r="Z2528">
        <f t="shared" si="163"/>
        <v>0</v>
      </c>
      <c r="AA2528">
        <v>0</v>
      </c>
    </row>
    <row r="2529" spans="1:27" x14ac:dyDescent="0.25">
      <c r="A2529" s="1">
        <v>2528</v>
      </c>
      <c r="B2529" t="s">
        <v>2758</v>
      </c>
      <c r="C2529" t="s">
        <v>1134</v>
      </c>
      <c r="D2529" t="s">
        <v>1138</v>
      </c>
      <c r="E2529" t="s">
        <v>1139</v>
      </c>
      <c r="F2529" t="s">
        <v>1140</v>
      </c>
      <c r="H2529" t="s">
        <v>1151</v>
      </c>
      <c r="I2529" t="s">
        <v>1151</v>
      </c>
      <c r="J2529" t="s">
        <v>2736</v>
      </c>
      <c r="K2529" t="s">
        <v>1212</v>
      </c>
      <c r="M2529" s="3">
        <f t="shared" si="160"/>
        <v>44.714285714285715</v>
      </c>
      <c r="N2529">
        <v>20</v>
      </c>
      <c r="O2529">
        <v>33</v>
      </c>
      <c r="P2529">
        <v>65</v>
      </c>
      <c r="Q2529">
        <v>48</v>
      </c>
      <c r="R2529">
        <v>59</v>
      </c>
      <c r="S2529">
        <v>61</v>
      </c>
      <c r="T2529">
        <v>27</v>
      </c>
      <c r="U2529">
        <v>0</v>
      </c>
      <c r="V2529" s="3">
        <f t="shared" si="161"/>
        <v>31950</v>
      </c>
      <c r="W2529">
        <v>2662.5</v>
      </c>
      <c r="X2529">
        <v>0</v>
      </c>
      <c r="Y2529">
        <f t="shared" si="162"/>
        <v>2662.5</v>
      </c>
      <c r="Z2529">
        <f t="shared" si="163"/>
        <v>0</v>
      </c>
      <c r="AA2529">
        <v>0</v>
      </c>
    </row>
    <row r="2530" spans="1:27" x14ac:dyDescent="0.25">
      <c r="A2530" s="1">
        <v>2529</v>
      </c>
      <c r="B2530" t="s">
        <v>2769</v>
      </c>
      <c r="C2530" t="s">
        <v>1136</v>
      </c>
      <c r="D2530" t="s">
        <v>1143</v>
      </c>
      <c r="E2530" t="s">
        <v>1144</v>
      </c>
      <c r="F2530" t="s">
        <v>1145</v>
      </c>
      <c r="H2530" t="s">
        <v>1151</v>
      </c>
      <c r="I2530" t="s">
        <v>1151</v>
      </c>
      <c r="J2530" t="s">
        <v>2736</v>
      </c>
      <c r="K2530" t="s">
        <v>1212</v>
      </c>
      <c r="M2530" s="3">
        <f t="shared" si="160"/>
        <v>45.285714285714285</v>
      </c>
      <c r="N2530">
        <v>19</v>
      </c>
      <c r="O2530">
        <v>37</v>
      </c>
      <c r="P2530">
        <v>55</v>
      </c>
      <c r="Q2530">
        <v>76</v>
      </c>
      <c r="R2530">
        <v>30</v>
      </c>
      <c r="S2530">
        <v>69</v>
      </c>
      <c r="T2530">
        <v>31</v>
      </c>
      <c r="U2530">
        <v>0</v>
      </c>
      <c r="V2530" s="3">
        <f t="shared" si="161"/>
        <v>36276</v>
      </c>
      <c r="W2530">
        <v>3023</v>
      </c>
      <c r="X2530">
        <v>0</v>
      </c>
      <c r="Y2530">
        <f t="shared" si="162"/>
        <v>3023</v>
      </c>
      <c r="Z2530">
        <f t="shared" si="163"/>
        <v>0</v>
      </c>
      <c r="AA2530">
        <v>0</v>
      </c>
    </row>
    <row r="2531" spans="1:27" x14ac:dyDescent="0.25">
      <c r="A2531" s="1">
        <v>2530</v>
      </c>
      <c r="B2531" t="s">
        <v>2822</v>
      </c>
      <c r="C2531" t="s">
        <v>1135</v>
      </c>
      <c r="D2531" t="s">
        <v>1141</v>
      </c>
      <c r="E2531" t="s">
        <v>1142</v>
      </c>
      <c r="H2531" t="s">
        <v>1151</v>
      </c>
      <c r="I2531" t="s">
        <v>1151</v>
      </c>
      <c r="J2531" t="s">
        <v>2736</v>
      </c>
      <c r="K2531" t="s">
        <v>1212</v>
      </c>
      <c r="M2531" s="3">
        <f t="shared" si="160"/>
        <v>44.714285714285715</v>
      </c>
      <c r="N2531">
        <v>35</v>
      </c>
      <c r="O2531">
        <v>70</v>
      </c>
      <c r="P2531">
        <v>19</v>
      </c>
      <c r="Q2531">
        <v>43</v>
      </c>
      <c r="R2531">
        <v>74</v>
      </c>
      <c r="S2531">
        <v>47</v>
      </c>
      <c r="T2531">
        <v>25</v>
      </c>
      <c r="U2531">
        <v>0</v>
      </c>
      <c r="V2531" s="3">
        <f t="shared" si="161"/>
        <v>31950</v>
      </c>
      <c r="W2531">
        <v>2662.5</v>
      </c>
      <c r="X2531">
        <v>0</v>
      </c>
      <c r="Y2531">
        <f t="shared" si="162"/>
        <v>2662.5</v>
      </c>
      <c r="Z2531">
        <f t="shared" si="163"/>
        <v>0</v>
      </c>
      <c r="AA2531">
        <v>0</v>
      </c>
    </row>
    <row r="2532" spans="1:27" x14ac:dyDescent="0.25">
      <c r="M2532" s="3"/>
    </row>
    <row r="2533" spans="1:27" x14ac:dyDescent="0.25">
      <c r="M2533" s="3"/>
    </row>
    <row r="2534" spans="1:27" x14ac:dyDescent="0.25">
      <c r="M2534" s="3"/>
    </row>
    <row r="2535" spans="1:27" x14ac:dyDescent="0.25">
      <c r="M2535" s="3"/>
    </row>
    <row r="2536" spans="1:27" x14ac:dyDescent="0.25">
      <c r="M2536" s="3"/>
    </row>
    <row r="2537" spans="1:27" x14ac:dyDescent="0.25">
      <c r="M2537" s="3"/>
    </row>
    <row r="2538" spans="1:27" x14ac:dyDescent="0.25">
      <c r="M2538" s="3"/>
    </row>
    <row r="2539" spans="1:27" x14ac:dyDescent="0.25">
      <c r="M2539" s="3"/>
    </row>
    <row r="2540" spans="1:27" x14ac:dyDescent="0.25">
      <c r="M2540" s="3"/>
    </row>
    <row r="2541" spans="1:27" x14ac:dyDescent="0.25">
      <c r="M2541" s="3"/>
    </row>
    <row r="2542" spans="1:27" x14ac:dyDescent="0.25">
      <c r="M2542" s="3"/>
    </row>
    <row r="2543" spans="1:27" x14ac:dyDescent="0.25">
      <c r="M2543" s="3"/>
    </row>
    <row r="2544" spans="1:27" x14ac:dyDescent="0.25">
      <c r="M2544" s="3"/>
    </row>
    <row r="2545" spans="13:13" x14ac:dyDescent="0.25">
      <c r="M2545" s="3"/>
    </row>
    <row r="2546" spans="13:13" x14ac:dyDescent="0.25">
      <c r="M2546" s="3"/>
    </row>
    <row r="2547" spans="13:13" x14ac:dyDescent="0.25">
      <c r="M2547" s="3"/>
    </row>
    <row r="2548" spans="13:13" x14ac:dyDescent="0.25">
      <c r="M2548" s="3"/>
    </row>
    <row r="2549" spans="13:13" x14ac:dyDescent="0.25">
      <c r="M2549" s="3"/>
    </row>
    <row r="2550" spans="13:13" x14ac:dyDescent="0.25">
      <c r="M2550" s="3"/>
    </row>
    <row r="2551" spans="13:13" x14ac:dyDescent="0.25">
      <c r="M2551" s="3"/>
    </row>
    <row r="2552" spans="13:13" x14ac:dyDescent="0.25">
      <c r="M2552" s="3"/>
    </row>
    <row r="2553" spans="13:13" x14ac:dyDescent="0.25">
      <c r="M2553" s="3"/>
    </row>
    <row r="2554" spans="13:13" x14ac:dyDescent="0.25">
      <c r="M2554" s="3"/>
    </row>
    <row r="2555" spans="13:13" x14ac:dyDescent="0.25">
      <c r="M2555" s="3"/>
    </row>
    <row r="2556" spans="13:13" x14ac:dyDescent="0.25">
      <c r="M2556" s="3"/>
    </row>
    <row r="2557" spans="13:13" x14ac:dyDescent="0.25">
      <c r="M2557" s="3"/>
    </row>
    <row r="2558" spans="13:13" x14ac:dyDescent="0.25">
      <c r="M2558" s="3"/>
    </row>
    <row r="2559" spans="13:13" x14ac:dyDescent="0.25">
      <c r="M2559" s="3"/>
    </row>
    <row r="2560" spans="13:13" x14ac:dyDescent="0.25">
      <c r="M2560" s="3"/>
    </row>
    <row r="2561" spans="13:13" x14ac:dyDescent="0.25">
      <c r="M2561" s="3"/>
    </row>
    <row r="2562" spans="13:13" x14ac:dyDescent="0.25">
      <c r="M2562" s="3"/>
    </row>
    <row r="2563" spans="13:13" x14ac:dyDescent="0.25">
      <c r="M2563" s="3"/>
    </row>
    <row r="2564" spans="13:13" x14ac:dyDescent="0.25">
      <c r="M2564" s="3"/>
    </row>
    <row r="2565" spans="13:13" x14ac:dyDescent="0.25">
      <c r="M2565" s="3"/>
    </row>
    <row r="2566" spans="13:13" x14ac:dyDescent="0.25">
      <c r="M2566" s="3"/>
    </row>
    <row r="2567" spans="13:13" x14ac:dyDescent="0.25">
      <c r="M2567" s="3"/>
    </row>
    <row r="2568" spans="13:13" x14ac:dyDescent="0.25">
      <c r="M2568" s="3"/>
    </row>
    <row r="2569" spans="13:13" x14ac:dyDescent="0.25">
      <c r="M2569" s="3"/>
    </row>
    <row r="2570" spans="13:13" x14ac:dyDescent="0.25">
      <c r="M2570" s="3"/>
    </row>
    <row r="2571" spans="13:13" x14ac:dyDescent="0.25">
      <c r="M2571" s="3"/>
    </row>
    <row r="2572" spans="13:13" x14ac:dyDescent="0.25">
      <c r="M2572" s="3"/>
    </row>
    <row r="2573" spans="13:13" x14ac:dyDescent="0.25">
      <c r="M2573" s="3"/>
    </row>
    <row r="2574" spans="13:13" x14ac:dyDescent="0.25">
      <c r="M2574" s="3"/>
    </row>
    <row r="2575" spans="13:13" x14ac:dyDescent="0.25">
      <c r="M2575" s="3"/>
    </row>
    <row r="2576" spans="13:13" x14ac:dyDescent="0.25">
      <c r="M2576" s="3"/>
    </row>
    <row r="2577" spans="13:13" x14ac:dyDescent="0.25">
      <c r="M2577" s="3"/>
    </row>
    <row r="2578" spans="13:13" x14ac:dyDescent="0.25">
      <c r="M2578" s="3"/>
    </row>
    <row r="2579" spans="13:13" x14ac:dyDescent="0.25">
      <c r="M2579" s="3"/>
    </row>
    <row r="2580" spans="13:13" x14ac:dyDescent="0.25">
      <c r="M2580" s="3"/>
    </row>
    <row r="2581" spans="13:13" x14ac:dyDescent="0.25">
      <c r="M2581" s="3"/>
    </row>
    <row r="2582" spans="13:13" x14ac:dyDescent="0.25">
      <c r="M2582" s="3"/>
    </row>
    <row r="2583" spans="13:13" x14ac:dyDescent="0.25">
      <c r="M2583" s="3"/>
    </row>
    <row r="2584" spans="13:13" x14ac:dyDescent="0.25">
      <c r="M2584" s="3"/>
    </row>
    <row r="2585" spans="13:13" x14ac:dyDescent="0.25">
      <c r="M2585" s="3"/>
    </row>
    <row r="2586" spans="13:13" x14ac:dyDescent="0.25">
      <c r="M2586" s="3"/>
    </row>
    <row r="2587" spans="13:13" x14ac:dyDescent="0.25">
      <c r="M2587" s="3"/>
    </row>
    <row r="2588" spans="13:13" x14ac:dyDescent="0.25">
      <c r="M2588" s="3"/>
    </row>
    <row r="2589" spans="13:13" x14ac:dyDescent="0.25">
      <c r="M2589" s="3"/>
    </row>
    <row r="2590" spans="13:13" x14ac:dyDescent="0.25">
      <c r="M2590" s="3"/>
    </row>
    <row r="2591" spans="13:13" x14ac:dyDescent="0.25">
      <c r="M2591" s="3"/>
    </row>
    <row r="2592" spans="13:13" x14ac:dyDescent="0.25">
      <c r="M2592" s="3"/>
    </row>
    <row r="2593" spans="13:13" x14ac:dyDescent="0.25">
      <c r="M2593" s="3"/>
    </row>
    <row r="2594" spans="13:13" x14ac:dyDescent="0.25">
      <c r="M2594" s="3"/>
    </row>
    <row r="2595" spans="13:13" x14ac:dyDescent="0.25">
      <c r="M2595" s="3"/>
    </row>
    <row r="2596" spans="13:13" x14ac:dyDescent="0.25">
      <c r="M2596" s="3"/>
    </row>
    <row r="2597" spans="13:13" x14ac:dyDescent="0.25">
      <c r="M2597" s="3"/>
    </row>
    <row r="2598" spans="13:13" x14ac:dyDescent="0.25">
      <c r="M2598" s="3"/>
    </row>
    <row r="2599" spans="13:13" x14ac:dyDescent="0.25">
      <c r="M2599" s="3"/>
    </row>
    <row r="2600" spans="13:13" x14ac:dyDescent="0.25">
      <c r="M2600" s="3"/>
    </row>
    <row r="2601" spans="13:13" x14ac:dyDescent="0.25">
      <c r="M2601" s="3"/>
    </row>
    <row r="2602" spans="13:13" x14ac:dyDescent="0.25">
      <c r="M2602" s="3"/>
    </row>
    <row r="2603" spans="13:13" x14ac:dyDescent="0.25">
      <c r="M2603" s="3"/>
    </row>
    <row r="2604" spans="13:13" x14ac:dyDescent="0.25">
      <c r="M2604" s="3"/>
    </row>
    <row r="2605" spans="13:13" x14ac:dyDescent="0.25">
      <c r="M2605" s="3"/>
    </row>
    <row r="2606" spans="13:13" x14ac:dyDescent="0.25">
      <c r="M2606" s="3"/>
    </row>
    <row r="2607" spans="13:13" x14ac:dyDescent="0.25">
      <c r="M2607" s="3"/>
    </row>
    <row r="2608" spans="13:13" x14ac:dyDescent="0.25">
      <c r="M2608" s="3"/>
    </row>
    <row r="2609" spans="13:13" x14ac:dyDescent="0.25">
      <c r="M2609" s="3"/>
    </row>
    <row r="2610" spans="13:13" x14ac:dyDescent="0.25">
      <c r="M2610" s="3"/>
    </row>
    <row r="2611" spans="13:13" x14ac:dyDescent="0.25">
      <c r="M2611" s="3"/>
    </row>
    <row r="2612" spans="13:13" x14ac:dyDescent="0.25">
      <c r="M2612" s="3"/>
    </row>
    <row r="2613" spans="13:13" x14ac:dyDescent="0.25">
      <c r="M2613" s="3"/>
    </row>
    <row r="2614" spans="13:13" x14ac:dyDescent="0.25">
      <c r="M2614" s="3"/>
    </row>
    <row r="2615" spans="13:13" x14ac:dyDescent="0.25">
      <c r="M2615" s="3"/>
    </row>
    <row r="2616" spans="13:13" x14ac:dyDescent="0.25">
      <c r="M2616" s="3"/>
    </row>
    <row r="2617" spans="13:13" x14ac:dyDescent="0.25">
      <c r="M2617" s="3"/>
    </row>
    <row r="2618" spans="13:13" x14ac:dyDescent="0.25">
      <c r="M2618" s="3"/>
    </row>
    <row r="2619" spans="13:13" x14ac:dyDescent="0.25">
      <c r="M2619" s="3"/>
    </row>
    <row r="2620" spans="13:13" x14ac:dyDescent="0.25">
      <c r="M2620" s="3"/>
    </row>
    <row r="2621" spans="13:13" x14ac:dyDescent="0.25">
      <c r="M2621" s="3"/>
    </row>
    <row r="2622" spans="13:13" x14ac:dyDescent="0.25">
      <c r="M2622" s="3"/>
    </row>
    <row r="2623" spans="13:13" x14ac:dyDescent="0.25">
      <c r="M2623" s="3"/>
    </row>
    <row r="2624" spans="13:13" x14ac:dyDescent="0.25">
      <c r="M2624" s="3"/>
    </row>
    <row r="2625" spans="13:13" x14ac:dyDescent="0.25">
      <c r="M2625" s="3"/>
    </row>
    <row r="2626" spans="13:13" x14ac:dyDescent="0.25">
      <c r="M2626" s="3"/>
    </row>
    <row r="2627" spans="13:13" x14ac:dyDescent="0.25">
      <c r="M2627" s="3"/>
    </row>
    <row r="2628" spans="13:13" x14ac:dyDescent="0.25">
      <c r="M2628" s="3"/>
    </row>
    <row r="2629" spans="13:13" x14ac:dyDescent="0.25">
      <c r="M2629" s="3"/>
    </row>
    <row r="2630" spans="13:13" x14ac:dyDescent="0.25">
      <c r="M2630" s="3"/>
    </row>
    <row r="2631" spans="13:13" x14ac:dyDescent="0.25">
      <c r="M2631" s="3"/>
    </row>
    <row r="2632" spans="13:13" x14ac:dyDescent="0.25">
      <c r="M2632" s="3"/>
    </row>
    <row r="2633" spans="13:13" x14ac:dyDescent="0.25">
      <c r="M2633" s="3"/>
    </row>
    <row r="2634" spans="13:13" x14ac:dyDescent="0.25">
      <c r="M2634" s="3"/>
    </row>
    <row r="2635" spans="13:13" x14ac:dyDescent="0.25">
      <c r="M2635" s="3"/>
    </row>
    <row r="2636" spans="13:13" x14ac:dyDescent="0.25">
      <c r="M2636" s="3"/>
    </row>
    <row r="2637" spans="13:13" x14ac:dyDescent="0.25">
      <c r="M2637" s="3"/>
    </row>
    <row r="2638" spans="13:13" x14ac:dyDescent="0.25">
      <c r="M2638" s="3"/>
    </row>
    <row r="2639" spans="13:13" x14ac:dyDescent="0.25">
      <c r="M2639" s="3"/>
    </row>
    <row r="2640" spans="13:13" x14ac:dyDescent="0.25">
      <c r="M2640" s="3"/>
    </row>
    <row r="2641" spans="13:13" x14ac:dyDescent="0.25">
      <c r="M2641" s="3"/>
    </row>
    <row r="2642" spans="13:13" x14ac:dyDescent="0.25">
      <c r="M2642" s="3"/>
    </row>
    <row r="2643" spans="13:13" x14ac:dyDescent="0.25">
      <c r="M2643" s="3"/>
    </row>
    <row r="2644" spans="13:13" x14ac:dyDescent="0.25">
      <c r="M2644" s="3"/>
    </row>
    <row r="2645" spans="13:13" x14ac:dyDescent="0.25">
      <c r="M2645" s="3"/>
    </row>
    <row r="2646" spans="13:13" x14ac:dyDescent="0.25">
      <c r="M2646" s="3"/>
    </row>
    <row r="2647" spans="13:13" x14ac:dyDescent="0.25">
      <c r="M2647" s="3"/>
    </row>
    <row r="2648" spans="13:13" x14ac:dyDescent="0.25">
      <c r="M2648" s="3"/>
    </row>
    <row r="2649" spans="13:13" x14ac:dyDescent="0.25">
      <c r="M2649" s="3"/>
    </row>
    <row r="2650" spans="13:13" x14ac:dyDescent="0.25">
      <c r="M2650" s="3"/>
    </row>
    <row r="2651" spans="13:13" x14ac:dyDescent="0.25">
      <c r="M2651" s="3"/>
    </row>
    <row r="2652" spans="13:13" x14ac:dyDescent="0.25">
      <c r="M2652" s="3"/>
    </row>
    <row r="2653" spans="13:13" x14ac:dyDescent="0.25">
      <c r="M2653" s="3"/>
    </row>
    <row r="2654" spans="13:13" x14ac:dyDescent="0.25">
      <c r="M2654" s="3"/>
    </row>
    <row r="2655" spans="13:13" x14ac:dyDescent="0.25">
      <c r="M2655" s="3"/>
    </row>
    <row r="2656" spans="13:13" x14ac:dyDescent="0.25">
      <c r="M2656" s="3"/>
    </row>
    <row r="2657" spans="13:13" x14ac:dyDescent="0.25">
      <c r="M2657" s="3"/>
    </row>
    <row r="2658" spans="13:13" x14ac:dyDescent="0.25">
      <c r="M2658" s="3"/>
    </row>
    <row r="2659" spans="13:13" x14ac:dyDescent="0.25">
      <c r="M2659" s="3"/>
    </row>
    <row r="2660" spans="13:13" x14ac:dyDescent="0.25">
      <c r="M2660" s="3"/>
    </row>
    <row r="2661" spans="13:13" x14ac:dyDescent="0.25">
      <c r="M2661" s="3"/>
    </row>
    <row r="2662" spans="13:13" x14ac:dyDescent="0.25">
      <c r="M2662" s="3"/>
    </row>
    <row r="2663" spans="13:13" x14ac:dyDescent="0.25">
      <c r="M2663" s="3"/>
    </row>
    <row r="2664" spans="13:13" x14ac:dyDescent="0.25">
      <c r="M2664" s="3"/>
    </row>
    <row r="2665" spans="13:13" x14ac:dyDescent="0.25">
      <c r="M2665" s="3"/>
    </row>
    <row r="2666" spans="13:13" x14ac:dyDescent="0.25">
      <c r="M2666" s="3"/>
    </row>
    <row r="2667" spans="13:13" x14ac:dyDescent="0.25">
      <c r="M2667" s="3"/>
    </row>
    <row r="2668" spans="13:13" x14ac:dyDescent="0.25">
      <c r="M2668" s="3"/>
    </row>
    <row r="2669" spans="13:13" x14ac:dyDescent="0.25">
      <c r="M2669" s="3"/>
    </row>
    <row r="2670" spans="13:13" x14ac:dyDescent="0.25">
      <c r="M2670" s="3"/>
    </row>
    <row r="2671" spans="13:13" x14ac:dyDescent="0.25">
      <c r="M2671" s="3"/>
    </row>
    <row r="2672" spans="13:13" x14ac:dyDescent="0.25">
      <c r="M2672" s="3"/>
    </row>
    <row r="2673" spans="13:13" x14ac:dyDescent="0.25">
      <c r="M2673" s="3"/>
    </row>
    <row r="2674" spans="13:13" x14ac:dyDescent="0.25">
      <c r="M2674" s="3"/>
    </row>
    <row r="2675" spans="13:13" x14ac:dyDescent="0.25">
      <c r="M2675" s="3"/>
    </row>
    <row r="2676" spans="13:13" x14ac:dyDescent="0.25">
      <c r="M2676" s="3"/>
    </row>
    <row r="2677" spans="13:13" x14ac:dyDescent="0.25">
      <c r="M2677" s="3"/>
    </row>
    <row r="2678" spans="13:13" x14ac:dyDescent="0.25">
      <c r="M2678" s="3"/>
    </row>
    <row r="2679" spans="13:13" x14ac:dyDescent="0.25">
      <c r="M2679" s="3"/>
    </row>
    <row r="2680" spans="13:13" x14ac:dyDescent="0.25">
      <c r="M2680" s="3"/>
    </row>
    <row r="2681" spans="13:13" x14ac:dyDescent="0.25">
      <c r="M2681" s="3"/>
    </row>
    <row r="2682" spans="13:13" x14ac:dyDescent="0.25">
      <c r="M2682" s="3"/>
    </row>
    <row r="2683" spans="13:13" x14ac:dyDescent="0.25">
      <c r="M2683" s="3"/>
    </row>
    <row r="2684" spans="13:13" x14ac:dyDescent="0.25">
      <c r="M2684" s="3"/>
    </row>
    <row r="2685" spans="13:13" x14ac:dyDescent="0.25">
      <c r="M2685" s="3"/>
    </row>
    <row r="2686" spans="13:13" x14ac:dyDescent="0.25">
      <c r="M2686" s="3"/>
    </row>
    <row r="2687" spans="13:13" x14ac:dyDescent="0.25">
      <c r="M2687" s="3"/>
    </row>
    <row r="2688" spans="13:13" x14ac:dyDescent="0.25">
      <c r="M2688" s="3"/>
    </row>
    <row r="2689" spans="13:13" x14ac:dyDescent="0.25">
      <c r="M2689" s="3"/>
    </row>
    <row r="2690" spans="13:13" x14ac:dyDescent="0.25">
      <c r="M2690" s="3"/>
    </row>
    <row r="2691" spans="13:13" x14ac:dyDescent="0.25">
      <c r="M2691" s="3"/>
    </row>
    <row r="2692" spans="13:13" x14ac:dyDescent="0.25">
      <c r="M2692" s="3"/>
    </row>
    <row r="2693" spans="13:13" x14ac:dyDescent="0.25">
      <c r="M2693" s="3"/>
    </row>
    <row r="2694" spans="13:13" x14ac:dyDescent="0.25">
      <c r="M2694" s="3"/>
    </row>
    <row r="2695" spans="13:13" x14ac:dyDescent="0.25">
      <c r="M2695" s="3"/>
    </row>
    <row r="2696" spans="13:13" x14ac:dyDescent="0.25">
      <c r="M2696" s="3"/>
    </row>
    <row r="2697" spans="13:13" x14ac:dyDescent="0.25">
      <c r="M2697" s="3"/>
    </row>
    <row r="2698" spans="13:13" x14ac:dyDescent="0.25">
      <c r="M2698" s="3"/>
    </row>
    <row r="2699" spans="13:13" x14ac:dyDescent="0.25">
      <c r="M2699" s="3"/>
    </row>
    <row r="2700" spans="13:13" x14ac:dyDescent="0.25">
      <c r="M2700" s="3"/>
    </row>
    <row r="2701" spans="13:13" x14ac:dyDescent="0.25">
      <c r="M2701" s="3"/>
    </row>
    <row r="2702" spans="13:13" x14ac:dyDescent="0.25">
      <c r="M2702" s="3"/>
    </row>
    <row r="2703" spans="13:13" x14ac:dyDescent="0.25">
      <c r="M2703" s="3"/>
    </row>
    <row r="2704" spans="13:13" x14ac:dyDescent="0.25">
      <c r="M2704" s="3"/>
    </row>
    <row r="2705" spans="13:13" x14ac:dyDescent="0.25">
      <c r="M2705" s="3"/>
    </row>
    <row r="2706" spans="13:13" x14ac:dyDescent="0.25">
      <c r="M2706" s="3"/>
    </row>
    <row r="2707" spans="13:13" x14ac:dyDescent="0.25">
      <c r="M2707" s="3"/>
    </row>
    <row r="2708" spans="13:13" x14ac:dyDescent="0.25">
      <c r="M2708" s="3"/>
    </row>
    <row r="2709" spans="13:13" x14ac:dyDescent="0.25">
      <c r="M2709" s="3"/>
    </row>
    <row r="2710" spans="13:13" x14ac:dyDescent="0.25">
      <c r="M2710" s="3"/>
    </row>
    <row r="2711" spans="13:13" x14ac:dyDescent="0.25">
      <c r="M2711" s="3"/>
    </row>
    <row r="2712" spans="13:13" x14ac:dyDescent="0.25">
      <c r="M2712" s="3"/>
    </row>
    <row r="2713" spans="13:13" x14ac:dyDescent="0.25">
      <c r="M2713" s="3"/>
    </row>
    <row r="2714" spans="13:13" x14ac:dyDescent="0.25">
      <c r="M2714" s="3"/>
    </row>
    <row r="2715" spans="13:13" x14ac:dyDescent="0.25">
      <c r="M2715" s="3"/>
    </row>
    <row r="2716" spans="13:13" x14ac:dyDescent="0.25">
      <c r="M2716" s="3"/>
    </row>
    <row r="2717" spans="13:13" x14ac:dyDescent="0.25">
      <c r="M2717" s="3"/>
    </row>
    <row r="2718" spans="13:13" x14ac:dyDescent="0.25">
      <c r="M2718" s="3"/>
    </row>
    <row r="2719" spans="13:13" x14ac:dyDescent="0.25">
      <c r="M2719" s="3"/>
    </row>
    <row r="2720" spans="13:13" x14ac:dyDescent="0.25">
      <c r="M2720" s="3"/>
    </row>
    <row r="2721" spans="13:13" x14ac:dyDescent="0.25">
      <c r="M2721" s="3"/>
    </row>
    <row r="2722" spans="13:13" x14ac:dyDescent="0.25">
      <c r="M2722" s="3"/>
    </row>
    <row r="2723" spans="13:13" x14ac:dyDescent="0.25">
      <c r="M2723" s="3"/>
    </row>
    <row r="2724" spans="13:13" x14ac:dyDescent="0.25">
      <c r="M2724" s="3"/>
    </row>
    <row r="2725" spans="13:13" x14ac:dyDescent="0.25">
      <c r="M2725" s="3"/>
    </row>
    <row r="2726" spans="13:13" x14ac:dyDescent="0.25">
      <c r="M2726" s="3"/>
    </row>
    <row r="2727" spans="13:13" x14ac:dyDescent="0.25">
      <c r="M2727" s="3"/>
    </row>
    <row r="2728" spans="13:13" x14ac:dyDescent="0.25">
      <c r="M2728" s="3"/>
    </row>
    <row r="2729" spans="13:13" x14ac:dyDescent="0.25">
      <c r="M2729" s="3"/>
    </row>
    <row r="2730" spans="13:13" x14ac:dyDescent="0.25">
      <c r="M2730" s="3"/>
    </row>
    <row r="2731" spans="13:13" x14ac:dyDescent="0.25">
      <c r="M2731" s="3"/>
    </row>
    <row r="2732" spans="13:13" x14ac:dyDescent="0.25">
      <c r="M2732" s="3"/>
    </row>
    <row r="2733" spans="13:13" x14ac:dyDescent="0.25">
      <c r="M2733" s="3"/>
    </row>
    <row r="2734" spans="13:13" x14ac:dyDescent="0.25">
      <c r="M2734" s="3"/>
    </row>
    <row r="2735" spans="13:13" x14ac:dyDescent="0.25">
      <c r="M2735" s="3"/>
    </row>
    <row r="2736" spans="13:13" x14ac:dyDescent="0.25">
      <c r="M2736" s="3"/>
    </row>
    <row r="2737" spans="13:13" x14ac:dyDescent="0.25">
      <c r="M2737" s="3"/>
    </row>
    <row r="2738" spans="13:13" x14ac:dyDescent="0.25">
      <c r="M2738" s="3"/>
    </row>
    <row r="2739" spans="13:13" x14ac:dyDescent="0.25">
      <c r="M2739" s="3"/>
    </row>
    <row r="2740" spans="13:13" x14ac:dyDescent="0.25">
      <c r="M2740" s="3"/>
    </row>
    <row r="2741" spans="13:13" x14ac:dyDescent="0.25">
      <c r="M2741" s="3"/>
    </row>
    <row r="2742" spans="13:13" x14ac:dyDescent="0.25">
      <c r="M2742" s="3"/>
    </row>
    <row r="2743" spans="13:13" x14ac:dyDescent="0.25">
      <c r="M2743" s="3"/>
    </row>
    <row r="2744" spans="13:13" x14ac:dyDescent="0.25">
      <c r="M2744" s="3"/>
    </row>
    <row r="2745" spans="13:13" x14ac:dyDescent="0.25">
      <c r="M2745" s="3"/>
    </row>
    <row r="2746" spans="13:13" x14ac:dyDescent="0.25">
      <c r="M2746" s="3"/>
    </row>
    <row r="2747" spans="13:13" x14ac:dyDescent="0.25">
      <c r="M2747" s="3"/>
    </row>
    <row r="2748" spans="13:13" x14ac:dyDescent="0.25">
      <c r="M2748" s="3"/>
    </row>
    <row r="2749" spans="13:13" x14ac:dyDescent="0.25">
      <c r="M2749" s="3"/>
    </row>
    <row r="2750" spans="13:13" x14ac:dyDescent="0.25">
      <c r="M2750" s="3"/>
    </row>
    <row r="2751" spans="13:13" x14ac:dyDescent="0.25">
      <c r="M2751" s="3"/>
    </row>
    <row r="2752" spans="13:13" x14ac:dyDescent="0.25">
      <c r="M2752" s="3"/>
    </row>
    <row r="2753" spans="13:13" x14ac:dyDescent="0.25">
      <c r="M2753" s="3"/>
    </row>
    <row r="2754" spans="13:13" x14ac:dyDescent="0.25">
      <c r="M2754" s="3"/>
    </row>
    <row r="2755" spans="13:13" x14ac:dyDescent="0.25">
      <c r="M2755" s="3"/>
    </row>
    <row r="2756" spans="13:13" x14ac:dyDescent="0.25">
      <c r="M2756" s="3"/>
    </row>
    <row r="2757" spans="13:13" x14ac:dyDescent="0.25">
      <c r="M2757" s="3"/>
    </row>
    <row r="2758" spans="13:13" x14ac:dyDescent="0.25">
      <c r="M2758" s="3"/>
    </row>
    <row r="2759" spans="13:13" x14ac:dyDescent="0.25">
      <c r="M2759" s="3"/>
    </row>
    <row r="2760" spans="13:13" x14ac:dyDescent="0.25">
      <c r="M2760" s="3"/>
    </row>
    <row r="2761" spans="13:13" x14ac:dyDescent="0.25">
      <c r="M2761" s="3"/>
    </row>
    <row r="2762" spans="13:13" x14ac:dyDescent="0.25">
      <c r="M2762" s="3"/>
    </row>
    <row r="2763" spans="13:13" x14ac:dyDescent="0.25">
      <c r="M2763" s="3"/>
    </row>
    <row r="2764" spans="13:13" x14ac:dyDescent="0.25">
      <c r="M2764" s="3"/>
    </row>
    <row r="2765" spans="13:13" x14ac:dyDescent="0.25">
      <c r="M2765" s="3"/>
    </row>
    <row r="2766" spans="13:13" x14ac:dyDescent="0.25">
      <c r="M2766" s="3"/>
    </row>
    <row r="2767" spans="13:13" x14ac:dyDescent="0.25">
      <c r="M2767" s="3"/>
    </row>
    <row r="2768" spans="13:13" x14ac:dyDescent="0.25">
      <c r="M2768" s="3"/>
    </row>
    <row r="2769" spans="13:13" x14ac:dyDescent="0.25">
      <c r="M2769" s="3"/>
    </row>
    <row r="2770" spans="13:13" x14ac:dyDescent="0.25">
      <c r="M2770" s="3"/>
    </row>
    <row r="2771" spans="13:13" x14ac:dyDescent="0.25">
      <c r="M2771" s="3"/>
    </row>
    <row r="2772" spans="13:13" x14ac:dyDescent="0.25">
      <c r="M2772" s="3"/>
    </row>
    <row r="2773" spans="13:13" x14ac:dyDescent="0.25">
      <c r="M2773" s="3"/>
    </row>
    <row r="2774" spans="13:13" x14ac:dyDescent="0.25">
      <c r="M2774" s="3"/>
    </row>
    <row r="2775" spans="13:13" x14ac:dyDescent="0.25">
      <c r="M2775" s="3"/>
    </row>
    <row r="2776" spans="13:13" x14ac:dyDescent="0.25">
      <c r="M2776" s="3"/>
    </row>
    <row r="2777" spans="13:13" x14ac:dyDescent="0.25">
      <c r="M2777" s="3"/>
    </row>
    <row r="2778" spans="13:13" x14ac:dyDescent="0.25">
      <c r="M2778" s="3"/>
    </row>
    <row r="2779" spans="13:13" x14ac:dyDescent="0.25">
      <c r="M2779" s="3"/>
    </row>
    <row r="2780" spans="13:13" x14ac:dyDescent="0.25">
      <c r="M2780" s="3"/>
    </row>
    <row r="2781" spans="13:13" x14ac:dyDescent="0.25">
      <c r="M2781" s="3"/>
    </row>
    <row r="2782" spans="13:13" x14ac:dyDescent="0.25">
      <c r="M2782" s="3"/>
    </row>
    <row r="2783" spans="13:13" x14ac:dyDescent="0.25">
      <c r="M2783" s="3"/>
    </row>
    <row r="2784" spans="13:13" x14ac:dyDescent="0.25">
      <c r="M2784" s="3"/>
    </row>
    <row r="2785" spans="13:13" x14ac:dyDescent="0.25">
      <c r="M2785" s="3"/>
    </row>
    <row r="2786" spans="13:13" x14ac:dyDescent="0.25">
      <c r="M2786" s="3"/>
    </row>
    <row r="2787" spans="13:13" x14ac:dyDescent="0.25">
      <c r="M2787" s="3"/>
    </row>
    <row r="2788" spans="13:13" x14ac:dyDescent="0.25">
      <c r="M2788" s="3"/>
    </row>
    <row r="2789" spans="13:13" x14ac:dyDescent="0.25">
      <c r="M2789" s="3"/>
    </row>
    <row r="2790" spans="13:13" x14ac:dyDescent="0.25">
      <c r="M2790" s="3"/>
    </row>
    <row r="2791" spans="13:13" x14ac:dyDescent="0.25">
      <c r="M2791" s="3"/>
    </row>
    <row r="2792" spans="13:13" x14ac:dyDescent="0.25">
      <c r="M2792" s="3"/>
    </row>
    <row r="2793" spans="13:13" x14ac:dyDescent="0.25">
      <c r="M2793" s="3"/>
    </row>
    <row r="2794" spans="13:13" x14ac:dyDescent="0.25">
      <c r="M2794" s="3"/>
    </row>
    <row r="2795" spans="13:13" x14ac:dyDescent="0.25">
      <c r="M2795" s="3"/>
    </row>
    <row r="2796" spans="13:13" x14ac:dyDescent="0.25">
      <c r="M2796" s="3"/>
    </row>
    <row r="2797" spans="13:13" x14ac:dyDescent="0.25">
      <c r="M2797" s="3"/>
    </row>
    <row r="2798" spans="13:13" x14ac:dyDescent="0.25">
      <c r="M2798" s="3"/>
    </row>
    <row r="2799" spans="13:13" x14ac:dyDescent="0.25">
      <c r="M2799" s="3"/>
    </row>
    <row r="2800" spans="13:13" x14ac:dyDescent="0.25">
      <c r="M2800" s="3"/>
    </row>
    <row r="2801" spans="13:13" x14ac:dyDescent="0.25">
      <c r="M2801" s="3"/>
    </row>
    <row r="2802" spans="13:13" x14ac:dyDescent="0.25">
      <c r="M2802" s="3"/>
    </row>
    <row r="2803" spans="13:13" x14ac:dyDescent="0.25">
      <c r="M2803" s="3"/>
    </row>
    <row r="2804" spans="13:13" x14ac:dyDescent="0.25">
      <c r="M2804" s="3"/>
    </row>
    <row r="2805" spans="13:13" x14ac:dyDescent="0.25">
      <c r="M2805" s="3"/>
    </row>
    <row r="2806" spans="13:13" x14ac:dyDescent="0.25">
      <c r="M2806" s="3"/>
    </row>
    <row r="2807" spans="13:13" x14ac:dyDescent="0.25">
      <c r="M2807" s="3"/>
    </row>
    <row r="2808" spans="13:13" x14ac:dyDescent="0.25">
      <c r="M2808" s="3"/>
    </row>
    <row r="2809" spans="13:13" x14ac:dyDescent="0.25">
      <c r="M2809" s="3"/>
    </row>
    <row r="2810" spans="13:13" x14ac:dyDescent="0.25">
      <c r="M2810" s="3"/>
    </row>
    <row r="2811" spans="13:13" x14ac:dyDescent="0.25">
      <c r="M2811" s="3"/>
    </row>
    <row r="2812" spans="13:13" x14ac:dyDescent="0.25">
      <c r="M2812" s="3"/>
    </row>
    <row r="2813" spans="13:13" x14ac:dyDescent="0.25">
      <c r="M2813" s="3"/>
    </row>
    <row r="2814" spans="13:13" x14ac:dyDescent="0.25">
      <c r="M2814" s="3"/>
    </row>
    <row r="2815" spans="13:13" x14ac:dyDescent="0.25">
      <c r="M2815" s="3"/>
    </row>
    <row r="2816" spans="13:13" x14ac:dyDescent="0.25">
      <c r="M2816" s="3"/>
    </row>
    <row r="2817" spans="13:13" x14ac:dyDescent="0.25">
      <c r="M2817" s="3"/>
    </row>
    <row r="2818" spans="13:13" x14ac:dyDescent="0.25">
      <c r="M2818" s="3"/>
    </row>
    <row r="2819" spans="13:13" x14ac:dyDescent="0.25">
      <c r="M2819" s="3"/>
    </row>
    <row r="2820" spans="13:13" x14ac:dyDescent="0.25">
      <c r="M2820" s="3"/>
    </row>
    <row r="2821" spans="13:13" x14ac:dyDescent="0.25">
      <c r="M2821" s="3"/>
    </row>
    <row r="2822" spans="13:13" x14ac:dyDescent="0.25">
      <c r="M2822" s="3"/>
    </row>
    <row r="2823" spans="13:13" x14ac:dyDescent="0.25">
      <c r="M2823" s="3"/>
    </row>
    <row r="2824" spans="13:13" x14ac:dyDescent="0.25">
      <c r="M2824" s="3"/>
    </row>
    <row r="2825" spans="13:13" x14ac:dyDescent="0.25">
      <c r="M2825" s="3"/>
    </row>
    <row r="2826" spans="13:13" x14ac:dyDescent="0.25">
      <c r="M2826" s="3"/>
    </row>
    <row r="2827" spans="13:13" x14ac:dyDescent="0.25">
      <c r="M2827" s="3"/>
    </row>
    <row r="2828" spans="13:13" x14ac:dyDescent="0.25">
      <c r="M2828" s="3"/>
    </row>
    <row r="2829" spans="13:13" x14ac:dyDescent="0.25">
      <c r="M2829" s="3"/>
    </row>
    <row r="2830" spans="13:13" x14ac:dyDescent="0.25">
      <c r="M2830" s="3"/>
    </row>
    <row r="2831" spans="13:13" x14ac:dyDescent="0.25">
      <c r="M2831" s="3"/>
    </row>
    <row r="2832" spans="13:13" x14ac:dyDescent="0.25">
      <c r="M2832" s="3"/>
    </row>
    <row r="2833" spans="13:13" x14ac:dyDescent="0.25">
      <c r="M2833" s="3"/>
    </row>
    <row r="2834" spans="13:13" x14ac:dyDescent="0.25">
      <c r="M2834" s="3"/>
    </row>
    <row r="2835" spans="13:13" x14ac:dyDescent="0.25">
      <c r="M2835" s="3"/>
    </row>
    <row r="2836" spans="13:13" x14ac:dyDescent="0.25">
      <c r="M2836" s="3"/>
    </row>
    <row r="2837" spans="13:13" x14ac:dyDescent="0.25">
      <c r="M2837" s="3"/>
    </row>
    <row r="2838" spans="13:13" x14ac:dyDescent="0.25">
      <c r="M2838" s="3"/>
    </row>
    <row r="2839" spans="13:13" x14ac:dyDescent="0.25">
      <c r="M2839" s="3"/>
    </row>
    <row r="2840" spans="13:13" x14ac:dyDescent="0.25">
      <c r="M2840" s="3"/>
    </row>
    <row r="2841" spans="13:13" x14ac:dyDescent="0.25">
      <c r="M2841" s="3"/>
    </row>
    <row r="2842" spans="13:13" x14ac:dyDescent="0.25">
      <c r="M2842" s="3"/>
    </row>
    <row r="2843" spans="13:13" x14ac:dyDescent="0.25">
      <c r="M2843" s="3"/>
    </row>
    <row r="2844" spans="13:13" x14ac:dyDescent="0.25">
      <c r="M2844" s="3"/>
    </row>
    <row r="2845" spans="13:13" x14ac:dyDescent="0.25">
      <c r="M2845" s="3"/>
    </row>
    <row r="2846" spans="13:13" x14ac:dyDescent="0.25">
      <c r="M2846" s="3"/>
    </row>
    <row r="2847" spans="13:13" x14ac:dyDescent="0.25">
      <c r="M2847" s="3"/>
    </row>
    <row r="2848" spans="13:13" x14ac:dyDescent="0.25">
      <c r="M2848" s="3"/>
    </row>
    <row r="2849" spans="13:13" x14ac:dyDescent="0.25">
      <c r="M2849" s="3"/>
    </row>
    <row r="2850" spans="13:13" x14ac:dyDescent="0.25">
      <c r="M2850" s="3"/>
    </row>
    <row r="2851" spans="13:13" x14ac:dyDescent="0.25">
      <c r="M2851" s="3"/>
    </row>
    <row r="2852" spans="13:13" x14ac:dyDescent="0.25">
      <c r="M2852" s="3"/>
    </row>
    <row r="2853" spans="13:13" x14ac:dyDescent="0.25">
      <c r="M2853" s="3"/>
    </row>
    <row r="2854" spans="13:13" x14ac:dyDescent="0.25">
      <c r="M2854" s="3"/>
    </row>
    <row r="2855" spans="13:13" x14ac:dyDescent="0.25">
      <c r="M2855" s="3"/>
    </row>
    <row r="2856" spans="13:13" x14ac:dyDescent="0.25">
      <c r="M2856" s="3"/>
    </row>
    <row r="2857" spans="13:13" x14ac:dyDescent="0.25">
      <c r="M2857" s="3"/>
    </row>
    <row r="2858" spans="13:13" x14ac:dyDescent="0.25">
      <c r="M2858" s="3"/>
    </row>
    <row r="2859" spans="13:13" x14ac:dyDescent="0.25">
      <c r="M2859" s="3"/>
    </row>
    <row r="2860" spans="13:13" x14ac:dyDescent="0.25">
      <c r="M2860" s="3"/>
    </row>
    <row r="2861" spans="13:13" x14ac:dyDescent="0.25">
      <c r="M2861" s="3"/>
    </row>
    <row r="2862" spans="13:13" x14ac:dyDescent="0.25">
      <c r="M2862" s="3"/>
    </row>
    <row r="2863" spans="13:13" x14ac:dyDescent="0.25">
      <c r="M2863" s="3"/>
    </row>
    <row r="2864" spans="13:13" x14ac:dyDescent="0.25">
      <c r="M2864" s="3"/>
    </row>
    <row r="2865" spans="13:13" x14ac:dyDescent="0.25">
      <c r="M2865" s="3"/>
    </row>
    <row r="2866" spans="13:13" x14ac:dyDescent="0.25">
      <c r="M2866" s="3"/>
    </row>
    <row r="2867" spans="13:13" x14ac:dyDescent="0.25">
      <c r="M2867" s="3"/>
    </row>
    <row r="2868" spans="13:13" x14ac:dyDescent="0.25">
      <c r="M2868" s="3"/>
    </row>
    <row r="2869" spans="13:13" x14ac:dyDescent="0.25">
      <c r="M2869" s="3"/>
    </row>
    <row r="2870" spans="13:13" x14ac:dyDescent="0.25">
      <c r="M2870" s="3"/>
    </row>
    <row r="2871" spans="13:13" x14ac:dyDescent="0.25">
      <c r="M2871" s="3"/>
    </row>
    <row r="2872" spans="13:13" x14ac:dyDescent="0.25">
      <c r="M2872" s="3"/>
    </row>
    <row r="2873" spans="13:13" x14ac:dyDescent="0.25">
      <c r="M2873" s="3"/>
    </row>
    <row r="2874" spans="13:13" x14ac:dyDescent="0.25">
      <c r="M2874" s="3"/>
    </row>
    <row r="2875" spans="13:13" x14ac:dyDescent="0.25">
      <c r="M2875" s="3"/>
    </row>
    <row r="2876" spans="13:13" x14ac:dyDescent="0.25">
      <c r="M2876" s="3"/>
    </row>
    <row r="2877" spans="13:13" x14ac:dyDescent="0.25">
      <c r="M2877" s="3"/>
    </row>
    <row r="2878" spans="13:13" x14ac:dyDescent="0.25">
      <c r="M2878" s="3"/>
    </row>
    <row r="2879" spans="13:13" x14ac:dyDescent="0.25">
      <c r="M2879" s="3"/>
    </row>
    <row r="2880" spans="13:13" x14ac:dyDescent="0.25">
      <c r="M2880" s="3"/>
    </row>
    <row r="2881" spans="13:13" x14ac:dyDescent="0.25">
      <c r="M2881" s="3"/>
    </row>
    <row r="2882" spans="13:13" x14ac:dyDescent="0.25">
      <c r="M2882" s="3"/>
    </row>
    <row r="2883" spans="13:13" x14ac:dyDescent="0.25">
      <c r="M2883" s="3"/>
    </row>
    <row r="2884" spans="13:13" x14ac:dyDescent="0.25">
      <c r="M2884" s="3"/>
    </row>
    <row r="2885" spans="13:13" x14ac:dyDescent="0.25">
      <c r="M2885" s="3"/>
    </row>
    <row r="2886" spans="13:13" x14ac:dyDescent="0.25">
      <c r="M2886" s="3"/>
    </row>
    <row r="2887" spans="13:13" x14ac:dyDescent="0.25">
      <c r="M2887" s="3"/>
    </row>
    <row r="2888" spans="13:13" x14ac:dyDescent="0.25">
      <c r="M2888" s="3"/>
    </row>
    <row r="2889" spans="13:13" x14ac:dyDescent="0.25">
      <c r="M2889" s="3"/>
    </row>
    <row r="2890" spans="13:13" x14ac:dyDescent="0.25">
      <c r="M2890" s="3"/>
    </row>
    <row r="2891" spans="13:13" x14ac:dyDescent="0.25">
      <c r="M2891" s="3"/>
    </row>
    <row r="2892" spans="13:13" x14ac:dyDescent="0.25">
      <c r="M2892" s="3"/>
    </row>
    <row r="2893" spans="13:13" x14ac:dyDescent="0.25">
      <c r="M2893" s="3"/>
    </row>
    <row r="2894" spans="13:13" x14ac:dyDescent="0.25">
      <c r="M2894" s="3"/>
    </row>
    <row r="2895" spans="13:13" x14ac:dyDescent="0.25">
      <c r="M2895" s="3"/>
    </row>
    <row r="2896" spans="13:13" x14ac:dyDescent="0.25">
      <c r="M2896" s="3"/>
    </row>
    <row r="2897" spans="13:13" x14ac:dyDescent="0.25">
      <c r="M2897" s="3"/>
    </row>
    <row r="2898" spans="13:13" x14ac:dyDescent="0.25">
      <c r="M2898" s="3"/>
    </row>
    <row r="2899" spans="13:13" x14ac:dyDescent="0.25">
      <c r="M2899" s="3"/>
    </row>
    <row r="2900" spans="13:13" x14ac:dyDescent="0.25">
      <c r="M2900" s="3"/>
    </row>
    <row r="2901" spans="13:13" x14ac:dyDescent="0.25">
      <c r="M2901" s="3"/>
    </row>
    <row r="2902" spans="13:13" x14ac:dyDescent="0.25">
      <c r="M2902" s="3"/>
    </row>
    <row r="2903" spans="13:13" x14ac:dyDescent="0.25">
      <c r="M2903" s="3"/>
    </row>
    <row r="2904" spans="13:13" x14ac:dyDescent="0.25">
      <c r="M2904" s="3"/>
    </row>
    <row r="2905" spans="13:13" x14ac:dyDescent="0.25">
      <c r="M2905" s="3"/>
    </row>
    <row r="2906" spans="13:13" x14ac:dyDescent="0.25">
      <c r="M2906" s="3"/>
    </row>
    <row r="2907" spans="13:13" x14ac:dyDescent="0.25">
      <c r="M2907" s="3"/>
    </row>
    <row r="2908" spans="13:13" x14ac:dyDescent="0.25">
      <c r="M2908" s="3"/>
    </row>
    <row r="2909" spans="13:13" x14ac:dyDescent="0.25">
      <c r="M2909" s="3"/>
    </row>
    <row r="2910" spans="13:13" x14ac:dyDescent="0.25">
      <c r="M2910" s="3"/>
    </row>
    <row r="2911" spans="13:13" x14ac:dyDescent="0.25">
      <c r="M2911" s="3"/>
    </row>
    <row r="2912" spans="13:13" x14ac:dyDescent="0.25">
      <c r="M2912" s="3"/>
    </row>
    <row r="2913" spans="13:13" x14ac:dyDescent="0.25">
      <c r="M2913" s="3"/>
    </row>
    <row r="2914" spans="13:13" x14ac:dyDescent="0.25">
      <c r="M2914" s="3"/>
    </row>
    <row r="2915" spans="13:13" x14ac:dyDescent="0.25">
      <c r="M2915" s="3"/>
    </row>
    <row r="2916" spans="13:13" x14ac:dyDescent="0.25">
      <c r="M2916" s="3"/>
    </row>
    <row r="2917" spans="13:13" x14ac:dyDescent="0.25">
      <c r="M2917" s="3"/>
    </row>
    <row r="2918" spans="13:13" x14ac:dyDescent="0.25">
      <c r="M2918" s="3"/>
    </row>
    <row r="2919" spans="13:13" x14ac:dyDescent="0.25">
      <c r="M2919" s="3"/>
    </row>
    <row r="2920" spans="13:13" x14ac:dyDescent="0.25">
      <c r="M2920" s="3"/>
    </row>
    <row r="2921" spans="13:13" x14ac:dyDescent="0.25">
      <c r="M2921" s="3"/>
    </row>
    <row r="2922" spans="13:13" x14ac:dyDescent="0.25">
      <c r="M2922" s="3"/>
    </row>
    <row r="2923" spans="13:13" x14ac:dyDescent="0.25">
      <c r="M2923" s="3"/>
    </row>
    <row r="2924" spans="13:13" x14ac:dyDescent="0.25">
      <c r="M2924" s="3"/>
    </row>
    <row r="2925" spans="13:13" x14ac:dyDescent="0.25">
      <c r="M2925" s="3"/>
    </row>
    <row r="2926" spans="13:13" x14ac:dyDescent="0.25">
      <c r="M2926" s="3"/>
    </row>
    <row r="2927" spans="13:13" x14ac:dyDescent="0.25">
      <c r="M2927" s="3"/>
    </row>
    <row r="2928" spans="13:13" x14ac:dyDescent="0.25">
      <c r="M2928" s="3"/>
    </row>
    <row r="2929" spans="13:13" x14ac:dyDescent="0.25">
      <c r="M2929" s="3"/>
    </row>
    <row r="2930" spans="13:13" x14ac:dyDescent="0.25">
      <c r="M2930" s="3"/>
    </row>
    <row r="2931" spans="13:13" x14ac:dyDescent="0.25">
      <c r="M2931" s="3"/>
    </row>
    <row r="2932" spans="13:13" x14ac:dyDescent="0.25">
      <c r="M2932" s="3"/>
    </row>
    <row r="2933" spans="13:13" x14ac:dyDescent="0.25">
      <c r="M2933" s="3"/>
    </row>
    <row r="2934" spans="13:13" x14ac:dyDescent="0.25">
      <c r="M2934" s="3"/>
    </row>
    <row r="2935" spans="13:13" x14ac:dyDescent="0.25">
      <c r="M2935" s="3"/>
    </row>
    <row r="2936" spans="13:13" x14ac:dyDescent="0.25">
      <c r="M2936" s="3"/>
    </row>
  </sheetData>
  <sortState xmlns:xlrd2="http://schemas.microsoft.com/office/spreadsheetml/2017/richdata2" ref="B2:AA2937">
    <sortCondition ref="J2:J2937"/>
    <sortCondition ref="C2:C2937"/>
  </sortState>
  <conditionalFormatting sqref="N1:N1048576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{5C24F15B-7C54-4673-A647-D3D24D0AE333}</x14:id>
        </ext>
      </extLst>
    </cfRule>
  </conditionalFormatting>
  <conditionalFormatting sqref="O1:O104857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{D5352A94-9932-49A0-A536-FF6293B0ED5D}</x14:id>
        </ext>
      </extLst>
    </cfRule>
  </conditionalFormatting>
  <conditionalFormatting sqref="P1:P104857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{1ADFA6F9-E1E6-4224-B33E-0E3B5CB947B5}</x14:id>
        </ext>
      </extLst>
    </cfRule>
  </conditionalFormatting>
  <conditionalFormatting sqref="Q1:Q104857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{894C727B-D5A5-48AC-9CF9-D842B27997D5}</x14:id>
        </ext>
      </extLst>
    </cfRule>
  </conditionalFormatting>
  <conditionalFormatting sqref="R1:R1048576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{D8003B6C-74A0-49D7-A617-8C25AE6E93CF}</x14:id>
        </ext>
      </extLst>
    </cfRule>
  </conditionalFormatting>
  <conditionalFormatting sqref="S1:S1048576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{360DF69C-AD20-4B13-B145-E4AB31FE55AC}</x14:id>
        </ext>
      </extLst>
    </cfRule>
  </conditionalFormatting>
  <conditionalFormatting sqref="T2135:T2136 T1983:T2133 T2139:T2159 T1242:T1267 T1269:T1512 T1514:T1515 T1517:T1732 T1:T56 T58:T112 T114:T129 T131:T178 T180:T244 T246:T520 T523:T524 T527:T566 T568:T570 T572:T1067 T1069:T1129 T1131:T1240 T1241:U1241 T57:U57 T1733:U1733 T567:U567 T571:U571 T179:U179 T1982:U1982 T521:U522 T525:U526 T1130:U1130 T130:U130 T1068:U1068 T1268:U1268 T1883:T1981 T1881:U1882 T2134:U2134 T2137:U2138 T1513:U1513 T1516:U1516 T2160:U2160 T245:U245 T113:U113 T1734:T1880 T2161:T1048576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{C5140D6A-F72B-4B95-9030-6063317E9D85}</x14:id>
        </ext>
      </extLst>
    </cfRule>
  </conditionalFormatting>
  <conditionalFormatting sqref="V2:V2531">
    <cfRule type="dataBar" priority="7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{F016F06A-38AB-4970-B703-A8C4D76D9862}</x14:id>
        </ext>
      </extLst>
    </cfRule>
  </conditionalFormatting>
  <conditionalFormatting sqref="M1:M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{29418B0E-4B31-4C82-B8E1-F96A9C4A70A1}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24F15B-7C54-4673-A647-D3D24D0AE3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D5352A94-9932-49A0-A536-FF6293B0ED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1ADFA6F9-E1E6-4224-B33E-0E3B5CB947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894C727B-D5A5-48AC-9CF9-D842B27997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D8003B6C-74A0-49D7-A617-8C25AE6E93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360DF69C-AD20-4B13-B145-E4AB31FE55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C5140D6A-F72B-4B95-9030-6063317E9D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T2135:T2136 T1983:T2133 T2139:T2159 T1242:T1267 T1269:T1512 T1514:T1515 T1517:T1732 T1:T56 T58:T112 T114:T129 T131:T178 T180:T244 T246:T520 T523:T524 T527:T566 T568:T570 T572:T1067 T1069:T1129 T1131:T1240 T1241:U1241 T57:U57 T1733:U1733 T567:U567 T571:U571 T179:U179 T1982:U1982 T521:U522 T525:U526 T1130:U1130 T130:U130 T1068:U1068 T1268:U1268 T1883:T1981 T1881:U1882 T2134:U2134 T2137:U2138 T1513:U1513 T1516:U1516 T2160:U2160 T245:U245 T113:U113 T1734:T1880 T2161:T1048576</xm:sqref>
        </x14:conditionalFormatting>
        <x14:conditionalFormatting xmlns:xm="http://schemas.microsoft.com/office/excel/2006/main">
          <x14:cfRule type="dataBar" id="{F016F06A-38AB-4970-B703-A8C4D76D98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V2:V2531</xm:sqref>
        </x14:conditionalFormatting>
        <x14:conditionalFormatting xmlns:xm="http://schemas.microsoft.com/office/excel/2006/main">
          <x14:cfRule type="dataBar" id="{29418B0E-4B31-4C82-B8E1-F96A9C4A70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0BB7-D107-4E12-BE0B-4C04103BE679}">
  <dimension ref="B2:D36"/>
  <sheetViews>
    <sheetView workbookViewId="0">
      <selection activeCell="L9" sqref="L9"/>
    </sheetView>
  </sheetViews>
  <sheetFormatPr defaultRowHeight="15" x14ac:dyDescent="0.25"/>
  <cols>
    <col min="3" max="3" width="38.28515625" customWidth="1"/>
  </cols>
  <sheetData>
    <row r="2" spans="2:4" x14ac:dyDescent="0.25">
      <c r="B2" t="s">
        <v>18</v>
      </c>
    </row>
    <row r="3" spans="2:4" x14ac:dyDescent="0.25">
      <c r="B3">
        <v>0</v>
      </c>
      <c r="C3" t="s">
        <v>1351</v>
      </c>
      <c r="D3" t="s">
        <v>1352</v>
      </c>
    </row>
    <row r="4" spans="2:4" x14ac:dyDescent="0.25">
      <c r="B4">
        <v>1</v>
      </c>
      <c r="C4" t="s">
        <v>1353</v>
      </c>
      <c r="D4" t="s">
        <v>1354</v>
      </c>
    </row>
    <row r="5" spans="2:4" x14ac:dyDescent="0.25">
      <c r="B5">
        <v>2</v>
      </c>
      <c r="C5" t="s">
        <v>1355</v>
      </c>
      <c r="D5" t="s">
        <v>1356</v>
      </c>
    </row>
    <row r="6" spans="2:4" x14ac:dyDescent="0.25">
      <c r="B6">
        <v>3</v>
      </c>
      <c r="C6" t="s">
        <v>1357</v>
      </c>
      <c r="D6" t="s">
        <v>1358</v>
      </c>
    </row>
    <row r="7" spans="2:4" x14ac:dyDescent="0.25">
      <c r="B7">
        <v>4</v>
      </c>
      <c r="C7" t="s">
        <v>1359</v>
      </c>
      <c r="D7" t="s">
        <v>1360</v>
      </c>
    </row>
    <row r="8" spans="2:4" x14ac:dyDescent="0.25">
      <c r="B8">
        <v>5</v>
      </c>
      <c r="C8" t="s">
        <v>1361</v>
      </c>
      <c r="D8" t="s">
        <v>1362</v>
      </c>
    </row>
    <row r="9" spans="2:4" x14ac:dyDescent="0.25">
      <c r="B9">
        <v>6</v>
      </c>
      <c r="C9" t="s">
        <v>1363</v>
      </c>
      <c r="D9" t="s">
        <v>1364</v>
      </c>
    </row>
    <row r="10" spans="2:4" x14ac:dyDescent="0.25">
      <c r="B10">
        <v>7</v>
      </c>
      <c r="C10" t="s">
        <v>1365</v>
      </c>
      <c r="D10" t="s">
        <v>1366</v>
      </c>
    </row>
    <row r="11" spans="2:4" x14ac:dyDescent="0.25">
      <c r="B11">
        <v>8</v>
      </c>
      <c r="C11" t="s">
        <v>1367</v>
      </c>
      <c r="D11" t="s">
        <v>1368</v>
      </c>
    </row>
    <row r="12" spans="2:4" x14ac:dyDescent="0.25">
      <c r="B12">
        <v>9</v>
      </c>
      <c r="C12" t="s">
        <v>1369</v>
      </c>
      <c r="D12" t="s">
        <v>1370</v>
      </c>
    </row>
    <row r="13" spans="2:4" x14ac:dyDescent="0.25">
      <c r="B13">
        <v>10</v>
      </c>
      <c r="C13" t="s">
        <v>1371</v>
      </c>
      <c r="D13" t="s">
        <v>1372</v>
      </c>
    </row>
    <row r="14" spans="2:4" x14ac:dyDescent="0.25">
      <c r="B14">
        <v>11</v>
      </c>
      <c r="C14" t="s">
        <v>1373</v>
      </c>
      <c r="D14" t="s">
        <v>1374</v>
      </c>
    </row>
    <row r="15" spans="2:4" x14ac:dyDescent="0.25">
      <c r="B15">
        <v>12</v>
      </c>
      <c r="C15" t="s">
        <v>1375</v>
      </c>
      <c r="D15" t="s">
        <v>1376</v>
      </c>
    </row>
    <row r="16" spans="2:4" x14ac:dyDescent="0.25">
      <c r="B16">
        <v>13</v>
      </c>
      <c r="C16" t="s">
        <v>1377</v>
      </c>
      <c r="D16" t="s">
        <v>1378</v>
      </c>
    </row>
    <row r="17" spans="2:4" x14ac:dyDescent="0.25">
      <c r="B17">
        <v>14</v>
      </c>
      <c r="C17" t="s">
        <v>1379</v>
      </c>
      <c r="D17" t="s">
        <v>1380</v>
      </c>
    </row>
    <row r="18" spans="2:4" x14ac:dyDescent="0.25">
      <c r="B18">
        <v>15</v>
      </c>
      <c r="C18" t="s">
        <v>1381</v>
      </c>
      <c r="D18" t="s">
        <v>1382</v>
      </c>
    </row>
    <row r="19" spans="2:4" x14ac:dyDescent="0.25">
      <c r="B19">
        <v>16</v>
      </c>
      <c r="C19" t="s">
        <v>1383</v>
      </c>
      <c r="D19" t="s">
        <v>1384</v>
      </c>
    </row>
    <row r="20" spans="2:4" x14ac:dyDescent="0.25">
      <c r="B20">
        <v>17</v>
      </c>
      <c r="C20" t="s">
        <v>1385</v>
      </c>
      <c r="D20" t="s">
        <v>1386</v>
      </c>
    </row>
    <row r="21" spans="2:4" x14ac:dyDescent="0.25">
      <c r="B21">
        <v>18</v>
      </c>
      <c r="C21" t="s">
        <v>1387</v>
      </c>
      <c r="D21" t="s">
        <v>1388</v>
      </c>
    </row>
    <row r="22" spans="2:4" x14ac:dyDescent="0.25">
      <c r="B22">
        <v>19</v>
      </c>
      <c r="C22" t="s">
        <v>1389</v>
      </c>
      <c r="D22" t="s">
        <v>1390</v>
      </c>
    </row>
    <row r="23" spans="2:4" x14ac:dyDescent="0.25">
      <c r="B23">
        <v>20</v>
      </c>
      <c r="C23" t="s">
        <v>1391</v>
      </c>
      <c r="D23" t="s">
        <v>1392</v>
      </c>
    </row>
    <row r="24" spans="2:4" x14ac:dyDescent="0.25">
      <c r="B24">
        <v>21</v>
      </c>
      <c r="C24" t="s">
        <v>1393</v>
      </c>
      <c r="D24" t="s">
        <v>1394</v>
      </c>
    </row>
    <row r="25" spans="2:4" x14ac:dyDescent="0.25">
      <c r="B25">
        <v>22</v>
      </c>
      <c r="C25" t="s">
        <v>1395</v>
      </c>
      <c r="D25" t="s">
        <v>1396</v>
      </c>
    </row>
    <row r="26" spans="2:4" x14ac:dyDescent="0.25">
      <c r="B26">
        <v>23</v>
      </c>
      <c r="C26" t="s">
        <v>1397</v>
      </c>
      <c r="D26" t="s">
        <v>1398</v>
      </c>
    </row>
    <row r="27" spans="2:4" x14ac:dyDescent="0.25">
      <c r="B27">
        <v>24</v>
      </c>
      <c r="C27" t="s">
        <v>1399</v>
      </c>
      <c r="D27" t="s">
        <v>1400</v>
      </c>
    </row>
    <row r="28" spans="2:4" x14ac:dyDescent="0.25">
      <c r="B28">
        <v>25</v>
      </c>
      <c r="C28" t="s">
        <v>1401</v>
      </c>
      <c r="D28" t="s">
        <v>1402</v>
      </c>
    </row>
    <row r="29" spans="2:4" x14ac:dyDescent="0.25">
      <c r="B29">
        <v>26</v>
      </c>
      <c r="C29" t="s">
        <v>1403</v>
      </c>
      <c r="D29" t="s">
        <v>1404</v>
      </c>
    </row>
    <row r="30" spans="2:4" x14ac:dyDescent="0.25">
      <c r="B30">
        <v>27</v>
      </c>
      <c r="C30" t="s">
        <v>1405</v>
      </c>
      <c r="D30" t="s">
        <v>1406</v>
      </c>
    </row>
    <row r="31" spans="2:4" x14ac:dyDescent="0.25">
      <c r="B31">
        <v>28</v>
      </c>
      <c r="C31" t="s">
        <v>1407</v>
      </c>
      <c r="D31" t="s">
        <v>1408</v>
      </c>
    </row>
    <row r="32" spans="2:4" x14ac:dyDescent="0.25">
      <c r="B32">
        <v>29</v>
      </c>
      <c r="C32" t="s">
        <v>1409</v>
      </c>
      <c r="D32" t="s">
        <v>1410</v>
      </c>
    </row>
    <row r="33" spans="2:4" x14ac:dyDescent="0.25">
      <c r="B33">
        <v>30</v>
      </c>
      <c r="C33" t="s">
        <v>1411</v>
      </c>
      <c r="D33" t="s">
        <v>1412</v>
      </c>
    </row>
    <row r="34" spans="2:4" x14ac:dyDescent="0.25">
      <c r="B34">
        <v>31</v>
      </c>
      <c r="C34" t="s">
        <v>1413</v>
      </c>
      <c r="D34" t="s">
        <v>1414</v>
      </c>
    </row>
    <row r="35" spans="2:4" x14ac:dyDescent="0.25">
      <c r="B35">
        <v>32</v>
      </c>
    </row>
    <row r="36" spans="2:4" x14ac:dyDescent="0.25">
      <c r="B36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Лист3</vt:lpstr>
      <vt:lpstr>Лист4</vt:lpstr>
      <vt:lpstr>Игроки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Пользователь</cp:lastModifiedBy>
  <dcterms:created xsi:type="dcterms:W3CDTF">2026-10-16T11:26:58Z</dcterms:created>
  <dcterms:modified xsi:type="dcterms:W3CDTF">2026-10-30T20:49:33Z</dcterms:modified>
</cp:coreProperties>
</file>